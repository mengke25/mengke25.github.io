
<file path=[Content_Types].xml><?xml version="1.0" encoding="utf-8"?>
<Types xmlns="http://schemas.openxmlformats.org/package/2006/content-types">
  <Default Extension="bin" ContentType="application/vnd.openxmlformats-officedocument.spreadsheetml.customProperty"/>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rinterSettings/printerSettings1.bin" ContentType="application/vnd.openxmlformats-officedocument.spreadsheetml.printerSettings"/>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rinterSettings/printerSettings2.bin" ContentType="application/vnd.openxmlformats-officedocument.spreadsheetml.printerSettings"/>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rinterSettings/printerSettings3.bin" ContentType="application/vnd.openxmlformats-officedocument.spreadsheetml.printerSettings"/>
  <Override PartName="/xl/drawings/drawing3.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charts/chart5.xml" ContentType="application/vnd.openxmlformats-officedocument.drawingml.chart+xml"/>
  <Override PartName="/xl/charts/chart6.xml" ContentType="application/vnd.openxmlformats-officedocument.drawingml.chart+xml"/>
  <Override PartName="/xl/printerSettings/printerSettings4.bin" ContentType="application/vnd.openxmlformats-officedocument.spreadsheetml.printerSettings"/>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mc:AlternateContent xmlns:mc="http://schemas.openxmlformats.org/markup-compatibility/2006">
    <mc:Choice Requires="x15">
      <x15ac:absPath xmlns:x15ac="http://schemas.microsoft.com/office/spreadsheetml/2010/11/ac" url="D:\py_proj\temp_script\aiseries\"/>
    </mc:Choice>
  </mc:AlternateContent>
  <xr:revisionPtr revIDLastSave="0" documentId="13_ncr:1_{D2BFB69C-9AAE-4E1D-91CD-54584A0FE1D2}" xr6:coauthVersionLast="47" xr6:coauthVersionMax="47" xr10:uidLastSave="{00000000-0000-0000-0000-000000000000}"/>
  <bookViews>
    <workbookView xWindow="-103" yWindow="-103" windowWidth="24892" windowHeight="14914" activeTab="1" xr2:uid="{00000000-000D-0000-FFFF-FFFF00000000}"/>
  </bookViews>
  <sheets>
    <sheet name="五大周期判断" sheetId="16" r:id="rId1"/>
    <sheet name="框架指示的股债胜率（综合）" sheetId="1" r:id="rId2"/>
    <sheet name="预测" sheetId="18" r:id="rId3"/>
    <sheet name="国证价值成长2" sheetId="21" r:id="rId4"/>
    <sheet name="股债表现与四个维度" sheetId="14" r:id="rId5"/>
    <sheet name="货币信用框架5-货币政策目标+信用脉冲" sheetId="9" r:id="rId6"/>
    <sheet name="信贷库存框架1-票据+贷款余额" sheetId="10" r:id="rId7"/>
    <sheet name="财政货币框架1&amp;2底稿" sheetId="11" r:id="rId8"/>
    <sheet name="美林时钟" sheetId="12" r:id="rId9"/>
    <sheet name="库存与产能周期2" sheetId="13" r:id="rId10"/>
  </sheets>
  <externalReferences>
    <externalReference r:id="rId11"/>
    <externalReference r:id="rId12"/>
  </externalReferences>
  <definedNames>
    <definedName name="______ger2" localSheetId="2" hidden="1">{#N/A,#N/A,FALSE,"B061196P";#N/A,#N/A,FALSE,"B061196";#N/A,#N/A,FALSE,"Relatório1";#N/A,#N/A,FALSE,"Relatório2";#N/A,#N/A,FALSE,"Relatório3";#N/A,#N/A,FALSE,"Relatório4 ";#N/A,#N/A,FALSE,"Relatório5";#N/A,#N/A,FALSE,"Relatório6";#N/A,#N/A,FALSE,"Relatório7";#N/A,#N/A,FALSE,"Relatório8"}</definedName>
    <definedName name="______ger2" hidden="1">{#N/A,#N/A,FALSE,"B061196P";#N/A,#N/A,FALSE,"B061196";#N/A,#N/A,FALSE,"Relatório1";#N/A,#N/A,FALSE,"Relatório2";#N/A,#N/A,FALSE,"Relatório3";#N/A,#N/A,FALSE,"Relatório4 ";#N/A,#N/A,FALSE,"Relatório5";#N/A,#N/A,FALSE,"Relatório6";#N/A,#N/A,FALSE,"Relatório7";#N/A,#N/A,FALSE,"Relatório8"}</definedName>
    <definedName name="_xlnm._FilterDatabase" localSheetId="2" hidden="1">预测!$O$26:$T$26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97" i="1" l="1"/>
  <c r="A5" i="1"/>
  <c r="H13" i="11"/>
  <c r="H14" i="11"/>
  <c r="H15" i="11"/>
  <c r="H16" i="11"/>
  <c r="H17" i="11"/>
  <c r="H18" i="11"/>
  <c r="H19" i="11"/>
  <c r="H20" i="11"/>
  <c r="H21" i="11"/>
  <c r="H22" i="11"/>
  <c r="H23" i="11"/>
  <c r="H24" i="11"/>
  <c r="H25" i="11"/>
  <c r="H26" i="11"/>
  <c r="H27" i="11"/>
  <c r="H28" i="11"/>
  <c r="H29" i="11"/>
  <c r="H30" i="11"/>
  <c r="H31" i="11"/>
  <c r="H32" i="11"/>
  <c r="H33" i="11"/>
  <c r="H34" i="11"/>
  <c r="H35" i="11"/>
  <c r="H36" i="11"/>
  <c r="H37" i="11"/>
  <c r="H38" i="11"/>
  <c r="H39" i="11"/>
  <c r="H40" i="11"/>
  <c r="H41" i="11"/>
  <c r="H42" i="11"/>
  <c r="H43" i="11"/>
  <c r="H44" i="11"/>
  <c r="H45" i="11"/>
  <c r="H46" i="11"/>
  <c r="H47" i="11"/>
  <c r="H48" i="11"/>
  <c r="H49" i="11"/>
  <c r="H50" i="11"/>
  <c r="H51" i="11"/>
  <c r="H52" i="11"/>
  <c r="H53" i="11"/>
  <c r="H54" i="11"/>
  <c r="H55" i="11"/>
  <c r="H56" i="11"/>
  <c r="H57" i="11"/>
  <c r="H58" i="11"/>
  <c r="H59" i="11"/>
  <c r="H60" i="11"/>
  <c r="H61" i="11"/>
  <c r="H62" i="11"/>
  <c r="H63" i="11"/>
  <c r="H64" i="11"/>
  <c r="H65" i="11"/>
  <c r="H66" i="11"/>
  <c r="H67" i="11"/>
  <c r="H68" i="11"/>
  <c r="H69" i="11"/>
  <c r="H70" i="11"/>
  <c r="H71" i="11"/>
  <c r="H72" i="11"/>
  <c r="H73" i="11"/>
  <c r="H74" i="11"/>
  <c r="H75" i="11"/>
  <c r="H76" i="11"/>
  <c r="H77" i="11"/>
  <c r="H78" i="11"/>
  <c r="H79" i="11"/>
  <c r="H80" i="11"/>
  <c r="H81" i="11"/>
  <c r="H82" i="11"/>
  <c r="H83" i="11"/>
  <c r="H84" i="11"/>
  <c r="H85" i="11"/>
  <c r="H86" i="11"/>
  <c r="H87" i="11"/>
  <c r="H88" i="11"/>
  <c r="H89" i="11"/>
  <c r="H90" i="11"/>
  <c r="H91" i="11"/>
  <c r="H92" i="11"/>
  <c r="H93" i="11"/>
  <c r="H94" i="11"/>
  <c r="H95" i="11"/>
  <c r="H96" i="11"/>
  <c r="H97" i="11"/>
  <c r="H12" i="11"/>
  <c r="Z29" i="18"/>
  <c r="Z30" i="18"/>
  <c r="Z31" i="18"/>
  <c r="Z32" i="18"/>
  <c r="Z33" i="18"/>
  <c r="Z34" i="18"/>
  <c r="Z35" i="18"/>
  <c r="Z36" i="18"/>
  <c r="Z37" i="18"/>
  <c r="Z38" i="18"/>
  <c r="Z39" i="18"/>
  <c r="Z40" i="18"/>
  <c r="Z41" i="18"/>
  <c r="Z42" i="18"/>
  <c r="Z43" i="18"/>
  <c r="Z44" i="18"/>
  <c r="Z45" i="18"/>
  <c r="Z46" i="18"/>
  <c r="Z47" i="18"/>
  <c r="Z48" i="18"/>
  <c r="Z49" i="18"/>
  <c r="Z50" i="18"/>
  <c r="Z51" i="18"/>
  <c r="Z52" i="18"/>
  <c r="Z53" i="18"/>
  <c r="Z54" i="18"/>
  <c r="Z55" i="18"/>
  <c r="Z56" i="18"/>
  <c r="Z57" i="18"/>
  <c r="Z58" i="18"/>
  <c r="Z59" i="18"/>
  <c r="Z60" i="18"/>
  <c r="Z61" i="18"/>
  <c r="Z62" i="18"/>
  <c r="Z63" i="18"/>
  <c r="Z64" i="18"/>
  <c r="Z65" i="18"/>
  <c r="Z66" i="18"/>
  <c r="Z67" i="18"/>
  <c r="Z68" i="18"/>
  <c r="Z69" i="18"/>
  <c r="Z70" i="18"/>
  <c r="Z71" i="18"/>
  <c r="Z72" i="18"/>
  <c r="Z73" i="18"/>
  <c r="Z74" i="18"/>
  <c r="Z75" i="18"/>
  <c r="Z76" i="18"/>
  <c r="Z77" i="18"/>
  <c r="Z78" i="18"/>
  <c r="Z79" i="18"/>
  <c r="Z80" i="18"/>
  <c r="Z81" i="18"/>
  <c r="Z82" i="18"/>
  <c r="Z83" i="18"/>
  <c r="Z84" i="18"/>
  <c r="Z85" i="18"/>
  <c r="Z86" i="18"/>
  <c r="Z87" i="18"/>
  <c r="Z88" i="18"/>
  <c r="Z89" i="18"/>
  <c r="Z90" i="18"/>
  <c r="Z91" i="18"/>
  <c r="Z92" i="18"/>
  <c r="Z93" i="18"/>
  <c r="Z94" i="18"/>
  <c r="Z95" i="18"/>
  <c r="Z96" i="18"/>
  <c r="Z97" i="18"/>
  <c r="Z98" i="18"/>
  <c r="Z99" i="18"/>
  <c r="Z100" i="18"/>
  <c r="Z101" i="18"/>
  <c r="Z102" i="18"/>
  <c r="Z103" i="18"/>
  <c r="Z104" i="18"/>
  <c r="Z105" i="18"/>
  <c r="Z106" i="18"/>
  <c r="Z107" i="18"/>
  <c r="Z108" i="18"/>
  <c r="Z109" i="18"/>
  <c r="Z110" i="18"/>
  <c r="Z111" i="18"/>
  <c r="Z112" i="18"/>
  <c r="Z113" i="18"/>
  <c r="Z114" i="18"/>
  <c r="Z115" i="18"/>
  <c r="Z116" i="18"/>
  <c r="Z117" i="18"/>
  <c r="Z118" i="18"/>
  <c r="Z119" i="18"/>
  <c r="Z120" i="18"/>
  <c r="Z121" i="18"/>
  <c r="Z122" i="18"/>
  <c r="Z123" i="18"/>
  <c r="Z124" i="18"/>
  <c r="Z125" i="18"/>
  <c r="Z126" i="18"/>
  <c r="Z127" i="18"/>
  <c r="Z128" i="18"/>
  <c r="Z129" i="18"/>
  <c r="Z130" i="18"/>
  <c r="Z131" i="18"/>
  <c r="Z132" i="18"/>
  <c r="Z133" i="18"/>
  <c r="Z134" i="18"/>
  <c r="Z135" i="18"/>
  <c r="Z136" i="18"/>
  <c r="Z137" i="18"/>
  <c r="Z138" i="18"/>
  <c r="Z139" i="18"/>
  <c r="Z140" i="18"/>
  <c r="Z141" i="18"/>
  <c r="Z142" i="18"/>
  <c r="Z143" i="18"/>
  <c r="Z144" i="18"/>
  <c r="Z145" i="18"/>
  <c r="Z146" i="18"/>
  <c r="Z147" i="18"/>
  <c r="Z148" i="18"/>
  <c r="Z149" i="18"/>
  <c r="Z150" i="18"/>
  <c r="Z151" i="18"/>
  <c r="Z152" i="18"/>
  <c r="Z153" i="18"/>
  <c r="Z154" i="18"/>
  <c r="Z155" i="18"/>
  <c r="Z156" i="18"/>
  <c r="Z157" i="18"/>
  <c r="Z158" i="18"/>
  <c r="Z159" i="18"/>
  <c r="Z160" i="18"/>
  <c r="Z161" i="18"/>
  <c r="Z162" i="18"/>
  <c r="Z163" i="18"/>
  <c r="Z164" i="18"/>
  <c r="Z165" i="18"/>
  <c r="Z166" i="18"/>
  <c r="Z167" i="18"/>
  <c r="Z168" i="18"/>
  <c r="Z169" i="18"/>
  <c r="Z170" i="18"/>
  <c r="Z171" i="18"/>
  <c r="Z172" i="18"/>
  <c r="Z173" i="18"/>
  <c r="Z174" i="18"/>
  <c r="Y31" i="18"/>
  <c r="Y40" i="18"/>
  <c r="Y54" i="18"/>
  <c r="Y55" i="18"/>
  <c r="Y64" i="18"/>
  <c r="Y89" i="18"/>
  <c r="AA19" i="1"/>
  <c r="Y29" i="18" s="1"/>
  <c r="AA21" i="1"/>
  <c r="AA22" i="1"/>
  <c r="Y32" i="18" s="1"/>
  <c r="AA23" i="1"/>
  <c r="Y33" i="18" s="1"/>
  <c r="AA24" i="1"/>
  <c r="Y34" i="18" s="1"/>
  <c r="AA25" i="1"/>
  <c r="Y35" i="18" s="1"/>
  <c r="AA26" i="1"/>
  <c r="Y36" i="18" s="1"/>
  <c r="AA27" i="1"/>
  <c r="Y37" i="18" s="1"/>
  <c r="AA28" i="1"/>
  <c r="Y38" i="18" s="1"/>
  <c r="AA29" i="1"/>
  <c r="Y39" i="18" s="1"/>
  <c r="AA30" i="1"/>
  <c r="AA31" i="1"/>
  <c r="Y41" i="18" s="1"/>
  <c r="AA32" i="1"/>
  <c r="Y42" i="18" s="1"/>
  <c r="AA33" i="1"/>
  <c r="Y43" i="18" s="1"/>
  <c r="AA34" i="1"/>
  <c r="Y44" i="18" s="1"/>
  <c r="AA35" i="1"/>
  <c r="Y45" i="18" s="1"/>
  <c r="AA36" i="1"/>
  <c r="Y46" i="18" s="1"/>
  <c r="AA37" i="1"/>
  <c r="Y47" i="18" s="1"/>
  <c r="AA38" i="1"/>
  <c r="Y48" i="18" s="1"/>
  <c r="AA39" i="1"/>
  <c r="Y49" i="18" s="1"/>
  <c r="AA40" i="1"/>
  <c r="Y50" i="18" s="1"/>
  <c r="AA41" i="1"/>
  <c r="Y51" i="18" s="1"/>
  <c r="AA42" i="1"/>
  <c r="Y52" i="18" s="1"/>
  <c r="AA43" i="1"/>
  <c r="Y53" i="18" s="1"/>
  <c r="AA44" i="1"/>
  <c r="AA45" i="1"/>
  <c r="AA46" i="1"/>
  <c r="Y56" i="18" s="1"/>
  <c r="AA47" i="1"/>
  <c r="Y57" i="18" s="1"/>
  <c r="AA48" i="1"/>
  <c r="Y58" i="18" s="1"/>
  <c r="AA49" i="1"/>
  <c r="Y59" i="18" s="1"/>
  <c r="AA50" i="1"/>
  <c r="Y60" i="18" s="1"/>
  <c r="AA51" i="1"/>
  <c r="Y61" i="18" s="1"/>
  <c r="AA52" i="1"/>
  <c r="Y62" i="18" s="1"/>
  <c r="AA53" i="1"/>
  <c r="Y63" i="18" s="1"/>
  <c r="AA54" i="1"/>
  <c r="AA55" i="1"/>
  <c r="Y65" i="18" s="1"/>
  <c r="AA56" i="1"/>
  <c r="Y66" i="18" s="1"/>
  <c r="AA57" i="1"/>
  <c r="Y67" i="18" s="1"/>
  <c r="AA58" i="1"/>
  <c r="Y68" i="18" s="1"/>
  <c r="AA59" i="1"/>
  <c r="Y69" i="18" s="1"/>
  <c r="AA60" i="1"/>
  <c r="Y70" i="18" s="1"/>
  <c r="AA61" i="1"/>
  <c r="Y71" i="18" s="1"/>
  <c r="AA62" i="1"/>
  <c r="Y72" i="18" s="1"/>
  <c r="AA63" i="1"/>
  <c r="Y73" i="18" s="1"/>
  <c r="AA64" i="1"/>
  <c r="Y74" i="18" s="1"/>
  <c r="AA65" i="1"/>
  <c r="Y75" i="18" s="1"/>
  <c r="AA66" i="1"/>
  <c r="Y76" i="18" s="1"/>
  <c r="AA67" i="1"/>
  <c r="Y77" i="18" s="1"/>
  <c r="AA68" i="1"/>
  <c r="Y78" i="18" s="1"/>
  <c r="AA69" i="1"/>
  <c r="Y79" i="18" s="1"/>
  <c r="AA70" i="1"/>
  <c r="Y80" i="18" s="1"/>
  <c r="AA71" i="1"/>
  <c r="Y81" i="18" s="1"/>
  <c r="AA72" i="1"/>
  <c r="Y82" i="18" s="1"/>
  <c r="AA73" i="1"/>
  <c r="Y83" i="18" s="1"/>
  <c r="AA74" i="1"/>
  <c r="Y84" i="18" s="1"/>
  <c r="AA75" i="1"/>
  <c r="Y85" i="18" s="1"/>
  <c r="AA76" i="1"/>
  <c r="Y86" i="18" s="1"/>
  <c r="AA77" i="1"/>
  <c r="Y87" i="18" s="1"/>
  <c r="AA78" i="1"/>
  <c r="Y88" i="18" s="1"/>
  <c r="AA79" i="1"/>
  <c r="AA80" i="1"/>
  <c r="Y90" i="18" s="1"/>
  <c r="AA81" i="1"/>
  <c r="Y91" i="18" s="1"/>
  <c r="AA82" i="1"/>
  <c r="Y92" i="18" s="1"/>
  <c r="AA83" i="1"/>
  <c r="Y93" i="18" s="1"/>
  <c r="AA84" i="1"/>
  <c r="Y94" i="18" s="1"/>
  <c r="AA85" i="1"/>
  <c r="Y95" i="18" s="1"/>
  <c r="AA86" i="1"/>
  <c r="Y96" i="18" s="1"/>
  <c r="AA87" i="1"/>
  <c r="Y97" i="18" s="1"/>
  <c r="AA88" i="1"/>
  <c r="Y98" i="18" s="1"/>
  <c r="AA89" i="1"/>
  <c r="Y99" i="18" s="1"/>
  <c r="AA90" i="1"/>
  <c r="Y100" i="18" s="1"/>
  <c r="AA91" i="1"/>
  <c r="Y101" i="18" s="1"/>
  <c r="AA92" i="1"/>
  <c r="Y102" i="18" s="1"/>
  <c r="AA93" i="1"/>
  <c r="Y103" i="18" s="1"/>
  <c r="AA94" i="1"/>
  <c r="Y104" i="18" s="1"/>
  <c r="AA95" i="1"/>
  <c r="Y105" i="18" s="1"/>
  <c r="AA96" i="1"/>
  <c r="Y106" i="18" s="1"/>
  <c r="AA97" i="1"/>
  <c r="Y107" i="18" s="1"/>
  <c r="AA98" i="1"/>
  <c r="Y108" i="18" s="1"/>
  <c r="AA99" i="1"/>
  <c r="Y109" i="18" s="1"/>
  <c r="AA100" i="1"/>
  <c r="Y110" i="18" s="1"/>
  <c r="AA101" i="1"/>
  <c r="Y111" i="18" s="1"/>
  <c r="AA102" i="1"/>
  <c r="Y112" i="18" s="1"/>
  <c r="AA103" i="1"/>
  <c r="Y113" i="18" s="1"/>
  <c r="AA104" i="1"/>
  <c r="Y114" i="18" s="1"/>
  <c r="AA105" i="1"/>
  <c r="Y115" i="18" s="1"/>
  <c r="AA106" i="1"/>
  <c r="Y116" i="18" s="1"/>
  <c r="AA107" i="1"/>
  <c r="Y117" i="18" s="1"/>
  <c r="AA20" i="1"/>
  <c r="Y30" i="18" s="1"/>
  <c r="A3" i="12"/>
  <c r="O6" i="18" l="1" a="1"/>
  <c r="O6" i="18" s="1"/>
  <c r="A17" i="18" l="1"/>
  <c r="A18" i="18" s="1"/>
  <c r="A19" i="18" s="1"/>
  <c r="A20" i="18" s="1"/>
  <c r="A21" i="18" s="1"/>
  <c r="A22" i="18" s="1"/>
  <c r="A23" i="18" s="1"/>
  <c r="A24" i="18" s="1"/>
  <c r="A25" i="18" s="1"/>
  <c r="A26" i="18" s="1"/>
  <c r="A27" i="18" s="1"/>
  <c r="A28" i="18" s="1"/>
  <c r="A29" i="18" s="1"/>
  <c r="A30" i="18" s="1"/>
  <c r="A31" i="18" s="1"/>
  <c r="A32" i="18" s="1"/>
  <c r="A33" i="18" s="1"/>
  <c r="A34" i="18" s="1"/>
  <c r="A35" i="18" s="1"/>
  <c r="A36" i="18" s="1"/>
  <c r="A37" i="18" s="1"/>
  <c r="A38" i="18" s="1"/>
  <c r="A39" i="18" s="1"/>
  <c r="A40" i="18" s="1"/>
  <c r="A41" i="18" s="1"/>
  <c r="A42" i="18" s="1"/>
  <c r="A43" i="18" s="1"/>
  <c r="A44" i="18" s="1"/>
  <c r="A45" i="18" s="1"/>
  <c r="A46" i="18" s="1"/>
  <c r="A47" i="18" s="1"/>
  <c r="A48" i="18" s="1"/>
  <c r="A49" i="18" s="1"/>
  <c r="A50" i="18" s="1"/>
  <c r="A51" i="18" s="1"/>
  <c r="A52" i="18" s="1"/>
  <c r="A53" i="18" s="1"/>
  <c r="A54" i="18" s="1"/>
  <c r="A55" i="18" s="1"/>
  <c r="A56" i="18" s="1"/>
  <c r="A57" i="18" s="1"/>
  <c r="A58" i="18" s="1"/>
  <c r="A59" i="18" s="1"/>
  <c r="A60" i="18" s="1"/>
  <c r="A61" i="18" s="1"/>
  <c r="A62" i="18" s="1"/>
  <c r="A63" i="18" s="1"/>
  <c r="A64" i="18" s="1"/>
  <c r="A65" i="18" s="1"/>
  <c r="A66" i="18" s="1"/>
  <c r="A67" i="18" s="1"/>
  <c r="A68" i="18" s="1"/>
  <c r="A69" i="18" s="1"/>
  <c r="A70" i="18" s="1"/>
  <c r="A71" i="18" s="1"/>
  <c r="A72" i="18" s="1"/>
  <c r="A73" i="18" s="1"/>
  <c r="A74" i="18" s="1"/>
  <c r="A75" i="18" s="1"/>
  <c r="A76" i="18" s="1"/>
  <c r="A77" i="18" s="1"/>
  <c r="A78" i="18" s="1"/>
  <c r="A79" i="18" s="1"/>
  <c r="A80" i="18" s="1"/>
  <c r="A81" i="18" s="1"/>
  <c r="A82" i="18" s="1"/>
  <c r="A83" i="18" s="1"/>
  <c r="A84" i="18" s="1"/>
  <c r="A85" i="18" s="1"/>
  <c r="A86" i="18" s="1"/>
  <c r="A87" i="18" s="1"/>
  <c r="A88" i="18" s="1"/>
  <c r="A89" i="18" s="1"/>
  <c r="A90" i="18" s="1"/>
  <c r="A91" i="18" s="1"/>
  <c r="A92" i="18" s="1"/>
  <c r="A93" i="18" s="1"/>
  <c r="A94" i="18" s="1"/>
  <c r="A95" i="18" s="1"/>
  <c r="A96" i="18" s="1"/>
  <c r="A97" i="18" s="1"/>
  <c r="A98" i="18" s="1"/>
  <c r="A99" i="18" s="1"/>
  <c r="A100" i="18" s="1"/>
  <c r="A101" i="18" s="1"/>
  <c r="A102" i="18" s="1"/>
  <c r="A103" i="18" s="1"/>
  <c r="A104" i="18" s="1"/>
  <c r="A105" i="18" s="1"/>
  <c r="A106" i="18" s="1"/>
  <c r="A107" i="18" s="1"/>
  <c r="A108" i="18" s="1"/>
  <c r="A109" i="18" s="1"/>
  <c r="A110" i="18" s="1"/>
  <c r="A111" i="18" s="1"/>
  <c r="A112" i="18" s="1"/>
  <c r="A113" i="18" s="1"/>
  <c r="A114" i="18" s="1"/>
  <c r="A115" i="18" s="1"/>
  <c r="A116" i="18" s="1"/>
  <c r="A117" i="18" s="1"/>
  <c r="A118" i="18" s="1"/>
  <c r="A119" i="18" s="1"/>
  <c r="A120" i="18" s="1"/>
  <c r="A121" i="18" s="1"/>
  <c r="A122" i="18" s="1"/>
  <c r="A123" i="18" s="1"/>
  <c r="A124" i="18" s="1"/>
  <c r="A125" i="18" s="1"/>
  <c r="A126" i="18" s="1"/>
  <c r="A127" i="18" s="1"/>
  <c r="A128" i="18" s="1"/>
  <c r="A129" i="18" s="1"/>
  <c r="A130" i="18" s="1"/>
  <c r="A131" i="18" s="1"/>
  <c r="A132" i="18" s="1"/>
  <c r="A133" i="18" s="1"/>
  <c r="A134" i="18" s="1"/>
  <c r="A135" i="18" s="1"/>
  <c r="A136" i="18" s="1"/>
  <c r="A137" i="18" s="1"/>
  <c r="A138" i="18" s="1"/>
  <c r="A139" i="18" s="1"/>
  <c r="A140" i="18" s="1"/>
  <c r="A141" i="18" s="1"/>
  <c r="A142" i="18" s="1"/>
  <c r="A143" i="18" s="1"/>
  <c r="A144" i="18" s="1"/>
  <c r="A145" i="18" s="1"/>
  <c r="A146" i="18" s="1"/>
  <c r="A147" i="18" s="1"/>
  <c r="A148" i="18" s="1"/>
  <c r="A149" i="18" s="1"/>
  <c r="A150" i="18" s="1"/>
  <c r="A151" i="18" s="1"/>
  <c r="A152" i="18" s="1"/>
  <c r="A153" i="18" s="1"/>
  <c r="A154" i="18" s="1"/>
  <c r="A155" i="18" s="1"/>
  <c r="A156" i="18" s="1"/>
  <c r="A157" i="18" s="1"/>
  <c r="A158" i="18" s="1"/>
  <c r="A159" i="18" s="1"/>
  <c r="A160" i="18" s="1"/>
  <c r="A161" i="18" s="1"/>
  <c r="A162" i="18" s="1"/>
  <c r="A163" i="18" s="1"/>
  <c r="A164" i="18" s="1"/>
  <c r="A165" i="18" s="1"/>
  <c r="A166" i="18" s="1"/>
  <c r="A167" i="18" s="1"/>
  <c r="A168" i="18" s="1"/>
  <c r="A169" i="18" s="1"/>
  <c r="A170" i="18" s="1"/>
  <c r="A171" i="18" s="1"/>
  <c r="A172" i="18" s="1"/>
  <c r="W16" i="18"/>
  <c r="S16" i="18" a="1"/>
  <c r="S16" i="18" s="1"/>
  <c r="R16" i="18" a="1"/>
  <c r="R16" i="18" s="1"/>
  <c r="Q16" i="18" a="1"/>
  <c r="Q16" i="18" s="1"/>
  <c r="P16" i="18" a="1"/>
  <c r="P16" i="18" s="1"/>
  <c r="O16" i="18" a="1"/>
  <c r="O16" i="18" s="1"/>
  <c r="N16" i="18" a="1"/>
  <c r="N16" i="18" s="1"/>
  <c r="M16" i="18" a="1"/>
  <c r="M16" i="18" s="1"/>
  <c r="L16" i="18" a="1"/>
  <c r="L16" i="18" s="1"/>
  <c r="K16" i="18" a="1"/>
  <c r="K16" i="18" s="1"/>
  <c r="J16" i="18" a="1"/>
  <c r="J16" i="18" s="1"/>
  <c r="E16" i="18"/>
  <c r="W15" i="18"/>
  <c r="S15" i="18" a="1"/>
  <c r="S15" i="18" s="1"/>
  <c r="R15" i="18" a="1"/>
  <c r="R15" i="18" s="1"/>
  <c r="Q15" i="18" a="1"/>
  <c r="Q15" i="18" s="1"/>
  <c r="P15" i="18" a="1"/>
  <c r="P15" i="18" s="1"/>
  <c r="O15" i="18" a="1"/>
  <c r="O15" i="18" s="1"/>
  <c r="N15" i="18" a="1"/>
  <c r="N15" i="18" s="1"/>
  <c r="M15" i="18" a="1"/>
  <c r="M15" i="18" s="1"/>
  <c r="L15" i="18" a="1"/>
  <c r="L15" i="18" s="1"/>
  <c r="K15" i="18" a="1"/>
  <c r="K15" i="18" s="1"/>
  <c r="J15" i="18" a="1"/>
  <c r="J15" i="18" s="1"/>
  <c r="E15" i="18"/>
  <c r="S14" i="18" a="1"/>
  <c r="S14" i="18" s="1"/>
  <c r="R14" i="18" a="1"/>
  <c r="R14" i="18" s="1"/>
  <c r="Q14" i="18" a="1"/>
  <c r="Q14" i="18" s="1"/>
  <c r="P14" i="18" a="1"/>
  <c r="P14" i="18" s="1"/>
  <c r="O14" i="18" a="1"/>
  <c r="O14" i="18" s="1"/>
  <c r="N14" i="18" a="1"/>
  <c r="N14" i="18" s="1"/>
  <c r="M14" i="18" a="1"/>
  <c r="M14" i="18" s="1"/>
  <c r="L14" i="18" a="1"/>
  <c r="L14" i="18" s="1"/>
  <c r="K14" i="18" a="1"/>
  <c r="K14" i="18" s="1"/>
  <c r="E14" i="18"/>
  <c r="S13" i="18" a="1"/>
  <c r="S13" i="18" s="1"/>
  <c r="R13" i="18" a="1"/>
  <c r="R13" i="18" s="1"/>
  <c r="Q13" i="18" a="1"/>
  <c r="Q13" i="18" s="1"/>
  <c r="P13" i="18" a="1"/>
  <c r="P13" i="18" s="1"/>
  <c r="O13" i="18" a="1"/>
  <c r="O13" i="18" s="1"/>
  <c r="N13" i="18" a="1"/>
  <c r="N13" i="18" s="1"/>
  <c r="M13" i="18" a="1"/>
  <c r="M13" i="18" s="1"/>
  <c r="L13" i="18" a="1"/>
  <c r="L13" i="18" s="1"/>
  <c r="K13" i="18" a="1"/>
  <c r="K13" i="18" s="1"/>
  <c r="E13" i="18"/>
  <c r="S12" i="18" a="1"/>
  <c r="S12" i="18" s="1"/>
  <c r="R12" i="18" a="1"/>
  <c r="R12" i="18" s="1"/>
  <c r="Q12" i="18" a="1"/>
  <c r="Q12" i="18" s="1"/>
  <c r="P12" i="18" a="1"/>
  <c r="P12" i="18" s="1"/>
  <c r="O12" i="18" a="1"/>
  <c r="O12" i="18" s="1"/>
  <c r="N12" i="18" a="1"/>
  <c r="N12" i="18" s="1"/>
  <c r="M12" i="18" a="1"/>
  <c r="M12" i="18" s="1"/>
  <c r="L12" i="18" a="1"/>
  <c r="L12" i="18" s="1"/>
  <c r="K12" i="18" a="1"/>
  <c r="K12" i="18" s="1"/>
  <c r="E12" i="18"/>
  <c r="S11" i="18" a="1"/>
  <c r="S11" i="18" s="1"/>
  <c r="R11" i="18" a="1"/>
  <c r="R11" i="18" s="1"/>
  <c r="Q11" i="18" a="1"/>
  <c r="Q11" i="18" s="1"/>
  <c r="P11" i="18" a="1"/>
  <c r="P11" i="18" s="1"/>
  <c r="O11" i="18" a="1"/>
  <c r="O11" i="18" s="1"/>
  <c r="N11" i="18" a="1"/>
  <c r="N11" i="18" s="1"/>
  <c r="M11" i="18" a="1"/>
  <c r="M11" i="18" s="1"/>
  <c r="L11" i="18" a="1"/>
  <c r="L11" i="18" s="1"/>
  <c r="K11" i="18" a="1"/>
  <c r="K11" i="18" s="1"/>
  <c r="E11" i="18"/>
  <c r="S10" i="18" a="1"/>
  <c r="S10" i="18" s="1"/>
  <c r="R10" i="18" a="1"/>
  <c r="R10" i="18" s="1"/>
  <c r="Q10" i="18" a="1"/>
  <c r="Q10" i="18" s="1"/>
  <c r="P10" i="18" a="1"/>
  <c r="P10" i="18" s="1"/>
  <c r="O10" i="18" a="1"/>
  <c r="O10" i="18" s="1"/>
  <c r="N10" i="18" a="1"/>
  <c r="N10" i="18" s="1"/>
  <c r="M10" i="18" a="1"/>
  <c r="M10" i="18" s="1"/>
  <c r="K10" i="18" a="1"/>
  <c r="K10" i="18" s="1"/>
  <c r="E10" i="18"/>
  <c r="S9" i="18" a="1"/>
  <c r="S9" i="18" s="1"/>
  <c r="R9" i="18" a="1"/>
  <c r="R9" i="18" s="1"/>
  <c r="Q9" i="18" a="1"/>
  <c r="Q9" i="18" s="1"/>
  <c r="P9" i="18" a="1"/>
  <c r="P9" i="18" s="1"/>
  <c r="O9" i="18" a="1"/>
  <c r="O9" i="18" s="1"/>
  <c r="N9" i="18" a="1"/>
  <c r="N9" i="18" s="1"/>
  <c r="M9" i="18" a="1"/>
  <c r="M9" i="18" s="1"/>
  <c r="L9" i="18" a="1"/>
  <c r="L9" i="18" s="1"/>
  <c r="K9" i="18" a="1"/>
  <c r="K9" i="18" s="1"/>
  <c r="E9" i="18"/>
  <c r="S8" i="18" a="1"/>
  <c r="S8" i="18" s="1"/>
  <c r="R8" i="18" a="1"/>
  <c r="R8" i="18" s="1"/>
  <c r="Q8" i="18" a="1"/>
  <c r="Q8" i="18" s="1"/>
  <c r="P8" i="18" a="1"/>
  <c r="P8" i="18" s="1"/>
  <c r="O8" i="18" a="1"/>
  <c r="O8" i="18" s="1"/>
  <c r="N8" i="18" a="1"/>
  <c r="N8" i="18" s="1"/>
  <c r="M8" i="18" a="1"/>
  <c r="M8" i="18" s="1"/>
  <c r="L8" i="18" a="1"/>
  <c r="L8" i="18" s="1"/>
  <c r="K8" i="18" a="1"/>
  <c r="K8" i="18" s="1"/>
  <c r="E8" i="18"/>
  <c r="S7" i="18" a="1"/>
  <c r="S7" i="18" s="1"/>
  <c r="R7" i="18" a="1"/>
  <c r="R7" i="18" s="1"/>
  <c r="Q7" i="18" a="1"/>
  <c r="Q7" i="18" s="1"/>
  <c r="P7" i="18" a="1"/>
  <c r="P7" i="18" s="1"/>
  <c r="O7" i="18" a="1"/>
  <c r="O7" i="18" s="1"/>
  <c r="N7" i="18" a="1"/>
  <c r="N7" i="18" s="1"/>
  <c r="M7" i="18" a="1"/>
  <c r="M7" i="18" s="1"/>
  <c r="L7" i="18" a="1"/>
  <c r="L7" i="18" s="1"/>
  <c r="K7" i="18" a="1"/>
  <c r="K7" i="18" s="1"/>
  <c r="E7" i="18"/>
  <c r="S6" i="18" a="1"/>
  <c r="S6" i="18" s="1"/>
  <c r="R6" i="18" a="1"/>
  <c r="R6" i="18" s="1"/>
  <c r="Q6" i="18" a="1"/>
  <c r="Q6" i="18" s="1"/>
  <c r="P6" i="18" a="1"/>
  <c r="P6" i="18" s="1"/>
  <c r="N6" i="18" a="1"/>
  <c r="N6" i="18" s="1"/>
  <c r="M6" i="18" a="1"/>
  <c r="M6" i="18" s="1"/>
  <c r="L6" i="18" a="1"/>
  <c r="L6" i="18" s="1"/>
  <c r="K6" i="18" a="1"/>
  <c r="K6" i="18" s="1"/>
  <c r="E6" i="18"/>
  <c r="S5" i="18" a="1"/>
  <c r="S5" i="18" s="1"/>
  <c r="R5" i="18" a="1"/>
  <c r="R5" i="18" s="1"/>
  <c r="Q5" i="18" a="1"/>
  <c r="Q5" i="18" s="1"/>
  <c r="P5" i="18" a="1"/>
  <c r="P5" i="18" s="1"/>
  <c r="O5" i="18" a="1"/>
  <c r="O5" i="18" s="1"/>
  <c r="N5" i="18" a="1"/>
  <c r="N5" i="18" s="1"/>
  <c r="M5" i="18" a="1"/>
  <c r="M5" i="18" s="1"/>
  <c r="L5" i="18" a="1"/>
  <c r="L5" i="18" s="1"/>
  <c r="K5" i="18" a="1"/>
  <c r="K5" i="18" s="1"/>
  <c r="E5" i="18"/>
  <c r="Z12" i="18" l="1"/>
  <c r="Z5" i="18"/>
  <c r="Z6" i="18"/>
  <c r="Z11" i="18"/>
  <c r="Z7" i="18"/>
  <c r="Z8" i="18"/>
  <c r="Z13" i="18"/>
  <c r="Z9" i="18"/>
  <c r="Z14" i="18"/>
  <c r="T10" i="18"/>
  <c r="Z10" i="18"/>
  <c r="T11" i="18"/>
  <c r="U13" i="18"/>
  <c r="U11" i="18"/>
  <c r="U8" i="18"/>
  <c r="T8" i="18"/>
  <c r="U16" i="18"/>
  <c r="T16" i="18"/>
  <c r="U14" i="18"/>
  <c r="T14" i="18"/>
  <c r="U6" i="18"/>
  <c r="T6" i="18"/>
  <c r="U12" i="18"/>
  <c r="T12" i="18"/>
  <c r="U10" i="18"/>
  <c r="T5" i="18"/>
  <c r="U5" i="18"/>
  <c r="T9" i="18"/>
  <c r="U9" i="18"/>
  <c r="U15" i="18"/>
  <c r="U7" i="18"/>
  <c r="T13" i="18"/>
  <c r="T7" i="18"/>
  <c r="T15" i="18"/>
  <c r="Y8" i="18" l="1"/>
  <c r="Y7" i="18"/>
  <c r="Y9" i="18"/>
  <c r="Y6" i="18"/>
  <c r="Y5" i="18"/>
  <c r="V16" i="18"/>
  <c r="V11" i="18"/>
  <c r="V7" i="18"/>
  <c r="V13" i="18"/>
  <c r="V5" i="18"/>
  <c r="V8" i="18"/>
  <c r="V10" i="18"/>
  <c r="V12" i="18"/>
  <c r="V15" i="18"/>
  <c r="V9" i="18"/>
  <c r="V14" i="18"/>
  <c r="V6" i="18"/>
  <c r="A6" i="1" l="1"/>
  <c r="Q345" i="13" l="1"/>
  <c r="Q344" i="13"/>
  <c r="Q343" i="13"/>
  <c r="Q342" i="13"/>
  <c r="Q341" i="13"/>
  <c r="Q340" i="13"/>
  <c r="Q339" i="13"/>
  <c r="Q338" i="13"/>
  <c r="Q337" i="13"/>
  <c r="Q336" i="13"/>
  <c r="B336" i="13"/>
  <c r="Q335" i="13"/>
  <c r="B335" i="13"/>
  <c r="Q334" i="13"/>
  <c r="B334" i="13"/>
  <c r="Q333" i="13"/>
  <c r="B333" i="13"/>
  <c r="Q332" i="13"/>
  <c r="B332" i="13"/>
  <c r="Q331" i="13"/>
  <c r="B331" i="13"/>
  <c r="Q330" i="13"/>
  <c r="B330" i="13"/>
  <c r="Q329" i="13"/>
  <c r="B329" i="13"/>
  <c r="Q328" i="13"/>
  <c r="B328" i="13"/>
  <c r="Q327" i="13"/>
  <c r="B327" i="13"/>
  <c r="Q326" i="13"/>
  <c r="B326" i="13"/>
  <c r="Q325" i="13"/>
  <c r="B325" i="13"/>
  <c r="Q324" i="13"/>
  <c r="B324" i="13"/>
  <c r="Q323" i="13"/>
  <c r="B323" i="13"/>
  <c r="Q322" i="13"/>
  <c r="B322" i="13"/>
  <c r="Q321" i="13"/>
  <c r="B321" i="13"/>
  <c r="Q320" i="13"/>
  <c r="B320" i="13"/>
  <c r="Q319" i="13"/>
  <c r="B319" i="13"/>
  <c r="Q318" i="13"/>
  <c r="B318" i="13"/>
  <c r="Q317" i="13"/>
  <c r="B317" i="13"/>
  <c r="Q316" i="13"/>
  <c r="B316" i="13"/>
  <c r="Q315" i="13"/>
  <c r="B315" i="13"/>
  <c r="Q314" i="13"/>
  <c r="B314" i="13"/>
  <c r="Q313" i="13"/>
  <c r="B313" i="13"/>
  <c r="Q312" i="13"/>
  <c r="B312" i="13"/>
  <c r="Q311" i="13"/>
  <c r="B311" i="13"/>
  <c r="Q310" i="13"/>
  <c r="B310" i="13"/>
  <c r="Q309" i="13"/>
  <c r="B309" i="13"/>
  <c r="Q308" i="13"/>
  <c r="B308" i="13"/>
  <c r="Q307" i="13"/>
  <c r="B307" i="13"/>
  <c r="Q306" i="13"/>
  <c r="B306" i="13"/>
  <c r="Q305" i="13"/>
  <c r="B305" i="13"/>
  <c r="Q304" i="13"/>
  <c r="B304" i="13"/>
  <c r="Q303" i="13"/>
  <c r="B303" i="13"/>
  <c r="Q302" i="13"/>
  <c r="B302" i="13"/>
  <c r="Q301" i="13"/>
  <c r="B301" i="13"/>
  <c r="Q300" i="13"/>
  <c r="B300" i="13"/>
  <c r="Q299" i="13"/>
  <c r="B299" i="13"/>
  <c r="Q298" i="13"/>
  <c r="B298" i="13"/>
  <c r="Q297" i="13"/>
  <c r="B297" i="13"/>
  <c r="Q296" i="13"/>
  <c r="B296" i="13"/>
  <c r="Q295" i="13"/>
  <c r="B295" i="13"/>
  <c r="Q294" i="13"/>
  <c r="B294" i="13"/>
  <c r="Q293" i="13"/>
  <c r="B293" i="13"/>
  <c r="L292" i="13"/>
  <c r="K292" i="13"/>
  <c r="J292" i="13"/>
  <c r="I292" i="13"/>
  <c r="O292" i="13" s="1"/>
  <c r="B292" i="13"/>
  <c r="O291" i="13"/>
  <c r="L291" i="13"/>
  <c r="K291" i="13"/>
  <c r="J291" i="13"/>
  <c r="I291" i="13"/>
  <c r="B291" i="13"/>
  <c r="L290" i="13"/>
  <c r="K290" i="13"/>
  <c r="J290" i="13"/>
  <c r="I290" i="13"/>
  <c r="O290" i="13" s="1"/>
  <c r="B290" i="13"/>
  <c r="L289" i="13"/>
  <c r="K289" i="13"/>
  <c r="J289" i="13"/>
  <c r="I289" i="13"/>
  <c r="O289" i="13" s="1"/>
  <c r="B289" i="13"/>
  <c r="L288" i="13"/>
  <c r="K288" i="13"/>
  <c r="J288" i="13"/>
  <c r="I288" i="13"/>
  <c r="O288" i="13" s="1"/>
  <c r="B288" i="13"/>
  <c r="O287" i="13"/>
  <c r="L287" i="13"/>
  <c r="K287" i="13"/>
  <c r="J287" i="13"/>
  <c r="I287" i="13"/>
  <c r="B287" i="13"/>
  <c r="L286" i="13"/>
  <c r="K286" i="13"/>
  <c r="J286" i="13"/>
  <c r="I286" i="13"/>
  <c r="O286" i="13" s="1"/>
  <c r="B286" i="13"/>
  <c r="L285" i="13"/>
  <c r="K285" i="13"/>
  <c r="J285" i="13"/>
  <c r="I285" i="13"/>
  <c r="O285" i="13" s="1"/>
  <c r="B285" i="13"/>
  <c r="L284" i="13"/>
  <c r="K284" i="13"/>
  <c r="J284" i="13"/>
  <c r="I284" i="13"/>
  <c r="O284" i="13" s="1"/>
  <c r="B284" i="13"/>
  <c r="O283" i="13"/>
  <c r="L283" i="13"/>
  <c r="K283" i="13"/>
  <c r="J283" i="13"/>
  <c r="I283" i="13"/>
  <c r="B283" i="13"/>
  <c r="L282" i="13"/>
  <c r="K282" i="13"/>
  <c r="J282" i="13"/>
  <c r="I282" i="13"/>
  <c r="B282" i="13"/>
  <c r="L281" i="13"/>
  <c r="K281" i="13"/>
  <c r="J281" i="13"/>
  <c r="I281" i="13"/>
  <c r="O281" i="13" s="1"/>
  <c r="B281" i="13"/>
  <c r="L280" i="13"/>
  <c r="K280" i="13"/>
  <c r="J280" i="13"/>
  <c r="I280" i="13"/>
  <c r="O280" i="13" s="1"/>
  <c r="B280" i="13"/>
  <c r="O279" i="13"/>
  <c r="L279" i="13"/>
  <c r="K279" i="13"/>
  <c r="J279" i="13"/>
  <c r="I279" i="13"/>
  <c r="B279" i="13"/>
  <c r="L278" i="13"/>
  <c r="K278" i="13"/>
  <c r="J278" i="13"/>
  <c r="I278" i="13"/>
  <c r="O278" i="13" s="1"/>
  <c r="B278" i="13"/>
  <c r="L277" i="13"/>
  <c r="K277" i="13"/>
  <c r="J277" i="13"/>
  <c r="I277" i="13"/>
  <c r="O277" i="13" s="1"/>
  <c r="B277" i="13"/>
  <c r="L276" i="13"/>
  <c r="K276" i="13"/>
  <c r="J276" i="13"/>
  <c r="I276" i="13"/>
  <c r="O276" i="13" s="1"/>
  <c r="B276" i="13"/>
  <c r="O275" i="13"/>
  <c r="L275" i="13"/>
  <c r="K275" i="13"/>
  <c r="J275" i="13"/>
  <c r="I275" i="13"/>
  <c r="B275" i="13"/>
  <c r="L274" i="13"/>
  <c r="K274" i="13"/>
  <c r="J274" i="13"/>
  <c r="I274" i="13"/>
  <c r="B274" i="13"/>
  <c r="L273" i="13"/>
  <c r="K273" i="13"/>
  <c r="J273" i="13"/>
  <c r="I273" i="13"/>
  <c r="O273" i="13" s="1"/>
  <c r="B273" i="13"/>
  <c r="L272" i="13"/>
  <c r="K272" i="13"/>
  <c r="J272" i="13"/>
  <c r="I272" i="13"/>
  <c r="O272" i="13" s="1"/>
  <c r="B272" i="13"/>
  <c r="O271" i="13"/>
  <c r="L271" i="13"/>
  <c r="K271" i="13"/>
  <c r="J271" i="13"/>
  <c r="I271" i="13"/>
  <c r="B271" i="13"/>
  <c r="L270" i="13"/>
  <c r="K270" i="13"/>
  <c r="J270" i="13"/>
  <c r="I270" i="13"/>
  <c r="O270" i="13" s="1"/>
  <c r="B270" i="13"/>
  <c r="L269" i="13"/>
  <c r="K269" i="13"/>
  <c r="J269" i="13"/>
  <c r="I269" i="13"/>
  <c r="O269" i="13" s="1"/>
  <c r="B269" i="13"/>
  <c r="L268" i="13"/>
  <c r="K268" i="13"/>
  <c r="J268" i="13"/>
  <c r="I268" i="13"/>
  <c r="O268" i="13" s="1"/>
  <c r="B268" i="13"/>
  <c r="O267" i="13"/>
  <c r="L267" i="13"/>
  <c r="K267" i="13"/>
  <c r="J267" i="13"/>
  <c r="I267" i="13"/>
  <c r="B267" i="13"/>
  <c r="L266" i="13"/>
  <c r="K266" i="13"/>
  <c r="J266" i="13"/>
  <c r="I266" i="13"/>
  <c r="B266" i="13"/>
  <c r="L265" i="13"/>
  <c r="K265" i="13"/>
  <c r="J265" i="13"/>
  <c r="I265" i="13"/>
  <c r="O265" i="13" s="1"/>
  <c r="B265" i="13"/>
  <c r="L264" i="13"/>
  <c r="K264" i="13"/>
  <c r="J264" i="13"/>
  <c r="I264" i="13"/>
  <c r="B264" i="13"/>
  <c r="O263" i="13"/>
  <c r="L263" i="13"/>
  <c r="K263" i="13"/>
  <c r="J263" i="13"/>
  <c r="I263" i="13"/>
  <c r="B263" i="13"/>
  <c r="L262" i="13"/>
  <c r="K262" i="13"/>
  <c r="J262" i="13"/>
  <c r="I262" i="13"/>
  <c r="O262" i="13" s="1"/>
  <c r="B262" i="13"/>
  <c r="L261" i="13"/>
  <c r="K261" i="13"/>
  <c r="J261" i="13"/>
  <c r="I261" i="13"/>
  <c r="O261" i="13" s="1"/>
  <c r="B261" i="13"/>
  <c r="L260" i="13"/>
  <c r="K260" i="13"/>
  <c r="J260" i="13"/>
  <c r="I260" i="13"/>
  <c r="O260" i="13" s="1"/>
  <c r="B260" i="13"/>
  <c r="O259" i="13"/>
  <c r="L259" i="13"/>
  <c r="K259" i="13"/>
  <c r="J259" i="13"/>
  <c r="I259" i="13"/>
  <c r="B259" i="13"/>
  <c r="L258" i="13"/>
  <c r="K258" i="13"/>
  <c r="J258" i="13"/>
  <c r="I258" i="13"/>
  <c r="B258" i="13"/>
  <c r="L257" i="13"/>
  <c r="K257" i="13"/>
  <c r="J257" i="13"/>
  <c r="I257" i="13"/>
  <c r="O257" i="13" s="1"/>
  <c r="B257" i="13"/>
  <c r="L256" i="13"/>
  <c r="K256" i="13"/>
  <c r="J256" i="13"/>
  <c r="I256" i="13"/>
  <c r="B256" i="13"/>
  <c r="O255" i="13"/>
  <c r="L255" i="13"/>
  <c r="K255" i="13"/>
  <c r="J255" i="13"/>
  <c r="I255" i="13"/>
  <c r="B255" i="13"/>
  <c r="L254" i="13"/>
  <c r="K254" i="13"/>
  <c r="J254" i="13"/>
  <c r="I254" i="13"/>
  <c r="O254" i="13" s="1"/>
  <c r="B254" i="13"/>
  <c r="L253" i="13"/>
  <c r="K253" i="13"/>
  <c r="J253" i="13"/>
  <c r="I253" i="13"/>
  <c r="O253" i="13" s="1"/>
  <c r="B253" i="13"/>
  <c r="L252" i="13"/>
  <c r="K252" i="13"/>
  <c r="J252" i="13"/>
  <c r="I252" i="13"/>
  <c r="O252" i="13" s="1"/>
  <c r="B252" i="13"/>
  <c r="O251" i="13"/>
  <c r="L251" i="13"/>
  <c r="K251" i="13"/>
  <c r="J251" i="13"/>
  <c r="I251" i="13"/>
  <c r="B251" i="13"/>
  <c r="L250" i="13"/>
  <c r="K250" i="13"/>
  <c r="J250" i="13"/>
  <c r="I250" i="13"/>
  <c r="B250" i="13"/>
  <c r="L249" i="13"/>
  <c r="K249" i="13"/>
  <c r="J249" i="13"/>
  <c r="I249" i="13"/>
  <c r="O249" i="13" s="1"/>
  <c r="B249" i="13"/>
  <c r="L248" i="13"/>
  <c r="K248" i="13"/>
  <c r="J248" i="13"/>
  <c r="I248" i="13"/>
  <c r="O248" i="13" s="1"/>
  <c r="B248" i="13"/>
  <c r="O247" i="13"/>
  <c r="L247" i="13"/>
  <c r="K247" i="13"/>
  <c r="J247" i="13"/>
  <c r="I247" i="13"/>
  <c r="B247" i="13"/>
  <c r="L246" i="13"/>
  <c r="K246" i="13"/>
  <c r="J246" i="13"/>
  <c r="I246" i="13"/>
  <c r="O246" i="13" s="1"/>
  <c r="B246" i="13"/>
  <c r="O245" i="13"/>
  <c r="L245" i="13"/>
  <c r="K245" i="13"/>
  <c r="J245" i="13"/>
  <c r="I245" i="13"/>
  <c r="B245" i="13"/>
  <c r="L244" i="13"/>
  <c r="K244" i="13"/>
  <c r="J244" i="13"/>
  <c r="I244" i="13"/>
  <c r="O244" i="13" s="1"/>
  <c r="B244" i="13"/>
  <c r="O243" i="13"/>
  <c r="L243" i="13"/>
  <c r="K243" i="13"/>
  <c r="J243" i="13"/>
  <c r="I243" i="13"/>
  <c r="B243" i="13"/>
  <c r="L242" i="13"/>
  <c r="K242" i="13"/>
  <c r="J242" i="13"/>
  <c r="I242" i="13"/>
  <c r="O242" i="13" s="1"/>
  <c r="B242" i="13"/>
  <c r="L241" i="13"/>
  <c r="K241" i="13"/>
  <c r="J241" i="13"/>
  <c r="I241" i="13"/>
  <c r="O241" i="13" s="1"/>
  <c r="B241" i="13"/>
  <c r="L240" i="13"/>
  <c r="K240" i="13"/>
  <c r="J240" i="13"/>
  <c r="I240" i="13"/>
  <c r="B240" i="13"/>
  <c r="L239" i="13"/>
  <c r="K239" i="13"/>
  <c r="O239" i="13" s="1"/>
  <c r="J239" i="13"/>
  <c r="I239" i="13"/>
  <c r="B239" i="13"/>
  <c r="L238" i="13"/>
  <c r="K238" i="13"/>
  <c r="J238" i="13"/>
  <c r="I238" i="13"/>
  <c r="O238" i="13" s="1"/>
  <c r="B238" i="13"/>
  <c r="L237" i="13"/>
  <c r="K237" i="13"/>
  <c r="J237" i="13"/>
  <c r="I237" i="13"/>
  <c r="O237" i="13" s="1"/>
  <c r="L236" i="13"/>
  <c r="K236" i="13"/>
  <c r="J236" i="13"/>
  <c r="I236" i="13"/>
  <c r="O236" i="13" s="1"/>
  <c r="O235" i="13"/>
  <c r="L235" i="13"/>
  <c r="K235" i="13"/>
  <c r="J235" i="13"/>
  <c r="I235" i="13"/>
  <c r="L234" i="13"/>
  <c r="K234" i="13"/>
  <c r="J234" i="13"/>
  <c r="I234" i="13"/>
  <c r="O234" i="13" s="1"/>
  <c r="L233" i="13"/>
  <c r="K233" i="13"/>
  <c r="J233" i="13"/>
  <c r="I233" i="13"/>
  <c r="O233" i="13" s="1"/>
  <c r="L232" i="13"/>
  <c r="K232" i="13"/>
  <c r="J232" i="13"/>
  <c r="I232" i="13"/>
  <c r="O232" i="13" s="1"/>
  <c r="O231" i="13"/>
  <c r="L231" i="13"/>
  <c r="K231" i="13"/>
  <c r="J231" i="13"/>
  <c r="I231" i="13"/>
  <c r="L230" i="13"/>
  <c r="K230" i="13"/>
  <c r="J230" i="13"/>
  <c r="I230" i="13"/>
  <c r="O230" i="13" s="1"/>
  <c r="O229" i="13"/>
  <c r="L229" i="13"/>
  <c r="K229" i="13"/>
  <c r="J229" i="13"/>
  <c r="I229" i="13"/>
  <c r="L228" i="13"/>
  <c r="K228" i="13"/>
  <c r="J228" i="13"/>
  <c r="I228" i="13"/>
  <c r="O228" i="13" s="1"/>
  <c r="L227" i="13"/>
  <c r="O227" i="13" s="1"/>
  <c r="K227" i="13"/>
  <c r="J227" i="13"/>
  <c r="I227" i="13"/>
  <c r="L226" i="13"/>
  <c r="K226" i="13"/>
  <c r="J226" i="13"/>
  <c r="I226" i="13"/>
  <c r="L225" i="13"/>
  <c r="K225" i="13"/>
  <c r="J225" i="13"/>
  <c r="I225" i="13"/>
  <c r="O225" i="13" s="1"/>
  <c r="L224" i="13"/>
  <c r="K224" i="13"/>
  <c r="J224" i="13"/>
  <c r="I224" i="13"/>
  <c r="O224" i="13" s="1"/>
  <c r="O223" i="13"/>
  <c r="L223" i="13"/>
  <c r="K223" i="13"/>
  <c r="J223" i="13"/>
  <c r="I223" i="13"/>
  <c r="L222" i="13"/>
  <c r="K222" i="13"/>
  <c r="J222" i="13"/>
  <c r="I222" i="13"/>
  <c r="O222" i="13" s="1"/>
  <c r="L221" i="13"/>
  <c r="K221" i="13"/>
  <c r="J221" i="13"/>
  <c r="I221" i="13"/>
  <c r="O221" i="13" s="1"/>
  <c r="L220" i="13"/>
  <c r="K220" i="13"/>
  <c r="J220" i="13"/>
  <c r="I220" i="13"/>
  <c r="O220" i="13" s="1"/>
  <c r="O219" i="13"/>
  <c r="L219" i="13"/>
  <c r="K219" i="13"/>
  <c r="J219" i="13"/>
  <c r="I219" i="13"/>
  <c r="L218" i="13"/>
  <c r="K218" i="13"/>
  <c r="J218" i="13"/>
  <c r="I218" i="13"/>
  <c r="L217" i="13"/>
  <c r="K217" i="13"/>
  <c r="J217" i="13"/>
  <c r="I217" i="13"/>
  <c r="O217" i="13" s="1"/>
  <c r="L216" i="13"/>
  <c r="K216" i="13"/>
  <c r="J216" i="13"/>
  <c r="I216" i="13"/>
  <c r="O216" i="13" s="1"/>
  <c r="L215" i="13"/>
  <c r="K215" i="13"/>
  <c r="O215" i="13" s="1"/>
  <c r="J215" i="13"/>
  <c r="I215" i="13"/>
  <c r="L214" i="13"/>
  <c r="K214" i="13"/>
  <c r="J214" i="13"/>
  <c r="I214" i="13"/>
  <c r="L213" i="13"/>
  <c r="K213" i="13"/>
  <c r="J213" i="13"/>
  <c r="I213" i="13"/>
  <c r="O213" i="13" s="1"/>
  <c r="L212" i="13"/>
  <c r="K212" i="13"/>
  <c r="J212" i="13"/>
  <c r="I212" i="13"/>
  <c r="O212" i="13" s="1"/>
  <c r="L211" i="13"/>
  <c r="O211" i="13" s="1"/>
  <c r="K211" i="13"/>
  <c r="J211" i="13"/>
  <c r="I211" i="13"/>
  <c r="L210" i="13"/>
  <c r="K210" i="13"/>
  <c r="J210" i="13"/>
  <c r="I210" i="13"/>
  <c r="L209" i="13"/>
  <c r="K209" i="13"/>
  <c r="J209" i="13"/>
  <c r="I209" i="13"/>
  <c r="O209" i="13" s="1"/>
  <c r="L208" i="13"/>
  <c r="K208" i="13"/>
  <c r="J208" i="13"/>
  <c r="I208" i="13"/>
  <c r="L207" i="13"/>
  <c r="K207" i="13"/>
  <c r="O207" i="13" s="1"/>
  <c r="J207" i="13"/>
  <c r="I207" i="13"/>
  <c r="L206" i="13"/>
  <c r="K206" i="13"/>
  <c r="J206" i="13"/>
  <c r="I206" i="13"/>
  <c r="L205" i="13"/>
  <c r="K205" i="13"/>
  <c r="J205" i="13"/>
  <c r="I205" i="13"/>
  <c r="O205" i="13" s="1"/>
  <c r="L204" i="13"/>
  <c r="K204" i="13"/>
  <c r="J204" i="13"/>
  <c r="I204" i="13"/>
  <c r="O204" i="13" s="1"/>
  <c r="O203" i="13"/>
  <c r="L203" i="13"/>
  <c r="K203" i="13"/>
  <c r="J203" i="13"/>
  <c r="I203" i="13"/>
  <c r="L202" i="13"/>
  <c r="K202" i="13"/>
  <c r="J202" i="13"/>
  <c r="I202" i="13"/>
  <c r="O202" i="13" s="1"/>
  <c r="L201" i="13"/>
  <c r="K201" i="13"/>
  <c r="J201" i="13"/>
  <c r="I201" i="13"/>
  <c r="O201" i="13" s="1"/>
  <c r="L200" i="13"/>
  <c r="K200" i="13"/>
  <c r="J200" i="13"/>
  <c r="I200" i="13"/>
  <c r="O199" i="13"/>
  <c r="L199" i="13"/>
  <c r="K199" i="13"/>
  <c r="J199" i="13"/>
  <c r="I199" i="13"/>
  <c r="L198" i="13"/>
  <c r="K198" i="13"/>
  <c r="J198" i="13"/>
  <c r="I198" i="13"/>
  <c r="L197" i="13"/>
  <c r="K197" i="13"/>
  <c r="J197" i="13"/>
  <c r="I197" i="13"/>
  <c r="O197" i="13" s="1"/>
  <c r="L196" i="13"/>
  <c r="K196" i="13"/>
  <c r="J196" i="13"/>
  <c r="I196" i="13"/>
  <c r="O196" i="13" s="1"/>
  <c r="O195" i="13"/>
  <c r="L195" i="13"/>
  <c r="K195" i="13"/>
  <c r="J195" i="13"/>
  <c r="I195" i="13"/>
  <c r="L194" i="13"/>
  <c r="K194" i="13"/>
  <c r="J194" i="13"/>
  <c r="I194" i="13"/>
  <c r="O194" i="13" s="1"/>
  <c r="L193" i="13"/>
  <c r="K193" i="13"/>
  <c r="J193" i="13"/>
  <c r="I193" i="13"/>
  <c r="O193" i="13" s="1"/>
  <c r="L192" i="13"/>
  <c r="K192" i="13"/>
  <c r="J192" i="13"/>
  <c r="I192" i="13"/>
  <c r="O192" i="13" s="1"/>
  <c r="O191" i="13"/>
  <c r="L191" i="13"/>
  <c r="K191" i="13"/>
  <c r="J191" i="13"/>
  <c r="I191" i="13"/>
  <c r="L190" i="13"/>
  <c r="K190" i="13"/>
  <c r="J190" i="13"/>
  <c r="I190" i="13"/>
  <c r="O189" i="13"/>
  <c r="L189" i="13"/>
  <c r="K189" i="13"/>
  <c r="J189" i="13"/>
  <c r="I189" i="13"/>
  <c r="L188" i="13"/>
  <c r="K188" i="13"/>
  <c r="J188" i="13"/>
  <c r="I188" i="13"/>
  <c r="O188" i="13" s="1"/>
  <c r="O187" i="13"/>
  <c r="L187" i="13"/>
  <c r="K187" i="13"/>
  <c r="J187" i="13"/>
  <c r="I187" i="13"/>
  <c r="L186" i="13"/>
  <c r="K186" i="13"/>
  <c r="J186" i="13"/>
  <c r="I186" i="13"/>
  <c r="L185" i="13"/>
  <c r="K185" i="13"/>
  <c r="J185" i="13"/>
  <c r="I185" i="13"/>
  <c r="O185" i="13" s="1"/>
  <c r="L184" i="13"/>
  <c r="K184" i="13"/>
  <c r="J184" i="13"/>
  <c r="I184" i="13"/>
  <c r="O183" i="13"/>
  <c r="L183" i="13"/>
  <c r="K183" i="13"/>
  <c r="J183" i="13"/>
  <c r="I183" i="13"/>
  <c r="L182" i="13"/>
  <c r="K182" i="13"/>
  <c r="J182" i="13"/>
  <c r="I182" i="13"/>
  <c r="O182" i="13" s="1"/>
  <c r="L181" i="13"/>
  <c r="K181" i="13"/>
  <c r="J181" i="13"/>
  <c r="I181" i="13"/>
  <c r="O181" i="13" s="1"/>
  <c r="L180" i="13"/>
  <c r="K180" i="13"/>
  <c r="J180" i="13"/>
  <c r="I180" i="13"/>
  <c r="O180" i="13" s="1"/>
  <c r="O179" i="13"/>
  <c r="L179" i="13"/>
  <c r="K179" i="13"/>
  <c r="J179" i="13"/>
  <c r="I179" i="13"/>
  <c r="L178" i="13"/>
  <c r="K178" i="13"/>
  <c r="J178" i="13"/>
  <c r="I178" i="13"/>
  <c r="L177" i="13"/>
  <c r="K177" i="13"/>
  <c r="J177" i="13"/>
  <c r="I177" i="13"/>
  <c r="O177" i="13" s="1"/>
  <c r="L176" i="13"/>
  <c r="K176" i="13"/>
  <c r="J176" i="13"/>
  <c r="I176" i="13"/>
  <c r="O176" i="13" s="1"/>
  <c r="O175" i="13"/>
  <c r="L175" i="13"/>
  <c r="K175" i="13"/>
  <c r="J175" i="13"/>
  <c r="I175" i="13"/>
  <c r="O174" i="13"/>
  <c r="L174" i="13"/>
  <c r="K174" i="13"/>
  <c r="J174" i="13"/>
  <c r="I174" i="13"/>
  <c r="L173" i="13"/>
  <c r="K173" i="13"/>
  <c r="J173" i="13"/>
  <c r="I173" i="13"/>
  <c r="O173" i="13" s="1"/>
  <c r="L172" i="13"/>
  <c r="K172" i="13"/>
  <c r="J172" i="13"/>
  <c r="I172" i="13"/>
  <c r="O172" i="13" s="1"/>
  <c r="L171" i="13"/>
  <c r="K171" i="13"/>
  <c r="J171" i="13"/>
  <c r="I171" i="13"/>
  <c r="L170" i="13"/>
  <c r="K170" i="13"/>
  <c r="J170" i="13"/>
  <c r="O170" i="13" s="1"/>
  <c r="I170" i="13"/>
  <c r="L169" i="13"/>
  <c r="K169" i="13"/>
  <c r="J169" i="13"/>
  <c r="I169" i="13"/>
  <c r="O168" i="13"/>
  <c r="L168" i="13"/>
  <c r="K168" i="13"/>
  <c r="J168" i="13"/>
  <c r="I168" i="13"/>
  <c r="L167" i="13"/>
  <c r="K167" i="13"/>
  <c r="J167" i="13"/>
  <c r="I167" i="13"/>
  <c r="O167" i="13" s="1"/>
  <c r="O166" i="13"/>
  <c r="L166" i="13"/>
  <c r="K166" i="13"/>
  <c r="J166" i="13"/>
  <c r="I166" i="13"/>
  <c r="L165" i="13"/>
  <c r="K165" i="13"/>
  <c r="J165" i="13"/>
  <c r="I165" i="13"/>
  <c r="L164" i="13"/>
  <c r="K164" i="13"/>
  <c r="J164" i="13"/>
  <c r="I164" i="13"/>
  <c r="O164" i="13" s="1"/>
  <c r="L163" i="13"/>
  <c r="K163" i="13"/>
  <c r="J163" i="13"/>
  <c r="I163" i="13"/>
  <c r="O163" i="13" s="1"/>
  <c r="O162" i="13"/>
  <c r="L162" i="13"/>
  <c r="K162" i="13"/>
  <c r="J162" i="13"/>
  <c r="I162" i="13"/>
  <c r="L161" i="13"/>
  <c r="K161" i="13"/>
  <c r="J161" i="13"/>
  <c r="O161" i="13" s="1"/>
  <c r="I161" i="13"/>
  <c r="L160" i="13"/>
  <c r="K160" i="13"/>
  <c r="J160" i="13"/>
  <c r="I160" i="13"/>
  <c r="O160" i="13" s="1"/>
  <c r="L159" i="13"/>
  <c r="K159" i="13"/>
  <c r="J159" i="13"/>
  <c r="I159" i="13"/>
  <c r="O159" i="13" s="1"/>
  <c r="L158" i="13"/>
  <c r="K158" i="13"/>
  <c r="J158" i="13"/>
  <c r="I158" i="13"/>
  <c r="O158" i="13" s="1"/>
  <c r="O157" i="13"/>
  <c r="L157" i="13"/>
  <c r="K157" i="13"/>
  <c r="J157" i="13"/>
  <c r="I157" i="13"/>
  <c r="L156" i="13"/>
  <c r="K156" i="13"/>
  <c r="J156" i="13"/>
  <c r="I156" i="13"/>
  <c r="O156" i="13" s="1"/>
  <c r="L155" i="13"/>
  <c r="K155" i="13"/>
  <c r="J155" i="13"/>
  <c r="I155" i="13"/>
  <c r="O155" i="13" s="1"/>
  <c r="O154" i="13"/>
  <c r="L154" i="13"/>
  <c r="K154" i="13"/>
  <c r="J154" i="13"/>
  <c r="I154" i="13"/>
  <c r="O153" i="13"/>
  <c r="L153" i="13"/>
  <c r="K153" i="13"/>
  <c r="J153" i="13"/>
  <c r="I153" i="13"/>
  <c r="L152" i="13"/>
  <c r="K152" i="13"/>
  <c r="J152" i="13"/>
  <c r="I152" i="13"/>
  <c r="O152" i="13" s="1"/>
  <c r="L151" i="13"/>
  <c r="K151" i="13"/>
  <c r="J151" i="13"/>
  <c r="I151" i="13"/>
  <c r="O151" i="13" s="1"/>
  <c r="O150" i="13"/>
  <c r="L150" i="13"/>
  <c r="K150" i="13"/>
  <c r="J150" i="13"/>
  <c r="I150" i="13"/>
  <c r="L149" i="13"/>
  <c r="K149" i="13"/>
  <c r="J149" i="13"/>
  <c r="I149" i="13"/>
  <c r="O149" i="13" s="1"/>
  <c r="O148" i="13"/>
  <c r="L148" i="13"/>
  <c r="K148" i="13"/>
  <c r="J148" i="13"/>
  <c r="I148" i="13"/>
  <c r="L147" i="13"/>
  <c r="K147" i="13"/>
  <c r="J147" i="13"/>
  <c r="I147" i="13"/>
  <c r="O147" i="13" s="1"/>
  <c r="O146" i="13"/>
  <c r="L146" i="13"/>
  <c r="K146" i="13"/>
  <c r="J146" i="13"/>
  <c r="I146" i="13"/>
  <c r="L145" i="13"/>
  <c r="K145" i="13"/>
  <c r="J145" i="13"/>
  <c r="O145" i="13" s="1"/>
  <c r="I145" i="13"/>
  <c r="L144" i="13"/>
  <c r="K144" i="13"/>
  <c r="J144" i="13"/>
  <c r="I144" i="13"/>
  <c r="L143" i="13"/>
  <c r="K143" i="13"/>
  <c r="J143" i="13"/>
  <c r="I143" i="13"/>
  <c r="L142" i="13"/>
  <c r="K142" i="13"/>
  <c r="J142" i="13"/>
  <c r="I142" i="13"/>
  <c r="O142" i="13" s="1"/>
  <c r="O141" i="13"/>
  <c r="L141" i="13"/>
  <c r="K141" i="13"/>
  <c r="J141" i="13"/>
  <c r="I141" i="13"/>
  <c r="L140" i="13"/>
  <c r="K140" i="13"/>
  <c r="J140" i="13"/>
  <c r="I140" i="13"/>
  <c r="O140" i="13" s="1"/>
  <c r="L139" i="13"/>
  <c r="K139" i="13"/>
  <c r="J139" i="13"/>
  <c r="I139" i="13"/>
  <c r="O139" i="13" s="1"/>
  <c r="O138" i="13"/>
  <c r="L138" i="13"/>
  <c r="K138" i="13"/>
  <c r="J138" i="13"/>
  <c r="I138" i="13"/>
  <c r="O137" i="13"/>
  <c r="L137" i="13"/>
  <c r="K137" i="13"/>
  <c r="J137" i="13"/>
  <c r="I137" i="13"/>
  <c r="L136" i="13"/>
  <c r="K136" i="13"/>
  <c r="J136" i="13"/>
  <c r="I136" i="13"/>
  <c r="O136" i="13" s="1"/>
  <c r="L135" i="13"/>
  <c r="K135" i="13"/>
  <c r="J135" i="13"/>
  <c r="I135" i="13"/>
  <c r="O135" i="13" s="1"/>
  <c r="L134" i="13"/>
  <c r="K134" i="13"/>
  <c r="J134" i="13"/>
  <c r="I134" i="13"/>
  <c r="O134" i="13" s="1"/>
  <c r="L133" i="13"/>
  <c r="K133" i="13"/>
  <c r="O133" i="13" s="1"/>
  <c r="J133" i="13"/>
  <c r="I133" i="13"/>
  <c r="L132" i="13"/>
  <c r="K132" i="13"/>
  <c r="J132" i="13"/>
  <c r="I132" i="13"/>
  <c r="O132" i="13" s="1"/>
  <c r="L131" i="13"/>
  <c r="K131" i="13"/>
  <c r="J131" i="13"/>
  <c r="I131" i="13"/>
  <c r="O131" i="13" s="1"/>
  <c r="O130" i="13"/>
  <c r="L130" i="13"/>
  <c r="K130" i="13"/>
  <c r="J130" i="13"/>
  <c r="I130" i="13"/>
  <c r="L129" i="13"/>
  <c r="K129" i="13"/>
  <c r="J129" i="13"/>
  <c r="O129" i="13" s="1"/>
  <c r="I129" i="13"/>
  <c r="L128" i="13"/>
  <c r="K128" i="13"/>
  <c r="J128" i="13"/>
  <c r="O128" i="13" s="1"/>
  <c r="I128" i="13"/>
  <c r="L127" i="13"/>
  <c r="K127" i="13"/>
  <c r="J127" i="13"/>
  <c r="I127" i="13"/>
  <c r="L126" i="13"/>
  <c r="K126" i="13"/>
  <c r="J126" i="13"/>
  <c r="I126" i="13"/>
  <c r="O126" i="13" s="1"/>
  <c r="L125" i="13"/>
  <c r="K125" i="13"/>
  <c r="J125" i="13"/>
  <c r="I125" i="13"/>
  <c r="O124" i="13"/>
  <c r="L124" i="13"/>
  <c r="K124" i="13"/>
  <c r="J124" i="13"/>
  <c r="I124" i="13"/>
  <c r="L123" i="13"/>
  <c r="K123" i="13"/>
  <c r="J123" i="13"/>
  <c r="I123" i="13"/>
  <c r="O123" i="13" s="1"/>
  <c r="O122" i="13"/>
  <c r="L122" i="13"/>
  <c r="K122" i="13"/>
  <c r="J122" i="13"/>
  <c r="I122" i="13"/>
  <c r="O121" i="13"/>
  <c r="L121" i="13"/>
  <c r="K121" i="13"/>
  <c r="J121" i="13"/>
  <c r="I121" i="13"/>
  <c r="L120" i="13"/>
  <c r="K120" i="13"/>
  <c r="J120" i="13"/>
  <c r="I120" i="13"/>
  <c r="O120" i="13" s="1"/>
  <c r="L119" i="13"/>
  <c r="K119" i="13"/>
  <c r="J119" i="13"/>
  <c r="I119" i="13"/>
  <c r="O119" i="13" s="1"/>
  <c r="L118" i="13"/>
  <c r="K118" i="13"/>
  <c r="J118" i="13"/>
  <c r="I118" i="13"/>
  <c r="O118" i="13" s="1"/>
  <c r="L117" i="13"/>
  <c r="K117" i="13"/>
  <c r="J117" i="13"/>
  <c r="I117" i="13"/>
  <c r="O117" i="13" s="1"/>
  <c r="L116" i="13"/>
  <c r="K116" i="13"/>
  <c r="J116" i="13"/>
  <c r="I116" i="13"/>
  <c r="O116" i="13" s="1"/>
  <c r="L115" i="13"/>
  <c r="K115" i="13"/>
  <c r="J115" i="13"/>
  <c r="I115" i="13"/>
  <c r="O115" i="13" s="1"/>
  <c r="O114" i="13"/>
  <c r="L114" i="13"/>
  <c r="K114" i="13"/>
  <c r="J114" i="13"/>
  <c r="I114" i="13"/>
  <c r="O113" i="13"/>
  <c r="L113" i="13"/>
  <c r="K113" i="13"/>
  <c r="J113" i="13"/>
  <c r="I113" i="13"/>
  <c r="L112" i="13"/>
  <c r="K112" i="13"/>
  <c r="J112" i="13"/>
  <c r="I112" i="13"/>
  <c r="O112" i="13" s="1"/>
  <c r="L111" i="13"/>
  <c r="K111" i="13"/>
  <c r="J111" i="13"/>
  <c r="I111" i="13"/>
  <c r="O111" i="13" s="1"/>
  <c r="O110" i="13"/>
  <c r="L110" i="13"/>
  <c r="K110" i="13"/>
  <c r="J110" i="13"/>
  <c r="I110" i="13"/>
  <c r="O109" i="13"/>
  <c r="L109" i="13"/>
  <c r="K109" i="13"/>
  <c r="J109" i="13"/>
  <c r="I109" i="13"/>
  <c r="L108" i="13"/>
  <c r="K108" i="13"/>
  <c r="J108" i="13"/>
  <c r="I108" i="13"/>
  <c r="O108" i="13" s="1"/>
  <c r="L107" i="13"/>
  <c r="K107" i="13"/>
  <c r="J107" i="13"/>
  <c r="I107" i="13"/>
  <c r="O107" i="13" s="1"/>
  <c r="O106" i="13"/>
  <c r="L106" i="13"/>
  <c r="K106" i="13"/>
  <c r="J106" i="13"/>
  <c r="I106" i="13"/>
  <c r="O105" i="13"/>
  <c r="L105" i="13"/>
  <c r="K105" i="13"/>
  <c r="J105" i="13"/>
  <c r="I105" i="13"/>
  <c r="L104" i="13"/>
  <c r="K104" i="13"/>
  <c r="J104" i="13"/>
  <c r="I104" i="13"/>
  <c r="O104" i="13" s="1"/>
  <c r="L103" i="13"/>
  <c r="K103" i="13"/>
  <c r="J103" i="13"/>
  <c r="I103" i="13"/>
  <c r="O102" i="13"/>
  <c r="L102" i="13"/>
  <c r="K102" i="13"/>
  <c r="J102" i="13"/>
  <c r="I102" i="13"/>
  <c r="L101" i="13"/>
  <c r="K101" i="13"/>
  <c r="J101" i="13"/>
  <c r="I101" i="13"/>
  <c r="O101" i="13" s="1"/>
  <c r="O100" i="13"/>
  <c r="L100" i="13"/>
  <c r="K100" i="13"/>
  <c r="J100" i="13"/>
  <c r="I100" i="13"/>
  <c r="L99" i="13"/>
  <c r="K99" i="13"/>
  <c r="J99" i="13"/>
  <c r="I99" i="13"/>
  <c r="O99" i="13" s="1"/>
  <c r="L98" i="13"/>
  <c r="O98" i="13" s="1"/>
  <c r="K98" i="13"/>
  <c r="J98" i="13"/>
  <c r="I98" i="13"/>
  <c r="O97" i="13"/>
  <c r="L97" i="13"/>
  <c r="K97" i="13"/>
  <c r="J97" i="13"/>
  <c r="I97" i="13"/>
  <c r="L96" i="13"/>
  <c r="K96" i="13"/>
  <c r="J96" i="13"/>
  <c r="I96" i="13"/>
  <c r="O96" i="13" s="1"/>
  <c r="L95" i="13"/>
  <c r="K95" i="13"/>
  <c r="J95" i="13"/>
  <c r="I95" i="13"/>
  <c r="O95" i="13" s="1"/>
  <c r="L94" i="13"/>
  <c r="K94" i="13"/>
  <c r="J94" i="13"/>
  <c r="I94" i="13"/>
  <c r="O94" i="13" s="1"/>
  <c r="L93" i="13"/>
  <c r="K93" i="13"/>
  <c r="J93" i="13"/>
  <c r="I93" i="13"/>
  <c r="O93" i="13" s="1"/>
  <c r="L92" i="13"/>
  <c r="K92" i="13"/>
  <c r="J92" i="13"/>
  <c r="I92" i="13"/>
  <c r="O92" i="13" s="1"/>
  <c r="L91" i="13"/>
  <c r="K91" i="13"/>
  <c r="J91" i="13"/>
  <c r="I91" i="13"/>
  <c r="O91" i="13" s="1"/>
  <c r="L90" i="13"/>
  <c r="K90" i="13"/>
  <c r="O90" i="13" s="1"/>
  <c r="J90" i="13"/>
  <c r="I90" i="13"/>
  <c r="O89" i="13"/>
  <c r="L89" i="13"/>
  <c r="K89" i="13"/>
  <c r="J89" i="13"/>
  <c r="I89" i="13"/>
  <c r="L88" i="13"/>
  <c r="K88" i="13"/>
  <c r="J88" i="13"/>
  <c r="I88" i="13"/>
  <c r="O88" i="13" s="1"/>
  <c r="L87" i="13"/>
  <c r="K87" i="13"/>
  <c r="J87" i="13"/>
  <c r="I87" i="13"/>
  <c r="O86" i="13"/>
  <c r="L86" i="13"/>
  <c r="K86" i="13"/>
  <c r="J86" i="13"/>
  <c r="I86" i="13"/>
  <c r="L85" i="13"/>
  <c r="K85" i="13"/>
  <c r="J85" i="13"/>
  <c r="I85" i="13"/>
  <c r="O85" i="13" s="1"/>
  <c r="O84" i="13"/>
  <c r="L84" i="13"/>
  <c r="K84" i="13"/>
  <c r="J84" i="13"/>
  <c r="I84" i="13"/>
  <c r="L83" i="13"/>
  <c r="K83" i="13"/>
  <c r="J83" i="13"/>
  <c r="I83" i="13"/>
  <c r="O83" i="13" s="1"/>
  <c r="O82" i="13"/>
  <c r="L82" i="13"/>
  <c r="K82" i="13"/>
  <c r="J82" i="13"/>
  <c r="I82" i="13"/>
  <c r="O81" i="13"/>
  <c r="L81" i="13"/>
  <c r="K81" i="13"/>
  <c r="J81" i="13"/>
  <c r="I81" i="13"/>
  <c r="L80" i="13"/>
  <c r="K80" i="13"/>
  <c r="J80" i="13"/>
  <c r="I80" i="13"/>
  <c r="O80" i="13" s="1"/>
  <c r="L79" i="13"/>
  <c r="K79" i="13"/>
  <c r="J79" i="13"/>
  <c r="I79" i="13"/>
  <c r="O79" i="13" s="1"/>
  <c r="O78" i="13"/>
  <c r="L78" i="13"/>
  <c r="K78" i="13"/>
  <c r="J78" i="13"/>
  <c r="I78" i="13"/>
  <c r="L77" i="13"/>
  <c r="K77" i="13"/>
  <c r="J77" i="13"/>
  <c r="I77" i="13"/>
  <c r="O77" i="13" s="1"/>
  <c r="L76" i="13"/>
  <c r="K76" i="13"/>
  <c r="J76" i="13"/>
  <c r="I76" i="13"/>
  <c r="O76" i="13" s="1"/>
  <c r="L75" i="13"/>
  <c r="K75" i="13"/>
  <c r="J75" i="13"/>
  <c r="I75" i="13"/>
  <c r="O75" i="13" s="1"/>
  <c r="O74" i="13"/>
  <c r="L74" i="13"/>
  <c r="K74" i="13"/>
  <c r="J74" i="13"/>
  <c r="I74" i="13"/>
  <c r="L73" i="13"/>
  <c r="K73" i="13"/>
  <c r="J73" i="13"/>
  <c r="I73" i="13"/>
  <c r="O73" i="13" s="1"/>
  <c r="L72" i="13"/>
  <c r="K72" i="13"/>
  <c r="J72" i="13"/>
  <c r="I72" i="13"/>
  <c r="O72" i="13" s="1"/>
  <c r="L71" i="13"/>
  <c r="K71" i="13"/>
  <c r="J71" i="13"/>
  <c r="I71" i="13"/>
  <c r="O71" i="13" s="1"/>
  <c r="L70" i="13"/>
  <c r="K70" i="13"/>
  <c r="J70" i="13"/>
  <c r="I70" i="13"/>
  <c r="O70" i="13" s="1"/>
  <c r="O69" i="13"/>
  <c r="L69" i="13"/>
  <c r="K69" i="13"/>
  <c r="J69" i="13"/>
  <c r="I69" i="13"/>
  <c r="L68" i="13"/>
  <c r="K68" i="13"/>
  <c r="J68" i="13"/>
  <c r="I68" i="13"/>
  <c r="O68" i="13" s="1"/>
  <c r="L67" i="13"/>
  <c r="K67" i="13"/>
  <c r="J67" i="13"/>
  <c r="I67" i="13"/>
  <c r="O67" i="13" s="1"/>
  <c r="O66" i="13"/>
  <c r="L66" i="13"/>
  <c r="K66" i="13"/>
  <c r="J66" i="13"/>
  <c r="I66" i="13"/>
  <c r="L65" i="13"/>
  <c r="K65" i="13"/>
  <c r="J65" i="13"/>
  <c r="I65" i="13"/>
  <c r="O65" i="13" s="1"/>
  <c r="L64" i="13"/>
  <c r="K64" i="13"/>
  <c r="J64" i="13"/>
  <c r="I64" i="13"/>
  <c r="O64" i="13" s="1"/>
  <c r="L63" i="13"/>
  <c r="K63" i="13"/>
  <c r="J63" i="13"/>
  <c r="I63" i="13"/>
  <c r="O63" i="13" s="1"/>
  <c r="L62" i="13"/>
  <c r="K62" i="13"/>
  <c r="J62" i="13"/>
  <c r="I62" i="13"/>
  <c r="O62" i="13" s="1"/>
  <c r="L61" i="13"/>
  <c r="K61" i="13"/>
  <c r="J61" i="13"/>
  <c r="I61" i="13"/>
  <c r="O61" i="13" s="1"/>
  <c r="L60" i="13"/>
  <c r="K60" i="13"/>
  <c r="J60" i="13"/>
  <c r="I60" i="13"/>
  <c r="O60" i="13" s="1"/>
  <c r="L59" i="13"/>
  <c r="K59" i="13"/>
  <c r="J59" i="13"/>
  <c r="I59" i="13"/>
  <c r="O59" i="13" s="1"/>
  <c r="O58" i="13"/>
  <c r="L58" i="13"/>
  <c r="K58" i="13"/>
  <c r="J58" i="13"/>
  <c r="I58" i="13"/>
  <c r="L57" i="13"/>
  <c r="K57" i="13"/>
  <c r="J57" i="13"/>
  <c r="I57" i="13"/>
  <c r="O57" i="13" s="1"/>
  <c r="L56" i="13"/>
  <c r="K56" i="13"/>
  <c r="J56" i="13"/>
  <c r="I56" i="13"/>
  <c r="O56" i="13" s="1"/>
  <c r="L55" i="13"/>
  <c r="K55" i="13"/>
  <c r="J55" i="13"/>
  <c r="I55" i="13"/>
  <c r="O55" i="13" s="1"/>
  <c r="O54" i="13"/>
  <c r="L54" i="13"/>
  <c r="K54" i="13"/>
  <c r="J54" i="13"/>
  <c r="I54" i="13"/>
  <c r="L53" i="13"/>
  <c r="K53" i="13"/>
  <c r="J53" i="13"/>
  <c r="I53" i="13"/>
  <c r="L52" i="13"/>
  <c r="K52" i="13"/>
  <c r="J52" i="13"/>
  <c r="I52" i="13"/>
  <c r="L51" i="13"/>
  <c r="K51" i="13"/>
  <c r="J51" i="13"/>
  <c r="I51" i="13"/>
  <c r="L50" i="13"/>
  <c r="K50" i="13"/>
  <c r="J50" i="13"/>
  <c r="O50" i="13" s="1"/>
  <c r="I50" i="13"/>
  <c r="O49" i="13"/>
  <c r="L49" i="13"/>
  <c r="K49" i="13"/>
  <c r="J49" i="13"/>
  <c r="I49" i="13"/>
  <c r="L48" i="13"/>
  <c r="K48" i="13"/>
  <c r="J48" i="13"/>
  <c r="O48" i="13" s="1"/>
  <c r="I48" i="13"/>
  <c r="L47" i="13"/>
  <c r="K47" i="13"/>
  <c r="J47" i="13"/>
  <c r="I47" i="13"/>
  <c r="O47" i="13" s="1"/>
  <c r="L46" i="13"/>
  <c r="K46" i="13"/>
  <c r="J46" i="13"/>
  <c r="I46" i="13"/>
  <c r="O46" i="13" s="1"/>
  <c r="O45" i="13"/>
  <c r="L45" i="13"/>
  <c r="K45" i="13"/>
  <c r="J45" i="13"/>
  <c r="I45" i="13"/>
  <c r="O44" i="13"/>
  <c r="L44" i="13"/>
  <c r="K44" i="13"/>
  <c r="J44" i="13"/>
  <c r="I44" i="13"/>
  <c r="L43" i="13"/>
  <c r="K43" i="13"/>
  <c r="J43" i="13"/>
  <c r="I43" i="13"/>
  <c r="L42" i="13"/>
  <c r="K42" i="13"/>
  <c r="J42" i="13"/>
  <c r="O42" i="13" s="1"/>
  <c r="I42" i="13"/>
  <c r="O41" i="13"/>
  <c r="L41" i="13"/>
  <c r="K41" i="13"/>
  <c r="J41" i="13"/>
  <c r="I41" i="13"/>
  <c r="L40" i="13"/>
  <c r="K40" i="13"/>
  <c r="J40" i="13"/>
  <c r="I40" i="13"/>
  <c r="O40" i="13" s="1"/>
  <c r="L39" i="13"/>
  <c r="K39" i="13"/>
  <c r="J39" i="13"/>
  <c r="I39" i="13"/>
  <c r="O39" i="13" s="1"/>
  <c r="L38" i="13"/>
  <c r="K38" i="13"/>
  <c r="J38" i="13"/>
  <c r="I38" i="13"/>
  <c r="O38" i="13" s="1"/>
  <c r="O37" i="13"/>
  <c r="L37" i="13"/>
  <c r="K37" i="13"/>
  <c r="J37" i="13"/>
  <c r="I37" i="13"/>
  <c r="L36" i="13"/>
  <c r="K36" i="13"/>
  <c r="J36" i="13"/>
  <c r="I36" i="13"/>
  <c r="O36" i="13" s="1"/>
  <c r="L35" i="13"/>
  <c r="K35" i="13"/>
  <c r="J35" i="13"/>
  <c r="I35" i="13"/>
  <c r="O34" i="13"/>
  <c r="L34" i="13"/>
  <c r="K34" i="13"/>
  <c r="J34" i="13"/>
  <c r="I34" i="13"/>
  <c r="L33" i="13"/>
  <c r="K33" i="13"/>
  <c r="J33" i="13"/>
  <c r="O33" i="13" s="1"/>
  <c r="I33" i="13"/>
  <c r="O32" i="13"/>
  <c r="L32" i="13"/>
  <c r="K32" i="13"/>
  <c r="J32" i="13"/>
  <c r="I32" i="13"/>
  <c r="O31" i="13"/>
  <c r="L31" i="13"/>
  <c r="K31" i="13"/>
  <c r="J31" i="13"/>
  <c r="I31" i="13"/>
  <c r="L30" i="13"/>
  <c r="K30" i="13"/>
  <c r="J30" i="13"/>
  <c r="I30" i="13"/>
  <c r="O30" i="13" s="1"/>
  <c r="O29" i="13"/>
  <c r="L29" i="13"/>
  <c r="K29" i="13"/>
  <c r="J29" i="13"/>
  <c r="I29" i="13"/>
  <c r="L28" i="13"/>
  <c r="K28" i="13"/>
  <c r="J28" i="13"/>
  <c r="I28" i="13"/>
  <c r="O28" i="13" s="1"/>
  <c r="L27" i="13"/>
  <c r="K27" i="13"/>
  <c r="J27" i="13"/>
  <c r="I27" i="13"/>
  <c r="O27" i="13" s="1"/>
  <c r="O26" i="13"/>
  <c r="L26" i="13"/>
  <c r="K26" i="13"/>
  <c r="J26" i="13"/>
  <c r="I26" i="13"/>
  <c r="L25" i="13"/>
  <c r="K25" i="13"/>
  <c r="J25" i="13"/>
  <c r="I25" i="13"/>
  <c r="O25" i="13" s="1"/>
  <c r="O24" i="13"/>
  <c r="L24" i="13"/>
  <c r="K24" i="13"/>
  <c r="J24" i="13"/>
  <c r="I24" i="13"/>
  <c r="O23" i="13"/>
  <c r="L23" i="13"/>
  <c r="K23" i="13"/>
  <c r="J23" i="13"/>
  <c r="I23" i="13"/>
  <c r="O22" i="13"/>
  <c r="L22" i="13"/>
  <c r="K22" i="13"/>
  <c r="J22" i="13"/>
  <c r="I22" i="13"/>
  <c r="L21" i="13"/>
  <c r="K21" i="13"/>
  <c r="J21" i="13"/>
  <c r="I21" i="13"/>
  <c r="O21" i="13" s="1"/>
  <c r="O20" i="13"/>
  <c r="L20" i="13"/>
  <c r="K20" i="13"/>
  <c r="J20" i="13"/>
  <c r="I20" i="13"/>
  <c r="O19" i="13"/>
  <c r="L19" i="13"/>
  <c r="K19" i="13"/>
  <c r="J19" i="13"/>
  <c r="I19" i="13"/>
  <c r="L18" i="13"/>
  <c r="K18" i="13"/>
  <c r="J18" i="13"/>
  <c r="O18" i="13" s="1"/>
  <c r="I18" i="13"/>
  <c r="L17" i="13"/>
  <c r="K17" i="13"/>
  <c r="J17" i="13"/>
  <c r="I17" i="13"/>
  <c r="O17" i="13" s="1"/>
  <c r="O16" i="13"/>
  <c r="L16" i="13"/>
  <c r="K16" i="13"/>
  <c r="J16" i="13"/>
  <c r="I16" i="13"/>
  <c r="L15" i="13"/>
  <c r="K15" i="13"/>
  <c r="J15" i="13"/>
  <c r="O15" i="13" s="1"/>
  <c r="I15" i="13"/>
  <c r="L14" i="13"/>
  <c r="K14" i="13"/>
  <c r="J14" i="13"/>
  <c r="I14" i="13"/>
  <c r="O14" i="13" s="1"/>
  <c r="L13" i="13"/>
  <c r="K13" i="13"/>
  <c r="J13" i="13"/>
  <c r="I13" i="13"/>
  <c r="O13" i="13" s="1"/>
  <c r="O12" i="13"/>
  <c r="L12" i="13"/>
  <c r="K12" i="13"/>
  <c r="J12" i="13"/>
  <c r="I12" i="13"/>
  <c r="L11" i="13"/>
  <c r="K11" i="13"/>
  <c r="J11" i="13"/>
  <c r="I11" i="13"/>
  <c r="O11" i="13" s="1"/>
  <c r="L10" i="13"/>
  <c r="K10" i="13"/>
  <c r="J10" i="13"/>
  <c r="O10" i="13" s="1"/>
  <c r="I10" i="13"/>
  <c r="L9" i="13"/>
  <c r="K9" i="13"/>
  <c r="J9" i="13"/>
  <c r="I9" i="13"/>
  <c r="O9" i="13" s="1"/>
  <c r="L8" i="13"/>
  <c r="K8" i="13"/>
  <c r="J8" i="13"/>
  <c r="I8" i="13"/>
  <c r="O8" i="13" s="1"/>
  <c r="L7" i="13"/>
  <c r="K7" i="13"/>
  <c r="J7" i="13"/>
  <c r="I7" i="13"/>
  <c r="O7" i="13" s="1"/>
  <c r="L6" i="13"/>
  <c r="K6" i="13"/>
  <c r="J6" i="13"/>
  <c r="I6" i="13"/>
  <c r="A4" i="13"/>
  <c r="A5" i="13" s="1"/>
  <c r="A6" i="13" s="1"/>
  <c r="A7" i="13" s="1"/>
  <c r="A8" i="13" s="1"/>
  <c r="A9" i="13" s="1"/>
  <c r="U184" i="12"/>
  <c r="U176" i="12"/>
  <c r="V56" i="12"/>
  <c r="F97" i="11"/>
  <c r="G97" i="11" s="1"/>
  <c r="F96" i="11"/>
  <c r="G96" i="11" s="1"/>
  <c r="F95" i="11"/>
  <c r="G95" i="11" s="1"/>
  <c r="F94" i="11"/>
  <c r="G94" i="11" s="1"/>
  <c r="F93" i="11"/>
  <c r="G93" i="11" s="1"/>
  <c r="F92" i="11"/>
  <c r="G92" i="11" s="1"/>
  <c r="F91" i="11"/>
  <c r="G91" i="11" s="1"/>
  <c r="F90" i="11"/>
  <c r="G90" i="11" s="1"/>
  <c r="F89" i="11"/>
  <c r="G89" i="11" s="1"/>
  <c r="F88" i="11"/>
  <c r="G88" i="11" s="1"/>
  <c r="G87" i="11"/>
  <c r="F87" i="11"/>
  <c r="G86" i="11"/>
  <c r="F86" i="11"/>
  <c r="F85" i="11"/>
  <c r="G85" i="11" s="1"/>
  <c r="G84" i="11"/>
  <c r="F84" i="11"/>
  <c r="F83" i="11"/>
  <c r="G83" i="11" s="1"/>
  <c r="F82" i="11"/>
  <c r="G82" i="11" s="1"/>
  <c r="F81" i="11"/>
  <c r="G81" i="11" s="1"/>
  <c r="F80" i="11"/>
  <c r="G80" i="11" s="1"/>
  <c r="F79" i="11"/>
  <c r="G79" i="11" s="1"/>
  <c r="G78" i="11"/>
  <c r="F78" i="11"/>
  <c r="F77" i="11"/>
  <c r="G77" i="11" s="1"/>
  <c r="F76" i="11"/>
  <c r="G76" i="11" s="1"/>
  <c r="G75" i="11"/>
  <c r="F75" i="11"/>
  <c r="G74" i="11"/>
  <c r="F74" i="11"/>
  <c r="F73" i="11"/>
  <c r="G73" i="11" s="1"/>
  <c r="G72" i="11"/>
  <c r="F72" i="11"/>
  <c r="F71" i="11"/>
  <c r="G71" i="11" s="1"/>
  <c r="F70" i="11"/>
  <c r="G70" i="11" s="1"/>
  <c r="F69" i="11"/>
  <c r="G69" i="11" s="1"/>
  <c r="G68" i="11"/>
  <c r="F68" i="11"/>
  <c r="G67" i="11"/>
  <c r="F67" i="11"/>
  <c r="G66" i="11"/>
  <c r="F66" i="11"/>
  <c r="F65" i="11"/>
  <c r="G65" i="11" s="1"/>
  <c r="G64" i="11"/>
  <c r="F64" i="11"/>
  <c r="F63" i="11"/>
  <c r="G63" i="11" s="1"/>
  <c r="G62" i="11"/>
  <c r="F62" i="11"/>
  <c r="F61" i="11"/>
  <c r="G61" i="11" s="1"/>
  <c r="G60" i="11"/>
  <c r="F60" i="11"/>
  <c r="F59" i="11"/>
  <c r="G59" i="11" s="1"/>
  <c r="F58" i="11"/>
  <c r="G58" i="11" s="1"/>
  <c r="F57" i="11"/>
  <c r="G57" i="11" s="1"/>
  <c r="F56" i="11"/>
  <c r="G56" i="11" s="1"/>
  <c r="F55" i="11"/>
  <c r="G55" i="11" s="1"/>
  <c r="F54" i="11"/>
  <c r="G54" i="11" s="1"/>
  <c r="G53" i="11"/>
  <c r="F53" i="11"/>
  <c r="F52" i="11"/>
  <c r="G52" i="11" s="1"/>
  <c r="F51" i="11"/>
  <c r="G51" i="11" s="1"/>
  <c r="G50" i="11"/>
  <c r="F50" i="11"/>
  <c r="F49" i="11"/>
  <c r="G49" i="11" s="1"/>
  <c r="G48" i="11"/>
  <c r="F48" i="11"/>
  <c r="F47" i="11"/>
  <c r="G47" i="11" s="1"/>
  <c r="F46" i="11"/>
  <c r="G46" i="11" s="1"/>
  <c r="F45" i="11"/>
  <c r="G45" i="11" s="1"/>
  <c r="F44" i="11"/>
  <c r="G44" i="11" s="1"/>
  <c r="F43" i="11"/>
  <c r="G43" i="11" s="1"/>
  <c r="G42" i="11"/>
  <c r="F42" i="11"/>
  <c r="G41" i="11"/>
  <c r="F41" i="11"/>
  <c r="G40" i="11"/>
  <c r="F40" i="11"/>
  <c r="F39" i="11"/>
  <c r="G39" i="11" s="1"/>
  <c r="G38" i="11"/>
  <c r="F38" i="11"/>
  <c r="G37" i="11"/>
  <c r="F37" i="11"/>
  <c r="G36" i="11"/>
  <c r="F36" i="11"/>
  <c r="F35" i="11"/>
  <c r="G35" i="11" s="1"/>
  <c r="F34" i="11"/>
  <c r="G34" i="11" s="1"/>
  <c r="F33" i="11"/>
  <c r="G33" i="11" s="1"/>
  <c r="F32" i="11"/>
  <c r="G32" i="11" s="1"/>
  <c r="F31" i="11"/>
  <c r="G31" i="11" s="1"/>
  <c r="G30" i="11"/>
  <c r="F30" i="11"/>
  <c r="F29" i="11"/>
  <c r="G29" i="11" s="1"/>
  <c r="F28" i="11"/>
  <c r="G28" i="11" s="1"/>
  <c r="F27" i="11"/>
  <c r="G27" i="11" s="1"/>
  <c r="G26" i="11"/>
  <c r="F26" i="11"/>
  <c r="F25" i="11"/>
  <c r="G25" i="11" s="1"/>
  <c r="G24" i="11"/>
  <c r="F24" i="11"/>
  <c r="F23" i="11"/>
  <c r="G23" i="11" s="1"/>
  <c r="F22" i="11"/>
  <c r="G22" i="11" s="1"/>
  <c r="F21" i="11"/>
  <c r="G21" i="11" s="1"/>
  <c r="F20" i="11"/>
  <c r="G20" i="11" s="1"/>
  <c r="G19" i="11"/>
  <c r="F19" i="11"/>
  <c r="G18" i="11"/>
  <c r="F18" i="11"/>
  <c r="F17" i="11"/>
  <c r="G17" i="11" s="1"/>
  <c r="F16" i="11"/>
  <c r="G16" i="11" s="1"/>
  <c r="G15" i="11"/>
  <c r="F15" i="11"/>
  <c r="G14" i="11"/>
  <c r="F14" i="11"/>
  <c r="F13" i="11"/>
  <c r="G13" i="11" s="1"/>
  <c r="F12" i="11"/>
  <c r="G12" i="11" s="1"/>
  <c r="A4" i="10"/>
  <c r="A5" i="10" s="1"/>
  <c r="U288" i="9"/>
  <c r="T288" i="9"/>
  <c r="U287" i="9"/>
  <c r="T287" i="9"/>
  <c r="U286" i="9"/>
  <c r="T286" i="9"/>
  <c r="U285" i="9"/>
  <c r="T285" i="9"/>
  <c r="U284" i="9"/>
  <c r="T284" i="9"/>
  <c r="U283" i="9"/>
  <c r="T283" i="9"/>
  <c r="W282" i="9"/>
  <c r="U282" i="9"/>
  <c r="T282" i="9"/>
  <c r="W281" i="9"/>
  <c r="U281" i="9"/>
  <c r="T281" i="9"/>
  <c r="W280" i="9"/>
  <c r="U280" i="9"/>
  <c r="T280" i="9"/>
  <c r="W279" i="9"/>
  <c r="U279" i="9"/>
  <c r="T279" i="9"/>
  <c r="W278" i="9"/>
  <c r="U278" i="9"/>
  <c r="T278" i="9"/>
  <c r="W277" i="9"/>
  <c r="U277" i="9"/>
  <c r="T277" i="9"/>
  <c r="W276" i="9"/>
  <c r="U276" i="9"/>
  <c r="T276" i="9"/>
  <c r="W275" i="9"/>
  <c r="U275" i="9"/>
  <c r="T275" i="9"/>
  <c r="W274" i="9"/>
  <c r="U274" i="9"/>
  <c r="T274" i="9"/>
  <c r="W273" i="9"/>
  <c r="U273" i="9"/>
  <c r="T273" i="9"/>
  <c r="W272" i="9"/>
  <c r="U272" i="9"/>
  <c r="T272" i="9"/>
  <c r="W271" i="9"/>
  <c r="U271" i="9"/>
  <c r="T271" i="9"/>
  <c r="W270" i="9"/>
  <c r="U270" i="9"/>
  <c r="T270" i="9"/>
  <c r="W269" i="9"/>
  <c r="U269" i="9"/>
  <c r="T269" i="9"/>
  <c r="W268" i="9"/>
  <c r="U268" i="9"/>
  <c r="T268" i="9"/>
  <c r="W267" i="9"/>
  <c r="U267" i="9"/>
  <c r="T267" i="9"/>
  <c r="W266" i="9"/>
  <c r="U266" i="9"/>
  <c r="T266" i="9"/>
  <c r="W265" i="9"/>
  <c r="U265" i="9"/>
  <c r="T265" i="9"/>
  <c r="W264" i="9"/>
  <c r="U264" i="9"/>
  <c r="T264" i="9"/>
  <c r="W263" i="9"/>
  <c r="U263" i="9"/>
  <c r="T263" i="9"/>
  <c r="W262" i="9"/>
  <c r="U262" i="9"/>
  <c r="T262" i="9"/>
  <c r="W261" i="9"/>
  <c r="U261" i="9"/>
  <c r="T261" i="9"/>
  <c r="W260" i="9"/>
  <c r="U260" i="9"/>
  <c r="T260" i="9"/>
  <c r="W259" i="9"/>
  <c r="U259" i="9"/>
  <c r="T259" i="9"/>
  <c r="W258" i="9"/>
  <c r="U258" i="9"/>
  <c r="T258" i="9"/>
  <c r="W257" i="9"/>
  <c r="U257" i="9"/>
  <c r="T257" i="9"/>
  <c r="W256" i="9"/>
  <c r="U256" i="9"/>
  <c r="T256" i="9"/>
  <c r="W255" i="9"/>
  <c r="U255" i="9"/>
  <c r="T255" i="9"/>
  <c r="W254" i="9"/>
  <c r="U254" i="9"/>
  <c r="T254" i="9"/>
  <c r="W253" i="9"/>
  <c r="U253" i="9"/>
  <c r="T253" i="9"/>
  <c r="W252" i="9"/>
  <c r="U252" i="9"/>
  <c r="T252" i="9"/>
  <c r="W251" i="9"/>
  <c r="U251" i="9"/>
  <c r="T251" i="9"/>
  <c r="W250" i="9"/>
  <c r="U250" i="9"/>
  <c r="T250" i="9"/>
  <c r="W249" i="9"/>
  <c r="U249" i="9"/>
  <c r="T249" i="9"/>
  <c r="W248" i="9"/>
  <c r="U248" i="9"/>
  <c r="T248" i="9"/>
  <c r="W247" i="9"/>
  <c r="U247" i="9"/>
  <c r="T247" i="9"/>
  <c r="W246" i="9"/>
  <c r="U246" i="9"/>
  <c r="T246" i="9"/>
  <c r="W245" i="9"/>
  <c r="U245" i="9"/>
  <c r="T245" i="9"/>
  <c r="W244" i="9"/>
  <c r="U244" i="9"/>
  <c r="T244" i="9"/>
  <c r="W243" i="9"/>
  <c r="U243" i="9"/>
  <c r="T243" i="9"/>
  <c r="W242" i="9"/>
  <c r="U242" i="9"/>
  <c r="T242" i="9"/>
  <c r="W241" i="9"/>
  <c r="U241" i="9"/>
  <c r="T241" i="9"/>
  <c r="W240" i="9"/>
  <c r="U240" i="9"/>
  <c r="T240" i="9"/>
  <c r="W239" i="9"/>
  <c r="U239" i="9"/>
  <c r="T239" i="9"/>
  <c r="W238" i="9"/>
  <c r="U238" i="9"/>
  <c r="T238" i="9"/>
  <c r="W237" i="9"/>
  <c r="U237" i="9"/>
  <c r="T237" i="9"/>
  <c r="W236" i="9"/>
  <c r="U236" i="9"/>
  <c r="T236" i="9"/>
  <c r="W235" i="9"/>
  <c r="U235" i="9"/>
  <c r="T235" i="9"/>
  <c r="W234" i="9"/>
  <c r="U234" i="9"/>
  <c r="T234" i="9"/>
  <c r="W233" i="9"/>
  <c r="U233" i="9"/>
  <c r="T233" i="9"/>
  <c r="W232" i="9"/>
  <c r="U232" i="9"/>
  <c r="T232" i="9"/>
  <c r="W231" i="9"/>
  <c r="U231" i="9"/>
  <c r="T231" i="9"/>
  <c r="W230" i="9"/>
  <c r="U230" i="9"/>
  <c r="T230" i="9"/>
  <c r="W229" i="9"/>
  <c r="U229" i="9"/>
  <c r="T229" i="9"/>
  <c r="W228" i="9"/>
  <c r="U228" i="9"/>
  <c r="T228" i="9"/>
  <c r="W227" i="9"/>
  <c r="U227" i="9"/>
  <c r="T227" i="9"/>
  <c r="W226" i="9"/>
  <c r="U226" i="9"/>
  <c r="T226" i="9"/>
  <c r="W225" i="9"/>
  <c r="U225" i="9"/>
  <c r="T225" i="9"/>
  <c r="W224" i="9"/>
  <c r="U224" i="9"/>
  <c r="T224" i="9"/>
  <c r="W223" i="9"/>
  <c r="U223" i="9"/>
  <c r="T223" i="9"/>
  <c r="W222" i="9"/>
  <c r="U222" i="9"/>
  <c r="T222" i="9"/>
  <c r="W221" i="9"/>
  <c r="U221" i="9"/>
  <c r="T221" i="9"/>
  <c r="W220" i="9"/>
  <c r="U220" i="9"/>
  <c r="T220" i="9"/>
  <c r="W219" i="9"/>
  <c r="U219" i="9"/>
  <c r="T219" i="9"/>
  <c r="W218" i="9"/>
  <c r="U218" i="9"/>
  <c r="T218" i="9"/>
  <c r="W217" i="9"/>
  <c r="U217" i="9"/>
  <c r="T217" i="9"/>
  <c r="W216" i="9"/>
  <c r="U216" i="9"/>
  <c r="T216" i="9"/>
  <c r="W215" i="9"/>
  <c r="U215" i="9"/>
  <c r="T215" i="9"/>
  <c r="W214" i="9"/>
  <c r="U214" i="9"/>
  <c r="T214" i="9"/>
  <c r="W213" i="9"/>
  <c r="U213" i="9"/>
  <c r="T213" i="9"/>
  <c r="W212" i="9"/>
  <c r="U212" i="9"/>
  <c r="T212" i="9"/>
  <c r="W211" i="9"/>
  <c r="U211" i="9"/>
  <c r="T211" i="9"/>
  <c r="W210" i="9"/>
  <c r="U210" i="9"/>
  <c r="T210" i="9"/>
  <c r="W209" i="9"/>
  <c r="U209" i="9"/>
  <c r="T209" i="9"/>
  <c r="W208" i="9"/>
  <c r="U208" i="9"/>
  <c r="T208" i="9"/>
  <c r="W207" i="9"/>
  <c r="U207" i="9"/>
  <c r="T207" i="9"/>
  <c r="W206" i="9"/>
  <c r="U206" i="9"/>
  <c r="T206" i="9"/>
  <c r="W205" i="9"/>
  <c r="U205" i="9"/>
  <c r="T205" i="9"/>
  <c r="W204" i="9"/>
  <c r="U204" i="9"/>
  <c r="T204" i="9"/>
  <c r="W203" i="9"/>
  <c r="U203" i="9"/>
  <c r="T203" i="9"/>
  <c r="W202" i="9"/>
  <c r="U202" i="9"/>
  <c r="T202" i="9"/>
  <c r="W201" i="9"/>
  <c r="U201" i="9"/>
  <c r="T201" i="9"/>
  <c r="W200" i="9"/>
  <c r="U200" i="9"/>
  <c r="T200" i="9"/>
  <c r="W199" i="9"/>
  <c r="U199" i="9"/>
  <c r="T199" i="9"/>
  <c r="W198" i="9"/>
  <c r="U198" i="9"/>
  <c r="T198" i="9"/>
  <c r="W197" i="9"/>
  <c r="U197" i="9"/>
  <c r="T197" i="9"/>
  <c r="W196" i="9"/>
  <c r="U196" i="9"/>
  <c r="T196" i="9"/>
  <c r="W195" i="9"/>
  <c r="U195" i="9"/>
  <c r="T195" i="9"/>
  <c r="W194" i="9"/>
  <c r="U194" i="9"/>
  <c r="T194" i="9"/>
  <c r="W193" i="9"/>
  <c r="U193" i="9"/>
  <c r="T193" i="9"/>
  <c r="W192" i="9"/>
  <c r="U192" i="9"/>
  <c r="T192" i="9"/>
  <c r="W191" i="9"/>
  <c r="U191" i="9"/>
  <c r="T191" i="9"/>
  <c r="W190" i="9"/>
  <c r="U190" i="9"/>
  <c r="T190" i="9"/>
  <c r="W189" i="9"/>
  <c r="U189" i="9"/>
  <c r="T189" i="9"/>
  <c r="W188" i="9"/>
  <c r="U188" i="9"/>
  <c r="T188" i="9"/>
  <c r="W187" i="9"/>
  <c r="U187" i="9"/>
  <c r="T187" i="9"/>
  <c r="W186" i="9"/>
  <c r="U186" i="9"/>
  <c r="T186" i="9"/>
  <c r="W185" i="9"/>
  <c r="U185" i="9"/>
  <c r="T185" i="9"/>
  <c r="W184" i="9"/>
  <c r="T184" i="9"/>
  <c r="U184" i="9" s="1"/>
  <c r="W183" i="9"/>
  <c r="U183" i="9"/>
  <c r="T183" i="9"/>
  <c r="W182" i="9"/>
  <c r="T182" i="9"/>
  <c r="U182" i="9" s="1"/>
  <c r="W181" i="9"/>
  <c r="T181" i="9"/>
  <c r="U181" i="9" s="1"/>
  <c r="W180" i="9"/>
  <c r="T180" i="9"/>
  <c r="U180" i="9" s="1"/>
  <c r="W179" i="9"/>
  <c r="T179" i="9"/>
  <c r="U179" i="9" s="1"/>
  <c r="W178" i="9"/>
  <c r="T178" i="9"/>
  <c r="U178" i="9" s="1"/>
  <c r="W177" i="9"/>
  <c r="T177" i="9"/>
  <c r="U177" i="9" s="1"/>
  <c r="W176" i="9"/>
  <c r="T176" i="9"/>
  <c r="U176" i="9" s="1"/>
  <c r="W175" i="9"/>
  <c r="T175" i="9"/>
  <c r="U175" i="9" s="1"/>
  <c r="W174" i="9"/>
  <c r="T174" i="9"/>
  <c r="U174" i="9" s="1"/>
  <c r="W173" i="9"/>
  <c r="U173" i="9"/>
  <c r="T173" i="9"/>
  <c r="W172" i="9"/>
  <c r="T172" i="9"/>
  <c r="U172" i="9" s="1"/>
  <c r="W171" i="9"/>
  <c r="T171" i="9"/>
  <c r="U171" i="9" s="1"/>
  <c r="W170" i="9"/>
  <c r="T170" i="9"/>
  <c r="U170" i="9" s="1"/>
  <c r="W169" i="9"/>
  <c r="T169" i="9"/>
  <c r="U169" i="9" s="1"/>
  <c r="W168" i="9"/>
  <c r="T168" i="9"/>
  <c r="U168" i="9" s="1"/>
  <c r="W167" i="9"/>
  <c r="T167" i="9"/>
  <c r="U167" i="9" s="1"/>
  <c r="W166" i="9"/>
  <c r="T166" i="9"/>
  <c r="U166" i="9" s="1"/>
  <c r="W165" i="9"/>
  <c r="T165" i="9"/>
  <c r="U165" i="9" s="1"/>
  <c r="W164" i="9"/>
  <c r="T164" i="9"/>
  <c r="U164" i="9" s="1"/>
  <c r="W163" i="9"/>
  <c r="T163" i="9"/>
  <c r="U163" i="9" s="1"/>
  <c r="W162" i="9"/>
  <c r="T162" i="9"/>
  <c r="U162" i="9" s="1"/>
  <c r="W161" i="9"/>
  <c r="T161" i="9"/>
  <c r="U161" i="9" s="1"/>
  <c r="W160" i="9"/>
  <c r="T160" i="9"/>
  <c r="U160" i="9" s="1"/>
  <c r="W159" i="9"/>
  <c r="T159" i="9"/>
  <c r="U159" i="9" s="1"/>
  <c r="W158" i="9"/>
  <c r="T158" i="9"/>
  <c r="U158" i="9" s="1"/>
  <c r="W157" i="9"/>
  <c r="T157" i="9"/>
  <c r="U157" i="9" s="1"/>
  <c r="W156" i="9"/>
  <c r="T156" i="9"/>
  <c r="U156" i="9" s="1"/>
  <c r="W155" i="9"/>
  <c r="T155" i="9"/>
  <c r="U155" i="9" s="1"/>
  <c r="W154" i="9"/>
  <c r="T154" i="9"/>
  <c r="U154" i="9" s="1"/>
  <c r="W153" i="9"/>
  <c r="T153" i="9"/>
  <c r="U153" i="9" s="1"/>
  <c r="W152" i="9"/>
  <c r="T152" i="9"/>
  <c r="U152" i="9" s="1"/>
  <c r="W151" i="9"/>
  <c r="T151" i="9"/>
  <c r="U151" i="9" s="1"/>
  <c r="W150" i="9"/>
  <c r="T150" i="9"/>
  <c r="U150" i="9" s="1"/>
  <c r="W149" i="9"/>
  <c r="T149" i="9"/>
  <c r="U149" i="9" s="1"/>
  <c r="W148" i="9"/>
  <c r="T148" i="9"/>
  <c r="U148" i="9" s="1"/>
  <c r="W147" i="9"/>
  <c r="T147" i="9"/>
  <c r="U147" i="9" s="1"/>
  <c r="W146" i="9"/>
  <c r="T146" i="9"/>
  <c r="U146" i="9" s="1"/>
  <c r="W145" i="9"/>
  <c r="T145" i="9"/>
  <c r="U145" i="9" s="1"/>
  <c r="W144" i="9"/>
  <c r="T144" i="9"/>
  <c r="U144" i="9" s="1"/>
  <c r="W143" i="9"/>
  <c r="T143" i="9"/>
  <c r="U143" i="9" s="1"/>
  <c r="W142" i="9"/>
  <c r="T142" i="9"/>
  <c r="U142" i="9" s="1"/>
  <c r="W141" i="9"/>
  <c r="T141" i="9"/>
  <c r="U141" i="9" s="1"/>
  <c r="W140" i="9"/>
  <c r="T140" i="9"/>
  <c r="U140" i="9" s="1"/>
  <c r="W139" i="9"/>
  <c r="T139" i="9"/>
  <c r="U139" i="9" s="1"/>
  <c r="W138" i="9"/>
  <c r="T138" i="9"/>
  <c r="U138" i="9" s="1"/>
  <c r="W137" i="9"/>
  <c r="T137" i="9"/>
  <c r="U137" i="9" s="1"/>
  <c r="W136" i="9"/>
  <c r="T136" i="9"/>
  <c r="U136" i="9" s="1"/>
  <c r="W135" i="9"/>
  <c r="T135" i="9"/>
  <c r="U135" i="9" s="1"/>
  <c r="W134" i="9"/>
  <c r="T134" i="9"/>
  <c r="U134" i="9" s="1"/>
  <c r="W133" i="9"/>
  <c r="T133" i="9"/>
  <c r="U133" i="9" s="1"/>
  <c r="W132" i="9"/>
  <c r="T132" i="9"/>
  <c r="U132" i="9" s="1"/>
  <c r="W131" i="9"/>
  <c r="U131" i="9"/>
  <c r="T131" i="9"/>
  <c r="W130" i="9"/>
  <c r="U130" i="9"/>
  <c r="T130" i="9"/>
  <c r="W129" i="9"/>
  <c r="T129" i="9"/>
  <c r="U129" i="9" s="1"/>
  <c r="W128" i="9"/>
  <c r="T128" i="9"/>
  <c r="U128" i="9" s="1"/>
  <c r="W127" i="9"/>
  <c r="T127" i="9"/>
  <c r="U127" i="9" s="1"/>
  <c r="W126" i="9"/>
  <c r="T126" i="9"/>
  <c r="U126" i="9" s="1"/>
  <c r="W125" i="9"/>
  <c r="T125" i="9"/>
  <c r="U125" i="9" s="1"/>
  <c r="W124" i="9"/>
  <c r="T124" i="9"/>
  <c r="U124" i="9" s="1"/>
  <c r="W123" i="9"/>
  <c r="T123" i="9"/>
  <c r="U123" i="9" s="1"/>
  <c r="W122" i="9"/>
  <c r="T122" i="9"/>
  <c r="U122" i="9" s="1"/>
  <c r="W121" i="9"/>
  <c r="T121" i="9"/>
  <c r="U121" i="9" s="1"/>
  <c r="W120" i="9"/>
  <c r="T120" i="9"/>
  <c r="U120" i="9" s="1"/>
  <c r="W119" i="9"/>
  <c r="T119" i="9"/>
  <c r="U119" i="9" s="1"/>
  <c r="W118" i="9"/>
  <c r="T118" i="9"/>
  <c r="U118" i="9" s="1"/>
  <c r="W117" i="9"/>
  <c r="T117" i="9"/>
  <c r="U117" i="9" s="1"/>
  <c r="W116" i="9"/>
  <c r="T116" i="9"/>
  <c r="U116" i="9" s="1"/>
  <c r="W115" i="9"/>
  <c r="T115" i="9"/>
  <c r="U115" i="9" s="1"/>
  <c r="W114" i="9"/>
  <c r="T114" i="9"/>
  <c r="U114" i="9" s="1"/>
  <c r="W113" i="9"/>
  <c r="T113" i="9"/>
  <c r="U113" i="9" s="1"/>
  <c r="W112" i="9"/>
  <c r="T112" i="9"/>
  <c r="U112" i="9" s="1"/>
  <c r="W111" i="9"/>
  <c r="T111" i="9"/>
  <c r="U111" i="9" s="1"/>
  <c r="W110" i="9"/>
  <c r="T110" i="9"/>
  <c r="U110" i="9" s="1"/>
  <c r="W109" i="9"/>
  <c r="T109" i="9"/>
  <c r="U109" i="9" s="1"/>
  <c r="W108" i="9"/>
  <c r="T108" i="9"/>
  <c r="U108" i="9" s="1"/>
  <c r="W107" i="9"/>
  <c r="T107" i="9"/>
  <c r="U107" i="9" s="1"/>
  <c r="W106" i="9"/>
  <c r="T106" i="9"/>
  <c r="U106" i="9" s="1"/>
  <c r="W105" i="9"/>
  <c r="T105" i="9"/>
  <c r="U105" i="9" s="1"/>
  <c r="W104" i="9"/>
  <c r="T104" i="9"/>
  <c r="U104" i="9" s="1"/>
  <c r="W103" i="9"/>
  <c r="T103" i="9"/>
  <c r="U103" i="9" s="1"/>
  <c r="W102" i="9"/>
  <c r="T102" i="9"/>
  <c r="U102" i="9" s="1"/>
  <c r="W101" i="9"/>
  <c r="T101" i="9"/>
  <c r="U101" i="9" s="1"/>
  <c r="W100" i="9"/>
  <c r="T100" i="9"/>
  <c r="U100" i="9" s="1"/>
  <c r="W99" i="9"/>
  <c r="T99" i="9"/>
  <c r="U99" i="9" s="1"/>
  <c r="W98" i="9"/>
  <c r="T98" i="9"/>
  <c r="U98" i="9" s="1"/>
  <c r="W97" i="9"/>
  <c r="T97" i="9"/>
  <c r="U97" i="9" s="1"/>
  <c r="W96" i="9"/>
  <c r="T96" i="9"/>
  <c r="U96" i="9" s="1"/>
  <c r="W95" i="9"/>
  <c r="T95" i="9"/>
  <c r="U95" i="9" s="1"/>
  <c r="W94" i="9"/>
  <c r="T94" i="9"/>
  <c r="U94" i="9" s="1"/>
  <c r="W93" i="9"/>
  <c r="T93" i="9"/>
  <c r="U93" i="9" s="1"/>
  <c r="W92" i="9"/>
  <c r="T92" i="9"/>
  <c r="U92" i="9" s="1"/>
  <c r="W91" i="9"/>
  <c r="T91" i="9"/>
  <c r="U91" i="9" s="1"/>
  <c r="W90" i="9"/>
  <c r="U90" i="9"/>
  <c r="T90" i="9"/>
  <c r="W89" i="9"/>
  <c r="T89" i="9"/>
  <c r="U89" i="9" s="1"/>
  <c r="W88" i="9"/>
  <c r="T88" i="9"/>
  <c r="U88" i="9" s="1"/>
  <c r="W87" i="9"/>
  <c r="T87" i="9"/>
  <c r="U87" i="9" s="1"/>
  <c r="W86" i="9"/>
  <c r="T86" i="9"/>
  <c r="U86" i="9" s="1"/>
  <c r="W85" i="9"/>
  <c r="T85" i="9"/>
  <c r="U85" i="9" s="1"/>
  <c r="W84" i="9"/>
  <c r="T84" i="9"/>
  <c r="U84" i="9" s="1"/>
  <c r="W83" i="9"/>
  <c r="T83" i="9"/>
  <c r="U83" i="9" s="1"/>
  <c r="W82" i="9"/>
  <c r="T82" i="9"/>
  <c r="U82" i="9" s="1"/>
  <c r="W81" i="9"/>
  <c r="T81" i="9"/>
  <c r="U81" i="9" s="1"/>
  <c r="W80" i="9"/>
  <c r="T80" i="9"/>
  <c r="U80" i="9" s="1"/>
  <c r="W79" i="9"/>
  <c r="T79" i="9"/>
  <c r="U79" i="9" s="1"/>
  <c r="W78" i="9"/>
  <c r="T78" i="9"/>
  <c r="U78" i="9" s="1"/>
  <c r="W77" i="9"/>
  <c r="T77" i="9"/>
  <c r="U77" i="9" s="1"/>
  <c r="W76" i="9"/>
  <c r="T76" i="9"/>
  <c r="U76" i="9" s="1"/>
  <c r="W75" i="9"/>
  <c r="T75" i="9"/>
  <c r="U75" i="9" s="1"/>
  <c r="W74" i="9"/>
  <c r="T74" i="9"/>
  <c r="U74" i="9" s="1"/>
  <c r="W73" i="9"/>
  <c r="U73" i="9"/>
  <c r="T73" i="9"/>
  <c r="W72" i="9"/>
  <c r="T72" i="9"/>
  <c r="U72" i="9" s="1"/>
  <c r="W71" i="9"/>
  <c r="T71" i="9"/>
  <c r="U71" i="9" s="1"/>
  <c r="W70" i="9"/>
  <c r="U70" i="9"/>
  <c r="T70" i="9"/>
  <c r="W69" i="9"/>
  <c r="T69" i="9"/>
  <c r="U69" i="9" s="1"/>
  <c r="W68" i="9"/>
  <c r="T68" i="9"/>
  <c r="U68" i="9" s="1"/>
  <c r="W67" i="9"/>
  <c r="T67" i="9"/>
  <c r="U67" i="9" s="1"/>
  <c r="W66" i="9"/>
  <c r="T66" i="9"/>
  <c r="U66" i="9" s="1"/>
  <c r="W65" i="9"/>
  <c r="T65" i="9"/>
  <c r="U65" i="9" s="1"/>
  <c r="W64" i="9"/>
  <c r="T64" i="9"/>
  <c r="U64" i="9" s="1"/>
  <c r="W63" i="9"/>
  <c r="T63" i="9"/>
  <c r="U63" i="9" s="1"/>
  <c r="W62" i="9"/>
  <c r="U62" i="9"/>
  <c r="T62" i="9"/>
  <c r="W61" i="9"/>
  <c r="U61" i="9"/>
  <c r="T61" i="9"/>
  <c r="W60" i="9"/>
  <c r="T60" i="9"/>
  <c r="U60" i="9" s="1"/>
  <c r="W59" i="9"/>
  <c r="T59" i="9"/>
  <c r="U59" i="9" s="1"/>
  <c r="W58" i="9"/>
  <c r="T58" i="9"/>
  <c r="U58" i="9" s="1"/>
  <c r="W57" i="9"/>
  <c r="T57" i="9"/>
  <c r="U57" i="9" s="1"/>
  <c r="W56" i="9"/>
  <c r="T56" i="9"/>
  <c r="U56" i="9" s="1"/>
  <c r="W55" i="9"/>
  <c r="T55" i="9"/>
  <c r="U55" i="9" s="1"/>
  <c r="W54" i="9"/>
  <c r="T54" i="9"/>
  <c r="U54" i="9" s="1"/>
  <c r="W53" i="9"/>
  <c r="T53" i="9"/>
  <c r="U53" i="9" s="1"/>
  <c r="W52" i="9"/>
  <c r="T52" i="9"/>
  <c r="U52" i="9" s="1"/>
  <c r="W51" i="9"/>
  <c r="T51" i="9"/>
  <c r="U51" i="9" s="1"/>
  <c r="W50" i="9"/>
  <c r="T50" i="9"/>
  <c r="U50" i="9" s="1"/>
  <c r="W49" i="9"/>
  <c r="T49" i="9"/>
  <c r="U49" i="9" s="1"/>
  <c r="W48" i="9"/>
  <c r="T48" i="9"/>
  <c r="U48" i="9" s="1"/>
  <c r="W47" i="9"/>
  <c r="T47" i="9"/>
  <c r="U47" i="9" s="1"/>
  <c r="W46" i="9"/>
  <c r="U46" i="9"/>
  <c r="T46" i="9"/>
  <c r="W45" i="9"/>
  <c r="T45" i="9"/>
  <c r="U45" i="9" s="1"/>
  <c r="W44" i="9"/>
  <c r="T44" i="9"/>
  <c r="U44" i="9" s="1"/>
  <c r="W43" i="9"/>
  <c r="T43" i="9"/>
  <c r="U43" i="9" s="1"/>
  <c r="W42" i="9"/>
  <c r="T42" i="9"/>
  <c r="U42" i="9" s="1"/>
  <c r="W41" i="9"/>
  <c r="T41" i="9"/>
  <c r="U41" i="9" s="1"/>
  <c r="W40" i="9"/>
  <c r="T40" i="9"/>
  <c r="U40" i="9" s="1"/>
  <c r="W39" i="9"/>
  <c r="T39" i="9"/>
  <c r="U39" i="9" s="1"/>
  <c r="W38" i="9"/>
  <c r="T38" i="9"/>
  <c r="U38" i="9" s="1"/>
  <c r="W37" i="9"/>
  <c r="T37" i="9"/>
  <c r="U37" i="9" s="1"/>
  <c r="W36" i="9"/>
  <c r="T36" i="9"/>
  <c r="U36" i="9" s="1"/>
  <c r="W35" i="9"/>
  <c r="T35" i="9"/>
  <c r="U35" i="9" s="1"/>
  <c r="W34" i="9"/>
  <c r="T34" i="9"/>
  <c r="U34" i="9" s="1"/>
  <c r="W33" i="9"/>
  <c r="T33" i="9"/>
  <c r="U33" i="9" s="1"/>
  <c r="W32" i="9"/>
  <c r="T32" i="9"/>
  <c r="U32" i="9" s="1"/>
  <c r="W31" i="9"/>
  <c r="T31" i="9"/>
  <c r="U31" i="9" s="1"/>
  <c r="W30" i="9"/>
  <c r="T30" i="9"/>
  <c r="U30" i="9" s="1"/>
  <c r="W29" i="9"/>
  <c r="T29" i="9"/>
  <c r="U29" i="9" s="1"/>
  <c r="W28" i="9"/>
  <c r="T28" i="9"/>
  <c r="U28" i="9" s="1"/>
  <c r="W27" i="9"/>
  <c r="T27" i="9"/>
  <c r="U27" i="9" s="1"/>
  <c r="W26" i="9"/>
  <c r="T26" i="9"/>
  <c r="U26" i="9" s="1"/>
  <c r="W25" i="9"/>
  <c r="T25" i="9"/>
  <c r="U25" i="9" s="1"/>
  <c r="W24" i="9"/>
  <c r="T24" i="9"/>
  <c r="U24" i="9" s="1"/>
  <c r="W23" i="9"/>
  <c r="T23" i="9"/>
  <c r="U23" i="9" s="1"/>
  <c r="W22" i="9"/>
  <c r="T22" i="9"/>
  <c r="U22" i="9" s="1"/>
  <c r="W21" i="9"/>
  <c r="T21" i="9"/>
  <c r="U21" i="9" s="1"/>
  <c r="W20" i="9"/>
  <c r="T20" i="9"/>
  <c r="U20" i="9" s="1"/>
  <c r="W19" i="9"/>
  <c r="T19" i="9"/>
  <c r="U19" i="9" s="1"/>
  <c r="W18" i="9"/>
  <c r="T18" i="9"/>
  <c r="U18" i="9" s="1"/>
  <c r="W17" i="9"/>
  <c r="T17" i="9"/>
  <c r="U17" i="9" s="1"/>
  <c r="W16" i="9"/>
  <c r="T16" i="9"/>
  <c r="U16" i="9" s="1"/>
  <c r="W15" i="9"/>
  <c r="T15" i="9"/>
  <c r="U15" i="9" s="1"/>
  <c r="W14" i="9"/>
  <c r="T14" i="9"/>
  <c r="U14" i="9" s="1"/>
  <c r="W13" i="9"/>
  <c r="T13" i="9"/>
  <c r="U13" i="9" s="1"/>
  <c r="W12" i="9"/>
  <c r="T12" i="9"/>
  <c r="U12" i="9" s="1"/>
  <c r="W11" i="9"/>
  <c r="T11" i="9"/>
  <c r="U11" i="9" s="1"/>
  <c r="W10" i="9"/>
  <c r="T10" i="9"/>
  <c r="U10" i="9" s="1"/>
  <c r="W9" i="9"/>
  <c r="T9" i="9"/>
  <c r="U9" i="9" s="1"/>
  <c r="W8" i="9"/>
  <c r="T8" i="9"/>
  <c r="U8" i="9" s="1"/>
  <c r="W7" i="9"/>
  <c r="T7" i="9"/>
  <c r="U7" i="9" s="1"/>
  <c r="W6" i="9"/>
  <c r="T6" i="9"/>
  <c r="U6" i="9" s="1"/>
  <c r="V17" i="9" s="1"/>
  <c r="W5" i="9"/>
  <c r="T5" i="9"/>
  <c r="U5" i="9" s="1"/>
  <c r="V16" i="9" s="1"/>
  <c r="A4" i="9"/>
  <c r="A5" i="9" s="1"/>
  <c r="E358" i="14"/>
  <c r="D358" i="14"/>
  <c r="E357" i="14"/>
  <c r="D357" i="14"/>
  <c r="E356" i="14"/>
  <c r="D356" i="14"/>
  <c r="E355" i="14"/>
  <c r="D355" i="14"/>
  <c r="E354" i="14"/>
  <c r="D354" i="14"/>
  <c r="E353" i="14"/>
  <c r="D353" i="14"/>
  <c r="E352" i="14"/>
  <c r="D352" i="14"/>
  <c r="E351" i="14"/>
  <c r="D351" i="14"/>
  <c r="E350" i="14"/>
  <c r="D350" i="14"/>
  <c r="E349" i="14"/>
  <c r="D349" i="14"/>
  <c r="E348" i="14"/>
  <c r="D348" i="14"/>
  <c r="E347" i="14"/>
  <c r="D347" i="14"/>
  <c r="E346" i="14"/>
  <c r="D346" i="14"/>
  <c r="E345" i="14"/>
  <c r="D345" i="14"/>
  <c r="E344" i="14"/>
  <c r="D344" i="14"/>
  <c r="E343" i="14"/>
  <c r="D343" i="14"/>
  <c r="E342" i="14"/>
  <c r="D342" i="14"/>
  <c r="E341" i="14"/>
  <c r="D341" i="14"/>
  <c r="E340" i="14"/>
  <c r="D340" i="14"/>
  <c r="E339" i="14"/>
  <c r="D339" i="14"/>
  <c r="E338" i="14"/>
  <c r="D338" i="14"/>
  <c r="E337" i="14"/>
  <c r="D337" i="14"/>
  <c r="E336" i="14"/>
  <c r="D336" i="14"/>
  <c r="E335" i="14"/>
  <c r="D335" i="14"/>
  <c r="E334" i="14"/>
  <c r="D334" i="14"/>
  <c r="E333" i="14"/>
  <c r="D333" i="14"/>
  <c r="E332" i="14"/>
  <c r="D332" i="14"/>
  <c r="E331" i="14"/>
  <c r="D331" i="14"/>
  <c r="E330" i="14"/>
  <c r="D330" i="14"/>
  <c r="E329" i="14"/>
  <c r="D329" i="14"/>
  <c r="E328" i="14"/>
  <c r="D328" i="14"/>
  <c r="E327" i="14"/>
  <c r="D327" i="14"/>
  <c r="E326" i="14"/>
  <c r="D326" i="14"/>
  <c r="E325" i="14"/>
  <c r="D325" i="14"/>
  <c r="E324" i="14"/>
  <c r="D324" i="14"/>
  <c r="E323" i="14"/>
  <c r="D323" i="14"/>
  <c r="E322" i="14"/>
  <c r="D322" i="14"/>
  <c r="E321" i="14"/>
  <c r="D321" i="14"/>
  <c r="E320" i="14"/>
  <c r="D320" i="14"/>
  <c r="E319" i="14"/>
  <c r="D319" i="14"/>
  <c r="E318" i="14"/>
  <c r="D318" i="14"/>
  <c r="E317" i="14"/>
  <c r="D317" i="14"/>
  <c r="E316" i="14"/>
  <c r="D316" i="14"/>
  <c r="E315" i="14"/>
  <c r="D315" i="14"/>
  <c r="E314" i="14"/>
  <c r="D314" i="14"/>
  <c r="E313" i="14"/>
  <c r="D313" i="14"/>
  <c r="E312" i="14"/>
  <c r="D312" i="14"/>
  <c r="E311" i="14"/>
  <c r="D311" i="14"/>
  <c r="E310" i="14"/>
  <c r="D310" i="14"/>
  <c r="E309" i="14"/>
  <c r="D309" i="14"/>
  <c r="E308" i="14"/>
  <c r="D308" i="14"/>
  <c r="E307" i="14"/>
  <c r="D307" i="14"/>
  <c r="E306" i="14"/>
  <c r="D306" i="14"/>
  <c r="E305" i="14"/>
  <c r="D305" i="14"/>
  <c r="E304" i="14"/>
  <c r="D304" i="14"/>
  <c r="E303" i="14"/>
  <c r="D303" i="14"/>
  <c r="E302" i="14"/>
  <c r="D302" i="14"/>
  <c r="E301" i="14"/>
  <c r="D301" i="14"/>
  <c r="E300" i="14"/>
  <c r="D300" i="14"/>
  <c r="E299" i="14"/>
  <c r="D299" i="14"/>
  <c r="E298" i="14"/>
  <c r="D298" i="14"/>
  <c r="E297" i="14"/>
  <c r="D297" i="14"/>
  <c r="E296" i="14"/>
  <c r="D296" i="14"/>
  <c r="E295" i="14"/>
  <c r="D295" i="14"/>
  <c r="E294" i="14"/>
  <c r="D294" i="14"/>
  <c r="E293" i="14"/>
  <c r="D293" i="14"/>
  <c r="E292" i="14"/>
  <c r="D292" i="14"/>
  <c r="E291" i="14"/>
  <c r="D291" i="14"/>
  <c r="E290" i="14"/>
  <c r="D290" i="14"/>
  <c r="E289" i="14"/>
  <c r="D289" i="14"/>
  <c r="E288" i="14"/>
  <c r="D288" i="14"/>
  <c r="E287" i="14"/>
  <c r="D287" i="14"/>
  <c r="E286" i="14"/>
  <c r="D286" i="14"/>
  <c r="E285" i="14"/>
  <c r="D285" i="14"/>
  <c r="E284" i="14"/>
  <c r="D284" i="14"/>
  <c r="E283" i="14"/>
  <c r="D283" i="14"/>
  <c r="E282" i="14"/>
  <c r="D282" i="14"/>
  <c r="E281" i="14"/>
  <c r="D281" i="14"/>
  <c r="E280" i="14"/>
  <c r="D280" i="14"/>
  <c r="E279" i="14"/>
  <c r="D279" i="14"/>
  <c r="E278" i="14"/>
  <c r="D278" i="14"/>
  <c r="E277" i="14"/>
  <c r="D277" i="14"/>
  <c r="E276" i="14"/>
  <c r="D276" i="14"/>
  <c r="E275" i="14"/>
  <c r="D275" i="14"/>
  <c r="E274" i="14"/>
  <c r="D274" i="14"/>
  <c r="E273" i="14"/>
  <c r="D273" i="14"/>
  <c r="E272" i="14"/>
  <c r="D272" i="14"/>
  <c r="E271" i="14"/>
  <c r="D271" i="14"/>
  <c r="E270" i="14"/>
  <c r="D270" i="14"/>
  <c r="E269" i="14"/>
  <c r="D269" i="14"/>
  <c r="E268" i="14"/>
  <c r="D268" i="14"/>
  <c r="E267" i="14"/>
  <c r="D267" i="14"/>
  <c r="E266" i="14"/>
  <c r="D266" i="14"/>
  <c r="E265" i="14"/>
  <c r="D265" i="14"/>
  <c r="E264" i="14"/>
  <c r="D264" i="14"/>
  <c r="E263" i="14"/>
  <c r="D263" i="14"/>
  <c r="E262" i="14"/>
  <c r="D262" i="14"/>
  <c r="E261" i="14"/>
  <c r="D261" i="14"/>
  <c r="E260" i="14"/>
  <c r="D260" i="14"/>
  <c r="E259" i="14"/>
  <c r="D259" i="14"/>
  <c r="E258" i="14"/>
  <c r="D258" i="14"/>
  <c r="E257" i="14"/>
  <c r="D257" i="14"/>
  <c r="E256" i="14"/>
  <c r="D256" i="14"/>
  <c r="E255" i="14"/>
  <c r="D255" i="14"/>
  <c r="E254" i="14"/>
  <c r="D254" i="14"/>
  <c r="E253" i="14"/>
  <c r="D253" i="14"/>
  <c r="E252" i="14"/>
  <c r="D252" i="14"/>
  <c r="E251" i="14"/>
  <c r="D251" i="14"/>
  <c r="E250" i="14"/>
  <c r="D250" i="14"/>
  <c r="E249" i="14"/>
  <c r="D249" i="14"/>
  <c r="E248" i="14"/>
  <c r="D248" i="14"/>
  <c r="E247" i="14"/>
  <c r="D247" i="14"/>
  <c r="E246" i="14"/>
  <c r="D246" i="14"/>
  <c r="E245" i="14"/>
  <c r="D245" i="14"/>
  <c r="E244" i="14"/>
  <c r="D244" i="14"/>
  <c r="E243" i="14"/>
  <c r="D243" i="14"/>
  <c r="E242" i="14"/>
  <c r="D242" i="14"/>
  <c r="E241" i="14"/>
  <c r="D241" i="14"/>
  <c r="E240" i="14"/>
  <c r="D240" i="14"/>
  <c r="E239" i="14"/>
  <c r="D239" i="14"/>
  <c r="E238" i="14"/>
  <c r="D238" i="14"/>
  <c r="E237" i="14"/>
  <c r="D237" i="14"/>
  <c r="E236" i="14"/>
  <c r="D236" i="14"/>
  <c r="E235" i="14"/>
  <c r="D235" i="14"/>
  <c r="E234" i="14"/>
  <c r="D234" i="14"/>
  <c r="E233" i="14"/>
  <c r="D233" i="14"/>
  <c r="E232" i="14"/>
  <c r="D232" i="14"/>
  <c r="E231" i="14"/>
  <c r="D231" i="14"/>
  <c r="E230" i="14"/>
  <c r="D230" i="14"/>
  <c r="E229" i="14"/>
  <c r="D229" i="14"/>
  <c r="E228" i="14"/>
  <c r="D228" i="14"/>
  <c r="E227" i="14"/>
  <c r="D227" i="14"/>
  <c r="E226" i="14"/>
  <c r="D226" i="14"/>
  <c r="E225" i="14"/>
  <c r="D225" i="14"/>
  <c r="E224" i="14"/>
  <c r="D224" i="14"/>
  <c r="E223" i="14"/>
  <c r="D223" i="14"/>
  <c r="E222" i="14"/>
  <c r="D222" i="14"/>
  <c r="E221" i="14"/>
  <c r="D221" i="14"/>
  <c r="E220" i="14"/>
  <c r="D220" i="14"/>
  <c r="E219" i="14"/>
  <c r="D219" i="14"/>
  <c r="E218" i="14"/>
  <c r="D218" i="14"/>
  <c r="E217" i="14"/>
  <c r="D217" i="14"/>
  <c r="E216" i="14"/>
  <c r="D216" i="14"/>
  <c r="E215" i="14"/>
  <c r="D215" i="14"/>
  <c r="E214" i="14"/>
  <c r="D214" i="14"/>
  <c r="E213" i="14"/>
  <c r="D213" i="14"/>
  <c r="E212" i="14"/>
  <c r="D212" i="14"/>
  <c r="E211" i="14"/>
  <c r="D211" i="14"/>
  <c r="E210" i="14"/>
  <c r="D210" i="14"/>
  <c r="E209" i="14"/>
  <c r="D209" i="14"/>
  <c r="E208" i="14"/>
  <c r="D208" i="14"/>
  <c r="E207" i="14"/>
  <c r="D207" i="14"/>
  <c r="E206" i="14"/>
  <c r="D206" i="14"/>
  <c r="E205" i="14"/>
  <c r="D205" i="14"/>
  <c r="E204" i="14"/>
  <c r="D204" i="14"/>
  <c r="E203" i="14"/>
  <c r="D203" i="14"/>
  <c r="E202" i="14"/>
  <c r="D202" i="14"/>
  <c r="E201" i="14"/>
  <c r="D201" i="14"/>
  <c r="E200" i="14"/>
  <c r="D200" i="14"/>
  <c r="E199" i="14"/>
  <c r="D199" i="14"/>
  <c r="E198" i="14"/>
  <c r="D198" i="14"/>
  <c r="E197" i="14"/>
  <c r="D197" i="14"/>
  <c r="E196" i="14"/>
  <c r="D196" i="14"/>
  <c r="E195" i="14"/>
  <c r="D195" i="14"/>
  <c r="E194" i="14"/>
  <c r="D194" i="14"/>
  <c r="E193" i="14"/>
  <c r="D193" i="14"/>
  <c r="E192" i="14"/>
  <c r="D192" i="14"/>
  <c r="E191" i="14"/>
  <c r="D191" i="14"/>
  <c r="E190" i="14"/>
  <c r="D190" i="14"/>
  <c r="E189" i="14"/>
  <c r="D189" i="14"/>
  <c r="E188" i="14"/>
  <c r="D188" i="14"/>
  <c r="E187" i="14"/>
  <c r="D187" i="14"/>
  <c r="E186" i="14"/>
  <c r="D186" i="14"/>
  <c r="E185" i="14"/>
  <c r="D185" i="14"/>
  <c r="E184" i="14"/>
  <c r="D184" i="14"/>
  <c r="E183" i="14"/>
  <c r="D183" i="14"/>
  <c r="E182" i="14"/>
  <c r="D182" i="14"/>
  <c r="E181" i="14"/>
  <c r="D181" i="14"/>
  <c r="E180" i="14"/>
  <c r="D180" i="14"/>
  <c r="E179" i="14"/>
  <c r="D179" i="14"/>
  <c r="E178" i="14"/>
  <c r="D178" i="14"/>
  <c r="E177" i="14"/>
  <c r="D177" i="14"/>
  <c r="E176" i="14"/>
  <c r="D176" i="14"/>
  <c r="E175" i="14"/>
  <c r="D175" i="14"/>
  <c r="E174" i="14"/>
  <c r="D174" i="14"/>
  <c r="E173" i="14"/>
  <c r="D173" i="14"/>
  <c r="E172" i="14"/>
  <c r="D172" i="14"/>
  <c r="E171" i="14"/>
  <c r="D171" i="14"/>
  <c r="E170" i="14"/>
  <c r="D170" i="14"/>
  <c r="E169" i="14"/>
  <c r="D169" i="14"/>
  <c r="E168" i="14"/>
  <c r="D168" i="14"/>
  <c r="E167" i="14"/>
  <c r="D167" i="14"/>
  <c r="E166" i="14"/>
  <c r="D166" i="14"/>
  <c r="E165" i="14"/>
  <c r="D165" i="14"/>
  <c r="E164" i="14"/>
  <c r="D164" i="14"/>
  <c r="E163" i="14"/>
  <c r="D163" i="14"/>
  <c r="E162" i="14"/>
  <c r="D162" i="14"/>
  <c r="E161" i="14"/>
  <c r="D161" i="14"/>
  <c r="E160" i="14"/>
  <c r="D160" i="14"/>
  <c r="E159" i="14"/>
  <c r="D159" i="14"/>
  <c r="E158" i="14"/>
  <c r="D158" i="14"/>
  <c r="E157" i="14"/>
  <c r="D157" i="14"/>
  <c r="E156" i="14"/>
  <c r="D156" i="14"/>
  <c r="E155" i="14"/>
  <c r="D155" i="14"/>
  <c r="E154" i="14"/>
  <c r="D154" i="14"/>
  <c r="E153" i="14"/>
  <c r="D153" i="14"/>
  <c r="E152" i="14"/>
  <c r="D152" i="14"/>
  <c r="E151" i="14"/>
  <c r="D151" i="14"/>
  <c r="E150" i="14"/>
  <c r="D150" i="14"/>
  <c r="E149" i="14"/>
  <c r="D149" i="14"/>
  <c r="E148" i="14"/>
  <c r="D148" i="14"/>
  <c r="E147" i="14"/>
  <c r="D147" i="14"/>
  <c r="E146" i="14"/>
  <c r="D146" i="14"/>
  <c r="E145" i="14"/>
  <c r="D145" i="14"/>
  <c r="E144" i="14"/>
  <c r="D144" i="14"/>
  <c r="E143" i="14"/>
  <c r="D143" i="14"/>
  <c r="E142" i="14"/>
  <c r="D142" i="14"/>
  <c r="E141" i="14"/>
  <c r="D141" i="14"/>
  <c r="E140" i="14"/>
  <c r="D140" i="14"/>
  <c r="E139" i="14"/>
  <c r="D139" i="14"/>
  <c r="E138" i="14"/>
  <c r="D138" i="14"/>
  <c r="E137" i="14"/>
  <c r="D137" i="14"/>
  <c r="E136" i="14"/>
  <c r="D136" i="14"/>
  <c r="E135" i="14"/>
  <c r="D135" i="14"/>
  <c r="E134" i="14"/>
  <c r="D134" i="14"/>
  <c r="E133" i="14"/>
  <c r="D133" i="14"/>
  <c r="E132" i="14"/>
  <c r="D132" i="14"/>
  <c r="E131" i="14"/>
  <c r="D131" i="14"/>
  <c r="E130" i="14"/>
  <c r="D130" i="14"/>
  <c r="E129" i="14"/>
  <c r="D129" i="14"/>
  <c r="E128" i="14"/>
  <c r="D128" i="14"/>
  <c r="E127" i="14"/>
  <c r="D127" i="14"/>
  <c r="E126" i="14"/>
  <c r="D126" i="14"/>
  <c r="E125" i="14"/>
  <c r="D125" i="14"/>
  <c r="E124" i="14"/>
  <c r="D124" i="14"/>
  <c r="E123" i="14"/>
  <c r="D123" i="14"/>
  <c r="E122" i="14"/>
  <c r="D122" i="14"/>
  <c r="E121" i="14"/>
  <c r="D121" i="14"/>
  <c r="E120" i="14"/>
  <c r="D120" i="14"/>
  <c r="E119" i="14"/>
  <c r="D119" i="14"/>
  <c r="E118" i="14"/>
  <c r="D118" i="14"/>
  <c r="E117" i="14"/>
  <c r="D117" i="14"/>
  <c r="E116" i="14"/>
  <c r="D116" i="14"/>
  <c r="E115" i="14"/>
  <c r="D115" i="14"/>
  <c r="E114" i="14"/>
  <c r="D114" i="14"/>
  <c r="E113" i="14"/>
  <c r="D113" i="14"/>
  <c r="E112" i="14"/>
  <c r="D112" i="14"/>
  <c r="E111" i="14"/>
  <c r="D111" i="14"/>
  <c r="E110" i="14"/>
  <c r="D110" i="14"/>
  <c r="E109" i="14"/>
  <c r="D109" i="14"/>
  <c r="E108" i="14"/>
  <c r="D108" i="14"/>
  <c r="E107" i="14"/>
  <c r="D107" i="14"/>
  <c r="E106" i="14"/>
  <c r="D106" i="14"/>
  <c r="H105" i="14"/>
  <c r="H104" i="14" s="1"/>
  <c r="H103" i="14" s="1"/>
  <c r="H102" i="14" s="1"/>
  <c r="H101" i="14" s="1"/>
  <c r="H100" i="14" s="1"/>
  <c r="H99" i="14" s="1"/>
  <c r="H98" i="14" s="1"/>
  <c r="E105" i="14"/>
  <c r="D105" i="14"/>
  <c r="E104" i="14"/>
  <c r="D104" i="14"/>
  <c r="E103" i="14"/>
  <c r="D103" i="14"/>
  <c r="E102" i="14"/>
  <c r="D102" i="14"/>
  <c r="E101" i="14"/>
  <c r="D101" i="14"/>
  <c r="E100" i="14"/>
  <c r="D100" i="14"/>
  <c r="E99" i="14"/>
  <c r="D99" i="14"/>
  <c r="E98" i="14"/>
  <c r="D98" i="14"/>
  <c r="E97" i="14"/>
  <c r="D97" i="14"/>
  <c r="E96" i="14"/>
  <c r="D96" i="14"/>
  <c r="E95" i="14"/>
  <c r="D95" i="14"/>
  <c r="E94" i="14"/>
  <c r="D94" i="14"/>
  <c r="E93" i="14"/>
  <c r="D93" i="14"/>
  <c r="E92" i="14"/>
  <c r="D92" i="14"/>
  <c r="E91" i="14"/>
  <c r="D91" i="14"/>
  <c r="E90" i="14"/>
  <c r="D90" i="14"/>
  <c r="E89" i="14"/>
  <c r="D89" i="14"/>
  <c r="E88" i="14"/>
  <c r="D88" i="14"/>
  <c r="E87" i="14"/>
  <c r="D87" i="14"/>
  <c r="E86" i="14"/>
  <c r="D86" i="14"/>
  <c r="E85" i="14"/>
  <c r="D85" i="14"/>
  <c r="E84" i="14"/>
  <c r="D84" i="14"/>
  <c r="E83" i="14"/>
  <c r="D83" i="14"/>
  <c r="E82" i="14"/>
  <c r="D82" i="14"/>
  <c r="E81" i="14"/>
  <c r="D81" i="14"/>
  <c r="E80" i="14"/>
  <c r="D80" i="14"/>
  <c r="E79" i="14"/>
  <c r="D79" i="14"/>
  <c r="E78" i="14"/>
  <c r="D78" i="14"/>
  <c r="E77" i="14"/>
  <c r="D77" i="14"/>
  <c r="E76" i="14"/>
  <c r="D76" i="14"/>
  <c r="E75" i="14"/>
  <c r="D75" i="14"/>
  <c r="E74" i="14"/>
  <c r="D74" i="14"/>
  <c r="E73" i="14"/>
  <c r="D73" i="14"/>
  <c r="E72" i="14"/>
  <c r="D72" i="14"/>
  <c r="E71" i="14"/>
  <c r="D71" i="14"/>
  <c r="E70" i="14"/>
  <c r="D70" i="14"/>
  <c r="E69" i="14"/>
  <c r="D69" i="14"/>
  <c r="E68" i="14"/>
  <c r="D68" i="14"/>
  <c r="E67" i="14"/>
  <c r="D67" i="14"/>
  <c r="E66" i="14"/>
  <c r="D66" i="14"/>
  <c r="E65" i="14"/>
  <c r="D65" i="14"/>
  <c r="E64" i="14"/>
  <c r="D64" i="14"/>
  <c r="E63" i="14"/>
  <c r="D63" i="14"/>
  <c r="E62" i="14"/>
  <c r="D62" i="14"/>
  <c r="E61" i="14"/>
  <c r="D61" i="14"/>
  <c r="E60" i="14"/>
  <c r="D60" i="14"/>
  <c r="E59" i="14"/>
  <c r="D59" i="14"/>
  <c r="E58" i="14"/>
  <c r="D58" i="14"/>
  <c r="E57" i="14"/>
  <c r="D57" i="14"/>
  <c r="E56" i="14"/>
  <c r="D56" i="14"/>
  <c r="E55" i="14"/>
  <c r="D55" i="14"/>
  <c r="E54" i="14"/>
  <c r="D54" i="14"/>
  <c r="E53" i="14"/>
  <c r="D53" i="14"/>
  <c r="E52" i="14"/>
  <c r="D52" i="14"/>
  <c r="E51" i="14"/>
  <c r="D51" i="14"/>
  <c r="E50" i="14"/>
  <c r="D50" i="14"/>
  <c r="E49" i="14"/>
  <c r="D49" i="14"/>
  <c r="E48" i="14"/>
  <c r="D48" i="14"/>
  <c r="E47" i="14"/>
  <c r="D47" i="14"/>
  <c r="E46" i="14"/>
  <c r="D46" i="14"/>
  <c r="E45" i="14"/>
  <c r="D45" i="14"/>
  <c r="E44" i="14"/>
  <c r="D44" i="14"/>
  <c r="E43" i="14"/>
  <c r="D43" i="14"/>
  <c r="E42" i="14"/>
  <c r="D42" i="14"/>
  <c r="E41" i="14"/>
  <c r="D41" i="14"/>
  <c r="E40" i="14"/>
  <c r="D40" i="14"/>
  <c r="E39" i="14"/>
  <c r="D39" i="14"/>
  <c r="E38" i="14"/>
  <c r="D38" i="14"/>
  <c r="E37" i="14"/>
  <c r="D37" i="14"/>
  <c r="E36" i="14"/>
  <c r="D36" i="14"/>
  <c r="E35" i="14"/>
  <c r="D35" i="14"/>
  <c r="E34" i="14"/>
  <c r="D34" i="14"/>
  <c r="E33" i="14"/>
  <c r="D33" i="14"/>
  <c r="E32" i="14"/>
  <c r="D32" i="14"/>
  <c r="E31" i="14"/>
  <c r="D31" i="14"/>
  <c r="E30" i="14"/>
  <c r="D30" i="14"/>
  <c r="E29" i="14"/>
  <c r="D29" i="14"/>
  <c r="E28" i="14"/>
  <c r="D28" i="14"/>
  <c r="E27" i="14"/>
  <c r="D27" i="14"/>
  <c r="E26" i="14"/>
  <c r="D26" i="14"/>
  <c r="E25" i="14"/>
  <c r="D25" i="14"/>
  <c r="E24" i="14"/>
  <c r="D24" i="14"/>
  <c r="E23" i="14"/>
  <c r="D23" i="14"/>
  <c r="E22" i="14"/>
  <c r="D22" i="14"/>
  <c r="E21" i="14"/>
  <c r="D21" i="14"/>
  <c r="E20" i="14"/>
  <c r="D20" i="14"/>
  <c r="E19" i="14"/>
  <c r="D19" i="14"/>
  <c r="E18" i="14"/>
  <c r="D18" i="14"/>
  <c r="E17" i="14"/>
  <c r="D17" i="14"/>
  <c r="E16" i="14"/>
  <c r="D16" i="14"/>
  <c r="E15" i="14"/>
  <c r="D15" i="14"/>
  <c r="E14" i="14"/>
  <c r="D14" i="14"/>
  <c r="E13" i="14"/>
  <c r="D13" i="14"/>
  <c r="E12" i="14"/>
  <c r="D12" i="14"/>
  <c r="E11" i="14"/>
  <c r="D11" i="14"/>
  <c r="E10" i="14"/>
  <c r="D10" i="14"/>
  <c r="E9" i="14"/>
  <c r="D9" i="14"/>
  <c r="E8" i="14"/>
  <c r="D8" i="14"/>
  <c r="E7" i="14"/>
  <c r="D7" i="14"/>
  <c r="E6" i="14"/>
  <c r="D6" i="14"/>
  <c r="X162" i="1"/>
  <c r="W162" i="1"/>
  <c r="X161" i="1"/>
  <c r="W161" i="1"/>
  <c r="X160" i="1"/>
  <c r="W160" i="1"/>
  <c r="X159" i="1"/>
  <c r="W159" i="1"/>
  <c r="X158" i="1"/>
  <c r="W158" i="1"/>
  <c r="X157" i="1"/>
  <c r="W157" i="1"/>
  <c r="X156" i="1"/>
  <c r="W156" i="1"/>
  <c r="X155" i="1"/>
  <c r="W155" i="1"/>
  <c r="X154" i="1"/>
  <c r="W154" i="1"/>
  <c r="X153" i="1"/>
  <c r="W153" i="1"/>
  <c r="X152" i="1"/>
  <c r="W152" i="1"/>
  <c r="X151" i="1"/>
  <c r="W151" i="1"/>
  <c r="X150" i="1"/>
  <c r="W150" i="1"/>
  <c r="X149" i="1"/>
  <c r="W149" i="1"/>
  <c r="X148" i="1"/>
  <c r="W148" i="1"/>
  <c r="X147" i="1"/>
  <c r="W147" i="1"/>
  <c r="X146" i="1"/>
  <c r="W146" i="1"/>
  <c r="X145" i="1"/>
  <c r="W145" i="1"/>
  <c r="X144" i="1"/>
  <c r="W144" i="1"/>
  <c r="X143" i="1"/>
  <c r="W143" i="1"/>
  <c r="X142" i="1"/>
  <c r="W142" i="1"/>
  <c r="X141" i="1"/>
  <c r="W141" i="1"/>
  <c r="X140" i="1"/>
  <c r="W140" i="1"/>
  <c r="X139" i="1"/>
  <c r="W139" i="1"/>
  <c r="X138" i="1"/>
  <c r="W138" i="1"/>
  <c r="X137" i="1"/>
  <c r="W137" i="1"/>
  <c r="X136" i="1"/>
  <c r="W136" i="1"/>
  <c r="X135" i="1"/>
  <c r="W135" i="1"/>
  <c r="X134" i="1"/>
  <c r="W134" i="1"/>
  <c r="X133" i="1"/>
  <c r="W133" i="1"/>
  <c r="X132" i="1"/>
  <c r="W132" i="1"/>
  <c r="X131" i="1"/>
  <c r="W131" i="1"/>
  <c r="X130" i="1"/>
  <c r="W130" i="1"/>
  <c r="X129" i="1"/>
  <c r="W129" i="1"/>
  <c r="X128" i="1"/>
  <c r="W128" i="1"/>
  <c r="X127" i="1"/>
  <c r="W127" i="1"/>
  <c r="X126" i="1"/>
  <c r="W126" i="1"/>
  <c r="X125" i="1"/>
  <c r="W125" i="1"/>
  <c r="X124" i="1"/>
  <c r="W124" i="1"/>
  <c r="X123" i="1"/>
  <c r="W123" i="1"/>
  <c r="X122" i="1"/>
  <c r="W122" i="1"/>
  <c r="X121" i="1"/>
  <c r="W121" i="1"/>
  <c r="X120" i="1"/>
  <c r="W120" i="1"/>
  <c r="X119" i="1"/>
  <c r="W119" i="1"/>
  <c r="X118" i="1"/>
  <c r="W118" i="1"/>
  <c r="X117" i="1"/>
  <c r="W117" i="1"/>
  <c r="X116" i="1"/>
  <c r="W116" i="1"/>
  <c r="X115" i="1"/>
  <c r="W115" i="1"/>
  <c r="X114" i="1"/>
  <c r="W114" i="1"/>
  <c r="X113" i="1"/>
  <c r="W113" i="1"/>
  <c r="X112" i="1"/>
  <c r="W112" i="1"/>
  <c r="X111" i="1"/>
  <c r="W111" i="1"/>
  <c r="X110" i="1"/>
  <c r="W110" i="1"/>
  <c r="X109" i="1"/>
  <c r="W109" i="1"/>
  <c r="X108" i="1"/>
  <c r="W108" i="1"/>
  <c r="X107" i="1"/>
  <c r="W107" i="1"/>
  <c r="X106" i="1"/>
  <c r="W106" i="1"/>
  <c r="X105" i="1"/>
  <c r="W105" i="1"/>
  <c r="X104" i="1"/>
  <c r="W104" i="1"/>
  <c r="X103" i="1"/>
  <c r="W103" i="1"/>
  <c r="X102" i="1"/>
  <c r="W102" i="1"/>
  <c r="X101" i="1"/>
  <c r="W101" i="1"/>
  <c r="X100" i="1"/>
  <c r="W100" i="1"/>
  <c r="X99" i="1"/>
  <c r="W99" i="1"/>
  <c r="X98" i="1"/>
  <c r="W98" i="1"/>
  <c r="W97" i="1"/>
  <c r="R2" i="9"/>
  <c r="S2" i="13"/>
  <c r="Y2" i="13"/>
  <c r="O2" i="9"/>
  <c r="V2" i="13"/>
  <c r="O2" i="10"/>
  <c r="R2" i="10"/>
  <c r="A1" i="14"/>
  <c r="AC2" i="9"/>
  <c r="D85" i="1" l="1" a="1"/>
  <c r="D85" i="1" s="1"/>
  <c r="D87" i="1" a="1"/>
  <c r="D87" i="1" s="1"/>
  <c r="D88" i="1" a="1"/>
  <c r="D88" i="1" s="1"/>
  <c r="D95" i="1" a="1"/>
  <c r="D95" i="1" s="1"/>
  <c r="D86" i="1" a="1"/>
  <c r="D86" i="1" s="1"/>
  <c r="D89" i="1" a="1"/>
  <c r="D89" i="1" s="1"/>
  <c r="D93" i="1" a="1"/>
  <c r="D93" i="1" s="1"/>
  <c r="D90" i="1" a="1"/>
  <c r="D90" i="1" s="1"/>
  <c r="D91" i="1" a="1"/>
  <c r="D91" i="1" s="1"/>
  <c r="D94" i="1" a="1"/>
  <c r="D94" i="1" s="1"/>
  <c r="D92" i="1" a="1"/>
  <c r="D92" i="1" s="1"/>
  <c r="D96" i="1" a="1"/>
  <c r="D96" i="1" s="1"/>
  <c r="V123" i="9"/>
  <c r="V255" i="9"/>
  <c r="V202" i="9"/>
  <c r="X202" i="9" s="1"/>
  <c r="V210" i="9"/>
  <c r="X210" i="9" s="1"/>
  <c r="V194" i="9"/>
  <c r="X194" i="9" s="1"/>
  <c r="V195" i="9"/>
  <c r="V251" i="9"/>
  <c r="X251" i="9" s="1"/>
  <c r="V267" i="9"/>
  <c r="X267" i="9" s="1"/>
  <c r="V196" i="9"/>
  <c r="X196" i="9" s="1"/>
  <c r="V260" i="9"/>
  <c r="X260" i="9" s="1"/>
  <c r="V156" i="9"/>
  <c r="X156" i="9" s="1"/>
  <c r="V188" i="9"/>
  <c r="X188" i="9" s="1"/>
  <c r="X17" i="9"/>
  <c r="Z104" i="1"/>
  <c r="Z116" i="1"/>
  <c r="Z128" i="1"/>
  <c r="Z152" i="1"/>
  <c r="Z162" i="1"/>
  <c r="V23" i="9"/>
  <c r="X23" i="9" s="1"/>
  <c r="V39" i="9"/>
  <c r="X39" i="9" s="1"/>
  <c r="V61" i="9"/>
  <c r="X61" i="9" s="1"/>
  <c r="V124" i="9"/>
  <c r="X124" i="9" s="1"/>
  <c r="V272" i="9"/>
  <c r="X272" i="9" s="1"/>
  <c r="V203" i="9"/>
  <c r="V249" i="9"/>
  <c r="V77" i="9"/>
  <c r="X77" i="9" s="1"/>
  <c r="V259" i="9"/>
  <c r="X259" i="9" s="1"/>
  <c r="V97" i="9"/>
  <c r="X97" i="9" s="1"/>
  <c r="V38" i="9"/>
  <c r="X38" i="9" s="1"/>
  <c r="V46" i="9"/>
  <c r="X46" i="9" s="1"/>
  <c r="V157" i="9"/>
  <c r="X157" i="9" s="1"/>
  <c r="V167" i="9"/>
  <c r="X167" i="9" s="1"/>
  <c r="V187" i="9"/>
  <c r="X187" i="9" s="1"/>
  <c r="V213" i="9"/>
  <c r="X213" i="9" s="1"/>
  <c r="V119" i="9"/>
  <c r="X119" i="9" s="1"/>
  <c r="V250" i="9"/>
  <c r="X250" i="9" s="1"/>
  <c r="V55" i="9"/>
  <c r="X55" i="9" s="1"/>
  <c r="V214" i="9"/>
  <c r="X214" i="9" s="1"/>
  <c r="V199" i="9"/>
  <c r="X199" i="9" s="1"/>
  <c r="V238" i="9"/>
  <c r="X238" i="9" s="1"/>
  <c r="V254" i="9"/>
  <c r="X254" i="9" s="1"/>
  <c r="V69" i="9"/>
  <c r="X69" i="9" s="1"/>
  <c r="V180" i="9"/>
  <c r="X180" i="9" s="1"/>
  <c r="V191" i="9"/>
  <c r="X191" i="9" s="1"/>
  <c r="V200" i="9"/>
  <c r="V208" i="9"/>
  <c r="X208" i="9" s="1"/>
  <c r="V271" i="9"/>
  <c r="X271" i="9" s="1"/>
  <c r="V224" i="9"/>
  <c r="V248" i="9"/>
  <c r="X248" i="9" s="1"/>
  <c r="V256" i="9"/>
  <c r="X256" i="9" s="1"/>
  <c r="V193" i="9"/>
  <c r="X193" i="9" s="1"/>
  <c r="V264" i="9"/>
  <c r="X264" i="9" s="1"/>
  <c r="V153" i="9"/>
  <c r="X153" i="9" s="1"/>
  <c r="X203" i="9"/>
  <c r="X195" i="9"/>
  <c r="X249" i="9"/>
  <c r="X255" i="9"/>
  <c r="X16" i="9"/>
  <c r="X200" i="9"/>
  <c r="X224" i="9"/>
  <c r="X123" i="9"/>
  <c r="B5" i="13"/>
  <c r="B4" i="9"/>
  <c r="C5" i="13"/>
  <c r="B4" i="10"/>
  <c r="C4" i="10"/>
  <c r="V53" i="9"/>
  <c r="X53" i="9" s="1"/>
  <c r="V52" i="9"/>
  <c r="X52" i="9" s="1"/>
  <c r="V45" i="9"/>
  <c r="X45" i="9" s="1"/>
  <c r="V25" i="9"/>
  <c r="X25" i="9" s="1"/>
  <c r="V28" i="9"/>
  <c r="X28" i="9" s="1"/>
  <c r="V76" i="9"/>
  <c r="X76" i="9" s="1"/>
  <c r="V73" i="9"/>
  <c r="X73" i="9" s="1"/>
  <c r="V75" i="9"/>
  <c r="X75" i="9" s="1"/>
  <c r="V95" i="9"/>
  <c r="X95" i="9" s="1"/>
  <c r="V94" i="9"/>
  <c r="X94" i="9" s="1"/>
  <c r="V27" i="9"/>
  <c r="X27" i="9" s="1"/>
  <c r="V66" i="9"/>
  <c r="X66" i="9" s="1"/>
  <c r="V63" i="9"/>
  <c r="X63" i="9" s="1"/>
  <c r="V64" i="9"/>
  <c r="X64" i="9" s="1"/>
  <c r="V18" i="9"/>
  <c r="X18" i="9" s="1"/>
  <c r="V19" i="9"/>
  <c r="X19" i="9" s="1"/>
  <c r="V42" i="9"/>
  <c r="X42" i="9" s="1"/>
  <c r="V32" i="9"/>
  <c r="X32" i="9" s="1"/>
  <c r="V41" i="9"/>
  <c r="X41" i="9" s="1"/>
  <c r="W285" i="9"/>
  <c r="W284" i="9"/>
  <c r="W287" i="9"/>
  <c r="W288" i="9"/>
  <c r="W286" i="9"/>
  <c r="W283" i="9"/>
  <c r="V59" i="9"/>
  <c r="X59" i="9" s="1"/>
  <c r="V67" i="9"/>
  <c r="X67" i="9" s="1"/>
  <c r="V89" i="9"/>
  <c r="X89" i="9" s="1"/>
  <c r="V86" i="9"/>
  <c r="X86" i="9" s="1"/>
  <c r="V88" i="9"/>
  <c r="X88" i="9" s="1"/>
  <c r="V48" i="9"/>
  <c r="X48" i="9" s="1"/>
  <c r="V56" i="9"/>
  <c r="X56" i="9" s="1"/>
  <c r="V139" i="9"/>
  <c r="X139" i="9" s="1"/>
  <c r="V138" i="9"/>
  <c r="X138" i="9" s="1"/>
  <c r="Z100" i="1"/>
  <c r="Z112" i="1"/>
  <c r="Z160" i="1"/>
  <c r="V24" i="9"/>
  <c r="X24" i="9" s="1"/>
  <c r="V85" i="9"/>
  <c r="X85" i="9" s="1"/>
  <c r="V22" i="9"/>
  <c r="X22" i="9" s="1"/>
  <c r="V96" i="9"/>
  <c r="X96" i="9" s="1"/>
  <c r="V116" i="9"/>
  <c r="X116" i="9" s="1"/>
  <c r="V133" i="9"/>
  <c r="X133" i="9" s="1"/>
  <c r="V115" i="9"/>
  <c r="X115" i="9" s="1"/>
  <c r="V80" i="9"/>
  <c r="X80" i="9" s="1"/>
  <c r="V84" i="9"/>
  <c r="X84" i="9" s="1"/>
  <c r="Z161" i="1"/>
  <c r="V90" i="9"/>
  <c r="X90" i="9" s="1"/>
  <c r="V101" i="9"/>
  <c r="X101" i="9" s="1"/>
  <c r="V102" i="9"/>
  <c r="X102" i="9" s="1"/>
  <c r="V122" i="9"/>
  <c r="X122" i="9" s="1"/>
  <c r="V68" i="9"/>
  <c r="X68" i="9" s="1"/>
  <c r="V60" i="9"/>
  <c r="X60" i="9" s="1"/>
  <c r="V72" i="9"/>
  <c r="X72" i="9" s="1"/>
  <c r="V71" i="9"/>
  <c r="X71" i="9" s="1"/>
  <c r="V33" i="9"/>
  <c r="X33" i="9" s="1"/>
  <c r="V49" i="9"/>
  <c r="X49" i="9" s="1"/>
  <c r="V35" i="9"/>
  <c r="X35" i="9" s="1"/>
  <c r="V111" i="9"/>
  <c r="X111" i="9" s="1"/>
  <c r="V131" i="9"/>
  <c r="X131" i="9" s="1"/>
  <c r="V174" i="9"/>
  <c r="X174" i="9" s="1"/>
  <c r="V173" i="9"/>
  <c r="X173" i="9" s="1"/>
  <c r="V43" i="9"/>
  <c r="X43" i="9" s="1"/>
  <c r="V104" i="9"/>
  <c r="X104" i="9" s="1"/>
  <c r="V81" i="9"/>
  <c r="X81" i="9" s="1"/>
  <c r="V50" i="9"/>
  <c r="X50" i="9" s="1"/>
  <c r="V91" i="9"/>
  <c r="X91" i="9" s="1"/>
  <c r="V40" i="9"/>
  <c r="X40" i="9" s="1"/>
  <c r="V65" i="9"/>
  <c r="X65" i="9" s="1"/>
  <c r="V87" i="9"/>
  <c r="X87" i="9" s="1"/>
  <c r="V105" i="9"/>
  <c r="X105" i="9" s="1"/>
  <c r="V112" i="9"/>
  <c r="X112" i="9" s="1"/>
  <c r="V128" i="9"/>
  <c r="X128" i="9" s="1"/>
  <c r="V127" i="9"/>
  <c r="X127" i="9" s="1"/>
  <c r="V36" i="9"/>
  <c r="X36" i="9" s="1"/>
  <c r="V54" i="9"/>
  <c r="X54" i="9" s="1"/>
  <c r="V160" i="9"/>
  <c r="X160" i="9" s="1"/>
  <c r="V20" i="9"/>
  <c r="X20" i="9" s="1"/>
  <c r="V21" i="9"/>
  <c r="X21" i="9" s="1"/>
  <c r="V37" i="9"/>
  <c r="X37" i="9" s="1"/>
  <c r="V78" i="9"/>
  <c r="X78" i="9" s="1"/>
  <c r="V83" i="9"/>
  <c r="X83" i="9" s="1"/>
  <c r="V129" i="9"/>
  <c r="X129" i="9" s="1"/>
  <c r="V26" i="9"/>
  <c r="X26" i="9" s="1"/>
  <c r="V30" i="9"/>
  <c r="X30" i="9" s="1"/>
  <c r="V31" i="9"/>
  <c r="X31" i="9" s="1"/>
  <c r="V34" i="9"/>
  <c r="X34" i="9" s="1"/>
  <c r="V74" i="9"/>
  <c r="X74" i="9" s="1"/>
  <c r="V109" i="9"/>
  <c r="X109" i="9" s="1"/>
  <c r="Z108" i="1"/>
  <c r="Z120" i="1"/>
  <c r="V47" i="9"/>
  <c r="X47" i="9" s="1"/>
  <c r="V70" i="9"/>
  <c r="X70" i="9" s="1"/>
  <c r="V51" i="9"/>
  <c r="X51" i="9" s="1"/>
  <c r="V58" i="9"/>
  <c r="X58" i="9" s="1"/>
  <c r="V62" i="9"/>
  <c r="X62" i="9" s="1"/>
  <c r="V178" i="9"/>
  <c r="X178" i="9" s="1"/>
  <c r="V44" i="9"/>
  <c r="X44" i="9" s="1"/>
  <c r="V79" i="9"/>
  <c r="X79" i="9" s="1"/>
  <c r="V29" i="9"/>
  <c r="X29" i="9" s="1"/>
  <c r="V226" i="9"/>
  <c r="X226" i="9" s="1"/>
  <c r="V225" i="9"/>
  <c r="X225" i="9" s="1"/>
  <c r="V82" i="9"/>
  <c r="X82" i="9" s="1"/>
  <c r="V98" i="9"/>
  <c r="X98" i="9" s="1"/>
  <c r="V108" i="9"/>
  <c r="X108" i="9" s="1"/>
  <c r="V143" i="9"/>
  <c r="X143" i="9" s="1"/>
  <c r="V181" i="9"/>
  <c r="X181" i="9" s="1"/>
  <c r="B5" i="9"/>
  <c r="V92" i="9"/>
  <c r="X92" i="9" s="1"/>
  <c r="V134" i="9"/>
  <c r="X134" i="9" s="1"/>
  <c r="V125" i="9"/>
  <c r="X125" i="9" s="1"/>
  <c r="V99" i="9"/>
  <c r="X99" i="9" s="1"/>
  <c r="V135" i="9"/>
  <c r="X135" i="9" s="1"/>
  <c r="V234" i="9"/>
  <c r="X234" i="9" s="1"/>
  <c r="V236" i="9"/>
  <c r="X236" i="9" s="1"/>
  <c r="V235" i="9"/>
  <c r="X235" i="9" s="1"/>
  <c r="V230" i="9"/>
  <c r="X230" i="9" s="1"/>
  <c r="V150" i="9"/>
  <c r="X150" i="9" s="1"/>
  <c r="V149" i="9"/>
  <c r="X149" i="9" s="1"/>
  <c r="V121" i="9"/>
  <c r="X121" i="9" s="1"/>
  <c r="V140" i="9"/>
  <c r="X140" i="9" s="1"/>
  <c r="V145" i="9"/>
  <c r="X145" i="9" s="1"/>
  <c r="V163" i="9"/>
  <c r="X163" i="9" s="1"/>
  <c r="V106" i="9"/>
  <c r="X106" i="9" s="1"/>
  <c r="V126" i="9"/>
  <c r="X126" i="9" s="1"/>
  <c r="V93" i="9"/>
  <c r="X93" i="9" s="1"/>
  <c r="V136" i="9"/>
  <c r="X136" i="9" s="1"/>
  <c r="V164" i="9"/>
  <c r="X164" i="9" s="1"/>
  <c r="V169" i="9"/>
  <c r="X169" i="9" s="1"/>
  <c r="V170" i="9"/>
  <c r="X170" i="9" s="1"/>
  <c r="V110" i="9"/>
  <c r="X110" i="9" s="1"/>
  <c r="V103" i="9"/>
  <c r="X103" i="9" s="1"/>
  <c r="V146" i="9"/>
  <c r="X146" i="9" s="1"/>
  <c r="V171" i="9"/>
  <c r="X171" i="9" s="1"/>
  <c r="V177" i="9"/>
  <c r="X177" i="9" s="1"/>
  <c r="V246" i="9"/>
  <c r="X246" i="9" s="1"/>
  <c r="V245" i="9"/>
  <c r="X245" i="9" s="1"/>
  <c r="A6" i="9"/>
  <c r="V57" i="9"/>
  <c r="X57" i="9" s="1"/>
  <c r="V100" i="9"/>
  <c r="X100" i="9" s="1"/>
  <c r="V220" i="9"/>
  <c r="X220" i="9" s="1"/>
  <c r="V114" i="9"/>
  <c r="X114" i="9" s="1"/>
  <c r="V132" i="9"/>
  <c r="X132" i="9" s="1"/>
  <c r="V117" i="9"/>
  <c r="X117" i="9" s="1"/>
  <c r="V118" i="9"/>
  <c r="X118" i="9" s="1"/>
  <c r="V159" i="9"/>
  <c r="X159" i="9" s="1"/>
  <c r="V186" i="9"/>
  <c r="X186" i="9" s="1"/>
  <c r="V107" i="9"/>
  <c r="X107" i="9" s="1"/>
  <c r="V141" i="9"/>
  <c r="X141" i="9" s="1"/>
  <c r="V142" i="9"/>
  <c r="X142" i="9" s="1"/>
  <c r="V165" i="9"/>
  <c r="X165" i="9" s="1"/>
  <c r="V166" i="9"/>
  <c r="X166" i="9" s="1"/>
  <c r="V154" i="9"/>
  <c r="X154" i="9" s="1"/>
  <c r="V241" i="9"/>
  <c r="X241" i="9" s="1"/>
  <c r="V269" i="9"/>
  <c r="X269" i="9" s="1"/>
  <c r="V227" i="9"/>
  <c r="X227" i="9" s="1"/>
  <c r="A6" i="10"/>
  <c r="C5" i="10"/>
  <c r="V137" i="9"/>
  <c r="X137" i="9" s="1"/>
  <c r="V192" i="9"/>
  <c r="X192" i="9" s="1"/>
  <c r="B5" i="10"/>
  <c r="V144" i="9"/>
  <c r="X144" i="9" s="1"/>
  <c r="V263" i="9"/>
  <c r="X263" i="9" s="1"/>
  <c r="V183" i="9"/>
  <c r="X183" i="9" s="1"/>
  <c r="V207" i="9"/>
  <c r="X207" i="9" s="1"/>
  <c r="V206" i="9"/>
  <c r="X206" i="9" s="1"/>
  <c r="V228" i="9"/>
  <c r="X228" i="9" s="1"/>
  <c r="V152" i="9"/>
  <c r="X152" i="9" s="1"/>
  <c r="V229" i="9"/>
  <c r="X229" i="9" s="1"/>
  <c r="V243" i="9"/>
  <c r="X243" i="9" s="1"/>
  <c r="V148" i="9"/>
  <c r="X148" i="9" s="1"/>
  <c r="V222" i="9"/>
  <c r="X222" i="9" s="1"/>
  <c r="V172" i="9"/>
  <c r="X172" i="9" s="1"/>
  <c r="V162" i="9"/>
  <c r="X162" i="9" s="1"/>
  <c r="V201" i="9"/>
  <c r="X201" i="9" s="1"/>
  <c r="V244" i="9"/>
  <c r="X244" i="9" s="1"/>
  <c r="V240" i="9"/>
  <c r="X240" i="9" s="1"/>
  <c r="V155" i="9"/>
  <c r="X155" i="9" s="1"/>
  <c r="V175" i="9"/>
  <c r="X175" i="9" s="1"/>
  <c r="V205" i="9"/>
  <c r="X205" i="9" s="1"/>
  <c r="V223" i="9"/>
  <c r="X223" i="9" s="1"/>
  <c r="V237" i="9"/>
  <c r="X237" i="9" s="1"/>
  <c r="V288" i="9"/>
  <c r="V285" i="9"/>
  <c r="V113" i="9"/>
  <c r="X113" i="9" s="1"/>
  <c r="V184" i="9"/>
  <c r="X184" i="9" s="1"/>
  <c r="V231" i="9"/>
  <c r="X231" i="9" s="1"/>
  <c r="V252" i="9"/>
  <c r="X252" i="9" s="1"/>
  <c r="V266" i="9"/>
  <c r="X266" i="9" s="1"/>
  <c r="V262" i="9"/>
  <c r="X262" i="9" s="1"/>
  <c r="V277" i="9"/>
  <c r="X277" i="9" s="1"/>
  <c r="V158" i="9"/>
  <c r="X158" i="9" s="1"/>
  <c r="V217" i="9"/>
  <c r="X217" i="9" s="1"/>
  <c r="V151" i="9"/>
  <c r="X151" i="9" s="1"/>
  <c r="V182" i="9"/>
  <c r="X182" i="9" s="1"/>
  <c r="V197" i="9"/>
  <c r="X197" i="9" s="1"/>
  <c r="V239" i="9"/>
  <c r="X239" i="9" s="1"/>
  <c r="V253" i="9"/>
  <c r="X253" i="9" s="1"/>
  <c r="V147" i="9"/>
  <c r="X147" i="9" s="1"/>
  <c r="V185" i="9"/>
  <c r="X185" i="9" s="1"/>
  <c r="V204" i="9"/>
  <c r="X204" i="9" s="1"/>
  <c r="V218" i="9"/>
  <c r="X218" i="9" s="1"/>
  <c r="V232" i="9"/>
  <c r="X232" i="9" s="1"/>
  <c r="V120" i="9"/>
  <c r="X120" i="9" s="1"/>
  <c r="V130" i="9"/>
  <c r="X130" i="9" s="1"/>
  <c r="V168" i="9"/>
  <c r="X168" i="9" s="1"/>
  <c r="V179" i="9"/>
  <c r="X179" i="9" s="1"/>
  <c r="V189" i="9"/>
  <c r="X189" i="9" s="1"/>
  <c r="V261" i="9"/>
  <c r="X261" i="9" s="1"/>
  <c r="V268" i="9"/>
  <c r="X268" i="9" s="1"/>
  <c r="V161" i="9"/>
  <c r="X161" i="9" s="1"/>
  <c r="V212" i="9"/>
  <c r="X212" i="9" s="1"/>
  <c r="V211" i="9"/>
  <c r="X211" i="9" s="1"/>
  <c r="V219" i="9"/>
  <c r="X219" i="9" s="1"/>
  <c r="V215" i="9"/>
  <c r="X215" i="9" s="1"/>
  <c r="V247" i="9"/>
  <c r="X247" i="9" s="1"/>
  <c r="V276" i="9"/>
  <c r="X276" i="9" s="1"/>
  <c r="V275" i="9"/>
  <c r="X275" i="9" s="1"/>
  <c r="V273" i="9"/>
  <c r="X273" i="9" s="1"/>
  <c r="V176" i="9"/>
  <c r="X176" i="9" s="1"/>
  <c r="V190" i="9"/>
  <c r="X190" i="9" s="1"/>
  <c r="V198" i="9"/>
  <c r="X198" i="9" s="1"/>
  <c r="V283" i="9"/>
  <c r="V216" i="9"/>
  <c r="X216" i="9" s="1"/>
  <c r="V221" i="9"/>
  <c r="X221" i="9" s="1"/>
  <c r="V242" i="9"/>
  <c r="X242" i="9" s="1"/>
  <c r="V257" i="9"/>
  <c r="X257" i="9" s="1"/>
  <c r="V278" i="9"/>
  <c r="X278" i="9" s="1"/>
  <c r="V233" i="9"/>
  <c r="X233" i="9" s="1"/>
  <c r="V284" i="9"/>
  <c r="V209" i="9"/>
  <c r="X209" i="9" s="1"/>
  <c r="V279" i="9"/>
  <c r="X279" i="9" s="1"/>
  <c r="V274" i="9"/>
  <c r="X274" i="9" s="1"/>
  <c r="V258" i="9"/>
  <c r="X258" i="9" s="1"/>
  <c r="V286" i="9"/>
  <c r="V280" i="9"/>
  <c r="X280" i="9" s="1"/>
  <c r="V270" i="9"/>
  <c r="X270" i="9" s="1"/>
  <c r="V265" i="9"/>
  <c r="X265" i="9" s="1"/>
  <c r="V281" i="9"/>
  <c r="X281" i="9" s="1"/>
  <c r="C5" i="9" s="1"/>
  <c r="V287" i="9"/>
  <c r="V282" i="9"/>
  <c r="X282" i="9" s="1"/>
  <c r="C4" i="9" s="1"/>
  <c r="A10" i="13"/>
  <c r="C9" i="13"/>
  <c r="B9" i="13"/>
  <c r="O43" i="13"/>
  <c r="B8" i="13"/>
  <c r="C8" i="13"/>
  <c r="O125" i="13"/>
  <c r="O51" i="13"/>
  <c r="O143" i="13"/>
  <c r="O52" i="13"/>
  <c r="O214" i="13"/>
  <c r="O53" i="13"/>
  <c r="C7" i="13"/>
  <c r="B7" i="13"/>
  <c r="B6" i="13"/>
  <c r="C6" i="13"/>
  <c r="O35" i="13"/>
  <c r="O226" i="13"/>
  <c r="B4" i="13"/>
  <c r="G4" i="13" s="1"/>
  <c r="O6" i="13"/>
  <c r="C4" i="13"/>
  <c r="O165" i="13"/>
  <c r="O184" i="13"/>
  <c r="O282" i="13"/>
  <c r="O169" i="13"/>
  <c r="O250" i="13"/>
  <c r="O274" i="13"/>
  <c r="O200" i="13"/>
  <c r="O258" i="13"/>
  <c r="O266" i="13"/>
  <c r="O144" i="13"/>
  <c r="O208" i="13"/>
  <c r="O240" i="13"/>
  <c r="O178" i="13"/>
  <c r="O127" i="13"/>
  <c r="O171" i="13"/>
  <c r="O186" i="13"/>
  <c r="O190" i="13"/>
  <c r="O87" i="13"/>
  <c r="O103" i="13"/>
  <c r="O198" i="13"/>
  <c r="O256" i="13"/>
  <c r="O264" i="13"/>
  <c r="O210" i="13"/>
  <c r="O206" i="13"/>
  <c r="O218" i="13"/>
  <c r="Z157" i="1"/>
  <c r="Z142" i="1"/>
  <c r="Z144" i="1"/>
  <c r="Z136" i="1"/>
  <c r="Z123" i="1"/>
  <c r="Z127" i="1"/>
  <c r="Z131" i="1"/>
  <c r="U78" i="12"/>
  <c r="T86" i="12"/>
  <c r="S146" i="12"/>
  <c r="V162" i="12"/>
  <c r="V41" i="12"/>
  <c r="U49" i="12"/>
  <c r="V65" i="12"/>
  <c r="T145" i="12"/>
  <c r="S161" i="12"/>
  <c r="T169" i="12"/>
  <c r="U150" i="12"/>
  <c r="S36" i="12"/>
  <c r="V44" i="12"/>
  <c r="T76" i="12"/>
  <c r="V84" i="12"/>
  <c r="U148" i="12"/>
  <c r="U164" i="12"/>
  <c r="U172" i="12"/>
  <c r="V242" i="12"/>
  <c r="U31" i="12"/>
  <c r="S19" i="12"/>
  <c r="U37" i="12"/>
  <c r="U53" i="12"/>
  <c r="S61" i="12"/>
  <c r="S125" i="12"/>
  <c r="U133" i="12"/>
  <c r="U140" i="12"/>
  <c r="U197" i="12"/>
  <c r="T205" i="12"/>
  <c r="T213" i="12"/>
  <c r="T221" i="12"/>
  <c r="T229" i="12"/>
  <c r="T237" i="12"/>
  <c r="S17" i="12"/>
  <c r="V12" i="12"/>
  <c r="U27" i="12"/>
  <c r="S30" i="12"/>
  <c r="V67" i="12"/>
  <c r="T141" i="12"/>
  <c r="T181" i="12"/>
  <c r="T94" i="12"/>
  <c r="V102" i="12"/>
  <c r="T110" i="12"/>
  <c r="T118" i="12"/>
  <c r="V159" i="12"/>
  <c r="U167" i="12"/>
  <c r="S177" i="12"/>
  <c r="T185" i="12"/>
  <c r="T193" i="12"/>
  <c r="T209" i="12"/>
  <c r="U217" i="12"/>
  <c r="V225" i="12"/>
  <c r="S233" i="12"/>
  <c r="V40" i="12"/>
  <c r="S129" i="12"/>
  <c r="S137" i="12"/>
  <c r="U180" i="12"/>
  <c r="T236" i="12"/>
  <c r="V241" i="12"/>
  <c r="S249" i="12"/>
  <c r="V6" i="12"/>
  <c r="V100" i="12"/>
  <c r="U144" i="12"/>
  <c r="S149" i="12"/>
  <c r="U157" i="12"/>
  <c r="U165" i="12"/>
  <c r="S191" i="12"/>
  <c r="T199" i="12"/>
  <c r="T207" i="12"/>
  <c r="T239" i="12"/>
  <c r="V244" i="12"/>
  <c r="S103" i="12"/>
  <c r="U111" i="12"/>
  <c r="T119" i="12"/>
  <c r="U152" i="12"/>
  <c r="U168" i="12"/>
  <c r="U186" i="12"/>
  <c r="V194" i="12"/>
  <c r="V202" i="12"/>
  <c r="U247" i="12"/>
  <c r="U35" i="12"/>
  <c r="T11" i="12"/>
  <c r="S20" i="12"/>
  <c r="S32" i="12"/>
  <c r="T52" i="12"/>
  <c r="V64" i="12"/>
  <c r="T74" i="12"/>
  <c r="T82" i="12"/>
  <c r="T90" i="12"/>
  <c r="T106" i="12"/>
  <c r="S114" i="12"/>
  <c r="V127" i="12"/>
  <c r="U153" i="12"/>
  <c r="T175" i="12"/>
  <c r="T187" i="12"/>
  <c r="T195" i="12"/>
  <c r="T203" i="12"/>
  <c r="V211" i="12"/>
  <c r="U227" i="12"/>
  <c r="V235" i="12"/>
  <c r="T245" i="12"/>
  <c r="U26" i="12"/>
  <c r="V9" i="12"/>
  <c r="S18" i="12"/>
  <c r="U109" i="12"/>
  <c r="U122" i="12"/>
  <c r="T151" i="12"/>
  <c r="S214" i="12"/>
  <c r="U248" i="12"/>
  <c r="T24" i="12"/>
  <c r="S22" i="12"/>
  <c r="S28" i="12"/>
  <c r="V7" i="12"/>
  <c r="V130" i="12"/>
  <c r="U156" i="12"/>
  <c r="U70" i="12"/>
  <c r="V48" i="12"/>
  <c r="U60" i="12"/>
  <c r="U143" i="12"/>
  <c r="U160" i="12"/>
  <c r="T183" i="12"/>
  <c r="U188" i="12"/>
  <c r="T33" i="12"/>
  <c r="T62" i="12"/>
  <c r="V68" i="12"/>
  <c r="T105" i="12"/>
  <c r="U126" i="12"/>
  <c r="T135" i="12"/>
  <c r="T173" i="12"/>
  <c r="I13" i="11"/>
  <c r="L13" i="11"/>
  <c r="J13" i="11"/>
  <c r="I21" i="11"/>
  <c r="L21" i="11"/>
  <c r="J21" i="11"/>
  <c r="I29" i="11"/>
  <c r="L29" i="11"/>
  <c r="J29" i="11"/>
  <c r="I37" i="11"/>
  <c r="L37" i="11"/>
  <c r="J37" i="11"/>
  <c r="I45" i="11"/>
  <c r="L45" i="11"/>
  <c r="J45" i="11"/>
  <c r="I53" i="11"/>
  <c r="L53" i="11"/>
  <c r="J53" i="11"/>
  <c r="I61" i="11"/>
  <c r="L61" i="11"/>
  <c r="J61" i="11"/>
  <c r="I69" i="11"/>
  <c r="L69" i="11"/>
  <c r="J69" i="11"/>
  <c r="I77" i="11"/>
  <c r="L77" i="11"/>
  <c r="J77" i="11"/>
  <c r="I85" i="11"/>
  <c r="L85" i="11"/>
  <c r="J85" i="11"/>
  <c r="I93" i="11"/>
  <c r="L93" i="11"/>
  <c r="J93" i="11"/>
  <c r="J16" i="11"/>
  <c r="I16" i="11"/>
  <c r="L16" i="11"/>
  <c r="J24" i="11"/>
  <c r="I24" i="11"/>
  <c r="L24" i="11"/>
  <c r="J32" i="11"/>
  <c r="I32" i="11"/>
  <c r="L32" i="11"/>
  <c r="J40" i="11"/>
  <c r="I40" i="11"/>
  <c r="L40" i="11"/>
  <c r="J48" i="11"/>
  <c r="I48" i="11"/>
  <c r="L48" i="11"/>
  <c r="J56" i="11"/>
  <c r="I56" i="11"/>
  <c r="L56" i="11"/>
  <c r="J64" i="11"/>
  <c r="I64" i="11"/>
  <c r="L64" i="11"/>
  <c r="J72" i="11"/>
  <c r="I72" i="11"/>
  <c r="L72" i="11"/>
  <c r="J80" i="11"/>
  <c r="I80" i="11"/>
  <c r="L80" i="11"/>
  <c r="J88" i="11"/>
  <c r="I88" i="11"/>
  <c r="L88" i="11"/>
  <c r="J96" i="11"/>
  <c r="I96" i="11"/>
  <c r="L96" i="11"/>
  <c r="L19" i="11"/>
  <c r="J19" i="11"/>
  <c r="I19" i="11"/>
  <c r="L27" i="11"/>
  <c r="J27" i="11"/>
  <c r="I27" i="11"/>
  <c r="L35" i="11"/>
  <c r="J35" i="11"/>
  <c r="I35" i="11"/>
  <c r="L43" i="11"/>
  <c r="J43" i="11"/>
  <c r="I43" i="11"/>
  <c r="L51" i="11"/>
  <c r="J51" i="11"/>
  <c r="I51" i="11"/>
  <c r="L59" i="11"/>
  <c r="J59" i="11"/>
  <c r="I59" i="11"/>
  <c r="L67" i="11"/>
  <c r="J67" i="11"/>
  <c r="I67" i="11"/>
  <c r="L75" i="11"/>
  <c r="J75" i="11"/>
  <c r="I75" i="11"/>
  <c r="L83" i="11"/>
  <c r="J83" i="11"/>
  <c r="I83" i="11"/>
  <c r="L91" i="11"/>
  <c r="J91" i="11"/>
  <c r="I91" i="11"/>
  <c r="L14" i="11"/>
  <c r="J14" i="11"/>
  <c r="I14" i="11"/>
  <c r="L22" i="11"/>
  <c r="J22" i="11"/>
  <c r="I22" i="11"/>
  <c r="L30" i="11"/>
  <c r="J30" i="11"/>
  <c r="I30" i="11"/>
  <c r="L38" i="11"/>
  <c r="J38" i="11"/>
  <c r="I38" i="11"/>
  <c r="L46" i="11"/>
  <c r="J46" i="11"/>
  <c r="I46" i="11"/>
  <c r="L54" i="11"/>
  <c r="J54" i="11"/>
  <c r="I54" i="11"/>
  <c r="L62" i="11"/>
  <c r="J62" i="11"/>
  <c r="I62" i="11"/>
  <c r="L70" i="11"/>
  <c r="J70" i="11"/>
  <c r="I70" i="11"/>
  <c r="L78" i="11"/>
  <c r="J78" i="11"/>
  <c r="I78" i="11"/>
  <c r="L86" i="11"/>
  <c r="J86" i="11"/>
  <c r="I86" i="11"/>
  <c r="L94" i="11"/>
  <c r="J94" i="11"/>
  <c r="I94" i="11"/>
  <c r="V36" i="12"/>
  <c r="I17" i="11"/>
  <c r="L17" i="11"/>
  <c r="J17" i="11"/>
  <c r="I25" i="11"/>
  <c r="L25" i="11"/>
  <c r="J25" i="11"/>
  <c r="I33" i="11"/>
  <c r="L33" i="11"/>
  <c r="J33" i="11"/>
  <c r="I41" i="11"/>
  <c r="L41" i="11"/>
  <c r="J41" i="11"/>
  <c r="I49" i="11"/>
  <c r="L49" i="11"/>
  <c r="J49" i="11"/>
  <c r="I57" i="11"/>
  <c r="L57" i="11"/>
  <c r="J57" i="11"/>
  <c r="I65" i="11"/>
  <c r="L65" i="11"/>
  <c r="J65" i="11"/>
  <c r="I73" i="11"/>
  <c r="L73" i="11"/>
  <c r="J73" i="11"/>
  <c r="I81" i="11"/>
  <c r="L81" i="11"/>
  <c r="J81" i="11"/>
  <c r="I89" i="11"/>
  <c r="L89" i="11"/>
  <c r="J89" i="11"/>
  <c r="I97" i="11"/>
  <c r="L97" i="11"/>
  <c r="J97" i="11"/>
  <c r="J12" i="11"/>
  <c r="I12" i="11"/>
  <c r="L12" i="11"/>
  <c r="J20" i="11"/>
  <c r="I20" i="11"/>
  <c r="L20" i="11"/>
  <c r="J28" i="11"/>
  <c r="I28" i="11"/>
  <c r="L28" i="11"/>
  <c r="J36" i="11"/>
  <c r="I36" i="11"/>
  <c r="L36" i="11"/>
  <c r="J44" i="11"/>
  <c r="I44" i="11"/>
  <c r="L44" i="11"/>
  <c r="J52" i="11"/>
  <c r="I52" i="11"/>
  <c r="L52" i="11"/>
  <c r="J60" i="11"/>
  <c r="I60" i="11"/>
  <c r="L60" i="11"/>
  <c r="J68" i="11"/>
  <c r="I68" i="11"/>
  <c r="L68" i="11"/>
  <c r="J76" i="11"/>
  <c r="I76" i="11"/>
  <c r="L76" i="11"/>
  <c r="J84" i="11"/>
  <c r="I84" i="11"/>
  <c r="L84" i="11"/>
  <c r="J92" i="11"/>
  <c r="I92" i="11"/>
  <c r="L92" i="11"/>
  <c r="L15" i="11"/>
  <c r="J15" i="11"/>
  <c r="I15" i="11"/>
  <c r="L23" i="11"/>
  <c r="J23" i="11"/>
  <c r="I23" i="11"/>
  <c r="L31" i="11"/>
  <c r="J31" i="11"/>
  <c r="I31" i="11"/>
  <c r="L39" i="11"/>
  <c r="J39" i="11"/>
  <c r="I39" i="11"/>
  <c r="L47" i="11"/>
  <c r="J47" i="11"/>
  <c r="I47" i="11"/>
  <c r="L55" i="11"/>
  <c r="J55" i="11"/>
  <c r="I55" i="11"/>
  <c r="L63" i="11"/>
  <c r="J63" i="11"/>
  <c r="I63" i="11"/>
  <c r="L71" i="11"/>
  <c r="J71" i="11"/>
  <c r="I71" i="11"/>
  <c r="L79" i="11"/>
  <c r="J79" i="11"/>
  <c r="I79" i="11"/>
  <c r="L87" i="11"/>
  <c r="J87" i="11"/>
  <c r="I87" i="11"/>
  <c r="L95" i="11"/>
  <c r="J95" i="11"/>
  <c r="I95" i="11"/>
  <c r="L18" i="11"/>
  <c r="J18" i="11"/>
  <c r="I18" i="11"/>
  <c r="L26" i="11"/>
  <c r="J26" i="11"/>
  <c r="I26" i="11"/>
  <c r="L34" i="11"/>
  <c r="J34" i="11"/>
  <c r="I34" i="11"/>
  <c r="L42" i="11"/>
  <c r="J42" i="11"/>
  <c r="I42" i="11"/>
  <c r="L50" i="11"/>
  <c r="J50" i="11"/>
  <c r="I50" i="11"/>
  <c r="L58" i="11"/>
  <c r="J58" i="11"/>
  <c r="I58" i="11"/>
  <c r="L66" i="11"/>
  <c r="J66" i="11"/>
  <c r="I66" i="11"/>
  <c r="L74" i="11"/>
  <c r="J74" i="11"/>
  <c r="I74" i="11"/>
  <c r="L82" i="11"/>
  <c r="J82" i="11"/>
  <c r="I82" i="11"/>
  <c r="L90" i="11"/>
  <c r="J90" i="11"/>
  <c r="I90" i="11"/>
  <c r="T8" i="12"/>
  <c r="U29" i="12"/>
  <c r="T29" i="12"/>
  <c r="S29" i="12"/>
  <c r="S84" i="12"/>
  <c r="U90" i="12"/>
  <c r="V29" i="12"/>
  <c r="T56" i="12"/>
  <c r="U56" i="12"/>
  <c r="S56" i="12"/>
  <c r="T72" i="12"/>
  <c r="S72" i="12"/>
  <c r="V72" i="12"/>
  <c r="U72" i="12"/>
  <c r="T80" i="12"/>
  <c r="S80" i="12"/>
  <c r="V80" i="12"/>
  <c r="U80" i="12"/>
  <c r="T88" i="12"/>
  <c r="S88" i="12"/>
  <c r="V88" i="12"/>
  <c r="U88" i="12"/>
  <c r="T96" i="12"/>
  <c r="S96" i="12"/>
  <c r="V96" i="12"/>
  <c r="U96" i="12"/>
  <c r="V24" i="12"/>
  <c r="T5" i="12"/>
  <c r="U110" i="12"/>
  <c r="T150" i="12"/>
  <c r="S154" i="12"/>
  <c r="V136" i="12"/>
  <c r="T136" i="12"/>
  <c r="S136" i="12"/>
  <c r="U136" i="12"/>
  <c r="U162" i="12"/>
  <c r="V169" i="12"/>
  <c r="V192" i="12"/>
  <c r="T192" i="12"/>
  <c r="S192" i="12"/>
  <c r="V200" i="12"/>
  <c r="T200" i="12"/>
  <c r="S200" i="12"/>
  <c r="U213" i="12"/>
  <c r="V216" i="12"/>
  <c r="U216" i="12"/>
  <c r="T216" i="12"/>
  <c r="S216" i="12"/>
  <c r="T224" i="12"/>
  <c r="V232" i="12"/>
  <c r="U232" i="12"/>
  <c r="T232" i="12"/>
  <c r="S232" i="12"/>
  <c r="U192" i="12"/>
  <c r="U200" i="12"/>
  <c r="V168" i="12"/>
  <c r="V176" i="12"/>
  <c r="T176" i="12"/>
  <c r="V184" i="12"/>
  <c r="T184" i="12"/>
  <c r="V157" i="12"/>
  <c r="S176" i="12"/>
  <c r="S184" i="12"/>
  <c r="U187" i="12"/>
  <c r="Z101" i="1"/>
  <c r="Z105" i="1"/>
  <c r="Z109" i="1"/>
  <c r="Z124" i="1"/>
  <c r="Z139" i="1"/>
  <c r="Z143" i="1"/>
  <c r="Z158" i="1"/>
  <c r="Z135" i="1"/>
  <c r="Z113" i="1"/>
  <c r="Z132" i="1"/>
  <c r="Z147" i="1"/>
  <c r="Z151" i="1"/>
  <c r="Z150" i="1"/>
  <c r="Z98" i="1"/>
  <c r="Z110" i="1"/>
  <c r="Z138" i="1"/>
  <c r="Z155" i="1"/>
  <c r="Z159" i="1"/>
  <c r="Z114" i="1"/>
  <c r="Z117" i="1"/>
  <c r="Z146" i="1"/>
  <c r="Z111" i="1"/>
  <c r="Z122" i="1"/>
  <c r="Z125" i="1"/>
  <c r="Z141" i="1"/>
  <c r="Z154" i="1"/>
  <c r="Z103" i="1"/>
  <c r="Z119" i="1"/>
  <c r="Z130" i="1"/>
  <c r="Z133" i="1"/>
  <c r="Z149" i="1"/>
  <c r="C5" i="1" a="1"/>
  <c r="C5" i="1" s="1"/>
  <c r="Z107" i="1"/>
  <c r="Z115" i="1"/>
  <c r="Z99" i="1"/>
  <c r="Z102" i="1"/>
  <c r="Z121" i="1"/>
  <c r="Z129" i="1"/>
  <c r="Z137" i="1"/>
  <c r="Z145" i="1"/>
  <c r="Z153" i="1"/>
  <c r="Z140" i="1"/>
  <c r="Z148" i="1"/>
  <c r="Z156" i="1"/>
  <c r="Z106" i="1"/>
  <c r="Z97" i="1"/>
  <c r="Z118" i="1"/>
  <c r="Z126" i="1"/>
  <c r="Z134" i="1"/>
  <c r="B5" i="1" a="1"/>
  <c r="B5" i="1" s="1"/>
  <c r="D5" i="1" a="1"/>
  <c r="D5" i="1" s="1"/>
  <c r="H97" i="14"/>
  <c r="D4" i="9" l="1"/>
  <c r="E4" i="9" s="1"/>
  <c r="E5" i="13"/>
  <c r="F5" i="13" s="1"/>
  <c r="F4" i="10"/>
  <c r="D4" i="10"/>
  <c r="E4" i="10" s="1"/>
  <c r="G5" i="13"/>
  <c r="L5" i="13" s="1"/>
  <c r="X283" i="9"/>
  <c r="X286" i="9"/>
  <c r="X287" i="9"/>
  <c r="C6" i="9"/>
  <c r="A7" i="9"/>
  <c r="B6" i="9"/>
  <c r="B10" i="13"/>
  <c r="A11" i="13"/>
  <c r="C10" i="13"/>
  <c r="E4" i="13"/>
  <c r="F4" i="13" s="1"/>
  <c r="K4" i="13" s="1"/>
  <c r="H4" i="13"/>
  <c r="F4" i="9"/>
  <c r="X285" i="9"/>
  <c r="X284" i="9"/>
  <c r="X288" i="9"/>
  <c r="C6" i="10"/>
  <c r="D5" i="10" s="1"/>
  <c r="E5" i="10" s="1"/>
  <c r="B6" i="10"/>
  <c r="F5" i="10" s="1"/>
  <c r="A7" i="10"/>
  <c r="S224" i="12"/>
  <c r="U224" i="12"/>
  <c r="V224" i="12"/>
  <c r="U146" i="12"/>
  <c r="U161" i="12"/>
  <c r="U221" i="12"/>
  <c r="U118" i="12"/>
  <c r="U61" i="12"/>
  <c r="U86" i="12"/>
  <c r="V86" i="12"/>
  <c r="S86" i="12"/>
  <c r="V217" i="12"/>
  <c r="T146" i="12"/>
  <c r="W146" i="12" s="1"/>
  <c r="V161" i="12"/>
  <c r="S44" i="12"/>
  <c r="V61" i="12"/>
  <c r="V34" i="12"/>
  <c r="V119" i="12"/>
  <c r="V146" i="12"/>
  <c r="S119" i="12"/>
  <c r="U44" i="12"/>
  <c r="S69" i="12"/>
  <c r="T61" i="12"/>
  <c r="T34" i="12"/>
  <c r="U236" i="12"/>
  <c r="S217" i="12"/>
  <c r="U119" i="12"/>
  <c r="T161" i="12"/>
  <c r="U69" i="12"/>
  <c r="U34" i="12"/>
  <c r="S236" i="12"/>
  <c r="T217" i="12"/>
  <c r="V221" i="12"/>
  <c r="V118" i="12"/>
  <c r="T44" i="12"/>
  <c r="V69" i="12"/>
  <c r="S34" i="12"/>
  <c r="V236" i="12"/>
  <c r="T69" i="12"/>
  <c r="S221" i="12"/>
  <c r="S118" i="12"/>
  <c r="S169" i="12"/>
  <c r="U169" i="12"/>
  <c r="V78" i="12"/>
  <c r="S78" i="12"/>
  <c r="T78" i="12"/>
  <c r="S158" i="12"/>
  <c r="V150" i="12"/>
  <c r="T125" i="12"/>
  <c r="U154" i="12"/>
  <c r="V165" i="12"/>
  <c r="T154" i="12"/>
  <c r="V154" i="12"/>
  <c r="S67" i="12"/>
  <c r="T165" i="12"/>
  <c r="S162" i="12"/>
  <c r="T191" i="12"/>
  <c r="U229" i="12"/>
  <c r="S183" i="12"/>
  <c r="V153" i="12"/>
  <c r="U105" i="12"/>
  <c r="U40" i="12"/>
  <c r="S8" i="12"/>
  <c r="S92" i="12"/>
  <c r="V141" i="12"/>
  <c r="T92" i="12"/>
  <c r="T248" i="12"/>
  <c r="V167" i="12"/>
  <c r="T162" i="12"/>
  <c r="T84" i="12"/>
  <c r="V133" i="12"/>
  <c r="T233" i="12"/>
  <c r="V31" i="12"/>
  <c r="T133" i="12"/>
  <c r="S31" i="12"/>
  <c r="S150" i="12"/>
  <c r="U84" i="12"/>
  <c r="T31" i="12"/>
  <c r="S133" i="12"/>
  <c r="S142" i="12"/>
  <c r="S165" i="12"/>
  <c r="S62" i="12"/>
  <c r="U214" i="12"/>
  <c r="V214" i="12"/>
  <c r="U62" i="12"/>
  <c r="V62" i="12"/>
  <c r="S52" i="12"/>
  <c r="V143" i="12"/>
  <c r="S127" i="12"/>
  <c r="S219" i="12"/>
  <c r="T143" i="12"/>
  <c r="T127" i="12"/>
  <c r="T219" i="12"/>
  <c r="T214" i="12"/>
  <c r="U219" i="12"/>
  <c r="V52" i="12"/>
  <c r="S238" i="12"/>
  <c r="U127" i="12"/>
  <c r="U52" i="12"/>
  <c r="T16" i="12"/>
  <c r="V219" i="12"/>
  <c r="S143" i="12"/>
  <c r="U16" i="12"/>
  <c r="S16" i="12"/>
  <c r="T49" i="12"/>
  <c r="U245" i="12"/>
  <c r="S196" i="12"/>
  <c r="U41" i="12"/>
  <c r="T41" i="12"/>
  <c r="T196" i="12"/>
  <c r="S40" i="12"/>
  <c r="S24" i="12"/>
  <c r="V17" i="12"/>
  <c r="U19" i="12"/>
  <c r="S151" i="12"/>
  <c r="U177" i="12"/>
  <c r="V90" i="12"/>
  <c r="U8" i="12"/>
  <c r="S189" i="12"/>
  <c r="S170" i="12"/>
  <c r="U151" i="12"/>
  <c r="V177" i="12"/>
  <c r="V126" i="12"/>
  <c r="V8" i="12"/>
  <c r="S239" i="12"/>
  <c r="V187" i="12"/>
  <c r="S186" i="12"/>
  <c r="U166" i="12"/>
  <c r="S140" i="12"/>
  <c r="T177" i="12"/>
  <c r="S126" i="12"/>
  <c r="U24" i="12"/>
  <c r="S164" i="12"/>
  <c r="V5" i="12"/>
  <c r="V164" i="12"/>
  <c r="T243" i="12"/>
  <c r="V197" i="12"/>
  <c r="U5" i="12"/>
  <c r="S5" i="12"/>
  <c r="T148" i="12"/>
  <c r="S166" i="12"/>
  <c r="V49" i="12"/>
  <c r="V19" i="12"/>
  <c r="T189" i="12"/>
  <c r="T166" i="12"/>
  <c r="S98" i="12"/>
  <c r="V121" i="12"/>
  <c r="S25" i="12"/>
  <c r="U189" i="12"/>
  <c r="S181" i="12"/>
  <c r="T25" i="12"/>
  <c r="S148" i="12"/>
  <c r="U25" i="12"/>
  <c r="T19" i="12"/>
  <c r="V149" i="12"/>
  <c r="S201" i="12"/>
  <c r="U238" i="12"/>
  <c r="U57" i="12"/>
  <c r="S57" i="12"/>
  <c r="T238" i="12"/>
  <c r="S197" i="12"/>
  <c r="U204" i="12"/>
  <c r="V148" i="12"/>
  <c r="V166" i="12"/>
  <c r="V57" i="12"/>
  <c r="S243" i="12"/>
  <c r="V238" i="12"/>
  <c r="V207" i="12"/>
  <c r="T197" i="12"/>
  <c r="S187" i="12"/>
  <c r="S245" i="12"/>
  <c r="V247" i="12"/>
  <c r="V196" i="12"/>
  <c r="T186" i="12"/>
  <c r="U158" i="12"/>
  <c r="U170" i="12"/>
  <c r="V151" i="12"/>
  <c r="T126" i="12"/>
  <c r="T65" i="12"/>
  <c r="S90" i="12"/>
  <c r="T103" i="12"/>
  <c r="T57" i="12"/>
  <c r="S100" i="12"/>
  <c r="T17" i="12"/>
  <c r="V32" i="12"/>
  <c r="T15" i="12"/>
  <c r="U207" i="12"/>
  <c r="U243" i="12"/>
  <c r="U196" i="12"/>
  <c r="V245" i="12"/>
  <c r="V186" i="12"/>
  <c r="T140" i="12"/>
  <c r="T158" i="12"/>
  <c r="T170" i="12"/>
  <c r="S37" i="12"/>
  <c r="V60" i="12"/>
  <c r="T40" i="12"/>
  <c r="V25" i="12"/>
  <c r="U92" i="12"/>
  <c r="U17" i="12"/>
  <c r="U11" i="12"/>
  <c r="V243" i="12"/>
  <c r="S207" i="12"/>
  <c r="V189" i="12"/>
  <c r="V140" i="12"/>
  <c r="V158" i="12"/>
  <c r="U137" i="12"/>
  <c r="V170" i="12"/>
  <c r="V129" i="12"/>
  <c r="V37" i="12"/>
  <c r="S41" i="12"/>
  <c r="V92" i="12"/>
  <c r="U195" i="12"/>
  <c r="T164" i="12"/>
  <c r="T37" i="12"/>
  <c r="S49" i="12"/>
  <c r="T114" i="12"/>
  <c r="T201" i="12"/>
  <c r="S172" i="12"/>
  <c r="V137" i="12"/>
  <c r="S102" i="12"/>
  <c r="U103" i="12"/>
  <c r="U15" i="12"/>
  <c r="T149" i="12"/>
  <c r="V205" i="12"/>
  <c r="T247" i="12"/>
  <c r="T102" i="12"/>
  <c r="S45" i="12"/>
  <c r="V15" i="12"/>
  <c r="T137" i="12"/>
  <c r="V45" i="12"/>
  <c r="S15" i="12"/>
  <c r="U205" i="12"/>
  <c r="S205" i="12"/>
  <c r="U45" i="12"/>
  <c r="T45" i="12"/>
  <c r="S12" i="12"/>
  <c r="U149" i="12"/>
  <c r="U201" i="12"/>
  <c r="T172" i="12"/>
  <c r="S65" i="12"/>
  <c r="T12" i="12"/>
  <c r="V201" i="12"/>
  <c r="S247" i="12"/>
  <c r="V172" i="12"/>
  <c r="U102" i="12"/>
  <c r="U65" i="12"/>
  <c r="V103" i="12"/>
  <c r="U12" i="12"/>
  <c r="V28" i="12"/>
  <c r="S145" i="12"/>
  <c r="T98" i="12"/>
  <c r="V27" i="12"/>
  <c r="T36" i="12"/>
  <c r="V11" i="12"/>
  <c r="V22" i="12"/>
  <c r="V70" i="12"/>
  <c r="T157" i="12"/>
  <c r="V195" i="12"/>
  <c r="S204" i="12"/>
  <c r="U145" i="12"/>
  <c r="T70" i="12"/>
  <c r="U36" i="12"/>
  <c r="T22" i="12"/>
  <c r="S250" i="12"/>
  <c r="T204" i="12"/>
  <c r="S135" i="12"/>
  <c r="V145" i="12"/>
  <c r="S10" i="12"/>
  <c r="S27" i="12"/>
  <c r="U22" i="12"/>
  <c r="S157" i="12"/>
  <c r="S195" i="12"/>
  <c r="V209" i="12"/>
  <c r="U190" i="12"/>
  <c r="U250" i="12"/>
  <c r="V213" i="12"/>
  <c r="V204" i="12"/>
  <c r="S190" i="12"/>
  <c r="T180" i="12"/>
  <c r="U135" i="12"/>
  <c r="V110" i="12"/>
  <c r="V111" i="12"/>
  <c r="T10" i="12"/>
  <c r="T27" i="12"/>
  <c r="T250" i="12"/>
  <c r="T190" i="12"/>
  <c r="V180" i="12"/>
  <c r="V135" i="12"/>
  <c r="S53" i="12"/>
  <c r="U98" i="12"/>
  <c r="S111" i="12"/>
  <c r="U10" i="12"/>
  <c r="S209" i="12"/>
  <c r="S180" i="12"/>
  <c r="V250" i="12"/>
  <c r="S213" i="12"/>
  <c r="V190" i="12"/>
  <c r="V53" i="12"/>
  <c r="S110" i="12"/>
  <c r="V98" i="12"/>
  <c r="T111" i="12"/>
  <c r="S70" i="12"/>
  <c r="V10" i="12"/>
  <c r="S11" i="12"/>
  <c r="U209" i="12"/>
  <c r="T53" i="12"/>
  <c r="V249" i="12"/>
  <c r="V33" i="12"/>
  <c r="U249" i="12"/>
  <c r="T211" i="12"/>
  <c r="S237" i="12"/>
  <c r="U178" i="12"/>
  <c r="T167" i="12"/>
  <c r="T60" i="12"/>
  <c r="U106" i="12"/>
  <c r="S48" i="12"/>
  <c r="U32" i="12"/>
  <c r="U233" i="12"/>
  <c r="T67" i="12"/>
  <c r="T249" i="12"/>
  <c r="U211" i="12"/>
  <c r="V237" i="12"/>
  <c r="T178" i="12"/>
  <c r="U76" i="12"/>
  <c r="U237" i="12"/>
  <c r="S178" i="12"/>
  <c r="T32" i="12"/>
  <c r="V199" i="12"/>
  <c r="U206" i="12"/>
  <c r="S242" i="12"/>
  <c r="S206" i="12"/>
  <c r="V178" i="12"/>
  <c r="V76" i="12"/>
  <c r="S9" i="12"/>
  <c r="S168" i="12"/>
  <c r="V233" i="12"/>
  <c r="U242" i="12"/>
  <c r="T206" i="12"/>
  <c r="V114" i="12"/>
  <c r="T9" i="12"/>
  <c r="U114" i="12"/>
  <c r="U199" i="12"/>
  <c r="S199" i="12"/>
  <c r="T242" i="12"/>
  <c r="V206" i="12"/>
  <c r="S167" i="12"/>
  <c r="S60" i="12"/>
  <c r="U67" i="12"/>
  <c r="S76" i="12"/>
  <c r="S33" i="12"/>
  <c r="U9" i="12"/>
  <c r="S211" i="12"/>
  <c r="T168" i="12"/>
  <c r="U33" i="12"/>
  <c r="T241" i="12"/>
  <c r="S225" i="12"/>
  <c r="V203" i="12"/>
  <c r="S198" i="12"/>
  <c r="T159" i="12"/>
  <c r="U125" i="12"/>
  <c r="U48" i="12"/>
  <c r="V35" i="12"/>
  <c r="U20" i="12"/>
  <c r="T28" i="12"/>
  <c r="S26" i="12"/>
  <c r="U241" i="12"/>
  <c r="U203" i="12"/>
  <c r="T225" i="12"/>
  <c r="T152" i="12"/>
  <c r="U198" i="12"/>
  <c r="T198" i="12"/>
  <c r="S173" i="12"/>
  <c r="V20" i="12"/>
  <c r="U28" i="12"/>
  <c r="S152" i="12"/>
  <c r="S246" i="12"/>
  <c r="U225" i="12"/>
  <c r="S203" i="12"/>
  <c r="V152" i="12"/>
  <c r="V198" i="12"/>
  <c r="U173" i="12"/>
  <c r="T48" i="12"/>
  <c r="S35" i="12"/>
  <c r="V30" i="12"/>
  <c r="T20" i="12"/>
  <c r="U246" i="12"/>
  <c r="V229" i="12"/>
  <c r="V173" i="12"/>
  <c r="V106" i="12"/>
  <c r="T35" i="12"/>
  <c r="T30" i="12"/>
  <c r="T246" i="12"/>
  <c r="V191" i="12"/>
  <c r="S159" i="12"/>
  <c r="U30" i="12"/>
  <c r="V26" i="12"/>
  <c r="V246" i="12"/>
  <c r="S229" i="12"/>
  <c r="U159" i="12"/>
  <c r="V125" i="12"/>
  <c r="S106" i="12"/>
  <c r="T26" i="12"/>
  <c r="S241" i="12"/>
  <c r="U191" i="12"/>
  <c r="V193" i="12"/>
  <c r="S138" i="12"/>
  <c r="U94" i="12"/>
  <c r="U239" i="12"/>
  <c r="S144" i="12"/>
  <c r="W217" i="12"/>
  <c r="T230" i="12"/>
  <c r="V183" i="12"/>
  <c r="U138" i="12"/>
  <c r="U181" i="12"/>
  <c r="T153" i="12"/>
  <c r="V94" i="12"/>
  <c r="S121" i="12"/>
  <c r="T100" i="12"/>
  <c r="U141" i="12"/>
  <c r="S141" i="12"/>
  <c r="S230" i="12"/>
  <c r="U183" i="12"/>
  <c r="V239" i="12"/>
  <c r="S193" i="12"/>
  <c r="U230" i="12"/>
  <c r="U202" i="12"/>
  <c r="S235" i="12"/>
  <c r="U185" i="12"/>
  <c r="T138" i="12"/>
  <c r="V181" i="12"/>
  <c r="V117" i="12"/>
  <c r="U74" i="12"/>
  <c r="T121" i="12"/>
  <c r="U193" i="12"/>
  <c r="S244" i="12"/>
  <c r="V230" i="12"/>
  <c r="T235" i="12"/>
  <c r="V185" i="12"/>
  <c r="V138" i="12"/>
  <c r="S94" i="12"/>
  <c r="S117" i="12"/>
  <c r="V74" i="12"/>
  <c r="U121" i="12"/>
  <c r="S7" i="12"/>
  <c r="U18" i="12"/>
  <c r="S6" i="12"/>
  <c r="U244" i="12"/>
  <c r="T144" i="12"/>
  <c r="U235" i="12"/>
  <c r="S202" i="12"/>
  <c r="S194" i="12"/>
  <c r="V105" i="12"/>
  <c r="T117" i="12"/>
  <c r="T7" i="12"/>
  <c r="V18" i="12"/>
  <c r="T6" i="12"/>
  <c r="T244" i="12"/>
  <c r="V144" i="12"/>
  <c r="S222" i="12"/>
  <c r="T202" i="12"/>
  <c r="T194" i="12"/>
  <c r="S185" i="12"/>
  <c r="S153" i="12"/>
  <c r="U129" i="12"/>
  <c r="S105" i="12"/>
  <c r="U117" i="12"/>
  <c r="S74" i="12"/>
  <c r="U100" i="12"/>
  <c r="V16" i="12"/>
  <c r="U7" i="12"/>
  <c r="T18" i="12"/>
  <c r="U6" i="12"/>
  <c r="U222" i="12"/>
  <c r="U194" i="12"/>
  <c r="T129" i="12"/>
  <c r="V248" i="12"/>
  <c r="T222" i="12"/>
  <c r="S240" i="12"/>
  <c r="W224" i="12"/>
  <c r="T68" i="12"/>
  <c r="T64" i="12"/>
  <c r="U240" i="12"/>
  <c r="S188" i="12"/>
  <c r="V122" i="12"/>
  <c r="V222" i="12"/>
  <c r="T240" i="12"/>
  <c r="V227" i="12"/>
  <c r="T188" i="12"/>
  <c r="T156" i="12"/>
  <c r="S130" i="12"/>
  <c r="S175" i="12"/>
  <c r="U142" i="12"/>
  <c r="V113" i="12"/>
  <c r="U82" i="12"/>
  <c r="S156" i="12"/>
  <c r="V240" i="12"/>
  <c r="V188" i="12"/>
  <c r="V156" i="12"/>
  <c r="T130" i="12"/>
  <c r="U175" i="12"/>
  <c r="T142" i="12"/>
  <c r="S113" i="12"/>
  <c r="S122" i="12"/>
  <c r="V109" i="12"/>
  <c r="V82" i="12"/>
  <c r="S160" i="12"/>
  <c r="T160" i="12"/>
  <c r="S227" i="12"/>
  <c r="U130" i="12"/>
  <c r="V175" i="12"/>
  <c r="V142" i="12"/>
  <c r="T113" i="12"/>
  <c r="S68" i="12"/>
  <c r="W88" i="12"/>
  <c r="T122" i="12"/>
  <c r="S109" i="12"/>
  <c r="S64" i="12"/>
  <c r="V160" i="12"/>
  <c r="S248" i="12"/>
  <c r="T227" i="12"/>
  <c r="U113" i="12"/>
  <c r="U68" i="12"/>
  <c r="T109" i="12"/>
  <c r="S82" i="12"/>
  <c r="U64" i="12"/>
  <c r="W56" i="12"/>
  <c r="U231" i="12"/>
  <c r="T231" i="12"/>
  <c r="S231" i="12"/>
  <c r="V231" i="12"/>
  <c r="V228" i="12"/>
  <c r="U228" i="12"/>
  <c r="T228" i="12"/>
  <c r="S228" i="12"/>
  <c r="W232" i="12"/>
  <c r="T171" i="12"/>
  <c r="V171" i="12"/>
  <c r="U171" i="12"/>
  <c r="S171" i="12"/>
  <c r="V128" i="12"/>
  <c r="U128" i="12"/>
  <c r="T128" i="12"/>
  <c r="S128" i="12"/>
  <c r="T89" i="12"/>
  <c r="S89" i="12"/>
  <c r="V89" i="12"/>
  <c r="U89" i="12"/>
  <c r="T131" i="12"/>
  <c r="V131" i="12"/>
  <c r="S131" i="12"/>
  <c r="U131" i="12"/>
  <c r="T71" i="12"/>
  <c r="V71" i="12"/>
  <c r="U71" i="12"/>
  <c r="S71" i="12"/>
  <c r="T50" i="12"/>
  <c r="U50" i="12"/>
  <c r="V50" i="12"/>
  <c r="S50" i="12"/>
  <c r="T46" i="12"/>
  <c r="V46" i="12"/>
  <c r="U46" i="12"/>
  <c r="S46" i="12"/>
  <c r="T54" i="12"/>
  <c r="V54" i="12"/>
  <c r="U54" i="12"/>
  <c r="S54" i="12"/>
  <c r="M74" i="11"/>
  <c r="K74" i="11"/>
  <c r="M71" i="11"/>
  <c r="K71" i="11"/>
  <c r="K36" i="11"/>
  <c r="M36" i="11"/>
  <c r="M73" i="11"/>
  <c r="K73" i="11"/>
  <c r="M78" i="11"/>
  <c r="K78" i="11"/>
  <c r="M14" i="11"/>
  <c r="K14" i="11"/>
  <c r="M67" i="11"/>
  <c r="K67" i="11"/>
  <c r="K72" i="11"/>
  <c r="M72" i="11"/>
  <c r="M53" i="11"/>
  <c r="K53" i="11"/>
  <c r="U223" i="12"/>
  <c r="T223" i="12"/>
  <c r="S223" i="12"/>
  <c r="V223" i="12"/>
  <c r="V220" i="12"/>
  <c r="U220" i="12"/>
  <c r="T220" i="12"/>
  <c r="S220" i="12"/>
  <c r="T163" i="12"/>
  <c r="V163" i="12"/>
  <c r="U163" i="12"/>
  <c r="S163" i="12"/>
  <c r="V208" i="12"/>
  <c r="U208" i="12"/>
  <c r="T208" i="12"/>
  <c r="S208" i="12"/>
  <c r="U120" i="12"/>
  <c r="T120" i="12"/>
  <c r="S120" i="12"/>
  <c r="V120" i="12"/>
  <c r="U123" i="12"/>
  <c r="T123" i="12"/>
  <c r="S123" i="12"/>
  <c r="V123" i="12"/>
  <c r="T85" i="12"/>
  <c r="S85" i="12"/>
  <c r="V85" i="12"/>
  <c r="U85" i="12"/>
  <c r="T66" i="12"/>
  <c r="U66" i="12"/>
  <c r="S66" i="12"/>
  <c r="V66" i="12"/>
  <c r="U124" i="12"/>
  <c r="T124" i="12"/>
  <c r="S124" i="12"/>
  <c r="V124" i="12"/>
  <c r="T99" i="12"/>
  <c r="S99" i="12"/>
  <c r="V99" i="12"/>
  <c r="U99" i="12"/>
  <c r="T63" i="12"/>
  <c r="V63" i="12"/>
  <c r="U63" i="12"/>
  <c r="S63" i="12"/>
  <c r="T51" i="12"/>
  <c r="S51" i="12"/>
  <c r="V51" i="12"/>
  <c r="U51" i="12"/>
  <c r="M50" i="11"/>
  <c r="K50" i="11"/>
  <c r="M47" i="11"/>
  <c r="K47" i="11"/>
  <c r="K76" i="11"/>
  <c r="M76" i="11"/>
  <c r="K12" i="11"/>
  <c r="M12" i="11"/>
  <c r="M49" i="11"/>
  <c r="K49" i="11"/>
  <c r="M54" i="11"/>
  <c r="K54" i="11"/>
  <c r="M43" i="11"/>
  <c r="K43" i="11"/>
  <c r="K48" i="11"/>
  <c r="M48" i="11"/>
  <c r="M93" i="11"/>
  <c r="K93" i="11"/>
  <c r="M29" i="11"/>
  <c r="K29" i="11"/>
  <c r="U215" i="12"/>
  <c r="T215" i="12"/>
  <c r="S215" i="12"/>
  <c r="V215" i="12"/>
  <c r="V212" i="12"/>
  <c r="U212" i="12"/>
  <c r="T212" i="12"/>
  <c r="S212" i="12"/>
  <c r="W216" i="12"/>
  <c r="T155" i="12"/>
  <c r="V155" i="12"/>
  <c r="U155" i="12"/>
  <c r="S155" i="12"/>
  <c r="U112" i="12"/>
  <c r="T112" i="12"/>
  <c r="S112" i="12"/>
  <c r="V112" i="12"/>
  <c r="T81" i="12"/>
  <c r="S81" i="12"/>
  <c r="V81" i="12"/>
  <c r="U81" i="12"/>
  <c r="T95" i="12"/>
  <c r="S95" i="12"/>
  <c r="V95" i="12"/>
  <c r="U95" i="12"/>
  <c r="U23" i="12"/>
  <c r="T23" i="12"/>
  <c r="S23" i="12"/>
  <c r="V23" i="12"/>
  <c r="M90" i="11"/>
  <c r="K90" i="11"/>
  <c r="M26" i="11"/>
  <c r="K26" i="11"/>
  <c r="M87" i="11"/>
  <c r="K87" i="11"/>
  <c r="M23" i="11"/>
  <c r="K23" i="11"/>
  <c r="K52" i="11"/>
  <c r="M52" i="11"/>
  <c r="M89" i="11"/>
  <c r="K89" i="11"/>
  <c r="M25" i="11"/>
  <c r="K25" i="11"/>
  <c r="M94" i="11"/>
  <c r="K94" i="11"/>
  <c r="M30" i="11"/>
  <c r="K30" i="11"/>
  <c r="M83" i="11"/>
  <c r="K83" i="11"/>
  <c r="M19" i="11"/>
  <c r="K19" i="11"/>
  <c r="K88" i="11"/>
  <c r="M88" i="11"/>
  <c r="K24" i="11"/>
  <c r="M24" i="11"/>
  <c r="M69" i="11"/>
  <c r="K69" i="11"/>
  <c r="W184" i="12"/>
  <c r="T147" i="12"/>
  <c r="V147" i="12"/>
  <c r="U147" i="12"/>
  <c r="S147" i="12"/>
  <c r="U104" i="12"/>
  <c r="T104" i="12"/>
  <c r="S104" i="12"/>
  <c r="V104" i="12"/>
  <c r="U115" i="12"/>
  <c r="T115" i="12"/>
  <c r="S115" i="12"/>
  <c r="V115" i="12"/>
  <c r="T77" i="12"/>
  <c r="S77" i="12"/>
  <c r="V77" i="12"/>
  <c r="U77" i="12"/>
  <c r="T91" i="12"/>
  <c r="S91" i="12"/>
  <c r="V91" i="12"/>
  <c r="U91" i="12"/>
  <c r="U21" i="12"/>
  <c r="S21" i="12"/>
  <c r="V21" i="12"/>
  <c r="T21" i="12"/>
  <c r="W72" i="12"/>
  <c r="M66" i="11"/>
  <c r="K66" i="11"/>
  <c r="M63" i="11"/>
  <c r="K63" i="11"/>
  <c r="K92" i="11"/>
  <c r="M92" i="11"/>
  <c r="K28" i="11"/>
  <c r="M28" i="11"/>
  <c r="M65" i="11"/>
  <c r="K65" i="11"/>
  <c r="M70" i="11"/>
  <c r="K70" i="11"/>
  <c r="M59" i="11"/>
  <c r="K59" i="11"/>
  <c r="K64" i="11"/>
  <c r="M64" i="11"/>
  <c r="M45" i="11"/>
  <c r="K45" i="11"/>
  <c r="V234" i="12"/>
  <c r="U234" i="12"/>
  <c r="T234" i="12"/>
  <c r="S234" i="12"/>
  <c r="W176" i="12"/>
  <c r="I178" i="14" s="1"/>
  <c r="V182" i="12"/>
  <c r="T182" i="12"/>
  <c r="U182" i="12"/>
  <c r="S182" i="12"/>
  <c r="T139" i="12"/>
  <c r="V139" i="12"/>
  <c r="U139" i="12"/>
  <c r="S139" i="12"/>
  <c r="U107" i="12"/>
  <c r="T107" i="12"/>
  <c r="S107" i="12"/>
  <c r="V107" i="12"/>
  <c r="T73" i="12"/>
  <c r="S73" i="12"/>
  <c r="V73" i="12"/>
  <c r="U73" i="12"/>
  <c r="W136" i="12"/>
  <c r="T87" i="12"/>
  <c r="S87" i="12"/>
  <c r="V87" i="12"/>
  <c r="U87" i="12"/>
  <c r="S13" i="12"/>
  <c r="V13" i="12"/>
  <c r="U13" i="12"/>
  <c r="T13" i="12"/>
  <c r="W86" i="12"/>
  <c r="W96" i="12"/>
  <c r="T42" i="12"/>
  <c r="U42" i="12"/>
  <c r="V42" i="12"/>
  <c r="S42" i="12"/>
  <c r="W29" i="12"/>
  <c r="M42" i="11"/>
  <c r="K42" i="11"/>
  <c r="M39" i="11"/>
  <c r="K39" i="11"/>
  <c r="K68" i="11"/>
  <c r="M68" i="11"/>
  <c r="M41" i="11"/>
  <c r="K41" i="11"/>
  <c r="M46" i="11"/>
  <c r="K46" i="11"/>
  <c r="M35" i="11"/>
  <c r="K35" i="11"/>
  <c r="K40" i="11"/>
  <c r="M40" i="11"/>
  <c r="M85" i="11"/>
  <c r="K85" i="11"/>
  <c r="M21" i="11"/>
  <c r="K21" i="11"/>
  <c r="V226" i="12"/>
  <c r="U226" i="12"/>
  <c r="T226" i="12"/>
  <c r="S226" i="12"/>
  <c r="V174" i="12"/>
  <c r="T174" i="12"/>
  <c r="U174" i="12"/>
  <c r="S174" i="12"/>
  <c r="T101" i="12"/>
  <c r="S101" i="12"/>
  <c r="V101" i="12"/>
  <c r="U101" i="12"/>
  <c r="T83" i="12"/>
  <c r="S83" i="12"/>
  <c r="V83" i="12"/>
  <c r="U83" i="12"/>
  <c r="T43" i="12"/>
  <c r="S43" i="12"/>
  <c r="V43" i="12"/>
  <c r="U43" i="12"/>
  <c r="T39" i="12"/>
  <c r="V39" i="12"/>
  <c r="U39" i="12"/>
  <c r="S39" i="12"/>
  <c r="M82" i="11"/>
  <c r="K82" i="11"/>
  <c r="M18" i="11"/>
  <c r="K18" i="11"/>
  <c r="M79" i="11"/>
  <c r="K79" i="11"/>
  <c r="M15" i="11"/>
  <c r="K15" i="11"/>
  <c r="K44" i="11"/>
  <c r="M44" i="11"/>
  <c r="M81" i="11"/>
  <c r="K81" i="11"/>
  <c r="M17" i="11"/>
  <c r="K17" i="11"/>
  <c r="M86" i="11"/>
  <c r="K86" i="11"/>
  <c r="M22" i="11"/>
  <c r="K22" i="11"/>
  <c r="M75" i="11"/>
  <c r="K75" i="11"/>
  <c r="K80" i="11"/>
  <c r="M80" i="11"/>
  <c r="K16" i="11"/>
  <c r="M16" i="11"/>
  <c r="M61" i="11"/>
  <c r="K61" i="11"/>
  <c r="V218" i="12"/>
  <c r="U218" i="12"/>
  <c r="T218" i="12"/>
  <c r="S218" i="12"/>
  <c r="W200" i="12"/>
  <c r="W192" i="12"/>
  <c r="T97" i="12"/>
  <c r="S97" i="12"/>
  <c r="V97" i="12"/>
  <c r="U97" i="12"/>
  <c r="U116" i="12"/>
  <c r="T116" i="12"/>
  <c r="S116" i="12"/>
  <c r="V116" i="12"/>
  <c r="T79" i="12"/>
  <c r="S79" i="12"/>
  <c r="V79" i="12"/>
  <c r="U79" i="12"/>
  <c r="W80" i="12"/>
  <c r="T58" i="12"/>
  <c r="U58" i="12"/>
  <c r="V58" i="12"/>
  <c r="S58" i="12"/>
  <c r="T38" i="12"/>
  <c r="V38" i="12"/>
  <c r="U38" i="12"/>
  <c r="S38" i="12"/>
  <c r="M58" i="11"/>
  <c r="K58" i="11"/>
  <c r="M55" i="11"/>
  <c r="K55" i="11"/>
  <c r="K84" i="11"/>
  <c r="M84" i="11"/>
  <c r="K20" i="11"/>
  <c r="M20" i="11"/>
  <c r="M57" i="11"/>
  <c r="K57" i="11"/>
  <c r="M62" i="11"/>
  <c r="K62" i="11"/>
  <c r="M51" i="11"/>
  <c r="K51" i="11"/>
  <c r="K56" i="11"/>
  <c r="M56" i="11"/>
  <c r="M37" i="11"/>
  <c r="K37" i="11"/>
  <c r="V210" i="12"/>
  <c r="U210" i="12"/>
  <c r="T210" i="12"/>
  <c r="S210" i="12"/>
  <c r="T179" i="12"/>
  <c r="V179" i="12"/>
  <c r="U179" i="12"/>
  <c r="S179" i="12"/>
  <c r="T93" i="12"/>
  <c r="S93" i="12"/>
  <c r="V93" i="12"/>
  <c r="U93" i="12"/>
  <c r="V134" i="12"/>
  <c r="T134" i="12"/>
  <c r="U134" i="12"/>
  <c r="S134" i="12"/>
  <c r="U108" i="12"/>
  <c r="T108" i="12"/>
  <c r="S108" i="12"/>
  <c r="V108" i="12"/>
  <c r="V132" i="12"/>
  <c r="T132" i="12"/>
  <c r="S132" i="12"/>
  <c r="U132" i="12"/>
  <c r="T75" i="12"/>
  <c r="S75" i="12"/>
  <c r="V75" i="12"/>
  <c r="U75" i="12"/>
  <c r="W118" i="12"/>
  <c r="S14" i="12"/>
  <c r="V14" i="12"/>
  <c r="U14" i="12"/>
  <c r="T14" i="12"/>
  <c r="T47" i="12"/>
  <c r="V47" i="12"/>
  <c r="U47" i="12"/>
  <c r="S47" i="12"/>
  <c r="T59" i="12"/>
  <c r="S59" i="12"/>
  <c r="V59" i="12"/>
  <c r="U59" i="12"/>
  <c r="T55" i="12"/>
  <c r="V55" i="12"/>
  <c r="U55" i="12"/>
  <c r="S55" i="12"/>
  <c r="M34" i="11"/>
  <c r="K34" i="11"/>
  <c r="M95" i="11"/>
  <c r="K95" i="11"/>
  <c r="M31" i="11"/>
  <c r="K31" i="11"/>
  <c r="K60" i="11"/>
  <c r="M60" i="11"/>
  <c r="M97" i="11"/>
  <c r="K97" i="11"/>
  <c r="M33" i="11"/>
  <c r="K33" i="11"/>
  <c r="M38" i="11"/>
  <c r="K38" i="11"/>
  <c r="M91" i="11"/>
  <c r="K91" i="11"/>
  <c r="M27" i="11"/>
  <c r="K27" i="11"/>
  <c r="K96" i="11"/>
  <c r="M96" i="11"/>
  <c r="K32" i="11"/>
  <c r="M32" i="11"/>
  <c r="M77" i="11"/>
  <c r="K77" i="11"/>
  <c r="M13" i="11"/>
  <c r="K13" i="11"/>
  <c r="W5" i="1"/>
  <c r="AB107" i="1"/>
  <c r="X5" i="1"/>
  <c r="D6" i="1" a="1"/>
  <c r="D6" i="1" s="1"/>
  <c r="B6" i="1" a="1"/>
  <c r="B6" i="1" s="1"/>
  <c r="A7" i="1"/>
  <c r="C6" i="1" a="1"/>
  <c r="C6" i="1" s="1"/>
  <c r="H96" i="14"/>
  <c r="J4" i="10" l="1"/>
  <c r="K4" i="10"/>
  <c r="G4" i="10"/>
  <c r="H4" i="10" s="1"/>
  <c r="L4" i="10" s="1"/>
  <c r="K5" i="13"/>
  <c r="H5" i="13"/>
  <c r="L4" i="13"/>
  <c r="X6" i="1"/>
  <c r="J5" i="13"/>
  <c r="I5" i="13"/>
  <c r="B7" i="9"/>
  <c r="F6" i="9" s="1"/>
  <c r="C7" i="9"/>
  <c r="D6" i="9" s="1"/>
  <c r="E6" i="9" s="1"/>
  <c r="A8" i="9"/>
  <c r="K5" i="10"/>
  <c r="J5" i="10"/>
  <c r="G5" i="10"/>
  <c r="J4" i="9"/>
  <c r="K4" i="9"/>
  <c r="G4" i="9"/>
  <c r="J4" i="13"/>
  <c r="I4" i="13"/>
  <c r="F5" i="9"/>
  <c r="A12" i="13"/>
  <c r="C11" i="13"/>
  <c r="B11" i="13"/>
  <c r="I4" i="10"/>
  <c r="A8" i="10"/>
  <c r="C7" i="10"/>
  <c r="D6" i="10" s="1"/>
  <c r="E6" i="10" s="1"/>
  <c r="B7" i="10"/>
  <c r="F6" i="10" s="1"/>
  <c r="D5" i="9"/>
  <c r="E5" i="9" s="1"/>
  <c r="W6" i="1"/>
  <c r="W161" i="12"/>
  <c r="W44" i="12"/>
  <c r="W221" i="12"/>
  <c r="W61" i="12"/>
  <c r="W69" i="12"/>
  <c r="W169" i="12"/>
  <c r="W34" i="12"/>
  <c r="W78" i="12"/>
  <c r="W236" i="12"/>
  <c r="W119" i="12"/>
  <c r="W162" i="12"/>
  <c r="W154" i="12"/>
  <c r="W191" i="12"/>
  <c r="W150" i="12"/>
  <c r="W165" i="12"/>
  <c r="W84" i="12"/>
  <c r="W133" i="12"/>
  <c r="W62" i="12"/>
  <c r="W214" i="12"/>
  <c r="W31" i="12"/>
  <c r="W127" i="12"/>
  <c r="W164" i="12"/>
  <c r="W143" i="12"/>
  <c r="W52" i="12"/>
  <c r="W110" i="12"/>
  <c r="W92" i="12"/>
  <c r="W219" i="12"/>
  <c r="W16" i="12"/>
  <c r="W102" i="12"/>
  <c r="W151" i="12"/>
  <c r="W177" i="12"/>
  <c r="W126" i="12"/>
  <c r="W140" i="12"/>
  <c r="W207" i="12"/>
  <c r="W41" i="12"/>
  <c r="W70" i="12"/>
  <c r="W8" i="12"/>
  <c r="W183" i="12"/>
  <c r="W40" i="12"/>
  <c r="W24" i="12"/>
  <c r="W26" i="12"/>
  <c r="W33" i="12"/>
  <c r="W196" i="12"/>
  <c r="W168" i="12"/>
  <c r="W190" i="12"/>
  <c r="W157" i="12"/>
  <c r="W149" i="12"/>
  <c r="W170" i="12"/>
  <c r="W187" i="12"/>
  <c r="W12" i="12"/>
  <c r="W49" i="12"/>
  <c r="W90" i="12"/>
  <c r="W32" i="12"/>
  <c r="W37" i="12"/>
  <c r="W5" i="12"/>
  <c r="W166" i="12"/>
  <c r="W245" i="12"/>
  <c r="W249" i="12"/>
  <c r="W197" i="12"/>
  <c r="W106" i="12"/>
  <c r="N14" i="11"/>
  <c r="W142" i="12"/>
  <c r="W30" i="12"/>
  <c r="W199" i="12"/>
  <c r="W195" i="12"/>
  <c r="W204" i="12"/>
  <c r="W189" i="12"/>
  <c r="W205" i="12"/>
  <c r="W17" i="12"/>
  <c r="W158" i="12"/>
  <c r="W178" i="12"/>
  <c r="W11" i="12"/>
  <c r="W28" i="12"/>
  <c r="W238" i="12"/>
  <c r="W19" i="12"/>
  <c r="W181" i="12"/>
  <c r="W239" i="12"/>
  <c r="W248" i="12"/>
  <c r="W76" i="12"/>
  <c r="W145" i="12"/>
  <c r="W172" i="12"/>
  <c r="W137" i="12"/>
  <c r="W25" i="12"/>
  <c r="W57" i="12"/>
  <c r="W148" i="12"/>
  <c r="W74" i="12"/>
  <c r="W141" i="12"/>
  <c r="W203" i="12"/>
  <c r="W65" i="12"/>
  <c r="W9" i="12"/>
  <c r="W247" i="12"/>
  <c r="N67" i="11"/>
  <c r="N36" i="11"/>
  <c r="N71" i="11"/>
  <c r="W185" i="12"/>
  <c r="W225" i="12"/>
  <c r="W211" i="12"/>
  <c r="W209" i="12"/>
  <c r="W186" i="12"/>
  <c r="W243" i="12"/>
  <c r="W198" i="12"/>
  <c r="W114" i="12"/>
  <c r="W98" i="12"/>
  <c r="W233" i="12"/>
  <c r="W60" i="12"/>
  <c r="W111" i="12"/>
  <c r="W250" i="12"/>
  <c r="W53" i="12"/>
  <c r="W15" i="12"/>
  <c r="N97" i="11"/>
  <c r="W48" i="12"/>
  <c r="W180" i="12"/>
  <c r="W135" i="12"/>
  <c r="W10" i="12"/>
  <c r="W213" i="12"/>
  <c r="W36" i="12"/>
  <c r="W201" i="12"/>
  <c r="W103" i="12"/>
  <c r="W121" i="12"/>
  <c r="W206" i="12"/>
  <c r="W67" i="12"/>
  <c r="W27" i="12"/>
  <c r="W22" i="12"/>
  <c r="W45" i="12"/>
  <c r="W241" i="12"/>
  <c r="N35" i="11"/>
  <c r="W235" i="12"/>
  <c r="N59" i="11"/>
  <c r="W6" i="12"/>
  <c r="N34" i="11"/>
  <c r="N30" i="11"/>
  <c r="W82" i="12"/>
  <c r="W246" i="12"/>
  <c r="W167" i="12"/>
  <c r="W242" i="12"/>
  <c r="W237" i="12"/>
  <c r="N40" i="11"/>
  <c r="N23" i="11"/>
  <c r="W18" i="12"/>
  <c r="W202" i="12"/>
  <c r="W7" i="12"/>
  <c r="W230" i="12"/>
  <c r="W229" i="12"/>
  <c r="W173" i="12"/>
  <c r="W20" i="12"/>
  <c r="W152" i="12"/>
  <c r="W35" i="12"/>
  <c r="N19" i="11"/>
  <c r="N53" i="11"/>
  <c r="N78" i="11"/>
  <c r="N74" i="11"/>
  <c r="W105" i="12"/>
  <c r="N73" i="11"/>
  <c r="W159" i="12"/>
  <c r="N64" i="11"/>
  <c r="W220" i="12"/>
  <c r="N61" i="11"/>
  <c r="N94" i="11"/>
  <c r="N26" i="11"/>
  <c r="N38" i="11"/>
  <c r="N39" i="11"/>
  <c r="W94" i="12"/>
  <c r="W125" i="12"/>
  <c r="N20" i="11"/>
  <c r="N46" i="11"/>
  <c r="N88" i="11"/>
  <c r="N47" i="11"/>
  <c r="W227" i="12"/>
  <c r="W129" i="12"/>
  <c r="W100" i="12"/>
  <c r="W194" i="12"/>
  <c r="W117" i="12"/>
  <c r="W138" i="12"/>
  <c r="W113" i="12"/>
  <c r="W156" i="12"/>
  <c r="W130" i="12"/>
  <c r="W153" i="12"/>
  <c r="W144" i="12"/>
  <c r="N28" i="11"/>
  <c r="N41" i="11"/>
  <c r="N25" i="11"/>
  <c r="W109" i="12"/>
  <c r="W222" i="12"/>
  <c r="W244" i="12"/>
  <c r="W193" i="12"/>
  <c r="N62" i="11"/>
  <c r="W174" i="12"/>
  <c r="N63" i="11"/>
  <c r="N87" i="11"/>
  <c r="N43" i="11"/>
  <c r="N58" i="11"/>
  <c r="N33" i="11"/>
  <c r="N55" i="11"/>
  <c r="N86" i="11"/>
  <c r="N82" i="11"/>
  <c r="N89" i="11"/>
  <c r="N77" i="11"/>
  <c r="N91" i="11"/>
  <c r="N95" i="11"/>
  <c r="N51" i="11"/>
  <c r="W218" i="12"/>
  <c r="N75" i="11"/>
  <c r="N81" i="11"/>
  <c r="N92" i="11"/>
  <c r="N12" i="11"/>
  <c r="N50" i="11"/>
  <c r="N72" i="11"/>
  <c r="W160" i="12"/>
  <c r="W107" i="12"/>
  <c r="W179" i="12"/>
  <c r="N37" i="11"/>
  <c r="N16" i="11"/>
  <c r="N83" i="11"/>
  <c r="W212" i="12"/>
  <c r="N93" i="11"/>
  <c r="N96" i="11"/>
  <c r="N80" i="11"/>
  <c r="N21" i="11"/>
  <c r="N66" i="11"/>
  <c r="N24" i="11"/>
  <c r="N48" i="11"/>
  <c r="N90" i="11"/>
  <c r="N32" i="11"/>
  <c r="N18" i="11"/>
  <c r="N13" i="11"/>
  <c r="N31" i="11"/>
  <c r="N17" i="11"/>
  <c r="W234" i="12"/>
  <c r="N45" i="11"/>
  <c r="W122" i="12"/>
  <c r="W175" i="12"/>
  <c r="I177" i="14" s="1"/>
  <c r="W188" i="12"/>
  <c r="N27" i="11"/>
  <c r="N60" i="11"/>
  <c r="W55" i="12"/>
  <c r="W210" i="12"/>
  <c r="N84" i="11"/>
  <c r="N70" i="11"/>
  <c r="W240" i="12"/>
  <c r="N15" i="11"/>
  <c r="N76" i="11"/>
  <c r="N57" i="11"/>
  <c r="N68" i="11"/>
  <c r="N52" i="11"/>
  <c r="N22" i="11"/>
  <c r="N79" i="11"/>
  <c r="W39" i="12"/>
  <c r="N85" i="11"/>
  <c r="N65" i="11"/>
  <c r="N69" i="11"/>
  <c r="N49" i="11"/>
  <c r="W46" i="12"/>
  <c r="W68" i="12"/>
  <c r="N56" i="11"/>
  <c r="W115" i="12"/>
  <c r="N54" i="11"/>
  <c r="W73" i="12"/>
  <c r="W75" i="12"/>
  <c r="W139" i="12"/>
  <c r="W182" i="12"/>
  <c r="W81" i="12"/>
  <c r="W58" i="12"/>
  <c r="N44" i="11"/>
  <c r="N42" i="11"/>
  <c r="N29" i="11"/>
  <c r="W66" i="12"/>
  <c r="W171" i="12"/>
  <c r="W64" i="12"/>
  <c r="W14" i="12"/>
  <c r="W132" i="12"/>
  <c r="W97" i="12"/>
  <c r="W21" i="12"/>
  <c r="W124" i="12"/>
  <c r="W123" i="12"/>
  <c r="W163" i="12"/>
  <c r="W71" i="12"/>
  <c r="W228" i="12"/>
  <c r="W93" i="12"/>
  <c r="W83" i="12"/>
  <c r="W101" i="12"/>
  <c r="W95" i="12"/>
  <c r="W155" i="12"/>
  <c r="W134" i="12"/>
  <c r="W116" i="12"/>
  <c r="W42" i="12"/>
  <c r="W77" i="12"/>
  <c r="W147" i="12"/>
  <c r="W23" i="12"/>
  <c r="W50" i="12"/>
  <c r="W128" i="12"/>
  <c r="W47" i="12"/>
  <c r="W87" i="12"/>
  <c r="W99" i="12"/>
  <c r="W208" i="12"/>
  <c r="W54" i="12"/>
  <c r="W63" i="12"/>
  <c r="W85" i="12"/>
  <c r="W38" i="12"/>
  <c r="W79" i="12"/>
  <c r="W226" i="12"/>
  <c r="W91" i="12"/>
  <c r="W104" i="12"/>
  <c r="W215" i="12"/>
  <c r="W223" i="12"/>
  <c r="W89" i="12"/>
  <c r="W108" i="12"/>
  <c r="W59" i="12"/>
  <c r="W43" i="12"/>
  <c r="W13" i="12"/>
  <c r="W112" i="12"/>
  <c r="W51" i="12"/>
  <c r="W120" i="12"/>
  <c r="W131" i="12"/>
  <c r="W231" i="12"/>
  <c r="AB106" i="1"/>
  <c r="AB105" i="1"/>
  <c r="C7" i="1" a="1"/>
  <c r="C7" i="1" s="1"/>
  <c r="A8" i="1"/>
  <c r="B7" i="1" a="1"/>
  <c r="B7" i="1" s="1"/>
  <c r="D7" i="1" a="1"/>
  <c r="D7" i="1" s="1"/>
  <c r="H95" i="14"/>
  <c r="O5" i="13" l="1"/>
  <c r="O4" i="13"/>
  <c r="C8" i="10"/>
  <c r="D7" i="10" s="1"/>
  <c r="E7" i="10" s="1"/>
  <c r="B8" i="10"/>
  <c r="A9" i="10"/>
  <c r="C12" i="13"/>
  <c r="B12" i="13"/>
  <c r="A13" i="13"/>
  <c r="H4" i="9"/>
  <c r="I4" i="9"/>
  <c r="I5" i="10"/>
  <c r="H5" i="10"/>
  <c r="J6" i="10"/>
  <c r="G6" i="10"/>
  <c r="K6" i="10"/>
  <c r="K6" i="9"/>
  <c r="J6" i="9"/>
  <c r="G6" i="9"/>
  <c r="A9" i="9"/>
  <c r="C8" i="9"/>
  <c r="D7" i="9" s="1"/>
  <c r="E7" i="9" s="1"/>
  <c r="B8" i="9"/>
  <c r="F7" i="9" s="1"/>
  <c r="F7" i="10"/>
  <c r="G5" i="9"/>
  <c r="K5" i="9"/>
  <c r="J5" i="9"/>
  <c r="I176" i="14"/>
  <c r="I175" i="14" s="1"/>
  <c r="I174" i="14" s="1"/>
  <c r="I173" i="14" s="1"/>
  <c r="I172" i="14" s="1"/>
  <c r="I171" i="14" s="1"/>
  <c r="I170" i="14" s="1"/>
  <c r="I169" i="14" s="1"/>
  <c r="I168" i="14" s="1"/>
  <c r="I167" i="14" s="1"/>
  <c r="I166" i="14" s="1"/>
  <c r="I165" i="14" s="1"/>
  <c r="I164" i="14" s="1"/>
  <c r="I163" i="14" s="1"/>
  <c r="I162" i="14" s="1"/>
  <c r="I161" i="14" s="1"/>
  <c r="I160" i="14" s="1"/>
  <c r="I159" i="14" s="1"/>
  <c r="I158" i="14" s="1"/>
  <c r="I157" i="14" s="1"/>
  <c r="I156" i="14" s="1"/>
  <c r="I155" i="14" s="1"/>
  <c r="I154" i="14" s="1"/>
  <c r="I153" i="14" s="1"/>
  <c r="I152" i="14" s="1"/>
  <c r="I151" i="14" s="1"/>
  <c r="I150" i="14" s="1"/>
  <c r="I149" i="14" s="1"/>
  <c r="I148" i="14" s="1"/>
  <c r="I147" i="14" s="1"/>
  <c r="I146" i="14" s="1"/>
  <c r="I145" i="14" s="1"/>
  <c r="I144" i="14" s="1"/>
  <c r="I143" i="14" s="1"/>
  <c r="I142" i="14" s="1"/>
  <c r="I141" i="14" s="1"/>
  <c r="I140" i="14" s="1"/>
  <c r="I139" i="14" s="1"/>
  <c r="I138" i="14" s="1"/>
  <c r="I137" i="14" s="1"/>
  <c r="I136" i="14" s="1"/>
  <c r="I135" i="14" s="1"/>
  <c r="I134" i="14" s="1"/>
  <c r="I133" i="14" s="1"/>
  <c r="I132" i="14" s="1"/>
  <c r="I131" i="14" s="1"/>
  <c r="I130" i="14" s="1"/>
  <c r="I129" i="14" s="1"/>
  <c r="I128" i="14" s="1"/>
  <c r="I127" i="14" s="1"/>
  <c r="I126" i="14" s="1"/>
  <c r="I125" i="14" s="1"/>
  <c r="I124" i="14" s="1"/>
  <c r="I123" i="14" s="1"/>
  <c r="I122" i="14" s="1"/>
  <c r="I121" i="14" s="1"/>
  <c r="I120" i="14" s="1"/>
  <c r="I119" i="14" s="1"/>
  <c r="I118" i="14" s="1"/>
  <c r="I117" i="14" s="1"/>
  <c r="W7" i="1"/>
  <c r="X7" i="1"/>
  <c r="D8" i="1" a="1"/>
  <c r="D8" i="1" s="1"/>
  <c r="C8" i="1" a="1"/>
  <c r="C8" i="1" s="1"/>
  <c r="B8" i="1" a="1"/>
  <c r="B8" i="1" s="1"/>
  <c r="A9" i="1"/>
  <c r="H94" i="14"/>
  <c r="J7" i="9" l="1"/>
  <c r="G7" i="9"/>
  <c r="K7" i="9"/>
  <c r="I6" i="10"/>
  <c r="H6" i="10"/>
  <c r="L6" i="10" s="1"/>
  <c r="K7" i="10"/>
  <c r="J7" i="10"/>
  <c r="G7" i="10"/>
  <c r="L5" i="10"/>
  <c r="A10" i="10"/>
  <c r="C9" i="10"/>
  <c r="D8" i="10" s="1"/>
  <c r="E8" i="10" s="1"/>
  <c r="B9" i="10"/>
  <c r="F8" i="10" s="1"/>
  <c r="L4" i="9"/>
  <c r="C9" i="9"/>
  <c r="B9" i="9"/>
  <c r="F8" i="9" s="1"/>
  <c r="A10" i="9"/>
  <c r="H5" i="9"/>
  <c r="I5" i="9"/>
  <c r="I6" i="9"/>
  <c r="H6" i="9"/>
  <c r="B13" i="13"/>
  <c r="C13" i="13"/>
  <c r="A14" i="13"/>
  <c r="S117" i="14"/>
  <c r="N117" i="14"/>
  <c r="I116" i="14"/>
  <c r="W8" i="1"/>
  <c r="X8" i="1"/>
  <c r="D9" i="1" a="1"/>
  <c r="D9" i="1" s="1"/>
  <c r="C9" i="1" a="1"/>
  <c r="C9" i="1" s="1"/>
  <c r="B9" i="1" a="1"/>
  <c r="B9" i="1" s="1"/>
  <c r="A10" i="1"/>
  <c r="H93" i="14"/>
  <c r="H92" i="14" s="1"/>
  <c r="H91" i="14" s="1"/>
  <c r="H90" i="14" s="1"/>
  <c r="H89" i="14" s="1"/>
  <c r="H88" i="14" s="1"/>
  <c r="H87" i="14" s="1"/>
  <c r="H86" i="14" s="1"/>
  <c r="H85" i="14" s="1"/>
  <c r="H84" i="14" s="1"/>
  <c r="H83" i="14" s="1"/>
  <c r="H82" i="14" s="1"/>
  <c r="H81" i="14" s="1"/>
  <c r="H80" i="14" s="1"/>
  <c r="H79" i="14" s="1"/>
  <c r="H78" i="14" s="1"/>
  <c r="H77" i="14" s="1"/>
  <c r="H76" i="14" s="1"/>
  <c r="H75" i="14" s="1"/>
  <c r="H74" i="14" s="1"/>
  <c r="H73" i="14" s="1"/>
  <c r="H72" i="14" s="1"/>
  <c r="H71" i="14" s="1"/>
  <c r="H70" i="14" s="1"/>
  <c r="H69" i="14" s="1"/>
  <c r="H68" i="14" s="1"/>
  <c r="H67" i="14" s="1"/>
  <c r="H66" i="14" s="1"/>
  <c r="H65" i="14" s="1"/>
  <c r="H64" i="14" s="1"/>
  <c r="H63" i="14" s="1"/>
  <c r="H62" i="14" s="1"/>
  <c r="H61" i="14" s="1"/>
  <c r="H60" i="14" s="1"/>
  <c r="H59" i="14" s="1"/>
  <c r="H58" i="14" s="1"/>
  <c r="H57" i="14" s="1"/>
  <c r="H56" i="14" s="1"/>
  <c r="H55" i="14" s="1"/>
  <c r="H54" i="14" s="1"/>
  <c r="H53" i="14" s="1"/>
  <c r="H52" i="14" s="1"/>
  <c r="H51" i="14" s="1"/>
  <c r="H50" i="14" s="1"/>
  <c r="H49" i="14" s="1"/>
  <c r="H48" i="14" s="1"/>
  <c r="H47" i="14" s="1"/>
  <c r="H46" i="14" s="1"/>
  <c r="H45" i="14" s="1"/>
  <c r="H44" i="14" s="1"/>
  <c r="H43" i="14" s="1"/>
  <c r="H42" i="14" s="1"/>
  <c r="H41" i="14" s="1"/>
  <c r="H40" i="14" s="1"/>
  <c r="H39" i="14" s="1"/>
  <c r="H38" i="14" s="1"/>
  <c r="H37" i="14" s="1"/>
  <c r="H36" i="14" s="1"/>
  <c r="H35" i="14" s="1"/>
  <c r="H34" i="14" s="1"/>
  <c r="H33" i="14" s="1"/>
  <c r="H32" i="14" s="1"/>
  <c r="H31" i="14" s="1"/>
  <c r="L6" i="9" l="1"/>
  <c r="G8" i="9"/>
  <c r="I7" i="10"/>
  <c r="H7" i="10"/>
  <c r="L7" i="10" s="1"/>
  <c r="A15" i="13"/>
  <c r="C14" i="13"/>
  <c r="B14" i="13"/>
  <c r="A11" i="9"/>
  <c r="C10" i="9"/>
  <c r="D9" i="9" s="1"/>
  <c r="E9" i="9" s="1"/>
  <c r="B10" i="9"/>
  <c r="F9" i="9" s="1"/>
  <c r="J8" i="10"/>
  <c r="G8" i="10"/>
  <c r="K8" i="10"/>
  <c r="D8" i="9"/>
  <c r="E8" i="9" s="1"/>
  <c r="J8" i="9" s="1"/>
  <c r="I7" i="9"/>
  <c r="H7" i="9"/>
  <c r="L5" i="9"/>
  <c r="C10" i="10"/>
  <c r="B10" i="10"/>
  <c r="F9" i="10" s="1"/>
  <c r="A11" i="10"/>
  <c r="M33" i="14"/>
  <c r="R31" i="14"/>
  <c r="M31" i="14"/>
  <c r="H30" i="14"/>
  <c r="N116" i="14"/>
  <c r="S116" i="14"/>
  <c r="I115" i="14"/>
  <c r="A11" i="1"/>
  <c r="D10" i="1" a="1"/>
  <c r="D10" i="1" s="1"/>
  <c r="C10" i="1" a="1"/>
  <c r="C10" i="1" s="1"/>
  <c r="B10" i="1" a="1"/>
  <c r="B10" i="1" s="1"/>
  <c r="X9" i="1"/>
  <c r="W9" i="1"/>
  <c r="R41" i="14"/>
  <c r="R33" i="14"/>
  <c r="R34" i="14"/>
  <c r="R44" i="14"/>
  <c r="R35" i="14"/>
  <c r="R42" i="14"/>
  <c r="R43" i="14"/>
  <c r="R39" i="14"/>
  <c r="R32" i="14"/>
  <c r="R38" i="14"/>
  <c r="R40" i="14"/>
  <c r="R37" i="14"/>
  <c r="M32" i="14"/>
  <c r="R36" i="14"/>
  <c r="M34" i="14"/>
  <c r="M37" i="14"/>
  <c r="M44" i="14"/>
  <c r="M42" i="14"/>
  <c r="M38" i="14"/>
  <c r="M41" i="14"/>
  <c r="M39" i="14"/>
  <c r="M40" i="14"/>
  <c r="M35" i="14"/>
  <c r="M43" i="14"/>
  <c r="M36" i="14"/>
  <c r="G9" i="10" l="1"/>
  <c r="A12" i="10"/>
  <c r="C11" i="10"/>
  <c r="D10" i="10" s="1"/>
  <c r="E10" i="10" s="1"/>
  <c r="B11" i="10"/>
  <c r="C15" i="13"/>
  <c r="B15" i="13"/>
  <c r="A16" i="13"/>
  <c r="I8" i="10"/>
  <c r="H8" i="10"/>
  <c r="L8" i="10" s="1"/>
  <c r="K9" i="9"/>
  <c r="J9" i="9"/>
  <c r="G9" i="9"/>
  <c r="D9" i="10"/>
  <c r="E9" i="10" s="1"/>
  <c r="J9" i="10" s="1"/>
  <c r="I8" i="9"/>
  <c r="H8" i="9"/>
  <c r="L7" i="9"/>
  <c r="B11" i="9"/>
  <c r="F10" i="9" s="1"/>
  <c r="A12" i="9"/>
  <c r="C11" i="9"/>
  <c r="D10" i="9" s="1"/>
  <c r="E10" i="9" s="1"/>
  <c r="K8" i="9"/>
  <c r="S115" i="14"/>
  <c r="N115" i="14"/>
  <c r="I114" i="14"/>
  <c r="M30" i="14"/>
  <c r="R30" i="14"/>
  <c r="H29" i="14"/>
  <c r="X10" i="1"/>
  <c r="W10" i="1"/>
  <c r="Z5" i="1" s="1"/>
  <c r="A12" i="1"/>
  <c r="D11" i="1" a="1"/>
  <c r="D11" i="1" s="1"/>
  <c r="B11" i="1" a="1"/>
  <c r="B11" i="1" s="1"/>
  <c r="C11" i="1" a="1"/>
  <c r="C11" i="1" s="1"/>
  <c r="K10" i="9" l="1"/>
  <c r="J10" i="9"/>
  <c r="G10" i="9"/>
  <c r="L8" i="9"/>
  <c r="H9" i="9"/>
  <c r="I9" i="9"/>
  <c r="A13" i="9"/>
  <c r="C12" i="9"/>
  <c r="D11" i="9" s="1"/>
  <c r="E11" i="9" s="1"/>
  <c r="B12" i="9"/>
  <c r="F11" i="9" s="1"/>
  <c r="C12" i="10"/>
  <c r="D11" i="10" s="1"/>
  <c r="E11" i="10" s="1"/>
  <c r="B12" i="10"/>
  <c r="F11" i="10" s="1"/>
  <c r="A13" i="10"/>
  <c r="A17" i="13"/>
  <c r="C16" i="13"/>
  <c r="B16" i="13"/>
  <c r="I9" i="10"/>
  <c r="H9" i="10"/>
  <c r="F10" i="10"/>
  <c r="K9" i="10"/>
  <c r="M29" i="14"/>
  <c r="R29" i="14"/>
  <c r="H28" i="14"/>
  <c r="S114" i="14"/>
  <c r="N114" i="14"/>
  <c r="I113" i="14"/>
  <c r="X11" i="1"/>
  <c r="W11" i="1"/>
  <c r="Z6" i="1" s="1"/>
  <c r="B12" i="1" a="1"/>
  <c r="B12" i="1" s="1"/>
  <c r="A13" i="1"/>
  <c r="C12" i="1" a="1"/>
  <c r="C12" i="1" s="1"/>
  <c r="D12" i="1" a="1"/>
  <c r="D12" i="1" s="1"/>
  <c r="L9" i="10" l="1"/>
  <c r="L9" i="9"/>
  <c r="J10" i="10"/>
  <c r="G10" i="10"/>
  <c r="K10" i="10"/>
  <c r="A14" i="9"/>
  <c r="B13" i="9"/>
  <c r="F12" i="9" s="1"/>
  <c r="C13" i="9"/>
  <c r="D12" i="9" s="1"/>
  <c r="E12" i="9" s="1"/>
  <c r="A14" i="10"/>
  <c r="C13" i="10"/>
  <c r="D12" i="10" s="1"/>
  <c r="E12" i="10" s="1"/>
  <c r="B13" i="10"/>
  <c r="K11" i="10"/>
  <c r="J11" i="10"/>
  <c r="G11" i="10"/>
  <c r="A18" i="13"/>
  <c r="C17" i="13"/>
  <c r="B17" i="13"/>
  <c r="G11" i="9"/>
  <c r="K11" i="9"/>
  <c r="J11" i="9"/>
  <c r="I10" i="9"/>
  <c r="H10" i="9"/>
  <c r="N113" i="14"/>
  <c r="S113" i="14"/>
  <c r="I112" i="14"/>
  <c r="M28" i="14"/>
  <c r="R28" i="14"/>
  <c r="H27" i="14"/>
  <c r="C13" i="1" a="1"/>
  <c r="C13" i="1" s="1"/>
  <c r="B13" i="1" a="1"/>
  <c r="B13" i="1" s="1"/>
  <c r="A14" i="1"/>
  <c r="D13" i="1" a="1"/>
  <c r="D13" i="1" s="1"/>
  <c r="W12" i="1"/>
  <c r="X12" i="1"/>
  <c r="L10" i="9" l="1"/>
  <c r="C14" i="10"/>
  <c r="B14" i="10"/>
  <c r="A15" i="10"/>
  <c r="F12" i="10"/>
  <c r="K12" i="9"/>
  <c r="G12" i="9"/>
  <c r="J12" i="9"/>
  <c r="H11" i="9"/>
  <c r="I11" i="9"/>
  <c r="I11" i="10"/>
  <c r="H11" i="10"/>
  <c r="B18" i="13"/>
  <c r="A19" i="13"/>
  <c r="C18" i="13"/>
  <c r="C14" i="9"/>
  <c r="D13" i="9" s="1"/>
  <c r="E13" i="9" s="1"/>
  <c r="A15" i="9"/>
  <c r="B14" i="9"/>
  <c r="I10" i="10"/>
  <c r="H10" i="10"/>
  <c r="M27" i="14"/>
  <c r="R27" i="14"/>
  <c r="H26" i="14"/>
  <c r="N112" i="14"/>
  <c r="S112" i="14"/>
  <c r="I111" i="14"/>
  <c r="D14" i="1" a="1"/>
  <c r="D14" i="1" s="1"/>
  <c r="C14" i="1" a="1"/>
  <c r="C14" i="1" s="1"/>
  <c r="B14" i="1" a="1"/>
  <c r="B14" i="1" s="1"/>
  <c r="A15" i="1"/>
  <c r="X13" i="1"/>
  <c r="W13" i="1"/>
  <c r="Z7" i="1"/>
  <c r="L11" i="10" l="1"/>
  <c r="L11" i="9"/>
  <c r="I12" i="9"/>
  <c r="H12" i="9"/>
  <c r="L12" i="9" s="1"/>
  <c r="A16" i="10"/>
  <c r="C15" i="10"/>
  <c r="D14" i="10" s="1"/>
  <c r="E14" i="10" s="1"/>
  <c r="B15" i="10"/>
  <c r="F14" i="10" s="1"/>
  <c r="A16" i="9"/>
  <c r="C15" i="9"/>
  <c r="D14" i="9" s="1"/>
  <c r="E14" i="9" s="1"/>
  <c r="B15" i="9"/>
  <c r="J12" i="10"/>
  <c r="G12" i="10"/>
  <c r="K12" i="10"/>
  <c r="F13" i="10"/>
  <c r="L10" i="10"/>
  <c r="F13" i="9"/>
  <c r="D13" i="10"/>
  <c r="E13" i="10" s="1"/>
  <c r="C19" i="13"/>
  <c r="B19" i="13"/>
  <c r="A20" i="13"/>
  <c r="S111" i="14"/>
  <c r="N111" i="14"/>
  <c r="I110" i="14"/>
  <c r="R26" i="14"/>
  <c r="M26" i="14"/>
  <c r="H25" i="14"/>
  <c r="D15" i="1" a="1"/>
  <c r="D15" i="1" s="1"/>
  <c r="C15" i="1" a="1"/>
  <c r="C15" i="1" s="1"/>
  <c r="B15" i="1" a="1"/>
  <c r="B15" i="1" s="1"/>
  <c r="A16" i="1"/>
  <c r="W14" i="1"/>
  <c r="Z9" i="1" s="1"/>
  <c r="X14" i="1"/>
  <c r="Z8" i="1"/>
  <c r="K13" i="10" l="1"/>
  <c r="J13" i="10"/>
  <c r="G13" i="10"/>
  <c r="I12" i="10"/>
  <c r="H12" i="10"/>
  <c r="L12" i="10" s="1"/>
  <c r="A17" i="9"/>
  <c r="C16" i="9"/>
  <c r="D15" i="9" s="1"/>
  <c r="E15" i="9" s="1"/>
  <c r="B16" i="9"/>
  <c r="F14" i="9"/>
  <c r="J14" i="10"/>
  <c r="G14" i="10"/>
  <c r="K14" i="10"/>
  <c r="C20" i="13"/>
  <c r="B20" i="13"/>
  <c r="A21" i="13"/>
  <c r="C16" i="10"/>
  <c r="B16" i="10"/>
  <c r="F15" i="10" s="1"/>
  <c r="A17" i="10"/>
  <c r="G13" i="9"/>
  <c r="K13" i="9"/>
  <c r="J13" i="9"/>
  <c r="R25" i="14"/>
  <c r="M25" i="14"/>
  <c r="H24" i="14"/>
  <c r="S110" i="14"/>
  <c r="N110" i="14"/>
  <c r="I109" i="14"/>
  <c r="D16" i="1" a="1"/>
  <c r="D16" i="1" s="1"/>
  <c r="C16" i="1" a="1"/>
  <c r="C16" i="1" s="1"/>
  <c r="B16" i="1" a="1"/>
  <c r="B16" i="1" s="1"/>
  <c r="A17" i="1"/>
  <c r="W15" i="1"/>
  <c r="X15" i="1"/>
  <c r="G15" i="10" l="1"/>
  <c r="I13" i="9"/>
  <c r="H13" i="9"/>
  <c r="K14" i="9"/>
  <c r="J14" i="9"/>
  <c r="G14" i="9"/>
  <c r="A18" i="10"/>
  <c r="C17" i="10"/>
  <c r="B17" i="10"/>
  <c r="B17" i="9"/>
  <c r="A18" i="9"/>
  <c r="C17" i="9"/>
  <c r="D16" i="9" s="1"/>
  <c r="E16" i="9" s="1"/>
  <c r="D15" i="10"/>
  <c r="E15" i="10" s="1"/>
  <c r="J15" i="10" s="1"/>
  <c r="F15" i="9"/>
  <c r="I14" i="10"/>
  <c r="H14" i="10"/>
  <c r="B21" i="13"/>
  <c r="A22" i="13"/>
  <c r="C21" i="13"/>
  <c r="I13" i="10"/>
  <c r="H13" i="10"/>
  <c r="N109" i="14"/>
  <c r="S109" i="14"/>
  <c r="I108" i="14"/>
  <c r="R24" i="14"/>
  <c r="M24" i="14"/>
  <c r="H23" i="14"/>
  <c r="D17" i="1" a="1"/>
  <c r="D17" i="1" s="1"/>
  <c r="C17" i="1" a="1"/>
  <c r="C17" i="1" s="1"/>
  <c r="B17" i="1" a="1"/>
  <c r="B17" i="1" s="1"/>
  <c r="A18" i="1"/>
  <c r="W16" i="1"/>
  <c r="X16" i="1"/>
  <c r="Z10" i="1"/>
  <c r="L14" i="10" l="1"/>
  <c r="L13" i="9"/>
  <c r="L13" i="10"/>
  <c r="F16" i="10"/>
  <c r="I14" i="9"/>
  <c r="H14" i="9"/>
  <c r="F16" i="9"/>
  <c r="A23" i="13"/>
  <c r="C22" i="13"/>
  <c r="B22" i="13"/>
  <c r="D16" i="10"/>
  <c r="E16" i="10" s="1"/>
  <c r="I15" i="10"/>
  <c r="H15" i="10"/>
  <c r="J15" i="9"/>
  <c r="G15" i="9"/>
  <c r="K15" i="9"/>
  <c r="A19" i="9"/>
  <c r="C18" i="9"/>
  <c r="B18" i="9"/>
  <c r="C18" i="10"/>
  <c r="B18" i="10"/>
  <c r="A19" i="10"/>
  <c r="K15" i="10"/>
  <c r="R23" i="14"/>
  <c r="M23" i="14"/>
  <c r="H22" i="14"/>
  <c r="N108" i="14"/>
  <c r="S108" i="14"/>
  <c r="I107" i="14"/>
  <c r="D18" i="1" a="1"/>
  <c r="D18" i="1" s="1"/>
  <c r="C18" i="1" a="1"/>
  <c r="C18" i="1" s="1"/>
  <c r="B18" i="1" a="1"/>
  <c r="B18" i="1" s="1"/>
  <c r="A19" i="1"/>
  <c r="Z11" i="1"/>
  <c r="W17" i="1"/>
  <c r="X17" i="1"/>
  <c r="L15" i="10" l="1"/>
  <c r="L14" i="9"/>
  <c r="I15" i="9"/>
  <c r="H15" i="9"/>
  <c r="J16" i="9"/>
  <c r="G16" i="9"/>
  <c r="K16" i="9"/>
  <c r="A20" i="10"/>
  <c r="C19" i="10"/>
  <c r="D18" i="10" s="1"/>
  <c r="E18" i="10" s="1"/>
  <c r="B19" i="10"/>
  <c r="J16" i="10"/>
  <c r="G16" i="10"/>
  <c r="K16" i="10"/>
  <c r="C23" i="13"/>
  <c r="B23" i="13"/>
  <c r="A24" i="13"/>
  <c r="F18" i="10"/>
  <c r="F17" i="10"/>
  <c r="D17" i="10"/>
  <c r="E17" i="10" s="1"/>
  <c r="A20" i="9"/>
  <c r="B19" i="9"/>
  <c r="F18" i="9" s="1"/>
  <c r="C19" i="9"/>
  <c r="F17" i="9"/>
  <c r="D17" i="9"/>
  <c r="E17" i="9" s="1"/>
  <c r="N107" i="14"/>
  <c r="S107" i="14"/>
  <c r="I106" i="14"/>
  <c r="M22" i="14"/>
  <c r="R22" i="14"/>
  <c r="H21" i="14"/>
  <c r="A20" i="1"/>
  <c r="D19" i="1" a="1"/>
  <c r="D19" i="1" s="1"/>
  <c r="C19" i="1" a="1"/>
  <c r="C19" i="1" s="1"/>
  <c r="B19" i="1" a="1"/>
  <c r="B19" i="1" s="1"/>
  <c r="X18" i="1"/>
  <c r="W18" i="1"/>
  <c r="Z12" i="1"/>
  <c r="L15" i="9" l="1"/>
  <c r="J18" i="10"/>
  <c r="G18" i="10"/>
  <c r="K18" i="10"/>
  <c r="A25" i="13"/>
  <c r="C24" i="13"/>
  <c r="B24" i="13"/>
  <c r="K17" i="10"/>
  <c r="J17" i="10"/>
  <c r="G17" i="10"/>
  <c r="G18" i="9"/>
  <c r="C20" i="10"/>
  <c r="B20" i="10"/>
  <c r="A21" i="10"/>
  <c r="I16" i="10"/>
  <c r="H16" i="10"/>
  <c r="I16" i="9"/>
  <c r="H16" i="9"/>
  <c r="K17" i="9"/>
  <c r="J17" i="9"/>
  <c r="G17" i="9"/>
  <c r="D18" i="9"/>
  <c r="E18" i="9" s="1"/>
  <c r="J18" i="9" s="1"/>
  <c r="C20" i="9"/>
  <c r="B20" i="9"/>
  <c r="A21" i="9"/>
  <c r="M21" i="14"/>
  <c r="R21" i="14"/>
  <c r="H20" i="14"/>
  <c r="G19" i="1" s="1" a="1"/>
  <c r="G19" i="1" s="1"/>
  <c r="N106" i="14"/>
  <c r="S106" i="14"/>
  <c r="I105" i="14"/>
  <c r="X19" i="1"/>
  <c r="W19" i="1"/>
  <c r="Z13" i="1"/>
  <c r="A21" i="1"/>
  <c r="G20" i="1" a="1"/>
  <c r="G20" i="1" s="1"/>
  <c r="D20" i="1" a="1"/>
  <c r="D20" i="1" s="1"/>
  <c r="B20" i="1" a="1"/>
  <c r="B20" i="1" s="1"/>
  <c r="C20" i="1" a="1"/>
  <c r="C20" i="1" s="1"/>
  <c r="N20" i="1" a="1"/>
  <c r="N20" i="1" s="1"/>
  <c r="O20" i="1" a="1"/>
  <c r="O20" i="1" s="1"/>
  <c r="L16" i="10" l="1"/>
  <c r="L16" i="9"/>
  <c r="O19" i="1" a="1"/>
  <c r="O19" i="1" s="1"/>
  <c r="N19" i="1" a="1"/>
  <c r="N19" i="1" s="1"/>
  <c r="K18" i="9"/>
  <c r="A22" i="10"/>
  <c r="C21" i="10"/>
  <c r="D20" i="10" s="1"/>
  <c r="E20" i="10" s="1"/>
  <c r="B21" i="10"/>
  <c r="F20" i="10" s="1"/>
  <c r="F19" i="10"/>
  <c r="I18" i="9"/>
  <c r="H18" i="9"/>
  <c r="L18" i="9" s="1"/>
  <c r="I17" i="10"/>
  <c r="H17" i="10"/>
  <c r="L17" i="10" s="1"/>
  <c r="C21" i="9"/>
  <c r="D20" i="9" s="1"/>
  <c r="E20" i="9" s="1"/>
  <c r="B21" i="9"/>
  <c r="F20" i="9" s="1"/>
  <c r="A22" i="9"/>
  <c r="D19" i="10"/>
  <c r="E19" i="10" s="1"/>
  <c r="D19" i="9"/>
  <c r="E19" i="9" s="1"/>
  <c r="F19" i="9"/>
  <c r="A26" i="13"/>
  <c r="B25" i="13"/>
  <c r="C25" i="13"/>
  <c r="I18" i="10"/>
  <c r="H18" i="10"/>
  <c r="I17" i="9"/>
  <c r="H17" i="9"/>
  <c r="S105" i="14"/>
  <c r="N105" i="14"/>
  <c r="I104" i="14"/>
  <c r="M20" i="14"/>
  <c r="R20" i="14"/>
  <c r="H19" i="14"/>
  <c r="G18" i="1" s="1" a="1"/>
  <c r="G18" i="1" s="1"/>
  <c r="W20" i="1"/>
  <c r="X20" i="1"/>
  <c r="Z14" i="1"/>
  <c r="B21" i="1" a="1"/>
  <c r="B21" i="1" s="1"/>
  <c r="A22" i="1"/>
  <c r="G21" i="1" a="1"/>
  <c r="G21" i="1" s="1"/>
  <c r="C21" i="1" a="1"/>
  <c r="C21" i="1" s="1"/>
  <c r="D21" i="1" a="1"/>
  <c r="D21" i="1" s="1"/>
  <c r="O21" i="1" a="1"/>
  <c r="O21" i="1" s="1"/>
  <c r="N21" i="1" a="1"/>
  <c r="N21" i="1" s="1"/>
  <c r="O18" i="1" l="1" a="1"/>
  <c r="O18" i="1" s="1"/>
  <c r="N18" i="1" a="1"/>
  <c r="N18" i="1" s="1"/>
  <c r="L18" i="10"/>
  <c r="G20" i="9"/>
  <c r="K20" i="9"/>
  <c r="J20" i="9"/>
  <c r="J20" i="10"/>
  <c r="G20" i="10"/>
  <c r="K20" i="10"/>
  <c r="C26" i="13"/>
  <c r="B26" i="13"/>
  <c r="A27" i="13"/>
  <c r="J19" i="9"/>
  <c r="G19" i="9"/>
  <c r="K19" i="9"/>
  <c r="A23" i="9"/>
  <c r="C22" i="9"/>
  <c r="D21" i="9" s="1"/>
  <c r="E21" i="9" s="1"/>
  <c r="B22" i="9"/>
  <c r="F21" i="9" s="1"/>
  <c r="L17" i="9"/>
  <c r="K19" i="10"/>
  <c r="J19" i="10"/>
  <c r="G19" i="10"/>
  <c r="C22" i="10"/>
  <c r="B22" i="10"/>
  <c r="A23" i="10"/>
  <c r="M19" i="14"/>
  <c r="R19" i="14"/>
  <c r="H18" i="14"/>
  <c r="G17" i="1" s="1" a="1"/>
  <c r="G17" i="1" s="1"/>
  <c r="N104" i="14"/>
  <c r="S104" i="14"/>
  <c r="I103" i="14"/>
  <c r="C22" i="1" a="1"/>
  <c r="C22" i="1" s="1"/>
  <c r="B22" i="1" a="1"/>
  <c r="B22" i="1" s="1"/>
  <c r="A23" i="1"/>
  <c r="G22" i="1" a="1"/>
  <c r="G22" i="1" s="1"/>
  <c r="D22" i="1" a="1"/>
  <c r="D22" i="1" s="1"/>
  <c r="O22" i="1" a="1"/>
  <c r="O22" i="1" s="1"/>
  <c r="N22" i="1" a="1"/>
  <c r="N22" i="1" s="1"/>
  <c r="Z15" i="1"/>
  <c r="W21" i="1"/>
  <c r="X21" i="1"/>
  <c r="N17" i="1" l="1" a="1"/>
  <c r="N17" i="1" s="1"/>
  <c r="O17" i="1" a="1"/>
  <c r="O17" i="1" s="1"/>
  <c r="I19" i="10"/>
  <c r="H19" i="10"/>
  <c r="A24" i="9"/>
  <c r="C23" i="9"/>
  <c r="B23" i="9"/>
  <c r="I19" i="9"/>
  <c r="H19" i="9"/>
  <c r="A28" i="13"/>
  <c r="C27" i="13"/>
  <c r="B27" i="13"/>
  <c r="J21" i="9"/>
  <c r="K21" i="9"/>
  <c r="G21" i="9"/>
  <c r="A24" i="10"/>
  <c r="C23" i="10"/>
  <c r="B23" i="10"/>
  <c r="D21" i="10"/>
  <c r="E21" i="10" s="1"/>
  <c r="I20" i="10"/>
  <c r="H20" i="10"/>
  <c r="F21" i="10"/>
  <c r="I20" i="9"/>
  <c r="H20" i="9"/>
  <c r="N103" i="14"/>
  <c r="S103" i="14"/>
  <c r="I102" i="14"/>
  <c r="R18" i="14"/>
  <c r="M18" i="14"/>
  <c r="H17" i="14"/>
  <c r="G16" i="1" a="1"/>
  <c r="G16" i="1" s="1"/>
  <c r="Z16" i="1"/>
  <c r="O23" i="1" a="1"/>
  <c r="O23" i="1" s="1"/>
  <c r="D23" i="1" a="1"/>
  <c r="D23" i="1" s="1"/>
  <c r="C23" i="1" a="1"/>
  <c r="C23" i="1" s="1"/>
  <c r="A24" i="1"/>
  <c r="B23" i="1" a="1"/>
  <c r="B23" i="1" s="1"/>
  <c r="G23" i="1" a="1"/>
  <c r="G23" i="1" s="1"/>
  <c r="N23" i="1" a="1"/>
  <c r="N23" i="1" s="1"/>
  <c r="W22" i="1"/>
  <c r="Z17" i="1" s="1"/>
  <c r="X22" i="1"/>
  <c r="L19" i="9" l="1"/>
  <c r="N16" i="1" a="1"/>
  <c r="N16" i="1" s="1"/>
  <c r="O16" i="1" a="1"/>
  <c r="O16" i="1" s="1"/>
  <c r="L20" i="9"/>
  <c r="D22" i="10"/>
  <c r="E22" i="10" s="1"/>
  <c r="C24" i="10"/>
  <c r="B24" i="10"/>
  <c r="F23" i="10" s="1"/>
  <c r="A25" i="10"/>
  <c r="I21" i="9"/>
  <c r="H21" i="9"/>
  <c r="A29" i="13"/>
  <c r="B28" i="13"/>
  <c r="C28" i="13"/>
  <c r="C24" i="9"/>
  <c r="B24" i="9"/>
  <c r="A25" i="9"/>
  <c r="F22" i="9"/>
  <c r="K21" i="10"/>
  <c r="J21" i="10"/>
  <c r="G21" i="10"/>
  <c r="D22" i="9"/>
  <c r="E22" i="9" s="1"/>
  <c r="F22" i="10"/>
  <c r="L19" i="10"/>
  <c r="L20" i="10"/>
  <c r="R17" i="14"/>
  <c r="M17" i="14"/>
  <c r="H16" i="14"/>
  <c r="G15" i="1" s="1" a="1"/>
  <c r="G15" i="1" s="1"/>
  <c r="N102" i="14"/>
  <c r="S102" i="14"/>
  <c r="I101" i="14"/>
  <c r="X23" i="1"/>
  <c r="W23" i="1"/>
  <c r="C24" i="1" a="1"/>
  <c r="C24" i="1" s="1"/>
  <c r="B24" i="1" a="1"/>
  <c r="B24" i="1" s="1"/>
  <c r="A25" i="1"/>
  <c r="G24" i="1" a="1"/>
  <c r="G24" i="1" s="1"/>
  <c r="D24" i="1" a="1"/>
  <c r="D24" i="1" s="1"/>
  <c r="O24" i="1" a="1"/>
  <c r="O24" i="1" s="1"/>
  <c r="N24" i="1" a="1"/>
  <c r="N24" i="1" s="1"/>
  <c r="N15" i="1" l="1" a="1"/>
  <c r="N15" i="1" s="1"/>
  <c r="O15" i="1" a="1"/>
  <c r="O15" i="1" s="1"/>
  <c r="L21" i="9"/>
  <c r="C25" i="9"/>
  <c r="D24" i="9" s="1"/>
  <c r="E24" i="9" s="1"/>
  <c r="B25" i="9"/>
  <c r="F24" i="9" s="1"/>
  <c r="A26" i="9"/>
  <c r="F23" i="9"/>
  <c r="B29" i="13"/>
  <c r="C29" i="13"/>
  <c r="A30" i="13"/>
  <c r="G23" i="10"/>
  <c r="A26" i="10"/>
  <c r="C25" i="10"/>
  <c r="D24" i="10" s="1"/>
  <c r="E24" i="10" s="1"/>
  <c r="B25" i="10"/>
  <c r="F24" i="10" s="1"/>
  <c r="K22" i="9"/>
  <c r="J22" i="9"/>
  <c r="G22" i="9"/>
  <c r="D23" i="9"/>
  <c r="E23" i="9" s="1"/>
  <c r="J22" i="10"/>
  <c r="G22" i="10"/>
  <c r="K22" i="10"/>
  <c r="I21" i="10"/>
  <c r="H21" i="10"/>
  <c r="D23" i="10"/>
  <c r="E23" i="10" s="1"/>
  <c r="J23" i="10" s="1"/>
  <c r="N101" i="14"/>
  <c r="S101" i="14"/>
  <c r="I100" i="14"/>
  <c r="R16" i="14"/>
  <c r="M16" i="14"/>
  <c r="H15" i="14"/>
  <c r="G14" i="1" s="1" a="1"/>
  <c r="G14" i="1" s="1"/>
  <c r="D25" i="1" a="1"/>
  <c r="D25" i="1" s="1"/>
  <c r="C25" i="1" a="1"/>
  <c r="C25" i="1" s="1"/>
  <c r="A26" i="1"/>
  <c r="G25" i="1" a="1"/>
  <c r="G25" i="1" s="1"/>
  <c r="B25" i="1" a="1"/>
  <c r="B25" i="1" s="1"/>
  <c r="N25" i="1" a="1"/>
  <c r="N25" i="1" s="1"/>
  <c r="O25" i="1" a="1"/>
  <c r="O25" i="1" s="1"/>
  <c r="W24" i="1"/>
  <c r="Z19" i="1" s="1"/>
  <c r="X24" i="1"/>
  <c r="Z18" i="1"/>
  <c r="N14" i="1" l="1" a="1"/>
  <c r="N14" i="1" s="1"/>
  <c r="O14" i="1" a="1"/>
  <c r="O14" i="1" s="1"/>
  <c r="L21" i="10"/>
  <c r="K23" i="9"/>
  <c r="J23" i="9"/>
  <c r="G23" i="9"/>
  <c r="J24" i="10"/>
  <c r="G24" i="10"/>
  <c r="K24" i="10"/>
  <c r="A31" i="13"/>
  <c r="C30" i="13"/>
  <c r="B30" i="13"/>
  <c r="C26" i="10"/>
  <c r="D25" i="10" s="1"/>
  <c r="E25" i="10" s="1"/>
  <c r="B26" i="10"/>
  <c r="A27" i="10"/>
  <c r="I22" i="9"/>
  <c r="H22" i="9"/>
  <c r="I22" i="10"/>
  <c r="H22" i="10"/>
  <c r="I23" i="10"/>
  <c r="H23" i="10"/>
  <c r="K23" i="10"/>
  <c r="G24" i="9"/>
  <c r="K24" i="9"/>
  <c r="J24" i="9"/>
  <c r="C26" i="9"/>
  <c r="D25" i="9" s="1"/>
  <c r="E25" i="9" s="1"/>
  <c r="B26" i="9"/>
  <c r="F25" i="9" s="1"/>
  <c r="A27" i="9"/>
  <c r="R15" i="14"/>
  <c r="M15" i="14"/>
  <c r="H14" i="14"/>
  <c r="G13" i="1" s="1" a="1"/>
  <c r="G13" i="1" s="1"/>
  <c r="N100" i="14"/>
  <c r="S100" i="14"/>
  <c r="I99" i="14"/>
  <c r="W25" i="1"/>
  <c r="Z20" i="1" s="1"/>
  <c r="X25" i="1"/>
  <c r="D26" i="1" a="1"/>
  <c r="D26" i="1" s="1"/>
  <c r="B26" i="1" a="1"/>
  <c r="B26" i="1" s="1"/>
  <c r="A27" i="1"/>
  <c r="G26" i="1" a="1"/>
  <c r="G26" i="1" s="1"/>
  <c r="C26" i="1" a="1"/>
  <c r="C26" i="1" s="1"/>
  <c r="N26" i="1" a="1"/>
  <c r="N26" i="1" s="1"/>
  <c r="O26" i="1" a="1"/>
  <c r="O26" i="1" s="1"/>
  <c r="L22" i="10" l="1"/>
  <c r="N13" i="1" a="1"/>
  <c r="N13" i="1" s="1"/>
  <c r="O13" i="1" a="1"/>
  <c r="O13" i="1" s="1"/>
  <c r="L23" i="10"/>
  <c r="L22" i="9"/>
  <c r="A28" i="10"/>
  <c r="C27" i="10"/>
  <c r="D26" i="10" s="1"/>
  <c r="E26" i="10" s="1"/>
  <c r="B27" i="10"/>
  <c r="F26" i="10" s="1"/>
  <c r="I24" i="9"/>
  <c r="H24" i="9"/>
  <c r="L24" i="9" s="1"/>
  <c r="C31" i="13"/>
  <c r="A32" i="13"/>
  <c r="B31" i="13"/>
  <c r="J25" i="9"/>
  <c r="G25" i="9"/>
  <c r="K25" i="9"/>
  <c r="F25" i="10"/>
  <c r="I24" i="10"/>
  <c r="H24" i="10"/>
  <c r="C27" i="9"/>
  <c r="D26" i="9" s="1"/>
  <c r="E26" i="9" s="1"/>
  <c r="B27" i="9"/>
  <c r="F26" i="9" s="1"/>
  <c r="A28" i="9"/>
  <c r="I23" i="9"/>
  <c r="H23" i="9"/>
  <c r="N99" i="14"/>
  <c r="S99" i="14"/>
  <c r="I98" i="14"/>
  <c r="M14" i="14"/>
  <c r="R14" i="14"/>
  <c r="H13" i="14"/>
  <c r="G12" i="1" s="1" a="1"/>
  <c r="G12" i="1" s="1"/>
  <c r="C27" i="1" a="1"/>
  <c r="C27" i="1" s="1"/>
  <c r="B27" i="1" a="1"/>
  <c r="B27" i="1" s="1"/>
  <c r="A28" i="1"/>
  <c r="G27" i="1" a="1"/>
  <c r="G27" i="1" s="1"/>
  <c r="D27" i="1" a="1"/>
  <c r="D27" i="1" s="1"/>
  <c r="N27" i="1" a="1"/>
  <c r="N27" i="1" s="1"/>
  <c r="O27" i="1" a="1"/>
  <c r="O27" i="1" s="1"/>
  <c r="X26" i="1"/>
  <c r="W26" i="1"/>
  <c r="Z21" i="1" s="1"/>
  <c r="O12" i="1" l="1" a="1"/>
  <c r="O12" i="1" s="1"/>
  <c r="N12" i="1" a="1"/>
  <c r="N12" i="1" s="1"/>
  <c r="L24" i="10"/>
  <c r="L23" i="9"/>
  <c r="K26" i="9"/>
  <c r="J26" i="9"/>
  <c r="G26" i="9"/>
  <c r="K25" i="10"/>
  <c r="J25" i="10"/>
  <c r="G25" i="10"/>
  <c r="I25" i="9"/>
  <c r="H25" i="9"/>
  <c r="L25" i="9" s="1"/>
  <c r="C32" i="13"/>
  <c r="B32" i="13"/>
  <c r="A33" i="13"/>
  <c r="C28" i="9"/>
  <c r="D27" i="9" s="1"/>
  <c r="E27" i="9" s="1"/>
  <c r="A29" i="9"/>
  <c r="B28" i="9"/>
  <c r="F27" i="9" s="1"/>
  <c r="J26" i="10"/>
  <c r="G26" i="10"/>
  <c r="K26" i="10"/>
  <c r="C28" i="10"/>
  <c r="D27" i="10" s="1"/>
  <c r="E27" i="10" s="1"/>
  <c r="B28" i="10"/>
  <c r="F27" i="10" s="1"/>
  <c r="A29" i="10"/>
  <c r="M13" i="14"/>
  <c r="R13" i="14"/>
  <c r="H12" i="14"/>
  <c r="G11" i="1" s="1" a="1"/>
  <c r="G11" i="1" s="1"/>
  <c r="N98" i="14"/>
  <c r="S98" i="14"/>
  <c r="I97" i="14"/>
  <c r="G28" i="1" a="1"/>
  <c r="G28" i="1" s="1"/>
  <c r="D28" i="1" a="1"/>
  <c r="D28" i="1" s="1"/>
  <c r="C28" i="1" a="1"/>
  <c r="C28" i="1" s="1"/>
  <c r="B28" i="1" a="1"/>
  <c r="B28" i="1" s="1"/>
  <c r="A29" i="1"/>
  <c r="N28" i="1" a="1"/>
  <c r="N28" i="1" s="1"/>
  <c r="O28" i="1" a="1"/>
  <c r="O28" i="1" s="1"/>
  <c r="W27" i="1"/>
  <c r="X27" i="1"/>
  <c r="O11" i="1" l="1" a="1"/>
  <c r="O11" i="1" s="1"/>
  <c r="N11" i="1" a="1"/>
  <c r="N11" i="1" s="1"/>
  <c r="J27" i="9"/>
  <c r="K27" i="9"/>
  <c r="G27" i="9"/>
  <c r="K27" i="10"/>
  <c r="J27" i="10"/>
  <c r="G27" i="10"/>
  <c r="I26" i="10"/>
  <c r="H26" i="10"/>
  <c r="L26" i="10" s="1"/>
  <c r="C33" i="13"/>
  <c r="A34" i="13"/>
  <c r="B33" i="13"/>
  <c r="A30" i="9"/>
  <c r="C29" i="9"/>
  <c r="B29" i="9"/>
  <c r="F28" i="9" s="1"/>
  <c r="I25" i="10"/>
  <c r="H25" i="10"/>
  <c r="A30" i="10"/>
  <c r="C29" i="10"/>
  <c r="D28" i="10" s="1"/>
  <c r="E28" i="10" s="1"/>
  <c r="B29" i="10"/>
  <c r="F28" i="10" s="1"/>
  <c r="I26" i="9"/>
  <c r="H26" i="9"/>
  <c r="S97" i="14"/>
  <c r="N97" i="14"/>
  <c r="I96" i="14"/>
  <c r="M12" i="14"/>
  <c r="R12" i="14"/>
  <c r="H11" i="14"/>
  <c r="G10" i="1" s="1" a="1"/>
  <c r="G10" i="1" s="1"/>
  <c r="Z22" i="1"/>
  <c r="A30" i="1"/>
  <c r="G29" i="1" a="1"/>
  <c r="G29" i="1" s="1"/>
  <c r="D29" i="1" a="1"/>
  <c r="D29" i="1" s="1"/>
  <c r="C29" i="1" a="1"/>
  <c r="C29" i="1" s="1"/>
  <c r="B29" i="1" a="1"/>
  <c r="B29" i="1" s="1"/>
  <c r="O29" i="1" a="1"/>
  <c r="O29" i="1" s="1"/>
  <c r="N29" i="1" a="1"/>
  <c r="N29" i="1" s="1"/>
  <c r="W28" i="1"/>
  <c r="X28" i="1"/>
  <c r="O10" i="1" l="1" a="1"/>
  <c r="O10" i="1" s="1"/>
  <c r="N10" i="1" a="1"/>
  <c r="N10" i="1" s="1"/>
  <c r="L25" i="10"/>
  <c r="L26" i="9"/>
  <c r="C30" i="10"/>
  <c r="D29" i="10" s="1"/>
  <c r="E29" i="10" s="1"/>
  <c r="B30" i="10"/>
  <c r="F29" i="10" s="1"/>
  <c r="A31" i="10"/>
  <c r="C30" i="9"/>
  <c r="B30" i="9"/>
  <c r="A31" i="9"/>
  <c r="G28" i="9"/>
  <c r="C34" i="13"/>
  <c r="B34" i="13"/>
  <c r="A35" i="13"/>
  <c r="D28" i="9"/>
  <c r="E28" i="9" s="1"/>
  <c r="J28" i="9" s="1"/>
  <c r="H27" i="10"/>
  <c r="I27" i="10"/>
  <c r="J28" i="10"/>
  <c r="G28" i="10"/>
  <c r="K28" i="10"/>
  <c r="I27" i="9"/>
  <c r="H27" i="9"/>
  <c r="M11" i="14"/>
  <c r="R11" i="14"/>
  <c r="H10" i="14"/>
  <c r="G9" i="1" s="1" a="1"/>
  <c r="G9" i="1" s="1"/>
  <c r="S96" i="14"/>
  <c r="N96" i="14"/>
  <c r="I95" i="14"/>
  <c r="X29" i="1"/>
  <c r="W29" i="1"/>
  <c r="A31" i="1"/>
  <c r="D30" i="1" a="1"/>
  <c r="D30" i="1" s="1"/>
  <c r="C30" i="1" a="1"/>
  <c r="C30" i="1" s="1"/>
  <c r="B30" i="1" a="1"/>
  <c r="B30" i="1" s="1"/>
  <c r="G30" i="1" a="1"/>
  <c r="G30" i="1" s="1"/>
  <c r="N30" i="1" a="1"/>
  <c r="N30" i="1" s="1"/>
  <c r="O30" i="1" a="1"/>
  <c r="O30" i="1" s="1"/>
  <c r="Z23" i="1"/>
  <c r="N9" i="1" l="1" a="1"/>
  <c r="N9" i="1" s="1"/>
  <c r="O9" i="1" a="1"/>
  <c r="O9" i="1" s="1"/>
  <c r="L27" i="9"/>
  <c r="I28" i="10"/>
  <c r="H28" i="10"/>
  <c r="K28" i="9"/>
  <c r="L27" i="10"/>
  <c r="H28" i="9"/>
  <c r="I28" i="9"/>
  <c r="C35" i="13"/>
  <c r="B35" i="13"/>
  <c r="A36" i="13"/>
  <c r="C31" i="9"/>
  <c r="D30" i="9" s="1"/>
  <c r="E30" i="9" s="1"/>
  <c r="B31" i="9"/>
  <c r="F30" i="9" s="1"/>
  <c r="A32" i="9"/>
  <c r="K29" i="10"/>
  <c r="J29" i="10"/>
  <c r="G29" i="10"/>
  <c r="D29" i="9"/>
  <c r="E29" i="9" s="1"/>
  <c r="F29" i="9"/>
  <c r="A32" i="10"/>
  <c r="C31" i="10"/>
  <c r="D30" i="10" s="1"/>
  <c r="E30" i="10" s="1"/>
  <c r="B31" i="10"/>
  <c r="F30" i="10" s="1"/>
  <c r="N95" i="14"/>
  <c r="S95" i="14"/>
  <c r="I94" i="14"/>
  <c r="R10" i="14"/>
  <c r="M10" i="14"/>
  <c r="H9" i="14"/>
  <c r="G8" i="1" s="1" a="1"/>
  <c r="G8" i="1" s="1"/>
  <c r="W30" i="1"/>
  <c r="Z25" i="1" s="1"/>
  <c r="X30" i="1"/>
  <c r="B31" i="1" a="1"/>
  <c r="B31" i="1" s="1"/>
  <c r="G31" i="1" a="1"/>
  <c r="G31" i="1" s="1"/>
  <c r="D31" i="1" a="1"/>
  <c r="D31" i="1" s="1"/>
  <c r="C31" i="1" a="1"/>
  <c r="C31" i="1" s="1"/>
  <c r="A32" i="1"/>
  <c r="N31" i="1" a="1"/>
  <c r="N31" i="1" s="1"/>
  <c r="O31" i="1" a="1"/>
  <c r="O31" i="1" s="1"/>
  <c r="Z24" i="1"/>
  <c r="N8" i="1" l="1" a="1"/>
  <c r="N8" i="1" s="1"/>
  <c r="O8" i="1" a="1"/>
  <c r="O8" i="1" s="1"/>
  <c r="L28" i="10"/>
  <c r="I29" i="10"/>
  <c r="H29" i="10"/>
  <c r="G30" i="9"/>
  <c r="K30" i="9"/>
  <c r="J30" i="9"/>
  <c r="A33" i="9"/>
  <c r="C32" i="9"/>
  <c r="B32" i="9"/>
  <c r="A37" i="13"/>
  <c r="C36" i="13"/>
  <c r="B36" i="13"/>
  <c r="K29" i="9"/>
  <c r="G29" i="9"/>
  <c r="J29" i="9"/>
  <c r="L28" i="9"/>
  <c r="J30" i="10"/>
  <c r="G30" i="10"/>
  <c r="K30" i="10"/>
  <c r="C32" i="10"/>
  <c r="B32" i="10"/>
  <c r="A33" i="10"/>
  <c r="R9" i="14"/>
  <c r="M9" i="14"/>
  <c r="H8" i="14"/>
  <c r="G7" i="1" s="1" a="1"/>
  <c r="G7" i="1" s="1"/>
  <c r="N94" i="14"/>
  <c r="S94" i="14"/>
  <c r="I93" i="14"/>
  <c r="X31" i="1"/>
  <c r="W31" i="1"/>
  <c r="Z26" i="1" s="1"/>
  <c r="C32" i="1" a="1"/>
  <c r="C32" i="1" s="1"/>
  <c r="B32" i="1" a="1"/>
  <c r="B32" i="1" s="1"/>
  <c r="A33" i="1"/>
  <c r="G32" i="1" a="1"/>
  <c r="G32" i="1" s="1"/>
  <c r="D32" i="1" a="1"/>
  <c r="D32" i="1" s="1"/>
  <c r="O32" i="1" a="1"/>
  <c r="O32" i="1" s="1"/>
  <c r="N32" i="1" a="1"/>
  <c r="N32" i="1" s="1"/>
  <c r="N7" i="1" l="1" a="1"/>
  <c r="N7" i="1" s="1"/>
  <c r="O7" i="1" a="1"/>
  <c r="O7" i="1" s="1"/>
  <c r="L29" i="10"/>
  <c r="I29" i="9"/>
  <c r="H29" i="9"/>
  <c r="I30" i="10"/>
  <c r="H30" i="10"/>
  <c r="B37" i="13"/>
  <c r="C37" i="13"/>
  <c r="A38" i="13"/>
  <c r="A34" i="9"/>
  <c r="B33" i="9"/>
  <c r="C33" i="9"/>
  <c r="D31" i="9"/>
  <c r="E31" i="9" s="1"/>
  <c r="F31" i="9"/>
  <c r="A34" i="10"/>
  <c r="C33" i="10"/>
  <c r="D32" i="10" s="1"/>
  <c r="E32" i="10" s="1"/>
  <c r="B33" i="10"/>
  <c r="F32" i="10" s="1"/>
  <c r="I30" i="9"/>
  <c r="H30" i="9"/>
  <c r="D31" i="10"/>
  <c r="E31" i="10" s="1"/>
  <c r="F31" i="10"/>
  <c r="S93" i="14"/>
  <c r="N93" i="14"/>
  <c r="I92" i="14"/>
  <c r="R8" i="14"/>
  <c r="M8" i="14"/>
  <c r="H7" i="14"/>
  <c r="G6" i="1" s="1" a="1"/>
  <c r="G6" i="1" s="1"/>
  <c r="D33" i="1" a="1"/>
  <c r="D33" i="1" s="1"/>
  <c r="C33" i="1" a="1"/>
  <c r="C33" i="1" s="1"/>
  <c r="B33" i="1" a="1"/>
  <c r="B33" i="1" s="1"/>
  <c r="A34" i="1"/>
  <c r="G33" i="1" a="1"/>
  <c r="G33" i="1" s="1"/>
  <c r="N33" i="1" a="1"/>
  <c r="N33" i="1" s="1"/>
  <c r="O33" i="1" a="1"/>
  <c r="O33" i="1" s="1"/>
  <c r="X32" i="1"/>
  <c r="W32" i="1"/>
  <c r="L30" i="10" l="1"/>
  <c r="O6" i="1" a="1"/>
  <c r="O6" i="1" s="1"/>
  <c r="N6" i="1" a="1"/>
  <c r="N6" i="1" s="1"/>
  <c r="L29" i="9"/>
  <c r="L30" i="9"/>
  <c r="K32" i="10"/>
  <c r="J32" i="10"/>
  <c r="G32" i="10"/>
  <c r="C34" i="10"/>
  <c r="D33" i="10" s="1"/>
  <c r="E33" i="10" s="1"/>
  <c r="B34" i="10"/>
  <c r="A35" i="10"/>
  <c r="C34" i="9"/>
  <c r="B34" i="9"/>
  <c r="A35" i="9"/>
  <c r="D32" i="9"/>
  <c r="E32" i="9" s="1"/>
  <c r="K31" i="9"/>
  <c r="J31" i="9"/>
  <c r="G31" i="9"/>
  <c r="F32" i="9"/>
  <c r="A39" i="13"/>
  <c r="C38" i="13"/>
  <c r="B38" i="13"/>
  <c r="K31" i="10"/>
  <c r="J31" i="10"/>
  <c r="G31" i="10"/>
  <c r="R7" i="14"/>
  <c r="H6" i="14"/>
  <c r="G5" i="1" s="1" a="1"/>
  <c r="G5" i="1" s="1"/>
  <c r="M7" i="14"/>
  <c r="N92" i="14"/>
  <c r="S92" i="14"/>
  <c r="I91" i="14"/>
  <c r="Z27" i="1"/>
  <c r="D34" i="1" a="1"/>
  <c r="D34" i="1" s="1"/>
  <c r="C34" i="1" a="1"/>
  <c r="C34" i="1" s="1"/>
  <c r="B34" i="1" a="1"/>
  <c r="B34" i="1" s="1"/>
  <c r="A35" i="1"/>
  <c r="G34" i="1" a="1"/>
  <c r="G34" i="1" s="1"/>
  <c r="O34" i="1" a="1"/>
  <c r="O34" i="1" s="1"/>
  <c r="N34" i="1" a="1"/>
  <c r="N34" i="1" s="1"/>
  <c r="X33" i="1"/>
  <c r="W33" i="1"/>
  <c r="O5" i="1" l="1" a="1"/>
  <c r="O5" i="1" s="1"/>
  <c r="N5" i="1" a="1"/>
  <c r="N5" i="1" s="1"/>
  <c r="A40" i="13"/>
  <c r="C39" i="13"/>
  <c r="B39" i="13"/>
  <c r="K32" i="9"/>
  <c r="J32" i="9"/>
  <c r="G32" i="9"/>
  <c r="A36" i="9"/>
  <c r="C35" i="9"/>
  <c r="B35" i="9"/>
  <c r="A36" i="10"/>
  <c r="C35" i="10"/>
  <c r="D34" i="10" s="1"/>
  <c r="E34" i="10" s="1"/>
  <c r="B35" i="10"/>
  <c r="F34" i="10" s="1"/>
  <c r="F33" i="9"/>
  <c r="D33" i="9"/>
  <c r="E33" i="9" s="1"/>
  <c r="F33" i="10"/>
  <c r="I31" i="9"/>
  <c r="H31" i="9"/>
  <c r="I32" i="10"/>
  <c r="H32" i="10"/>
  <c r="I31" i="10"/>
  <c r="H31" i="10"/>
  <c r="L31" i="10" s="1"/>
  <c r="N91" i="14"/>
  <c r="S91" i="14"/>
  <c r="I90" i="14"/>
  <c r="R6" i="14"/>
  <c r="I23" i="16"/>
  <c r="M6" i="14"/>
  <c r="D35" i="1" a="1"/>
  <c r="D35" i="1" s="1"/>
  <c r="C35" i="1" a="1"/>
  <c r="C35" i="1" s="1"/>
  <c r="B35" i="1" a="1"/>
  <c r="B35" i="1" s="1"/>
  <c r="A36" i="1"/>
  <c r="G35" i="1" a="1"/>
  <c r="G35" i="1" s="1"/>
  <c r="N35" i="1" a="1"/>
  <c r="N35" i="1" s="1"/>
  <c r="O35" i="1" a="1"/>
  <c r="O35" i="1" s="1"/>
  <c r="Z28" i="1"/>
  <c r="X34" i="1"/>
  <c r="W34" i="1"/>
  <c r="L32" i="10" l="1"/>
  <c r="J23" i="16"/>
  <c r="L31" i="9"/>
  <c r="K34" i="10"/>
  <c r="J34" i="10"/>
  <c r="G34" i="10"/>
  <c r="K33" i="10"/>
  <c r="G33" i="10"/>
  <c r="J33" i="10"/>
  <c r="G33" i="9"/>
  <c r="K33" i="9"/>
  <c r="J33" i="9"/>
  <c r="A37" i="10"/>
  <c r="C36" i="10"/>
  <c r="D35" i="10" s="1"/>
  <c r="E35" i="10" s="1"/>
  <c r="B36" i="10"/>
  <c r="A37" i="9"/>
  <c r="B36" i="9"/>
  <c r="C36" i="9"/>
  <c r="D34" i="9"/>
  <c r="E34" i="9" s="1"/>
  <c r="F34" i="9"/>
  <c r="H32" i="9"/>
  <c r="I32" i="9"/>
  <c r="B40" i="13"/>
  <c r="A41" i="13"/>
  <c r="C40" i="13"/>
  <c r="N90" i="14"/>
  <c r="S90" i="14"/>
  <c r="I89" i="14"/>
  <c r="D36" i="1" a="1"/>
  <c r="D36" i="1" s="1"/>
  <c r="C36" i="1" a="1"/>
  <c r="C36" i="1" s="1"/>
  <c r="B36" i="1" a="1"/>
  <c r="B36" i="1" s="1"/>
  <c r="A37" i="1"/>
  <c r="G36" i="1" a="1"/>
  <c r="G36" i="1" s="1"/>
  <c r="N36" i="1" a="1"/>
  <c r="N36" i="1" s="1"/>
  <c r="O36" i="1" a="1"/>
  <c r="O36" i="1" s="1"/>
  <c r="X35" i="1"/>
  <c r="W35" i="1"/>
  <c r="Z30" i="1" s="1"/>
  <c r="Z29" i="1"/>
  <c r="L32" i="9" l="1"/>
  <c r="J34" i="9"/>
  <c r="K34" i="9"/>
  <c r="G34" i="9"/>
  <c r="H33" i="9"/>
  <c r="I33" i="9"/>
  <c r="C37" i="9"/>
  <c r="B37" i="9"/>
  <c r="A38" i="9"/>
  <c r="D35" i="9"/>
  <c r="E35" i="9" s="1"/>
  <c r="H33" i="10"/>
  <c r="I33" i="10"/>
  <c r="F35" i="9"/>
  <c r="F35" i="10"/>
  <c r="C41" i="13"/>
  <c r="A42" i="13"/>
  <c r="B41" i="13"/>
  <c r="I34" i="10"/>
  <c r="H34" i="10"/>
  <c r="L34" i="10" s="1"/>
  <c r="A38" i="10"/>
  <c r="C37" i="10"/>
  <c r="D36" i="10" s="1"/>
  <c r="E36" i="10" s="1"/>
  <c r="B37" i="10"/>
  <c r="F36" i="10" s="1"/>
  <c r="S89" i="14"/>
  <c r="N89" i="14"/>
  <c r="I88" i="14"/>
  <c r="G37" i="1" a="1"/>
  <c r="G37" i="1" s="1"/>
  <c r="D37" i="1" a="1"/>
  <c r="D37" i="1" s="1"/>
  <c r="C37" i="1" a="1"/>
  <c r="C37" i="1" s="1"/>
  <c r="B37" i="1" a="1"/>
  <c r="B37" i="1" s="1"/>
  <c r="A38" i="1"/>
  <c r="O37" i="1" a="1"/>
  <c r="O37" i="1" s="1"/>
  <c r="N37" i="1" a="1"/>
  <c r="N37" i="1" s="1"/>
  <c r="X36" i="1"/>
  <c r="W36" i="1"/>
  <c r="L33" i="10" l="1"/>
  <c r="C38" i="10"/>
  <c r="D37" i="10" s="1"/>
  <c r="E37" i="10" s="1"/>
  <c r="A39" i="10"/>
  <c r="B38" i="10"/>
  <c r="F37" i="10" s="1"/>
  <c r="K35" i="9"/>
  <c r="J35" i="9"/>
  <c r="G35" i="9"/>
  <c r="A43" i="13"/>
  <c r="C42" i="13"/>
  <c r="B42" i="13"/>
  <c r="K36" i="10"/>
  <c r="J36" i="10"/>
  <c r="G36" i="10"/>
  <c r="I34" i="9"/>
  <c r="H34" i="9"/>
  <c r="L34" i="9" s="1"/>
  <c r="G35" i="10"/>
  <c r="K35" i="10"/>
  <c r="J35" i="10"/>
  <c r="A39" i="9"/>
  <c r="C38" i="9"/>
  <c r="D37" i="9" s="1"/>
  <c r="E37" i="9" s="1"/>
  <c r="B38" i="9"/>
  <c r="F37" i="9" s="1"/>
  <c r="L33" i="9"/>
  <c r="F36" i="9"/>
  <c r="D36" i="9"/>
  <c r="E36" i="9" s="1"/>
  <c r="S88" i="14"/>
  <c r="N88" i="14"/>
  <c r="I87" i="14"/>
  <c r="Z31" i="1"/>
  <c r="A39" i="1"/>
  <c r="G38" i="1" a="1"/>
  <c r="G38" i="1" s="1"/>
  <c r="D38" i="1" a="1"/>
  <c r="D38" i="1" s="1"/>
  <c r="C38" i="1" a="1"/>
  <c r="C38" i="1" s="1"/>
  <c r="B38" i="1" a="1"/>
  <c r="B38" i="1" s="1"/>
  <c r="O38" i="1" a="1"/>
  <c r="O38" i="1" s="1"/>
  <c r="N38" i="1" a="1"/>
  <c r="N38" i="1" s="1"/>
  <c r="X37" i="1"/>
  <c r="W37" i="1"/>
  <c r="Z32" i="1" s="1"/>
  <c r="B39" i="9" l="1"/>
  <c r="F38" i="9" s="1"/>
  <c r="A40" i="9"/>
  <c r="C39" i="9"/>
  <c r="D38" i="9" s="1"/>
  <c r="E38" i="9" s="1"/>
  <c r="I35" i="10"/>
  <c r="H35" i="10"/>
  <c r="L35" i="10" s="1"/>
  <c r="I36" i="10"/>
  <c r="H36" i="10"/>
  <c r="J37" i="9"/>
  <c r="K37" i="9"/>
  <c r="G37" i="9"/>
  <c r="B43" i="13"/>
  <c r="A44" i="13"/>
  <c r="C43" i="13"/>
  <c r="J37" i="10"/>
  <c r="G37" i="10"/>
  <c r="K37" i="10"/>
  <c r="H35" i="9"/>
  <c r="L35" i="9" s="1"/>
  <c r="I35" i="9"/>
  <c r="K36" i="9"/>
  <c r="G36" i="9"/>
  <c r="J36" i="9"/>
  <c r="C39" i="10"/>
  <c r="D38" i="10" s="1"/>
  <c r="E38" i="10" s="1"/>
  <c r="B39" i="10"/>
  <c r="A40" i="10"/>
  <c r="N87" i="14"/>
  <c r="S87" i="14"/>
  <c r="I86" i="14"/>
  <c r="X38" i="1"/>
  <c r="W38" i="1"/>
  <c r="Z33" i="1" s="1"/>
  <c r="A40" i="1"/>
  <c r="G39" i="1" a="1"/>
  <c r="G39" i="1" s="1"/>
  <c r="D39" i="1" a="1"/>
  <c r="D39" i="1" s="1"/>
  <c r="C39" i="1" a="1"/>
  <c r="C39" i="1" s="1"/>
  <c r="B39" i="1" a="1"/>
  <c r="B39" i="1" s="1"/>
  <c r="O39" i="1" a="1"/>
  <c r="O39" i="1" s="1"/>
  <c r="N39" i="1" a="1"/>
  <c r="N39" i="1" s="1"/>
  <c r="A45" i="13" l="1"/>
  <c r="C44" i="13"/>
  <c r="B44" i="13"/>
  <c r="I37" i="10"/>
  <c r="H37" i="10"/>
  <c r="C40" i="10"/>
  <c r="D39" i="10" s="1"/>
  <c r="E39" i="10" s="1"/>
  <c r="A41" i="10"/>
  <c r="B40" i="10"/>
  <c r="F39" i="10" s="1"/>
  <c r="I37" i="9"/>
  <c r="H37" i="9"/>
  <c r="K38" i="9"/>
  <c r="G38" i="9"/>
  <c r="J38" i="9"/>
  <c r="L36" i="10"/>
  <c r="I36" i="9"/>
  <c r="H36" i="9"/>
  <c r="F38" i="10"/>
  <c r="A41" i="9"/>
  <c r="C40" i="9"/>
  <c r="D39" i="9" s="1"/>
  <c r="E39" i="9" s="1"/>
  <c r="B40" i="9"/>
  <c r="F39" i="9" s="1"/>
  <c r="S86" i="14"/>
  <c r="N86" i="14"/>
  <c r="I85" i="14"/>
  <c r="B40" i="1" a="1"/>
  <c r="B40" i="1" s="1"/>
  <c r="A41" i="1"/>
  <c r="G40" i="1" a="1"/>
  <c r="G40" i="1" s="1"/>
  <c r="D40" i="1" a="1"/>
  <c r="D40" i="1" s="1"/>
  <c r="C40" i="1" a="1"/>
  <c r="C40" i="1" s="1"/>
  <c r="O40" i="1" a="1"/>
  <c r="O40" i="1" s="1"/>
  <c r="N40" i="1" a="1"/>
  <c r="N40" i="1" s="1"/>
  <c r="X39" i="1"/>
  <c r="W39" i="1"/>
  <c r="Z34" i="1" s="1"/>
  <c r="L37" i="10" l="1"/>
  <c r="L37" i="9"/>
  <c r="L36" i="9"/>
  <c r="K39" i="9"/>
  <c r="G39" i="9"/>
  <c r="J39" i="9"/>
  <c r="K39" i="10"/>
  <c r="J39" i="10"/>
  <c r="G39" i="10"/>
  <c r="K38" i="10"/>
  <c r="G38" i="10"/>
  <c r="J38" i="10"/>
  <c r="I38" i="9"/>
  <c r="H38" i="9"/>
  <c r="B41" i="9"/>
  <c r="A42" i="9"/>
  <c r="C41" i="9"/>
  <c r="C41" i="10"/>
  <c r="B41" i="10"/>
  <c r="F40" i="10" s="1"/>
  <c r="A42" i="10"/>
  <c r="B45" i="13"/>
  <c r="C45" i="13"/>
  <c r="A46" i="13"/>
  <c r="S85" i="14"/>
  <c r="N85" i="14"/>
  <c r="I84" i="14"/>
  <c r="B41" i="1" a="1"/>
  <c r="B41" i="1" s="1"/>
  <c r="A42" i="1"/>
  <c r="G41" i="1" a="1"/>
  <c r="G41" i="1" s="1"/>
  <c r="D41" i="1" a="1"/>
  <c r="D41" i="1" s="1"/>
  <c r="C41" i="1" a="1"/>
  <c r="C41" i="1" s="1"/>
  <c r="X40" i="1"/>
  <c r="W40" i="1"/>
  <c r="L38" i="9" l="1"/>
  <c r="G40" i="10"/>
  <c r="C42" i="10"/>
  <c r="A43" i="10"/>
  <c r="B42" i="10"/>
  <c r="F41" i="10" s="1"/>
  <c r="C42" i="9"/>
  <c r="B42" i="9"/>
  <c r="F41" i="9" s="1"/>
  <c r="A43" i="9"/>
  <c r="D40" i="9"/>
  <c r="E40" i="9" s="1"/>
  <c r="I38" i="10"/>
  <c r="H38" i="10"/>
  <c r="C46" i="13"/>
  <c r="B46" i="13"/>
  <c r="A47" i="13"/>
  <c r="I39" i="10"/>
  <c r="H39" i="10"/>
  <c r="D40" i="10"/>
  <c r="E40" i="10" s="1"/>
  <c r="J40" i="10" s="1"/>
  <c r="H39" i="9"/>
  <c r="I39" i="9"/>
  <c r="F40" i="9"/>
  <c r="N84" i="14"/>
  <c r="S84" i="14"/>
  <c r="I83" i="14"/>
  <c r="C42" i="1" a="1"/>
  <c r="C42" i="1" s="1"/>
  <c r="B42" i="1" a="1"/>
  <c r="B42" i="1" s="1"/>
  <c r="A43" i="1"/>
  <c r="G42" i="1" a="1"/>
  <c r="G42" i="1" s="1"/>
  <c r="D42" i="1" a="1"/>
  <c r="D42" i="1" s="1"/>
  <c r="X41" i="1"/>
  <c r="W41" i="1"/>
  <c r="Z35" i="1"/>
  <c r="L39" i="10" l="1"/>
  <c r="L38" i="10"/>
  <c r="L39" i="9"/>
  <c r="G41" i="9"/>
  <c r="G41" i="10"/>
  <c r="A48" i="13"/>
  <c r="C47" i="13"/>
  <c r="B47" i="13"/>
  <c r="K40" i="9"/>
  <c r="J40" i="9"/>
  <c r="G40" i="9"/>
  <c r="B43" i="9"/>
  <c r="F42" i="9" s="1"/>
  <c r="A44" i="9"/>
  <c r="C43" i="9"/>
  <c r="C43" i="10"/>
  <c r="D42" i="10" s="1"/>
  <c r="E42" i="10" s="1"/>
  <c r="A44" i="10"/>
  <c r="B43" i="10"/>
  <c r="F42" i="10" s="1"/>
  <c r="D41" i="10"/>
  <c r="E41" i="10" s="1"/>
  <c r="J41" i="10" s="1"/>
  <c r="D41" i="9"/>
  <c r="E41" i="9" s="1"/>
  <c r="J41" i="9" s="1"/>
  <c r="I40" i="10"/>
  <c r="H40" i="10"/>
  <c r="K40" i="10"/>
  <c r="N83" i="14"/>
  <c r="S83" i="14"/>
  <c r="I82" i="14"/>
  <c r="D43" i="1" a="1"/>
  <c r="D43" i="1" s="1"/>
  <c r="C43" i="1" a="1"/>
  <c r="C43" i="1" s="1"/>
  <c r="B43" i="1" a="1"/>
  <c r="B43" i="1" s="1"/>
  <c r="A44" i="1"/>
  <c r="G43" i="1" a="1"/>
  <c r="G43" i="1" s="1"/>
  <c r="Z36" i="1"/>
  <c r="W42" i="1"/>
  <c r="X42" i="1"/>
  <c r="L40" i="10" l="1"/>
  <c r="K41" i="10"/>
  <c r="K42" i="10"/>
  <c r="J42" i="10"/>
  <c r="G42" i="10"/>
  <c r="G42" i="9"/>
  <c r="C44" i="10"/>
  <c r="D43" i="10" s="1"/>
  <c r="E43" i="10" s="1"/>
  <c r="A45" i="10"/>
  <c r="B44" i="10"/>
  <c r="F43" i="10" s="1"/>
  <c r="A45" i="9"/>
  <c r="C44" i="9"/>
  <c r="B44" i="9"/>
  <c r="I40" i="9"/>
  <c r="H40" i="9"/>
  <c r="L40" i="9" s="1"/>
  <c r="K41" i="9"/>
  <c r="C48" i="13"/>
  <c r="B48" i="13"/>
  <c r="A49" i="13"/>
  <c r="I41" i="9"/>
  <c r="H41" i="9"/>
  <c r="I41" i="10"/>
  <c r="H41" i="10"/>
  <c r="D42" i="9"/>
  <c r="E42" i="9" s="1"/>
  <c r="J42" i="9" s="1"/>
  <c r="S82" i="14"/>
  <c r="N82" i="14"/>
  <c r="I81" i="14"/>
  <c r="X43" i="1"/>
  <c r="W43" i="1"/>
  <c r="Z38" i="1" s="1"/>
  <c r="Z37" i="1"/>
  <c r="D44" i="1" a="1"/>
  <c r="D44" i="1" s="1"/>
  <c r="C44" i="1" a="1"/>
  <c r="C44" i="1" s="1"/>
  <c r="B44" i="1" a="1"/>
  <c r="B44" i="1" s="1"/>
  <c r="A45" i="1"/>
  <c r="G44" i="1" a="1"/>
  <c r="G44" i="1" s="1"/>
  <c r="L41" i="10" l="1"/>
  <c r="L41" i="9"/>
  <c r="C45" i="9"/>
  <c r="D44" i="9" s="1"/>
  <c r="E44" i="9" s="1"/>
  <c r="A46" i="9"/>
  <c r="B45" i="9"/>
  <c r="G43" i="10"/>
  <c r="K43" i="10"/>
  <c r="J43" i="10"/>
  <c r="F44" i="9"/>
  <c r="C45" i="10"/>
  <c r="D44" i="10" s="1"/>
  <c r="E44" i="10" s="1"/>
  <c r="B45" i="10"/>
  <c r="A46" i="10"/>
  <c r="K42" i="9"/>
  <c r="F43" i="9"/>
  <c r="D43" i="9"/>
  <c r="E43" i="9" s="1"/>
  <c r="I42" i="9"/>
  <c r="H42" i="9"/>
  <c r="I42" i="10"/>
  <c r="H42" i="10"/>
  <c r="C49" i="13"/>
  <c r="A50" i="13"/>
  <c r="B49" i="13"/>
  <c r="N81" i="14"/>
  <c r="S81" i="14"/>
  <c r="I80" i="14"/>
  <c r="X44" i="1"/>
  <c r="W44" i="1"/>
  <c r="G45" i="1" a="1"/>
  <c r="G45" i="1" s="1"/>
  <c r="D45" i="1" a="1"/>
  <c r="D45" i="1" s="1"/>
  <c r="C45" i="1" a="1"/>
  <c r="C45" i="1" s="1"/>
  <c r="B45" i="1" a="1"/>
  <c r="B45" i="1" s="1"/>
  <c r="A46" i="1"/>
  <c r="D37" i="13" l="1"/>
  <c r="L42" i="10"/>
  <c r="L42" i="9"/>
  <c r="K44" i="9"/>
  <c r="J44" i="9"/>
  <c r="G44" i="9"/>
  <c r="F44" i="10"/>
  <c r="A47" i="9"/>
  <c r="C46" i="9"/>
  <c r="D45" i="9" s="1"/>
  <c r="E45" i="9" s="1"/>
  <c r="B46" i="9"/>
  <c r="I43" i="10"/>
  <c r="H43" i="10"/>
  <c r="L43" i="10" s="1"/>
  <c r="A51" i="13"/>
  <c r="C50" i="13"/>
  <c r="B50" i="13"/>
  <c r="J43" i="9"/>
  <c r="K43" i="9"/>
  <c r="G43" i="9"/>
  <c r="C46" i="10"/>
  <c r="A47" i="10"/>
  <c r="B46" i="10"/>
  <c r="F45" i="10" s="1"/>
  <c r="S80" i="14"/>
  <c r="N80" i="14"/>
  <c r="I79" i="14"/>
  <c r="W45" i="1"/>
  <c r="Z40" i="1" s="1"/>
  <c r="X45" i="1"/>
  <c r="Z39" i="1"/>
  <c r="A47" i="1"/>
  <c r="G46" i="1" a="1"/>
  <c r="G46" i="1" s="1"/>
  <c r="D46" i="1" a="1"/>
  <c r="D46" i="1" s="1"/>
  <c r="C46" i="1" a="1"/>
  <c r="C46" i="1" s="1"/>
  <c r="B46" i="1" a="1"/>
  <c r="B46" i="1" s="1"/>
  <c r="D36" i="13" l="1"/>
  <c r="D35" i="13" s="1"/>
  <c r="G45" i="10"/>
  <c r="H43" i="9"/>
  <c r="I43" i="9"/>
  <c r="A52" i="13"/>
  <c r="C51" i="13"/>
  <c r="B51" i="13"/>
  <c r="A48" i="9"/>
  <c r="C47" i="9"/>
  <c r="D46" i="9" s="1"/>
  <c r="E46" i="9" s="1"/>
  <c r="B47" i="9"/>
  <c r="F46" i="9" s="1"/>
  <c r="F45" i="9"/>
  <c r="K44" i="10"/>
  <c r="J44" i="10"/>
  <c r="G44" i="10"/>
  <c r="I44" i="9"/>
  <c r="H44" i="9"/>
  <c r="D45" i="10"/>
  <c r="E45" i="10" s="1"/>
  <c r="J45" i="10" s="1"/>
  <c r="C47" i="10"/>
  <c r="D46" i="10" s="1"/>
  <c r="E46" i="10" s="1"/>
  <c r="B47" i="10"/>
  <c r="F46" i="10" s="1"/>
  <c r="A48" i="10"/>
  <c r="S79" i="14"/>
  <c r="N79" i="14"/>
  <c r="I78" i="14"/>
  <c r="A48" i="1"/>
  <c r="G47" i="1" a="1"/>
  <c r="G47" i="1" s="1"/>
  <c r="D47" i="1" a="1"/>
  <c r="D47" i="1" s="1"/>
  <c r="C47" i="1" a="1"/>
  <c r="C47" i="1" s="1"/>
  <c r="B47" i="1" a="1"/>
  <c r="B47" i="1" s="1"/>
  <c r="W46" i="1"/>
  <c r="X46" i="1"/>
  <c r="D34" i="13" l="1"/>
  <c r="K46" i="10"/>
  <c r="G46" i="10"/>
  <c r="J46" i="10"/>
  <c r="J46" i="9"/>
  <c r="G46" i="9"/>
  <c r="K46" i="9"/>
  <c r="G45" i="9"/>
  <c r="K45" i="9"/>
  <c r="J45" i="9"/>
  <c r="C48" i="9"/>
  <c r="D47" i="9" s="1"/>
  <c r="E47" i="9" s="1"/>
  <c r="B48" i="9"/>
  <c r="F47" i="9" s="1"/>
  <c r="A49" i="9"/>
  <c r="A53" i="13"/>
  <c r="C52" i="13"/>
  <c r="B52" i="13"/>
  <c r="L43" i="9"/>
  <c r="I44" i="10"/>
  <c r="H44" i="10"/>
  <c r="C48" i="10"/>
  <c r="D47" i="10" s="1"/>
  <c r="E47" i="10" s="1"/>
  <c r="A49" i="10"/>
  <c r="B48" i="10"/>
  <c r="K45" i="10"/>
  <c r="L44" i="9"/>
  <c r="I45" i="10"/>
  <c r="H45" i="10"/>
  <c r="N78" i="14"/>
  <c r="S78" i="14"/>
  <c r="I77" i="14"/>
  <c r="W47" i="1"/>
  <c r="Z42" i="1" s="1"/>
  <c r="X47" i="1"/>
  <c r="Z41" i="1"/>
  <c r="B48" i="1" a="1"/>
  <c r="B48" i="1" s="1"/>
  <c r="A49" i="1"/>
  <c r="G48" i="1" a="1"/>
  <c r="G48" i="1" s="1"/>
  <c r="D48" i="1" a="1"/>
  <c r="D48" i="1" s="1"/>
  <c r="C48" i="1" a="1"/>
  <c r="C48" i="1" s="1"/>
  <c r="L45" i="10" l="1"/>
  <c r="D33" i="13"/>
  <c r="M34" i="13"/>
  <c r="N34" i="13" s="1"/>
  <c r="P34" i="13" s="1"/>
  <c r="Q34" i="13" s="1"/>
  <c r="L44" i="10"/>
  <c r="K47" i="9"/>
  <c r="G47" i="9"/>
  <c r="J47" i="9"/>
  <c r="B53" i="13"/>
  <c r="A54" i="13"/>
  <c r="C53" i="13"/>
  <c r="A50" i="9"/>
  <c r="C49" i="9"/>
  <c r="B49" i="9"/>
  <c r="F48" i="9" s="1"/>
  <c r="H45" i="9"/>
  <c r="I45" i="9"/>
  <c r="I46" i="9"/>
  <c r="H46" i="9"/>
  <c r="A50" i="10"/>
  <c r="C49" i="10"/>
  <c r="B49" i="10"/>
  <c r="H46" i="10"/>
  <c r="I46" i="10"/>
  <c r="F47" i="10"/>
  <c r="S77" i="14"/>
  <c r="N77" i="14"/>
  <c r="I76" i="14"/>
  <c r="C49" i="1" a="1"/>
  <c r="C49" i="1" s="1"/>
  <c r="B49" i="1" a="1"/>
  <c r="B49" i="1" s="1"/>
  <c r="A50" i="1"/>
  <c r="G49" i="1" a="1"/>
  <c r="G49" i="1" s="1"/>
  <c r="D49" i="1" a="1"/>
  <c r="D49" i="1" s="1"/>
  <c r="W48" i="1"/>
  <c r="X48" i="1"/>
  <c r="D32" i="13" l="1"/>
  <c r="M33" i="13"/>
  <c r="N33" i="13" s="1"/>
  <c r="P33" i="13" s="1"/>
  <c r="Q33" i="13" s="1"/>
  <c r="L46" i="9"/>
  <c r="L46" i="10"/>
  <c r="G48" i="9"/>
  <c r="L45" i="9"/>
  <c r="B50" i="9"/>
  <c r="A51" i="9"/>
  <c r="C50" i="9"/>
  <c r="D48" i="9"/>
  <c r="E48" i="9" s="1"/>
  <c r="J48" i="9" s="1"/>
  <c r="C54" i="13"/>
  <c r="B54" i="13"/>
  <c r="A55" i="13"/>
  <c r="C50" i="10"/>
  <c r="A51" i="10"/>
  <c r="B50" i="10"/>
  <c r="I47" i="9"/>
  <c r="H47" i="9"/>
  <c r="L47" i="9" s="1"/>
  <c r="F48" i="10"/>
  <c r="K47" i="10"/>
  <c r="J47" i="10"/>
  <c r="G47" i="10"/>
  <c r="D48" i="10"/>
  <c r="E48" i="10" s="1"/>
  <c r="N76" i="14"/>
  <c r="S76" i="14"/>
  <c r="I75" i="14"/>
  <c r="Z43" i="1"/>
  <c r="D50" i="1" a="1"/>
  <c r="D50" i="1" s="1"/>
  <c r="C50" i="1" a="1"/>
  <c r="C50" i="1" s="1"/>
  <c r="B50" i="1" a="1"/>
  <c r="B50" i="1" s="1"/>
  <c r="A51" i="1"/>
  <c r="G50" i="1" a="1"/>
  <c r="G50" i="1" s="1"/>
  <c r="X49" i="1"/>
  <c r="W49" i="1"/>
  <c r="D31" i="13" l="1"/>
  <c r="M32" i="13"/>
  <c r="N32" i="13" s="1"/>
  <c r="P32" i="13" s="1"/>
  <c r="Q32" i="13" s="1"/>
  <c r="J48" i="10"/>
  <c r="G48" i="10"/>
  <c r="K48" i="10"/>
  <c r="A52" i="10"/>
  <c r="C51" i="10"/>
  <c r="D50" i="10" s="1"/>
  <c r="E50" i="10" s="1"/>
  <c r="B51" i="10"/>
  <c r="F50" i="10" s="1"/>
  <c r="A56" i="13"/>
  <c r="C55" i="13"/>
  <c r="B55" i="13"/>
  <c r="D49" i="9"/>
  <c r="E49" i="9" s="1"/>
  <c r="A52" i="9"/>
  <c r="C51" i="9"/>
  <c r="D50" i="9" s="1"/>
  <c r="E50" i="9" s="1"/>
  <c r="B51" i="9"/>
  <c r="F50" i="9" s="1"/>
  <c r="F49" i="10"/>
  <c r="I47" i="10"/>
  <c r="H47" i="10"/>
  <c r="D49" i="10"/>
  <c r="E49" i="10" s="1"/>
  <c r="F49" i="9"/>
  <c r="H48" i="9"/>
  <c r="L48" i="9" s="1"/>
  <c r="I48" i="9"/>
  <c r="K48" i="9"/>
  <c r="S75" i="14"/>
  <c r="N75" i="14"/>
  <c r="I74" i="14"/>
  <c r="D51" i="1" a="1"/>
  <c r="D51" i="1" s="1"/>
  <c r="C51" i="1" a="1"/>
  <c r="C51" i="1" s="1"/>
  <c r="B51" i="1" a="1"/>
  <c r="B51" i="1" s="1"/>
  <c r="A52" i="1"/>
  <c r="G51" i="1" a="1"/>
  <c r="G51" i="1" s="1"/>
  <c r="W50" i="1"/>
  <c r="X50" i="1"/>
  <c r="Z44" i="1"/>
  <c r="L47" i="10" l="1"/>
  <c r="D30" i="13"/>
  <c r="D29" i="13" s="1"/>
  <c r="M31" i="13"/>
  <c r="N31" i="13" s="1"/>
  <c r="P31" i="13" s="1"/>
  <c r="Q31" i="13" s="1"/>
  <c r="K50" i="9"/>
  <c r="G50" i="9"/>
  <c r="J50" i="9"/>
  <c r="A53" i="9"/>
  <c r="C52" i="9"/>
  <c r="D51" i="9" s="1"/>
  <c r="E51" i="9" s="1"/>
  <c r="B52" i="9"/>
  <c r="B56" i="13"/>
  <c r="A57" i="13"/>
  <c r="C56" i="13"/>
  <c r="K50" i="10"/>
  <c r="J50" i="10"/>
  <c r="G50" i="10"/>
  <c r="J49" i="9"/>
  <c r="G49" i="9"/>
  <c r="K49" i="9"/>
  <c r="C52" i="10"/>
  <c r="D51" i="10" s="1"/>
  <c r="E51" i="10" s="1"/>
  <c r="B52" i="10"/>
  <c r="A53" i="10"/>
  <c r="I48" i="10"/>
  <c r="H48" i="10"/>
  <c r="K49" i="10"/>
  <c r="J49" i="10"/>
  <c r="G49" i="10"/>
  <c r="S74" i="14"/>
  <c r="N74" i="14"/>
  <c r="I73" i="14"/>
  <c r="Z45" i="1"/>
  <c r="D52" i="1" a="1"/>
  <c r="D52" i="1" s="1"/>
  <c r="C52" i="1" a="1"/>
  <c r="C52" i="1" s="1"/>
  <c r="B52" i="1" a="1"/>
  <c r="B52" i="1" s="1"/>
  <c r="A53" i="1"/>
  <c r="G52" i="1" a="1"/>
  <c r="G52" i="1" s="1"/>
  <c r="X51" i="1"/>
  <c r="W51" i="1"/>
  <c r="Z46" i="1" s="1"/>
  <c r="D28" i="13" l="1"/>
  <c r="M30" i="13"/>
  <c r="N30" i="13" s="1"/>
  <c r="P30" i="13" s="1"/>
  <c r="Q30" i="13" s="1"/>
  <c r="I50" i="10"/>
  <c r="H50" i="10"/>
  <c r="L50" i="10" s="1"/>
  <c r="I49" i="9"/>
  <c r="H49" i="9"/>
  <c r="C57" i="13"/>
  <c r="A58" i="13"/>
  <c r="B57" i="13"/>
  <c r="C53" i="9"/>
  <c r="B53" i="9"/>
  <c r="F52" i="9" s="1"/>
  <c r="A54" i="9"/>
  <c r="I49" i="10"/>
  <c r="H49" i="10"/>
  <c r="L48" i="10"/>
  <c r="I50" i="9"/>
  <c r="H50" i="9"/>
  <c r="L50" i="9" s="1"/>
  <c r="F51" i="10"/>
  <c r="A54" i="10"/>
  <c r="C53" i="10"/>
  <c r="B53" i="10"/>
  <c r="F52" i="10" s="1"/>
  <c r="F51" i="9"/>
  <c r="S73" i="14"/>
  <c r="N73" i="14"/>
  <c r="I72" i="14"/>
  <c r="G53" i="1" a="1"/>
  <c r="G53" i="1" s="1"/>
  <c r="D53" i="1" a="1"/>
  <c r="D53" i="1" s="1"/>
  <c r="C53" i="1" a="1"/>
  <c r="C53" i="1" s="1"/>
  <c r="B53" i="1" a="1"/>
  <c r="B53" i="1" s="1"/>
  <c r="A54" i="1"/>
  <c r="X52" i="1"/>
  <c r="W52" i="1"/>
  <c r="Z47" i="1" s="1"/>
  <c r="L49" i="9" l="1"/>
  <c r="L49" i="10"/>
  <c r="M29" i="13"/>
  <c r="N29" i="13" s="1"/>
  <c r="P29" i="13" s="1"/>
  <c r="Q29" i="13" s="1"/>
  <c r="D27" i="13"/>
  <c r="D26" i="13" s="1"/>
  <c r="M28" i="13"/>
  <c r="N28" i="13" s="1"/>
  <c r="P28" i="13" s="1"/>
  <c r="Q28" i="13" s="1"/>
  <c r="C54" i="9"/>
  <c r="D53" i="9" s="1"/>
  <c r="E53" i="9" s="1"/>
  <c r="A55" i="9"/>
  <c r="B54" i="9"/>
  <c r="F53" i="9" s="1"/>
  <c r="G52" i="9"/>
  <c r="A59" i="13"/>
  <c r="C58" i="13"/>
  <c r="B58" i="13"/>
  <c r="K51" i="10"/>
  <c r="G51" i="10"/>
  <c r="J51" i="10"/>
  <c r="D52" i="9"/>
  <c r="E52" i="9" s="1"/>
  <c r="J52" i="9" s="1"/>
  <c r="G52" i="10"/>
  <c r="K51" i="9"/>
  <c r="J51" i="9"/>
  <c r="G51" i="9"/>
  <c r="C54" i="10"/>
  <c r="D53" i="10" s="1"/>
  <c r="E53" i="10" s="1"/>
  <c r="B54" i="10"/>
  <c r="A55" i="10"/>
  <c r="D52" i="10"/>
  <c r="E52" i="10" s="1"/>
  <c r="J52" i="10" s="1"/>
  <c r="N72" i="14"/>
  <c r="S72" i="14"/>
  <c r="I71" i="14"/>
  <c r="A55" i="1"/>
  <c r="G54" i="1" a="1"/>
  <c r="G54" i="1" s="1"/>
  <c r="D54" i="1" a="1"/>
  <c r="D54" i="1" s="1"/>
  <c r="C54" i="1" a="1"/>
  <c r="C54" i="1" s="1"/>
  <c r="B54" i="1" a="1"/>
  <c r="B54" i="1" s="1"/>
  <c r="X53" i="1"/>
  <c r="W53" i="1"/>
  <c r="Z48" i="1" s="1"/>
  <c r="D25" i="13" l="1"/>
  <c r="M27" i="13"/>
  <c r="N27" i="13" s="1"/>
  <c r="P27" i="13" s="1"/>
  <c r="Q27" i="13" s="1"/>
  <c r="I51" i="10"/>
  <c r="H51" i="10"/>
  <c r="K53" i="9"/>
  <c r="G53" i="9"/>
  <c r="J53" i="9"/>
  <c r="A56" i="10"/>
  <c r="C55" i="10"/>
  <c r="D54" i="10" s="1"/>
  <c r="E54" i="10" s="1"/>
  <c r="B55" i="10"/>
  <c r="F54" i="10" s="1"/>
  <c r="A60" i="13"/>
  <c r="C59" i="13"/>
  <c r="B59" i="13"/>
  <c r="K52" i="9"/>
  <c r="F53" i="10"/>
  <c r="I51" i="9"/>
  <c r="H51" i="9"/>
  <c r="I52" i="9"/>
  <c r="H52" i="9"/>
  <c r="I52" i="10"/>
  <c r="H52" i="10"/>
  <c r="C55" i="9"/>
  <c r="D54" i="9" s="1"/>
  <c r="E54" i="9" s="1"/>
  <c r="B55" i="9"/>
  <c r="A56" i="9"/>
  <c r="K52" i="10"/>
  <c r="N71" i="14"/>
  <c r="S71" i="14"/>
  <c r="I70" i="14"/>
  <c r="A56" i="1"/>
  <c r="G55" i="1" a="1"/>
  <c r="G55" i="1" s="1"/>
  <c r="D55" i="1" a="1"/>
  <c r="D55" i="1" s="1"/>
  <c r="C55" i="1" a="1"/>
  <c r="C55" i="1" s="1"/>
  <c r="B55" i="1" a="1"/>
  <c r="B55" i="1" s="1"/>
  <c r="X54" i="1"/>
  <c r="W54" i="1"/>
  <c r="L52" i="10" l="1"/>
  <c r="J30" i="14"/>
  <c r="L51" i="10"/>
  <c r="M26" i="13"/>
  <c r="N26" i="13" s="1"/>
  <c r="P26" i="13" s="1"/>
  <c r="Q26" i="13" s="1"/>
  <c r="D24" i="13"/>
  <c r="D23" i="13" s="1"/>
  <c r="D22" i="13" s="1"/>
  <c r="D21" i="13" s="1"/>
  <c r="D20" i="13" s="1"/>
  <c r="D19" i="13" s="1"/>
  <c r="D18" i="13" s="1"/>
  <c r="M25" i="13"/>
  <c r="N25" i="13" s="1"/>
  <c r="P25" i="13" s="1"/>
  <c r="Q25" i="13" s="1"/>
  <c r="L51" i="9"/>
  <c r="L52" i="9"/>
  <c r="K53" i="10"/>
  <c r="J53" i="10"/>
  <c r="G53" i="10"/>
  <c r="G54" i="10"/>
  <c r="J54" i="10"/>
  <c r="K54" i="10"/>
  <c r="H53" i="9"/>
  <c r="I53" i="9"/>
  <c r="A57" i="9"/>
  <c r="B56" i="9"/>
  <c r="F55" i="9" s="1"/>
  <c r="C56" i="9"/>
  <c r="A61" i="13"/>
  <c r="C60" i="13"/>
  <c r="B60" i="13"/>
  <c r="C56" i="10"/>
  <c r="D55" i="10" s="1"/>
  <c r="E55" i="10" s="1"/>
  <c r="B56" i="10"/>
  <c r="A57" i="10"/>
  <c r="F54" i="9"/>
  <c r="N70" i="14"/>
  <c r="S70" i="14"/>
  <c r="I69" i="14"/>
  <c r="B56" i="1" a="1"/>
  <c r="B56" i="1" s="1"/>
  <c r="A57" i="1"/>
  <c r="G56" i="1" a="1"/>
  <c r="G56" i="1" s="1"/>
  <c r="D56" i="1" a="1"/>
  <c r="D56" i="1" s="1"/>
  <c r="C56" i="1" a="1"/>
  <c r="C56" i="1" s="1"/>
  <c r="Z49" i="1"/>
  <c r="X55" i="1"/>
  <c r="W55" i="1"/>
  <c r="Z50" i="1" s="1"/>
  <c r="D17" i="13" l="1"/>
  <c r="J29" i="14"/>
  <c r="J28" i="14"/>
  <c r="I27" i="1" s="1" a="1"/>
  <c r="I27" i="1" s="1"/>
  <c r="I29" i="1" a="1"/>
  <c r="I29" i="1" s="1"/>
  <c r="M24" i="13"/>
  <c r="N24" i="13" s="1"/>
  <c r="P24" i="13" s="1"/>
  <c r="Q24" i="13" s="1"/>
  <c r="I28" i="1" a="1"/>
  <c r="I28" i="1" s="1"/>
  <c r="L53" i="9"/>
  <c r="A58" i="9"/>
  <c r="C57" i="9"/>
  <c r="D56" i="9" s="1"/>
  <c r="E56" i="9" s="1"/>
  <c r="B57" i="9"/>
  <c r="J54" i="9"/>
  <c r="K54" i="9"/>
  <c r="G54" i="9"/>
  <c r="D55" i="9"/>
  <c r="E55" i="9" s="1"/>
  <c r="J55" i="9" s="1"/>
  <c r="A58" i="10"/>
  <c r="C57" i="10"/>
  <c r="D56" i="10" s="1"/>
  <c r="E56" i="10" s="1"/>
  <c r="B57" i="10"/>
  <c r="F56" i="10" s="1"/>
  <c r="F55" i="10"/>
  <c r="G55" i="9"/>
  <c r="I54" i="10"/>
  <c r="H54" i="10"/>
  <c r="C61" i="13"/>
  <c r="B61" i="13"/>
  <c r="A62" i="13"/>
  <c r="I53" i="10"/>
  <c r="H53" i="10"/>
  <c r="N69" i="14"/>
  <c r="S69" i="14"/>
  <c r="I68" i="14"/>
  <c r="C57" i="1" a="1"/>
  <c r="C57" i="1" s="1"/>
  <c r="B57" i="1" a="1"/>
  <c r="B57" i="1" s="1"/>
  <c r="A58" i="1"/>
  <c r="G57" i="1" a="1"/>
  <c r="G57" i="1" s="1"/>
  <c r="D57" i="1" a="1"/>
  <c r="D57" i="1" s="1"/>
  <c r="X56" i="1"/>
  <c r="W56" i="1"/>
  <c r="Z51" i="1" s="1"/>
  <c r="D16" i="13" l="1"/>
  <c r="J27" i="14"/>
  <c r="J36" i="14"/>
  <c r="M23" i="13"/>
  <c r="K55" i="9"/>
  <c r="L53" i="10"/>
  <c r="L54" i="10"/>
  <c r="K56" i="10"/>
  <c r="J56" i="10"/>
  <c r="G56" i="10"/>
  <c r="A59" i="9"/>
  <c r="B58" i="9"/>
  <c r="C58" i="9"/>
  <c r="D57" i="9" s="1"/>
  <c r="E57" i="9" s="1"/>
  <c r="I54" i="9"/>
  <c r="H54" i="9"/>
  <c r="B62" i="13"/>
  <c r="A63" i="13"/>
  <c r="C62" i="13"/>
  <c r="F56" i="9"/>
  <c r="K55" i="10"/>
  <c r="J55" i="10"/>
  <c r="G55" i="10"/>
  <c r="I55" i="9"/>
  <c r="H55" i="9"/>
  <c r="C58" i="10"/>
  <c r="D57" i="10" s="1"/>
  <c r="E57" i="10" s="1"/>
  <c r="A59" i="10"/>
  <c r="B58" i="10"/>
  <c r="F57" i="10" s="1"/>
  <c r="N68" i="14"/>
  <c r="S68" i="14"/>
  <c r="I67" i="14"/>
  <c r="D58" i="1" a="1"/>
  <c r="D58" i="1" s="1"/>
  <c r="C58" i="1" a="1"/>
  <c r="C58" i="1" s="1"/>
  <c r="B58" i="1" a="1"/>
  <c r="B58" i="1" s="1"/>
  <c r="A59" i="1"/>
  <c r="G58" i="1" a="1"/>
  <c r="G58" i="1" s="1"/>
  <c r="W57" i="1"/>
  <c r="X57" i="1"/>
  <c r="L54" i="9" l="1"/>
  <c r="D15" i="13"/>
  <c r="N23" i="13"/>
  <c r="P23" i="13" s="1"/>
  <c r="Q23" i="13" s="1"/>
  <c r="J25" i="14" s="1"/>
  <c r="M22" i="13"/>
  <c r="I26" i="1" a="1"/>
  <c r="I26" i="1" s="1"/>
  <c r="L55" i="9"/>
  <c r="G57" i="10"/>
  <c r="K57" i="10"/>
  <c r="J57" i="10"/>
  <c r="I55" i="10"/>
  <c r="H55" i="10"/>
  <c r="K56" i="9"/>
  <c r="J56" i="9"/>
  <c r="G56" i="9"/>
  <c r="B59" i="9"/>
  <c r="A60" i="9"/>
  <c r="C59" i="9"/>
  <c r="F57" i="9"/>
  <c r="F58" i="10"/>
  <c r="I56" i="10"/>
  <c r="H56" i="10"/>
  <c r="A64" i="13"/>
  <c r="C63" i="13"/>
  <c r="B63" i="13"/>
  <c r="A60" i="10"/>
  <c r="C59" i="10"/>
  <c r="B59" i="10"/>
  <c r="S67" i="14"/>
  <c r="N67" i="14"/>
  <c r="I66" i="14"/>
  <c r="Z52" i="1"/>
  <c r="D59" i="1" a="1"/>
  <c r="D59" i="1" s="1"/>
  <c r="C59" i="1" a="1"/>
  <c r="C59" i="1" s="1"/>
  <c r="B59" i="1" a="1"/>
  <c r="B59" i="1" s="1"/>
  <c r="A60" i="1"/>
  <c r="G59" i="1" a="1"/>
  <c r="G59" i="1" s="1"/>
  <c r="W58" i="1"/>
  <c r="X58" i="1"/>
  <c r="L56" i="10" l="1"/>
  <c r="N22" i="13"/>
  <c r="P22" i="13" s="1"/>
  <c r="Q22" i="13" s="1"/>
  <c r="J34" i="14" s="1"/>
  <c r="M21" i="13"/>
  <c r="D14" i="13"/>
  <c r="M19" i="13"/>
  <c r="J33" i="14"/>
  <c r="J26" i="14"/>
  <c r="I25" i="1" s="1" a="1"/>
  <c r="I25" i="1" s="1"/>
  <c r="J35" i="14"/>
  <c r="I24" i="1" a="1"/>
  <c r="I24" i="1" s="1"/>
  <c r="A65" i="13"/>
  <c r="C64" i="13"/>
  <c r="B64" i="13"/>
  <c r="G58" i="10"/>
  <c r="G57" i="9"/>
  <c r="K57" i="9"/>
  <c r="J57" i="9"/>
  <c r="L55" i="10"/>
  <c r="A61" i="9"/>
  <c r="C60" i="9"/>
  <c r="B60" i="9"/>
  <c r="F58" i="9"/>
  <c r="H56" i="9"/>
  <c r="I56" i="9"/>
  <c r="C60" i="10"/>
  <c r="A61" i="10"/>
  <c r="B60" i="10"/>
  <c r="D58" i="9"/>
  <c r="E58" i="9" s="1"/>
  <c r="D58" i="10"/>
  <c r="E58" i="10" s="1"/>
  <c r="J58" i="10" s="1"/>
  <c r="I57" i="10"/>
  <c r="H57" i="10"/>
  <c r="L57" i="10" s="1"/>
  <c r="N66" i="14"/>
  <c r="S66" i="14"/>
  <c r="I65" i="14"/>
  <c r="A61" i="1"/>
  <c r="D60" i="1" a="1"/>
  <c r="D60" i="1" s="1"/>
  <c r="C60" i="1" a="1"/>
  <c r="C60" i="1" s="1"/>
  <c r="B60" i="1" a="1"/>
  <c r="B60" i="1" s="1"/>
  <c r="G60" i="1" a="1"/>
  <c r="G60" i="1" s="1"/>
  <c r="X59" i="1"/>
  <c r="W59" i="1"/>
  <c r="Z53" i="1"/>
  <c r="J24" i="14" l="1"/>
  <c r="I23" i="1" s="1" a="1"/>
  <c r="I23" i="1" s="1"/>
  <c r="N19" i="13"/>
  <c r="P19" i="13" s="1"/>
  <c r="Q19" i="13" s="1"/>
  <c r="M18" i="13"/>
  <c r="D13" i="13"/>
  <c r="N21" i="13"/>
  <c r="P21" i="13" s="1"/>
  <c r="Q21" i="13" s="1"/>
  <c r="J23" i="14" s="1"/>
  <c r="I22" i="1" s="1" a="1"/>
  <c r="I22" i="1" s="1"/>
  <c r="M20" i="13"/>
  <c r="N20" i="13" s="1"/>
  <c r="P20" i="13" s="1"/>
  <c r="Q20" i="13" s="1"/>
  <c r="L56" i="9"/>
  <c r="D59" i="10"/>
  <c r="E59" i="10" s="1"/>
  <c r="I58" i="10"/>
  <c r="H58" i="10"/>
  <c r="K58" i="10"/>
  <c r="G58" i="9"/>
  <c r="K58" i="9"/>
  <c r="J58" i="9"/>
  <c r="A62" i="10"/>
  <c r="C61" i="10"/>
  <c r="B61" i="10"/>
  <c r="F59" i="9"/>
  <c r="C61" i="9"/>
  <c r="A62" i="9"/>
  <c r="B61" i="9"/>
  <c r="I57" i="9"/>
  <c r="H57" i="9"/>
  <c r="F59" i="10"/>
  <c r="D59" i="9"/>
  <c r="E59" i="9" s="1"/>
  <c r="A66" i="13"/>
  <c r="C65" i="13"/>
  <c r="B65" i="13"/>
  <c r="N65" i="14"/>
  <c r="S65" i="14"/>
  <c r="I64" i="14"/>
  <c r="W60" i="1"/>
  <c r="X60" i="1"/>
  <c r="A62" i="1"/>
  <c r="G61" i="1" a="1"/>
  <c r="G61" i="1" s="1"/>
  <c r="D61" i="1" a="1"/>
  <c r="D61" i="1" s="1"/>
  <c r="C61" i="1" a="1"/>
  <c r="C61" i="1" s="1"/>
  <c r="B61" i="1" a="1"/>
  <c r="B61" i="1" s="1"/>
  <c r="Z54" i="1"/>
  <c r="L58" i="10" l="1"/>
  <c r="J32" i="14"/>
  <c r="I31" i="1" s="1" a="1"/>
  <c r="I31" i="1" s="1"/>
  <c r="J22" i="14"/>
  <c r="I21" i="1" s="1" a="1"/>
  <c r="I21" i="1" s="1"/>
  <c r="D12" i="13"/>
  <c r="N18" i="13"/>
  <c r="P18" i="13" s="1"/>
  <c r="Q18" i="13" s="1"/>
  <c r="J20" i="14" s="1"/>
  <c r="I19" i="1" s="1" a="1"/>
  <c r="I19" i="1" s="1"/>
  <c r="M17" i="13"/>
  <c r="J31" i="14"/>
  <c r="J21" i="14"/>
  <c r="L57" i="9"/>
  <c r="C62" i="9"/>
  <c r="D61" i="9" s="1"/>
  <c r="E61" i="9" s="1"/>
  <c r="B62" i="9"/>
  <c r="A63" i="9"/>
  <c r="K59" i="10"/>
  <c r="J59" i="10"/>
  <c r="G59" i="10"/>
  <c r="F60" i="10"/>
  <c r="C62" i="10"/>
  <c r="A63" i="10"/>
  <c r="B62" i="10"/>
  <c r="F61" i="10" s="1"/>
  <c r="D60" i="9"/>
  <c r="E60" i="9" s="1"/>
  <c r="I58" i="9"/>
  <c r="H58" i="9"/>
  <c r="F60" i="9"/>
  <c r="G59" i="9"/>
  <c r="K59" i="9"/>
  <c r="J59" i="9"/>
  <c r="B66" i="13"/>
  <c r="C66" i="13"/>
  <c r="A67" i="13"/>
  <c r="D60" i="10"/>
  <c r="E60" i="10" s="1"/>
  <c r="N64" i="14"/>
  <c r="S64" i="14"/>
  <c r="I63" i="14"/>
  <c r="E62" i="1" s="1" a="1"/>
  <c r="E62" i="1" s="1"/>
  <c r="B62" i="1" a="1"/>
  <c r="B62" i="1" s="1"/>
  <c r="A63" i="1"/>
  <c r="G62" i="1" a="1"/>
  <c r="G62" i="1" s="1"/>
  <c r="D62" i="1" a="1"/>
  <c r="D62" i="1" s="1"/>
  <c r="C62" i="1" a="1"/>
  <c r="C62" i="1" s="1"/>
  <c r="X61" i="1"/>
  <c r="W61" i="1"/>
  <c r="Z55" i="1"/>
  <c r="I20" i="1" l="1" a="1"/>
  <c r="I20" i="1" s="1"/>
  <c r="I30" i="1" a="1"/>
  <c r="I30" i="1" s="1"/>
  <c r="N17" i="13"/>
  <c r="P17" i="13" s="1"/>
  <c r="Q17" i="13" s="1"/>
  <c r="J19" i="14" s="1"/>
  <c r="I18" i="1" s="1" a="1"/>
  <c r="I18" i="1" s="1"/>
  <c r="M16" i="13"/>
  <c r="D11" i="13"/>
  <c r="L58" i="9"/>
  <c r="G61" i="10"/>
  <c r="K60" i="9"/>
  <c r="G60" i="9"/>
  <c r="J60" i="9"/>
  <c r="A64" i="10"/>
  <c r="C63" i="10"/>
  <c r="B63" i="10"/>
  <c r="K60" i="10"/>
  <c r="J60" i="10"/>
  <c r="G60" i="10"/>
  <c r="D61" i="10"/>
  <c r="E61" i="10" s="1"/>
  <c r="J61" i="10" s="1"/>
  <c r="H59" i="9"/>
  <c r="I59" i="9"/>
  <c r="I59" i="10"/>
  <c r="H59" i="10"/>
  <c r="A64" i="9"/>
  <c r="C63" i="9"/>
  <c r="D62" i="9" s="1"/>
  <c r="E62" i="9" s="1"/>
  <c r="B63" i="9"/>
  <c r="F62" i="9" s="1"/>
  <c r="A68" i="13"/>
  <c r="C67" i="13"/>
  <c r="B67" i="13"/>
  <c r="F61" i="9"/>
  <c r="N63" i="14"/>
  <c r="S63" i="14"/>
  <c r="I62" i="14"/>
  <c r="E61" i="1" s="1" a="1"/>
  <c r="E61" i="1" s="1"/>
  <c r="C63" i="1" a="1"/>
  <c r="C63" i="1" s="1"/>
  <c r="B63" i="1" a="1"/>
  <c r="B63" i="1" s="1"/>
  <c r="A64" i="1"/>
  <c r="G63" i="1" a="1"/>
  <c r="G63" i="1" s="1"/>
  <c r="E63" i="1" a="1"/>
  <c r="E63" i="1" s="1"/>
  <c r="D63" i="1" a="1"/>
  <c r="D63" i="1" s="1"/>
  <c r="J63" i="1" a="1"/>
  <c r="J63" i="1" s="1"/>
  <c r="K63" i="1" a="1"/>
  <c r="K63" i="1" s="1"/>
  <c r="Z56" i="1"/>
  <c r="X62" i="1"/>
  <c r="W62" i="1"/>
  <c r="L59" i="10" l="1"/>
  <c r="K61" i="1" a="1"/>
  <c r="K61" i="1" s="1"/>
  <c r="K62" i="1" a="1"/>
  <c r="K62" i="1" s="1"/>
  <c r="J61" i="1" a="1"/>
  <c r="J61" i="1" s="1"/>
  <c r="J62" i="1" a="1"/>
  <c r="J62" i="1" s="1"/>
  <c r="D10" i="13"/>
  <c r="N16" i="13"/>
  <c r="P16" i="13" s="1"/>
  <c r="Q16" i="13" s="1"/>
  <c r="J18" i="14" s="1"/>
  <c r="I17" i="1" s="1" a="1"/>
  <c r="I17" i="1" s="1"/>
  <c r="M15" i="13"/>
  <c r="K62" i="9"/>
  <c r="J62" i="9"/>
  <c r="G62" i="9"/>
  <c r="C64" i="9"/>
  <c r="A65" i="9"/>
  <c r="B64" i="9"/>
  <c r="F63" i="9" s="1"/>
  <c r="L59" i="9"/>
  <c r="A69" i="13"/>
  <c r="C68" i="13"/>
  <c r="B68" i="13"/>
  <c r="I60" i="10"/>
  <c r="H60" i="10"/>
  <c r="L60" i="10" s="1"/>
  <c r="K61" i="9"/>
  <c r="J61" i="9"/>
  <c r="G61" i="9"/>
  <c r="C64" i="10"/>
  <c r="A65" i="10"/>
  <c r="B64" i="10"/>
  <c r="F63" i="10" s="1"/>
  <c r="D62" i="10"/>
  <c r="E62" i="10" s="1"/>
  <c r="I60" i="9"/>
  <c r="H60" i="9"/>
  <c r="I61" i="10"/>
  <c r="H61" i="10"/>
  <c r="F62" i="10"/>
  <c r="K61" i="10"/>
  <c r="S62" i="14"/>
  <c r="N62" i="14"/>
  <c r="I61" i="14"/>
  <c r="E60" i="1" s="1" a="1"/>
  <c r="E60" i="1" s="1"/>
  <c r="Z57" i="1"/>
  <c r="D64" i="1" a="1"/>
  <c r="D64" i="1" s="1"/>
  <c r="C64" i="1" a="1"/>
  <c r="C64" i="1" s="1"/>
  <c r="B64" i="1" a="1"/>
  <c r="B64" i="1" s="1"/>
  <c r="A65" i="1"/>
  <c r="G64" i="1" a="1"/>
  <c r="G64" i="1" s="1"/>
  <c r="E64" i="1" a="1"/>
  <c r="E64" i="1" s="1"/>
  <c r="J64" i="1" a="1"/>
  <c r="J64" i="1" s="1"/>
  <c r="K64" i="1" a="1"/>
  <c r="K64" i="1" s="1"/>
  <c r="W63" i="1"/>
  <c r="X63" i="1"/>
  <c r="K60" i="1" l="1" a="1"/>
  <c r="K60" i="1" s="1"/>
  <c r="J60" i="1" a="1"/>
  <c r="J60" i="1" s="1"/>
  <c r="N15" i="13"/>
  <c r="P15" i="13" s="1"/>
  <c r="Q15" i="13" s="1"/>
  <c r="J17" i="14" s="1"/>
  <c r="I16" i="1" s="1" a="1"/>
  <c r="I16" i="1" s="1"/>
  <c r="M14" i="13"/>
  <c r="D9" i="13"/>
  <c r="L60" i="9"/>
  <c r="I61" i="9"/>
  <c r="H61" i="9"/>
  <c r="A66" i="10"/>
  <c r="C65" i="10"/>
  <c r="B65" i="10"/>
  <c r="F64" i="10" s="1"/>
  <c r="D63" i="10"/>
  <c r="E63" i="10" s="1"/>
  <c r="J63" i="10" s="1"/>
  <c r="G63" i="10"/>
  <c r="G63" i="9"/>
  <c r="C69" i="13"/>
  <c r="B69" i="13"/>
  <c r="A70" i="13"/>
  <c r="B65" i="9"/>
  <c r="C65" i="9"/>
  <c r="A66" i="9"/>
  <c r="L61" i="10"/>
  <c r="D63" i="9"/>
  <c r="E63" i="9" s="1"/>
  <c r="J63" i="9" s="1"/>
  <c r="K62" i="10"/>
  <c r="J62" i="10"/>
  <c r="G62" i="10"/>
  <c r="H62" i="9"/>
  <c r="I62" i="9"/>
  <c r="S61" i="14"/>
  <c r="N61" i="14"/>
  <c r="I60" i="14"/>
  <c r="E59" i="1" s="1" a="1"/>
  <c r="E59" i="1" s="1"/>
  <c r="Z58" i="1"/>
  <c r="E65" i="1" a="1"/>
  <c r="E65" i="1" s="1"/>
  <c r="D65" i="1" a="1"/>
  <c r="D65" i="1" s="1"/>
  <c r="C65" i="1" a="1"/>
  <c r="C65" i="1" s="1"/>
  <c r="B65" i="1" a="1"/>
  <c r="B65" i="1" s="1"/>
  <c r="A66" i="1"/>
  <c r="G65" i="1" a="1"/>
  <c r="G65" i="1" s="1"/>
  <c r="J65" i="1" a="1"/>
  <c r="J65" i="1" s="1"/>
  <c r="K65" i="1" a="1"/>
  <c r="K65" i="1" s="1"/>
  <c r="X64" i="1"/>
  <c r="W64" i="1"/>
  <c r="K63" i="10" l="1"/>
  <c r="J59" i="1" a="1"/>
  <c r="J59" i="1" s="1"/>
  <c r="K59" i="1" a="1"/>
  <c r="K59" i="1" s="1"/>
  <c r="D8" i="13"/>
  <c r="N14" i="13"/>
  <c r="P14" i="13" s="1"/>
  <c r="Q14" i="13" s="1"/>
  <c r="M13" i="13"/>
  <c r="L61" i="9"/>
  <c r="K63" i="9"/>
  <c r="F64" i="9"/>
  <c r="A71" i="13"/>
  <c r="C70" i="13"/>
  <c r="B70" i="13"/>
  <c r="G64" i="10"/>
  <c r="I63" i="9"/>
  <c r="H63" i="9"/>
  <c r="I63" i="10"/>
  <c r="H63" i="10"/>
  <c r="L62" i="9"/>
  <c r="I62" i="10"/>
  <c r="H62" i="10"/>
  <c r="C66" i="10"/>
  <c r="D65" i="10" s="1"/>
  <c r="E65" i="10" s="1"/>
  <c r="A67" i="10"/>
  <c r="B66" i="10"/>
  <c r="D64" i="9"/>
  <c r="E64" i="9" s="1"/>
  <c r="C66" i="9"/>
  <c r="D65" i="9" s="1"/>
  <c r="E65" i="9" s="1"/>
  <c r="B66" i="9"/>
  <c r="A67" i="9"/>
  <c r="D64" i="10"/>
  <c r="E64" i="10" s="1"/>
  <c r="J64" i="10" s="1"/>
  <c r="N60" i="14"/>
  <c r="S60" i="14"/>
  <c r="I59" i="14"/>
  <c r="E58" i="1" s="1" a="1"/>
  <c r="E58" i="1" s="1"/>
  <c r="Z59" i="1"/>
  <c r="E66" i="1" a="1"/>
  <c r="E66" i="1" s="1"/>
  <c r="D66" i="1" a="1"/>
  <c r="D66" i="1" s="1"/>
  <c r="C66" i="1" a="1"/>
  <c r="C66" i="1" s="1"/>
  <c r="B66" i="1" a="1"/>
  <c r="B66" i="1" s="1"/>
  <c r="A67" i="1"/>
  <c r="G66" i="1" a="1"/>
  <c r="G66" i="1" s="1"/>
  <c r="K66" i="1" a="1"/>
  <c r="K66" i="1" s="1"/>
  <c r="J66" i="1" a="1"/>
  <c r="J66" i="1" s="1"/>
  <c r="W65" i="1"/>
  <c r="X65" i="1"/>
  <c r="L62" i="10" l="1"/>
  <c r="K58" i="1" a="1"/>
  <c r="K58" i="1" s="1"/>
  <c r="J58" i="1" a="1"/>
  <c r="J58" i="1" s="1"/>
  <c r="N13" i="13"/>
  <c r="P13" i="13" s="1"/>
  <c r="Q13" i="13" s="1"/>
  <c r="M12" i="13"/>
  <c r="D7" i="13"/>
  <c r="L63" i="10"/>
  <c r="K64" i="10"/>
  <c r="I64" i="10"/>
  <c r="H64" i="10"/>
  <c r="A68" i="10"/>
  <c r="C67" i="10"/>
  <c r="D66" i="10" s="1"/>
  <c r="E66" i="10" s="1"/>
  <c r="B67" i="10"/>
  <c r="F65" i="10"/>
  <c r="C67" i="9"/>
  <c r="B67" i="9"/>
  <c r="A68" i="9"/>
  <c r="A72" i="13"/>
  <c r="C71" i="13"/>
  <c r="B71" i="13"/>
  <c r="K64" i="9"/>
  <c r="J64" i="9"/>
  <c r="G64" i="9"/>
  <c r="L63" i="9"/>
  <c r="F65" i="9"/>
  <c r="S59" i="14"/>
  <c r="N59" i="14"/>
  <c r="I58" i="14"/>
  <c r="E57" i="1" s="1" a="1"/>
  <c r="E57" i="1" s="1"/>
  <c r="A68" i="1"/>
  <c r="G67" i="1" a="1"/>
  <c r="G67" i="1" s="1"/>
  <c r="E67" i="1" a="1"/>
  <c r="E67" i="1" s="1"/>
  <c r="D67" i="1" a="1"/>
  <c r="D67" i="1" s="1"/>
  <c r="C67" i="1" a="1"/>
  <c r="C67" i="1" s="1"/>
  <c r="B67" i="1" a="1"/>
  <c r="B67" i="1" s="1"/>
  <c r="J67" i="1" a="1"/>
  <c r="J67" i="1" s="1"/>
  <c r="K67" i="1" a="1"/>
  <c r="K67" i="1" s="1"/>
  <c r="W66" i="1"/>
  <c r="X66" i="1"/>
  <c r="Z60" i="1"/>
  <c r="L64" i="10" l="1"/>
  <c r="J57" i="1" a="1"/>
  <c r="J57" i="1" s="1"/>
  <c r="K57" i="1" a="1"/>
  <c r="K57" i="1" s="1"/>
  <c r="D6" i="13"/>
  <c r="N12" i="13"/>
  <c r="P12" i="13" s="1"/>
  <c r="Q12" i="13" s="1"/>
  <c r="M11" i="13"/>
  <c r="C72" i="13"/>
  <c r="B72" i="13"/>
  <c r="A73" i="13"/>
  <c r="H64" i="9"/>
  <c r="I64" i="9"/>
  <c r="K65" i="10"/>
  <c r="J65" i="10"/>
  <c r="G65" i="10"/>
  <c r="F66" i="9"/>
  <c r="A69" i="9"/>
  <c r="C68" i="9"/>
  <c r="B68" i="9"/>
  <c r="C68" i="10"/>
  <c r="B68" i="10"/>
  <c r="A69" i="10"/>
  <c r="F66" i="10"/>
  <c r="D66" i="9"/>
  <c r="E66" i="9" s="1"/>
  <c r="J65" i="9"/>
  <c r="K65" i="9"/>
  <c r="G65" i="9"/>
  <c r="S58" i="14"/>
  <c r="N58" i="14"/>
  <c r="I57" i="14"/>
  <c r="E56" i="1" s="1" a="1"/>
  <c r="E56" i="1" s="1"/>
  <c r="B68" i="1" a="1"/>
  <c r="B68" i="1" s="1"/>
  <c r="E68" i="1" a="1"/>
  <c r="E68" i="1" s="1"/>
  <c r="D68" i="1" a="1"/>
  <c r="D68" i="1" s="1"/>
  <c r="A69" i="1"/>
  <c r="C68" i="1" a="1"/>
  <c r="C68" i="1" s="1"/>
  <c r="G68" i="1" a="1"/>
  <c r="G68" i="1" s="1"/>
  <c r="K68" i="1" a="1"/>
  <c r="K68" i="1" s="1"/>
  <c r="J68" i="1" a="1"/>
  <c r="J68" i="1" s="1"/>
  <c r="Z61" i="1"/>
  <c r="W67" i="1"/>
  <c r="X67" i="1"/>
  <c r="K56" i="1" l="1" a="1"/>
  <c r="K56" i="1" s="1"/>
  <c r="J56" i="1" a="1"/>
  <c r="J56" i="1" s="1"/>
  <c r="N11" i="13"/>
  <c r="P11" i="13" s="1"/>
  <c r="Q11" i="13" s="1"/>
  <c r="M10" i="13"/>
  <c r="D5" i="13"/>
  <c r="L64" i="9"/>
  <c r="D67" i="10"/>
  <c r="E67" i="10" s="1"/>
  <c r="A70" i="10"/>
  <c r="C69" i="10"/>
  <c r="B69" i="10"/>
  <c r="F68" i="10" s="1"/>
  <c r="C69" i="9"/>
  <c r="D68" i="9" s="1"/>
  <c r="E68" i="9" s="1"/>
  <c r="A70" i="9"/>
  <c r="B69" i="9"/>
  <c r="F68" i="9" s="1"/>
  <c r="G66" i="9"/>
  <c r="K66" i="9"/>
  <c r="J66" i="9"/>
  <c r="F67" i="10"/>
  <c r="I65" i="10"/>
  <c r="H65" i="10"/>
  <c r="K66" i="10"/>
  <c r="J66" i="10"/>
  <c r="G66" i="10"/>
  <c r="D67" i="9"/>
  <c r="E67" i="9" s="1"/>
  <c r="F67" i="9"/>
  <c r="H65" i="9"/>
  <c r="I65" i="9"/>
  <c r="A74" i="13"/>
  <c r="C73" i="13"/>
  <c r="B73" i="13"/>
  <c r="S57" i="14"/>
  <c r="N57" i="14"/>
  <c r="I56" i="14"/>
  <c r="E55" i="1" s="1" a="1"/>
  <c r="E55" i="1" s="1"/>
  <c r="D69" i="1" a="1"/>
  <c r="D69" i="1" s="1"/>
  <c r="C69" i="1" a="1"/>
  <c r="C69" i="1" s="1"/>
  <c r="B69" i="1" a="1"/>
  <c r="B69" i="1" s="1"/>
  <c r="A70" i="1"/>
  <c r="G69" i="1" a="1"/>
  <c r="G69" i="1" s="1"/>
  <c r="E69" i="1" a="1"/>
  <c r="E69" i="1" s="1"/>
  <c r="K69" i="1" a="1"/>
  <c r="K69" i="1" s="1"/>
  <c r="J69" i="1" a="1"/>
  <c r="J69" i="1" s="1"/>
  <c r="W68" i="1"/>
  <c r="X68" i="1"/>
  <c r="Z62" i="1"/>
  <c r="L65" i="10" l="1"/>
  <c r="K55" i="1" a="1"/>
  <c r="K55" i="1" s="1"/>
  <c r="J55" i="1" a="1"/>
  <c r="J55" i="1" s="1"/>
  <c r="D4" i="13"/>
  <c r="N10" i="13"/>
  <c r="P10" i="13" s="1"/>
  <c r="Q10" i="13" s="1"/>
  <c r="M9" i="13"/>
  <c r="D61" i="13"/>
  <c r="G68" i="10"/>
  <c r="K67" i="10"/>
  <c r="G67" i="10"/>
  <c r="J67" i="10"/>
  <c r="I66" i="10"/>
  <c r="H66" i="10"/>
  <c r="L66" i="10" s="1"/>
  <c r="G68" i="9"/>
  <c r="K68" i="9"/>
  <c r="J68" i="9"/>
  <c r="I66" i="9"/>
  <c r="H66" i="9"/>
  <c r="C70" i="9"/>
  <c r="D69" i="9" s="1"/>
  <c r="E69" i="9" s="1"/>
  <c r="B70" i="9"/>
  <c r="F69" i="9" s="1"/>
  <c r="A71" i="9"/>
  <c r="L65" i="9"/>
  <c r="B74" i="13"/>
  <c r="A75" i="13"/>
  <c r="C74" i="13"/>
  <c r="J67" i="9"/>
  <c r="K67" i="9"/>
  <c r="G67" i="9"/>
  <c r="C70" i="10"/>
  <c r="B70" i="10"/>
  <c r="F69" i="10" s="1"/>
  <c r="A71" i="10"/>
  <c r="D68" i="10"/>
  <c r="E68" i="10" s="1"/>
  <c r="J68" i="10" s="1"/>
  <c r="S56" i="14"/>
  <c r="N56" i="14"/>
  <c r="I55" i="14"/>
  <c r="E54" i="1" s="1" a="1"/>
  <c r="E54" i="1" s="1"/>
  <c r="W69" i="1"/>
  <c r="Z64" i="1" s="1"/>
  <c r="X69" i="1"/>
  <c r="Z63" i="1"/>
  <c r="E70" i="1" a="1"/>
  <c r="E70" i="1" s="1"/>
  <c r="D70" i="1" a="1"/>
  <c r="D70" i="1" s="1"/>
  <c r="B70" i="1" a="1"/>
  <c r="B70" i="1" s="1"/>
  <c r="A71" i="1"/>
  <c r="C70" i="1" a="1"/>
  <c r="C70" i="1" s="1"/>
  <c r="G70" i="1" a="1"/>
  <c r="G70" i="1" s="1"/>
  <c r="K70" i="1" a="1"/>
  <c r="K70" i="1" s="1"/>
  <c r="J70" i="1" a="1"/>
  <c r="J70" i="1" s="1"/>
  <c r="J54" i="1" l="1" a="1"/>
  <c r="J54" i="1" s="1"/>
  <c r="K54" i="1" a="1"/>
  <c r="K54" i="1" s="1"/>
  <c r="N9" i="13"/>
  <c r="P9" i="13" s="1"/>
  <c r="Q9" i="13" s="1"/>
  <c r="M8" i="13"/>
  <c r="D60" i="13"/>
  <c r="D59" i="13" s="1"/>
  <c r="L66" i="9"/>
  <c r="K69" i="9"/>
  <c r="J69" i="9"/>
  <c r="G69" i="9"/>
  <c r="B71" i="9"/>
  <c r="F70" i="9" s="1"/>
  <c r="A72" i="9"/>
  <c r="C71" i="9"/>
  <c r="D70" i="9" s="1"/>
  <c r="E70" i="9" s="1"/>
  <c r="I68" i="9"/>
  <c r="H68" i="9"/>
  <c r="A72" i="10"/>
  <c r="C71" i="10"/>
  <c r="B71" i="10"/>
  <c r="D69" i="10"/>
  <c r="E69" i="10" s="1"/>
  <c r="J69" i="10" s="1"/>
  <c r="G69" i="10"/>
  <c r="I67" i="9"/>
  <c r="H67" i="9"/>
  <c r="I67" i="10"/>
  <c r="H67" i="10"/>
  <c r="I68" i="10"/>
  <c r="H68" i="10"/>
  <c r="L68" i="10" s="1"/>
  <c r="A76" i="13"/>
  <c r="C75" i="13"/>
  <c r="B75" i="13"/>
  <c r="K68" i="10"/>
  <c r="N55" i="14"/>
  <c r="S55" i="14"/>
  <c r="I54" i="14"/>
  <c r="E53" i="1" s="1" a="1"/>
  <c r="E53" i="1" s="1"/>
  <c r="G71" i="1" a="1"/>
  <c r="G71" i="1" s="1"/>
  <c r="E71" i="1" a="1"/>
  <c r="E71" i="1" s="1"/>
  <c r="C71" i="1" a="1"/>
  <c r="C71" i="1" s="1"/>
  <c r="B71" i="1" a="1"/>
  <c r="B71" i="1" s="1"/>
  <c r="A72" i="1"/>
  <c r="D71" i="1" a="1"/>
  <c r="D71" i="1" s="1"/>
  <c r="J71" i="1" a="1"/>
  <c r="J71" i="1" s="1"/>
  <c r="K71" i="1" a="1"/>
  <c r="K71" i="1" s="1"/>
  <c r="W70" i="1"/>
  <c r="X70" i="1"/>
  <c r="K53" i="1" l="1" a="1"/>
  <c r="K53" i="1" s="1"/>
  <c r="J53" i="1" a="1"/>
  <c r="J53" i="1" s="1"/>
  <c r="N8" i="13"/>
  <c r="P8" i="13" s="1"/>
  <c r="Q8" i="13" s="1"/>
  <c r="M7" i="13"/>
  <c r="D58" i="13"/>
  <c r="L67" i="10"/>
  <c r="L68" i="9"/>
  <c r="K69" i="10"/>
  <c r="I69" i="10"/>
  <c r="H69" i="10"/>
  <c r="L69" i="10" s="1"/>
  <c r="C72" i="10"/>
  <c r="B72" i="10"/>
  <c r="A73" i="10"/>
  <c r="D70" i="10"/>
  <c r="E70" i="10" s="1"/>
  <c r="F70" i="10"/>
  <c r="A77" i="13"/>
  <c r="C76" i="13"/>
  <c r="B76" i="13"/>
  <c r="K70" i="9"/>
  <c r="J70" i="9"/>
  <c r="G70" i="9"/>
  <c r="C72" i="9"/>
  <c r="B72" i="9"/>
  <c r="F71" i="9" s="1"/>
  <c r="A73" i="9"/>
  <c r="I69" i="9"/>
  <c r="H69" i="9"/>
  <c r="L67" i="9"/>
  <c r="S54" i="14"/>
  <c r="N54" i="14"/>
  <c r="I53" i="14"/>
  <c r="E52" i="1" s="1" a="1"/>
  <c r="E52" i="1" s="1"/>
  <c r="A73" i="1"/>
  <c r="G72" i="1" a="1"/>
  <c r="G72" i="1" s="1"/>
  <c r="D72" i="1" a="1"/>
  <c r="D72" i="1" s="1"/>
  <c r="C72" i="1" a="1"/>
  <c r="C72" i="1" s="1"/>
  <c r="B72" i="1" a="1"/>
  <c r="B72" i="1" s="1"/>
  <c r="E72" i="1" a="1"/>
  <c r="E72" i="1" s="1"/>
  <c r="J72" i="1" a="1"/>
  <c r="J72" i="1" s="1"/>
  <c r="K72" i="1" a="1"/>
  <c r="K72" i="1" s="1"/>
  <c r="Z65" i="1"/>
  <c r="X71" i="1"/>
  <c r="W71" i="1"/>
  <c r="Z66" i="1" s="1"/>
  <c r="J52" i="1" l="1" a="1"/>
  <c r="J52" i="1" s="1"/>
  <c r="K52" i="1" a="1"/>
  <c r="K52" i="1" s="1"/>
  <c r="N7" i="13"/>
  <c r="P7" i="13" s="1"/>
  <c r="Q7" i="13" s="1"/>
  <c r="M6" i="13"/>
  <c r="D57" i="13"/>
  <c r="D56" i="13" s="1"/>
  <c r="M58" i="13"/>
  <c r="N58" i="13" s="1"/>
  <c r="P58" i="13" s="1"/>
  <c r="Q58" i="13" s="1"/>
  <c r="L69" i="9"/>
  <c r="G71" i="9"/>
  <c r="I70" i="9"/>
  <c r="H70" i="9"/>
  <c r="C77" i="13"/>
  <c r="B77" i="13"/>
  <c r="A78" i="13"/>
  <c r="G70" i="10"/>
  <c r="K70" i="10"/>
  <c r="J70" i="10"/>
  <c r="A74" i="10"/>
  <c r="B73" i="10"/>
  <c r="C73" i="10"/>
  <c r="D72" i="10" s="1"/>
  <c r="E72" i="10" s="1"/>
  <c r="F71" i="10"/>
  <c r="A74" i="9"/>
  <c r="C73" i="9"/>
  <c r="B73" i="9"/>
  <c r="D71" i="10"/>
  <c r="E71" i="10" s="1"/>
  <c r="D71" i="9"/>
  <c r="E71" i="9" s="1"/>
  <c r="J71" i="9" s="1"/>
  <c r="S53" i="14"/>
  <c r="N53" i="14"/>
  <c r="I52" i="14"/>
  <c r="E51" i="1" s="1" a="1"/>
  <c r="E51" i="1" s="1"/>
  <c r="C73" i="1" a="1"/>
  <c r="C73" i="1" s="1"/>
  <c r="B73" i="1" a="1"/>
  <c r="B73" i="1" s="1"/>
  <c r="A74" i="1"/>
  <c r="G73" i="1" a="1"/>
  <c r="G73" i="1" s="1"/>
  <c r="E73" i="1" a="1"/>
  <c r="E73" i="1" s="1"/>
  <c r="D73" i="1" a="1"/>
  <c r="D73" i="1" s="1"/>
  <c r="K73" i="1" a="1"/>
  <c r="K73" i="1" s="1"/>
  <c r="J73" i="1" a="1"/>
  <c r="J73" i="1" s="1"/>
  <c r="W72" i="1"/>
  <c r="X72" i="1"/>
  <c r="K51" i="1" l="1" a="1"/>
  <c r="K51" i="1" s="1"/>
  <c r="L70" i="9"/>
  <c r="J51" i="1" a="1"/>
  <c r="J51" i="1" s="1"/>
  <c r="N6" i="13"/>
  <c r="P6" i="13" s="1"/>
  <c r="Q6" i="13" s="1"/>
  <c r="M5" i="13"/>
  <c r="D55" i="13"/>
  <c r="M57" i="13"/>
  <c r="N57" i="13" s="1"/>
  <c r="P57" i="13" s="1"/>
  <c r="Q57" i="13" s="1"/>
  <c r="B74" i="9"/>
  <c r="A75" i="9"/>
  <c r="C74" i="9"/>
  <c r="K71" i="10"/>
  <c r="J71" i="10"/>
  <c r="G71" i="10"/>
  <c r="C74" i="10"/>
  <c r="A75" i="10"/>
  <c r="B74" i="10"/>
  <c r="I70" i="10"/>
  <c r="H70" i="10"/>
  <c r="L70" i="10" s="1"/>
  <c r="C78" i="13"/>
  <c r="B78" i="13"/>
  <c r="A79" i="13"/>
  <c r="F72" i="10"/>
  <c r="F73" i="9"/>
  <c r="I71" i="9"/>
  <c r="H71" i="9"/>
  <c r="D72" i="9"/>
  <c r="E72" i="9" s="1"/>
  <c r="K71" i="9"/>
  <c r="F72" i="9"/>
  <c r="S52" i="14"/>
  <c r="N52" i="14"/>
  <c r="I51" i="14"/>
  <c r="E50" i="1" s="1" a="1"/>
  <c r="E50" i="1" s="1"/>
  <c r="D74" i="1" a="1"/>
  <c r="D74" i="1" s="1"/>
  <c r="C74" i="1" a="1"/>
  <c r="C74" i="1" s="1"/>
  <c r="B74" i="1" a="1"/>
  <c r="B74" i="1" s="1"/>
  <c r="A75" i="1"/>
  <c r="G74" i="1" a="1"/>
  <c r="G74" i="1" s="1"/>
  <c r="E74" i="1" a="1"/>
  <c r="E74" i="1" s="1"/>
  <c r="J74" i="1" a="1"/>
  <c r="J74" i="1" s="1"/>
  <c r="K74" i="1" a="1"/>
  <c r="K74" i="1" s="1"/>
  <c r="Z67" i="1"/>
  <c r="W73" i="1"/>
  <c r="X73" i="1"/>
  <c r="J50" i="1" l="1" a="1"/>
  <c r="J50" i="1" s="1"/>
  <c r="M56" i="13"/>
  <c r="N56" i="13" s="1"/>
  <c r="P56" i="13" s="1"/>
  <c r="Q56" i="13" s="1"/>
  <c r="K50" i="1" a="1"/>
  <c r="K50" i="1" s="1"/>
  <c r="L71" i="9"/>
  <c r="N5" i="13"/>
  <c r="P5" i="13" s="1"/>
  <c r="Q5" i="13" s="1"/>
  <c r="M4" i="13"/>
  <c r="N4" i="13" s="1"/>
  <c r="D54" i="13"/>
  <c r="D53" i="13" s="1"/>
  <c r="M55" i="13"/>
  <c r="N55" i="13" s="1"/>
  <c r="P55" i="13" s="1"/>
  <c r="Q55" i="13" s="1"/>
  <c r="G73" i="9"/>
  <c r="K72" i="9"/>
  <c r="J72" i="9"/>
  <c r="G72" i="9"/>
  <c r="K72" i="10"/>
  <c r="J72" i="10"/>
  <c r="G72" i="10"/>
  <c r="A80" i="13"/>
  <c r="C79" i="13"/>
  <c r="B79" i="13"/>
  <c r="A76" i="10"/>
  <c r="C75" i="10"/>
  <c r="B75" i="10"/>
  <c r="F74" i="10" s="1"/>
  <c r="F73" i="10"/>
  <c r="D73" i="10"/>
  <c r="E73" i="10" s="1"/>
  <c r="I71" i="10"/>
  <c r="H71" i="10"/>
  <c r="A76" i="9"/>
  <c r="C75" i="9"/>
  <c r="B75" i="9"/>
  <c r="D73" i="9"/>
  <c r="E73" i="9" s="1"/>
  <c r="J73" i="9" s="1"/>
  <c r="N51" i="14"/>
  <c r="S51" i="14"/>
  <c r="I50" i="14"/>
  <c r="E49" i="1" s="1" a="1"/>
  <c r="E49" i="1" s="1"/>
  <c r="X74" i="1"/>
  <c r="W74" i="1"/>
  <c r="Z69" i="1" s="1"/>
  <c r="Z68" i="1"/>
  <c r="E75" i="1" a="1"/>
  <c r="E75" i="1" s="1"/>
  <c r="D75" i="1" a="1"/>
  <c r="D75" i="1" s="1"/>
  <c r="C75" i="1" a="1"/>
  <c r="C75" i="1" s="1"/>
  <c r="B75" i="1" a="1"/>
  <c r="B75" i="1" s="1"/>
  <c r="A76" i="1"/>
  <c r="G75" i="1" a="1"/>
  <c r="G75" i="1" s="1"/>
  <c r="K75" i="1" a="1"/>
  <c r="K75" i="1" s="1"/>
  <c r="J75" i="1" a="1"/>
  <c r="J75" i="1" s="1"/>
  <c r="J49" i="1" l="1" a="1"/>
  <c r="J49" i="1" s="1"/>
  <c r="K49" i="1" a="1"/>
  <c r="K49" i="1" s="1"/>
  <c r="L71" i="10"/>
  <c r="D52" i="13"/>
  <c r="M54" i="13"/>
  <c r="N54" i="13" s="1"/>
  <c r="P54" i="13" s="1"/>
  <c r="Q54" i="13" s="1"/>
  <c r="C76" i="10"/>
  <c r="A77" i="10"/>
  <c r="B76" i="10"/>
  <c r="F75" i="10" s="1"/>
  <c r="G74" i="10"/>
  <c r="A81" i="13"/>
  <c r="C80" i="13"/>
  <c r="B80" i="13"/>
  <c r="C76" i="9"/>
  <c r="D75" i="9" s="1"/>
  <c r="E75" i="9" s="1"/>
  <c r="B76" i="9"/>
  <c r="A77" i="9"/>
  <c r="I72" i="10"/>
  <c r="H72" i="10"/>
  <c r="F74" i="9"/>
  <c r="I72" i="9"/>
  <c r="H72" i="9"/>
  <c r="G73" i="10"/>
  <c r="K73" i="10"/>
  <c r="J73" i="10"/>
  <c r="K73" i="9"/>
  <c r="D74" i="9"/>
  <c r="E74" i="9" s="1"/>
  <c r="D74" i="10"/>
  <c r="E74" i="10" s="1"/>
  <c r="J74" i="10" s="1"/>
  <c r="I73" i="9"/>
  <c r="H73" i="9"/>
  <c r="S50" i="14"/>
  <c r="N50" i="14"/>
  <c r="I49" i="14"/>
  <c r="E48" i="1" s="1" a="1"/>
  <c r="E48" i="1" s="1"/>
  <c r="E76" i="1" a="1"/>
  <c r="E76" i="1" s="1"/>
  <c r="D76" i="1" a="1"/>
  <c r="D76" i="1" s="1"/>
  <c r="C76" i="1" a="1"/>
  <c r="C76" i="1" s="1"/>
  <c r="B76" i="1" a="1"/>
  <c r="B76" i="1" s="1"/>
  <c r="A77" i="1"/>
  <c r="G76" i="1" a="1"/>
  <c r="G76" i="1" s="1"/>
  <c r="J76" i="1" a="1"/>
  <c r="J76" i="1" s="1"/>
  <c r="K76" i="1" a="1"/>
  <c r="K76" i="1" s="1"/>
  <c r="X75" i="1"/>
  <c r="W75" i="1"/>
  <c r="L72" i="10" l="1"/>
  <c r="K48" i="1" a="1"/>
  <c r="K48" i="1" s="1"/>
  <c r="J48" i="1" a="1"/>
  <c r="J48" i="1" s="1"/>
  <c r="M53" i="13"/>
  <c r="N53" i="13" s="1"/>
  <c r="P53" i="13" s="1"/>
  <c r="Q53" i="13" s="1"/>
  <c r="D51" i="13"/>
  <c r="D50" i="13" s="1"/>
  <c r="M52" i="13"/>
  <c r="N52" i="13" s="1"/>
  <c r="P52" i="13" s="1"/>
  <c r="Q52" i="13" s="1"/>
  <c r="L72" i="9"/>
  <c r="L73" i="9"/>
  <c r="K74" i="9"/>
  <c r="G74" i="9"/>
  <c r="J74" i="9"/>
  <c r="I73" i="10"/>
  <c r="H73" i="10"/>
  <c r="C77" i="9"/>
  <c r="D76" i="9" s="1"/>
  <c r="E76" i="9" s="1"/>
  <c r="B77" i="9"/>
  <c r="F76" i="9" s="1"/>
  <c r="A78" i="9"/>
  <c r="A82" i="13"/>
  <c r="C81" i="13"/>
  <c r="B81" i="13"/>
  <c r="F75" i="9"/>
  <c r="K75" i="10"/>
  <c r="J75" i="10"/>
  <c r="G75" i="10"/>
  <c r="I74" i="10"/>
  <c r="H74" i="10"/>
  <c r="K74" i="10"/>
  <c r="A78" i="10"/>
  <c r="C77" i="10"/>
  <c r="D76" i="10" s="1"/>
  <c r="E76" i="10" s="1"/>
  <c r="B77" i="10"/>
  <c r="F76" i="10" s="1"/>
  <c r="D75" i="10"/>
  <c r="E75" i="10" s="1"/>
  <c r="N49" i="14"/>
  <c r="S49" i="14"/>
  <c r="I48" i="14"/>
  <c r="E47" i="1" s="1" a="1"/>
  <c r="E47" i="1" s="1"/>
  <c r="Z70" i="1"/>
  <c r="X76" i="1"/>
  <c r="W76" i="1"/>
  <c r="G77" i="1" a="1"/>
  <c r="G77" i="1" s="1"/>
  <c r="E77" i="1" a="1"/>
  <c r="E77" i="1" s="1"/>
  <c r="D77" i="1" a="1"/>
  <c r="D77" i="1" s="1"/>
  <c r="C77" i="1" a="1"/>
  <c r="C77" i="1" s="1"/>
  <c r="B77" i="1" a="1"/>
  <c r="B77" i="1" s="1"/>
  <c r="A78" i="1"/>
  <c r="J77" i="1" a="1"/>
  <c r="J77" i="1" s="1"/>
  <c r="K77" i="1" a="1"/>
  <c r="K77" i="1" s="1"/>
  <c r="L73" i="10" l="1"/>
  <c r="K47" i="1" a="1"/>
  <c r="K47" i="1" s="1"/>
  <c r="J47" i="1" a="1"/>
  <c r="J47" i="1" s="1"/>
  <c r="L74" i="10"/>
  <c r="D49" i="13"/>
  <c r="M51" i="13"/>
  <c r="N51" i="13" s="1"/>
  <c r="P51" i="13" s="1"/>
  <c r="Q51" i="13" s="1"/>
  <c r="G76" i="9"/>
  <c r="K76" i="9"/>
  <c r="J76" i="9"/>
  <c r="K76" i="10"/>
  <c r="J76" i="10"/>
  <c r="G76" i="10"/>
  <c r="C78" i="10"/>
  <c r="A79" i="10"/>
  <c r="B78" i="10"/>
  <c r="F77" i="10" s="1"/>
  <c r="K75" i="9"/>
  <c r="J75" i="9"/>
  <c r="G75" i="9"/>
  <c r="I75" i="10"/>
  <c r="H75" i="10"/>
  <c r="B82" i="13"/>
  <c r="A83" i="13"/>
  <c r="C82" i="13"/>
  <c r="C78" i="9"/>
  <c r="D77" i="9" s="1"/>
  <c r="E77" i="9" s="1"/>
  <c r="A79" i="9"/>
  <c r="B78" i="9"/>
  <c r="F77" i="9" s="1"/>
  <c r="I74" i="9"/>
  <c r="H74" i="9"/>
  <c r="S48" i="14"/>
  <c r="N48" i="14"/>
  <c r="I47" i="14"/>
  <c r="E46" i="1" s="1" a="1"/>
  <c r="E46" i="1" s="1"/>
  <c r="A79" i="1"/>
  <c r="G78" i="1" a="1"/>
  <c r="G78" i="1" s="1"/>
  <c r="E78" i="1" a="1"/>
  <c r="E78" i="1" s="1"/>
  <c r="D78" i="1" a="1"/>
  <c r="D78" i="1" s="1"/>
  <c r="C78" i="1" a="1"/>
  <c r="C78" i="1" s="1"/>
  <c r="B78" i="1" a="1"/>
  <c r="B78" i="1" s="1"/>
  <c r="J78" i="1" a="1"/>
  <c r="J78" i="1" s="1"/>
  <c r="K78" i="1" a="1"/>
  <c r="K78" i="1" s="1"/>
  <c r="W77" i="1"/>
  <c r="Z72" i="1" s="1"/>
  <c r="X77" i="1"/>
  <c r="Z71" i="1"/>
  <c r="K46" i="1" l="1" a="1"/>
  <c r="K46" i="1" s="1"/>
  <c r="J46" i="1" a="1"/>
  <c r="J46" i="1" s="1"/>
  <c r="M50" i="13"/>
  <c r="N50" i="13" s="1"/>
  <c r="P50" i="13" s="1"/>
  <c r="Q50" i="13" s="1"/>
  <c r="D48" i="13"/>
  <c r="D47" i="13" s="1"/>
  <c r="M49" i="13"/>
  <c r="N49" i="13" s="1"/>
  <c r="P49" i="13" s="1"/>
  <c r="Q49" i="13" s="1"/>
  <c r="L74" i="9"/>
  <c r="L75" i="10"/>
  <c r="H75" i="9"/>
  <c r="I75" i="9"/>
  <c r="A80" i="10"/>
  <c r="C79" i="10"/>
  <c r="D78" i="10" s="1"/>
  <c r="E78" i="10" s="1"/>
  <c r="B79" i="10"/>
  <c r="K77" i="9"/>
  <c r="J77" i="9"/>
  <c r="G77" i="9"/>
  <c r="D77" i="10"/>
  <c r="E77" i="10" s="1"/>
  <c r="J77" i="10" s="1"/>
  <c r="C79" i="9"/>
  <c r="D78" i="9" s="1"/>
  <c r="E78" i="9" s="1"/>
  <c r="B79" i="9"/>
  <c r="F78" i="9" s="1"/>
  <c r="A80" i="9"/>
  <c r="I76" i="10"/>
  <c r="H76" i="10"/>
  <c r="K77" i="10"/>
  <c r="G77" i="10"/>
  <c r="A84" i="13"/>
  <c r="C83" i="13"/>
  <c r="B83" i="13"/>
  <c r="H76" i="9"/>
  <c r="I76" i="9"/>
  <c r="S47" i="14"/>
  <c r="N47" i="14"/>
  <c r="I46" i="14"/>
  <c r="E45" i="1" s="1" a="1"/>
  <c r="E45" i="1" s="1"/>
  <c r="W78" i="1"/>
  <c r="X78" i="1"/>
  <c r="A80" i="1"/>
  <c r="G79" i="1" a="1"/>
  <c r="G79" i="1" s="1"/>
  <c r="E79" i="1" a="1"/>
  <c r="E79" i="1" s="1"/>
  <c r="D79" i="1" a="1"/>
  <c r="D79" i="1" s="1"/>
  <c r="C79" i="1" a="1"/>
  <c r="C79" i="1" s="1"/>
  <c r="B79" i="1" a="1"/>
  <c r="B79" i="1" s="1"/>
  <c r="K79" i="1" a="1"/>
  <c r="K79" i="1" s="1"/>
  <c r="J79" i="1" a="1"/>
  <c r="J79" i="1" s="1"/>
  <c r="J45" i="1" l="1" a="1"/>
  <c r="J45" i="1" s="1"/>
  <c r="K45" i="1" a="1"/>
  <c r="K45" i="1" s="1"/>
  <c r="L76" i="9"/>
  <c r="D46" i="13"/>
  <c r="M48" i="13"/>
  <c r="N48" i="13" s="1"/>
  <c r="P48" i="13" s="1"/>
  <c r="Q48" i="13" s="1"/>
  <c r="K78" i="9"/>
  <c r="J78" i="9"/>
  <c r="G78" i="9"/>
  <c r="I77" i="10"/>
  <c r="H77" i="10"/>
  <c r="L77" i="10" s="1"/>
  <c r="L76" i="10"/>
  <c r="C80" i="9"/>
  <c r="D79" i="9" s="1"/>
  <c r="E79" i="9" s="1"/>
  <c r="A81" i="9"/>
  <c r="B80" i="9"/>
  <c r="F79" i="9" s="1"/>
  <c r="H77" i="9"/>
  <c r="I77" i="9"/>
  <c r="C80" i="10"/>
  <c r="A81" i="10"/>
  <c r="B80" i="10"/>
  <c r="F78" i="10"/>
  <c r="L75" i="9"/>
  <c r="C84" i="13"/>
  <c r="B84" i="13"/>
  <c r="A85" i="13"/>
  <c r="N46" i="14"/>
  <c r="S46" i="14"/>
  <c r="I45" i="14"/>
  <c r="E44" i="1" s="1" a="1"/>
  <c r="E44" i="1" s="1"/>
  <c r="X79" i="1"/>
  <c r="W79" i="1"/>
  <c r="Z74" i="1" s="1"/>
  <c r="B80" i="1" a="1"/>
  <c r="B80" i="1" s="1"/>
  <c r="A81" i="1"/>
  <c r="G80" i="1" a="1"/>
  <c r="G80" i="1" s="1"/>
  <c r="E80" i="1" a="1"/>
  <c r="E80" i="1" s="1"/>
  <c r="D80" i="1" a="1"/>
  <c r="D80" i="1" s="1"/>
  <c r="C80" i="1" a="1"/>
  <c r="C80" i="1" s="1"/>
  <c r="K80" i="1" a="1"/>
  <c r="K80" i="1" s="1"/>
  <c r="J80" i="1" a="1"/>
  <c r="J80" i="1" s="1"/>
  <c r="Z73" i="1"/>
  <c r="J44" i="1" l="1" a="1"/>
  <c r="J44" i="1" s="1"/>
  <c r="K44" i="1" a="1"/>
  <c r="K44" i="1" s="1"/>
  <c r="J51" i="14"/>
  <c r="J60" i="14"/>
  <c r="M47" i="13"/>
  <c r="N47" i="13" s="1"/>
  <c r="P47" i="13" s="1"/>
  <c r="Q47" i="13" s="1"/>
  <c r="D45" i="13"/>
  <c r="D44" i="13" s="1"/>
  <c r="D43" i="13" s="1"/>
  <c r="D42" i="13" s="1"/>
  <c r="D41" i="13" s="1"/>
  <c r="D40" i="13" s="1"/>
  <c r="D39" i="13" s="1"/>
  <c r="M46" i="13"/>
  <c r="N46" i="13" s="1"/>
  <c r="P46" i="13" s="1"/>
  <c r="Q46" i="13" s="1"/>
  <c r="J79" i="9"/>
  <c r="K79" i="9"/>
  <c r="G79" i="9"/>
  <c r="A82" i="10"/>
  <c r="C81" i="10"/>
  <c r="D80" i="10" s="1"/>
  <c r="E80" i="10" s="1"/>
  <c r="B81" i="10"/>
  <c r="D79" i="10"/>
  <c r="E79" i="10" s="1"/>
  <c r="F79" i="10"/>
  <c r="L77" i="9"/>
  <c r="C81" i="9"/>
  <c r="D80" i="9" s="1"/>
  <c r="E80" i="9" s="1"/>
  <c r="A82" i="9"/>
  <c r="B81" i="9"/>
  <c r="K78" i="10"/>
  <c r="J78" i="10"/>
  <c r="G78" i="10"/>
  <c r="C85" i="13"/>
  <c r="B85" i="13"/>
  <c r="A86" i="13"/>
  <c r="I78" i="9"/>
  <c r="H78" i="9"/>
  <c r="N45" i="14"/>
  <c r="S45" i="14"/>
  <c r="I44" i="14"/>
  <c r="E43" i="1" s="1" a="1"/>
  <c r="E43" i="1" s="1"/>
  <c r="C81" i="1" a="1"/>
  <c r="C81" i="1" s="1"/>
  <c r="B81" i="1" a="1"/>
  <c r="B81" i="1" s="1"/>
  <c r="A82" i="1"/>
  <c r="G81" i="1" a="1"/>
  <c r="G81" i="1" s="1"/>
  <c r="E81" i="1" a="1"/>
  <c r="E81" i="1" s="1"/>
  <c r="D81" i="1" a="1"/>
  <c r="D81" i="1" s="1"/>
  <c r="J81" i="1" a="1"/>
  <c r="J81" i="1" s="1"/>
  <c r="K81" i="1" a="1"/>
  <c r="K81" i="1" s="1"/>
  <c r="X80" i="1"/>
  <c r="W80" i="1"/>
  <c r="J43" i="1" l="1" a="1"/>
  <c r="J43" i="1" s="1"/>
  <c r="K43" i="1" a="1"/>
  <c r="K43" i="1" s="1"/>
  <c r="D38" i="13"/>
  <c r="J49" i="14"/>
  <c r="J58" i="14"/>
  <c r="J50" i="14"/>
  <c r="I49" i="1" s="1" a="1"/>
  <c r="I49" i="1" s="1"/>
  <c r="J59" i="14"/>
  <c r="I50" i="1" a="1"/>
  <c r="I50" i="1" s="1"/>
  <c r="I48" i="1" a="1"/>
  <c r="I48" i="1" s="1"/>
  <c r="M45" i="13"/>
  <c r="N45" i="13" s="1"/>
  <c r="P45" i="13" s="1"/>
  <c r="Q45" i="13" s="1"/>
  <c r="I78" i="10"/>
  <c r="H78" i="10"/>
  <c r="A87" i="13"/>
  <c r="B86" i="13"/>
  <c r="C86" i="13"/>
  <c r="C82" i="9"/>
  <c r="D81" i="9" s="1"/>
  <c r="E81" i="9" s="1"/>
  <c r="B82" i="9"/>
  <c r="A83" i="9"/>
  <c r="F80" i="9"/>
  <c r="G79" i="10"/>
  <c r="K79" i="10"/>
  <c r="J79" i="10"/>
  <c r="C82" i="10"/>
  <c r="A83" i="10"/>
  <c r="B82" i="10"/>
  <c r="F80" i="10"/>
  <c r="L78" i="9"/>
  <c r="I79" i="9"/>
  <c r="H79" i="9"/>
  <c r="S44" i="14"/>
  <c r="N44" i="14"/>
  <c r="I43" i="14"/>
  <c r="E42" i="1" s="1" a="1"/>
  <c r="E42" i="1" s="1"/>
  <c r="Z75" i="1"/>
  <c r="D82" i="1" a="1"/>
  <c r="D82" i="1" s="1"/>
  <c r="C82" i="1" a="1"/>
  <c r="C82" i="1" s="1"/>
  <c r="B82" i="1" a="1"/>
  <c r="B82" i="1" s="1"/>
  <c r="A83" i="1"/>
  <c r="G82" i="1" a="1"/>
  <c r="G82" i="1" s="1"/>
  <c r="E82" i="1" a="1"/>
  <c r="E82" i="1" s="1"/>
  <c r="K82" i="1" a="1"/>
  <c r="K82" i="1" s="1"/>
  <c r="J82" i="1" a="1"/>
  <c r="J82" i="1" s="1"/>
  <c r="W81" i="1"/>
  <c r="X81" i="1"/>
  <c r="K42" i="1" l="1" a="1"/>
  <c r="K42" i="1" s="1"/>
  <c r="J42" i="1" a="1"/>
  <c r="J42" i="1" s="1"/>
  <c r="M37" i="13"/>
  <c r="J48" i="14"/>
  <c r="J57" i="14"/>
  <c r="M44" i="13"/>
  <c r="L79" i="9"/>
  <c r="L78" i="10"/>
  <c r="G80" i="10"/>
  <c r="K80" i="10"/>
  <c r="J80" i="10"/>
  <c r="A84" i="10"/>
  <c r="C83" i="10"/>
  <c r="D82" i="10" s="1"/>
  <c r="E82" i="10" s="1"/>
  <c r="B83" i="10"/>
  <c r="F81" i="10"/>
  <c r="D81" i="10"/>
  <c r="E81" i="10" s="1"/>
  <c r="I79" i="10"/>
  <c r="H79" i="10"/>
  <c r="K80" i="9"/>
  <c r="J80" i="9"/>
  <c r="G80" i="9"/>
  <c r="B83" i="9"/>
  <c r="F82" i="9" s="1"/>
  <c r="C83" i="9"/>
  <c r="A84" i="9"/>
  <c r="C87" i="13"/>
  <c r="B87" i="13"/>
  <c r="A88" i="13"/>
  <c r="F81" i="9"/>
  <c r="N43" i="14"/>
  <c r="S43" i="14"/>
  <c r="I42" i="14"/>
  <c r="E41" i="1" s="1" a="1"/>
  <c r="E41" i="1" s="1"/>
  <c r="W82" i="1"/>
  <c r="X82" i="1"/>
  <c r="D83" i="1" a="1"/>
  <c r="D83" i="1" s="1"/>
  <c r="C83" i="1" a="1"/>
  <c r="C83" i="1" s="1"/>
  <c r="B83" i="1" a="1"/>
  <c r="B83" i="1" s="1"/>
  <c r="A84" i="1"/>
  <c r="G83" i="1" a="1"/>
  <c r="G83" i="1" s="1"/>
  <c r="E83" i="1" a="1"/>
  <c r="E83" i="1" s="1"/>
  <c r="K83" i="1" a="1"/>
  <c r="K83" i="1" s="1"/>
  <c r="J83" i="1" a="1"/>
  <c r="J83" i="1" s="1"/>
  <c r="Z76" i="1"/>
  <c r="K41" i="1" l="1" a="1"/>
  <c r="K41" i="1" s="1"/>
  <c r="J41" i="1" a="1"/>
  <c r="J41" i="1" s="1"/>
  <c r="N37" i="13"/>
  <c r="P37" i="13" s="1"/>
  <c r="Q37" i="13" s="1"/>
  <c r="J39" i="14" s="1"/>
  <c r="I38" i="1" s="1" a="1"/>
  <c r="I38" i="1" s="1"/>
  <c r="M36" i="13"/>
  <c r="I47" i="1" a="1"/>
  <c r="I47" i="1" s="1"/>
  <c r="L79" i="10"/>
  <c r="N44" i="13"/>
  <c r="P44" i="13" s="1"/>
  <c r="Q44" i="13" s="1"/>
  <c r="M43" i="13"/>
  <c r="G82" i="9"/>
  <c r="I80" i="9"/>
  <c r="H80" i="9"/>
  <c r="C84" i="9"/>
  <c r="B84" i="9"/>
  <c r="A85" i="9"/>
  <c r="K81" i="10"/>
  <c r="J81" i="10"/>
  <c r="G81" i="10"/>
  <c r="J81" i="9"/>
  <c r="K81" i="9"/>
  <c r="G81" i="9"/>
  <c r="A89" i="13"/>
  <c r="C88" i="13"/>
  <c r="B88" i="13"/>
  <c r="C84" i="10"/>
  <c r="D83" i="10" s="1"/>
  <c r="E83" i="10" s="1"/>
  <c r="B84" i="10"/>
  <c r="A85" i="10"/>
  <c r="F82" i="10"/>
  <c r="D82" i="9"/>
  <c r="E82" i="9" s="1"/>
  <c r="J82" i="9" s="1"/>
  <c r="I80" i="10"/>
  <c r="H80" i="10"/>
  <c r="L80" i="10" s="1"/>
  <c r="S42" i="14"/>
  <c r="N42" i="14"/>
  <c r="I41" i="14"/>
  <c r="E40" i="1" s="1" a="1"/>
  <c r="E40" i="1" s="1"/>
  <c r="W83" i="1"/>
  <c r="X83" i="1"/>
  <c r="A85" i="1"/>
  <c r="E84" i="1" a="1"/>
  <c r="E84" i="1" s="1"/>
  <c r="D84" i="1" a="1"/>
  <c r="D84" i="1" s="1"/>
  <c r="C84" i="1" a="1"/>
  <c r="C84" i="1" s="1"/>
  <c r="B84" i="1" a="1"/>
  <c r="B84" i="1" s="1"/>
  <c r="G84" i="1" a="1"/>
  <c r="G84" i="1" s="1"/>
  <c r="J84" i="1" a="1"/>
  <c r="J84" i="1" s="1"/>
  <c r="K84" i="1" a="1"/>
  <c r="K84" i="1" s="1"/>
  <c r="Z77" i="1"/>
  <c r="J40" i="1" l="1" a="1"/>
  <c r="J40" i="1" s="1"/>
  <c r="K40" i="1" a="1"/>
  <c r="K40" i="1" s="1"/>
  <c r="N36" i="13"/>
  <c r="P36" i="13" s="1"/>
  <c r="Q36" i="13" s="1"/>
  <c r="J38" i="14" s="1"/>
  <c r="I37" i="1" s="1" a="1"/>
  <c r="I37" i="1" s="1"/>
  <c r="M35" i="13"/>
  <c r="N35" i="13" s="1"/>
  <c r="P35" i="13" s="1"/>
  <c r="Q35" i="13" s="1"/>
  <c r="J37" i="14" s="1"/>
  <c r="I36" i="1" s="1" a="1"/>
  <c r="I36" i="1" s="1"/>
  <c r="J47" i="14"/>
  <c r="I46" i="1" s="1" a="1"/>
  <c r="I46" i="1" s="1"/>
  <c r="J56" i="14"/>
  <c r="I55" i="1" s="1" a="1"/>
  <c r="I55" i="1" s="1"/>
  <c r="N43" i="13"/>
  <c r="P43" i="13" s="1"/>
  <c r="Q43" i="13" s="1"/>
  <c r="M42" i="13"/>
  <c r="L80" i="9"/>
  <c r="K82" i="10"/>
  <c r="J82" i="10"/>
  <c r="G82" i="10"/>
  <c r="A86" i="10"/>
  <c r="C85" i="10"/>
  <c r="D84" i="10" s="1"/>
  <c r="E84" i="10" s="1"/>
  <c r="B85" i="10"/>
  <c r="C85" i="9"/>
  <c r="D84" i="9" s="1"/>
  <c r="E84" i="9" s="1"/>
  <c r="B85" i="9"/>
  <c r="F84" i="9" s="1"/>
  <c r="A86" i="9"/>
  <c r="I81" i="9"/>
  <c r="H81" i="9"/>
  <c r="L81" i="9" s="1"/>
  <c r="A90" i="13"/>
  <c r="C89" i="13"/>
  <c r="B89" i="13"/>
  <c r="F83" i="10"/>
  <c r="F83" i="9"/>
  <c r="I81" i="10"/>
  <c r="H81" i="10"/>
  <c r="D83" i="9"/>
  <c r="E83" i="9" s="1"/>
  <c r="I82" i="9"/>
  <c r="H82" i="9"/>
  <c r="K82" i="9"/>
  <c r="N41" i="14"/>
  <c r="S41" i="14"/>
  <c r="I40" i="14"/>
  <c r="E39" i="1" s="1" a="1"/>
  <c r="E39" i="1" s="1"/>
  <c r="W84" i="1"/>
  <c r="Z79" i="1" s="1"/>
  <c r="X84" i="1"/>
  <c r="A86" i="1"/>
  <c r="G85" i="1" a="1"/>
  <c r="G85" i="1" s="1"/>
  <c r="E85" i="1" a="1"/>
  <c r="E85" i="1" s="1"/>
  <c r="C85" i="1" a="1"/>
  <c r="C85" i="1" s="1"/>
  <c r="B85" i="1" a="1"/>
  <c r="B85" i="1" s="1"/>
  <c r="K85" i="1" a="1"/>
  <c r="K85" i="1" s="1"/>
  <c r="J85" i="1" a="1"/>
  <c r="J85" i="1" s="1"/>
  <c r="Z78" i="1"/>
  <c r="K39" i="1" l="1" a="1"/>
  <c r="K39" i="1" s="1"/>
  <c r="J39" i="1" a="1"/>
  <c r="J39" i="1" s="1"/>
  <c r="J46" i="14"/>
  <c r="J55" i="14"/>
  <c r="I54" i="1" s="1" a="1"/>
  <c r="I54" i="1" s="1"/>
  <c r="M41" i="13"/>
  <c r="N42" i="13"/>
  <c r="P42" i="13" s="1"/>
  <c r="Q42" i="13" s="1"/>
  <c r="I35" i="1" a="1"/>
  <c r="I35" i="1" s="1"/>
  <c r="I45" i="1" a="1"/>
  <c r="I45" i="1" s="1"/>
  <c r="L82" i="9"/>
  <c r="K83" i="9"/>
  <c r="J83" i="9"/>
  <c r="G83" i="9"/>
  <c r="K83" i="10"/>
  <c r="J83" i="10"/>
  <c r="G83" i="10"/>
  <c r="B90" i="13"/>
  <c r="A91" i="13"/>
  <c r="C90" i="13"/>
  <c r="G84" i="9"/>
  <c r="K84" i="9"/>
  <c r="J84" i="9"/>
  <c r="C86" i="9"/>
  <c r="D85" i="9" s="1"/>
  <c r="E85" i="9" s="1"/>
  <c r="B86" i="9"/>
  <c r="F85" i="9" s="1"/>
  <c r="A87" i="9"/>
  <c r="C86" i="10"/>
  <c r="B86" i="10"/>
  <c r="A87" i="10"/>
  <c r="I82" i="10"/>
  <c r="H82" i="10"/>
  <c r="L81" i="10"/>
  <c r="F84" i="10"/>
  <c r="N40" i="14"/>
  <c r="S40" i="14"/>
  <c r="I39" i="14"/>
  <c r="E38" i="1" s="1" a="1"/>
  <c r="E38" i="1" s="1"/>
  <c r="B86" i="1" a="1"/>
  <c r="B86" i="1" s="1"/>
  <c r="X86" i="1" s="1"/>
  <c r="A87" i="1"/>
  <c r="G86" i="1" a="1"/>
  <c r="G86" i="1" s="1"/>
  <c r="E86" i="1" a="1"/>
  <c r="E86" i="1" s="1"/>
  <c r="C86" i="1" a="1"/>
  <c r="C86" i="1" s="1"/>
  <c r="J86" i="1" a="1"/>
  <c r="J86" i="1" s="1"/>
  <c r="K86" i="1" a="1"/>
  <c r="K86" i="1" s="1"/>
  <c r="W85" i="1"/>
  <c r="Z80" i="1" s="1"/>
  <c r="X85" i="1"/>
  <c r="K38" i="1" l="1" a="1"/>
  <c r="K38" i="1" s="1"/>
  <c r="J38" i="1" a="1"/>
  <c r="J38" i="1" s="1"/>
  <c r="J45" i="14"/>
  <c r="I44" i="1" s="1" a="1"/>
  <c r="I44" i="1" s="1"/>
  <c r="J54" i="14"/>
  <c r="I53" i="1" s="1" a="1"/>
  <c r="I53" i="1" s="1"/>
  <c r="N41" i="13"/>
  <c r="P41" i="13" s="1"/>
  <c r="Q41" i="13" s="1"/>
  <c r="J53" i="14" s="1"/>
  <c r="I52" i="1" s="1" a="1"/>
  <c r="I52" i="1" s="1"/>
  <c r="M40" i="13"/>
  <c r="I34" i="1" a="1"/>
  <c r="I34" i="1" s="1"/>
  <c r="J44" i="14"/>
  <c r="L82" i="10"/>
  <c r="J85" i="9"/>
  <c r="K85" i="9"/>
  <c r="G85" i="9"/>
  <c r="I84" i="9"/>
  <c r="H84" i="9"/>
  <c r="B87" i="9"/>
  <c r="C87" i="9"/>
  <c r="A88" i="9"/>
  <c r="K84" i="10"/>
  <c r="J84" i="10"/>
  <c r="G84" i="10"/>
  <c r="A92" i="13"/>
  <c r="C91" i="13"/>
  <c r="B91" i="13"/>
  <c r="I83" i="10"/>
  <c r="H83" i="10"/>
  <c r="A88" i="10"/>
  <c r="C87" i="10"/>
  <c r="D86" i="10" s="1"/>
  <c r="E86" i="10" s="1"/>
  <c r="B87" i="10"/>
  <c r="F86" i="10" s="1"/>
  <c r="I83" i="9"/>
  <c r="H83" i="9"/>
  <c r="D85" i="10"/>
  <c r="E85" i="10" s="1"/>
  <c r="F85" i="10"/>
  <c r="S39" i="14"/>
  <c r="N39" i="14"/>
  <c r="I38" i="14"/>
  <c r="E37" i="1" s="1" a="1"/>
  <c r="E37" i="1" s="1"/>
  <c r="C87" i="1" a="1"/>
  <c r="C87" i="1" s="1"/>
  <c r="B87" i="1" a="1"/>
  <c r="B87" i="1" s="1"/>
  <c r="X87" i="1" s="1"/>
  <c r="A88" i="1"/>
  <c r="G87" i="1" a="1"/>
  <c r="G87" i="1" s="1"/>
  <c r="E87" i="1" a="1"/>
  <c r="E87" i="1" s="1"/>
  <c r="J87" i="1" a="1"/>
  <c r="J87" i="1" s="1"/>
  <c r="K87" i="1" a="1"/>
  <c r="K87" i="1" s="1"/>
  <c r="W86" i="1"/>
  <c r="J37" i="1" l="1" a="1"/>
  <c r="J37" i="1" s="1"/>
  <c r="K37" i="1" a="1"/>
  <c r="K37" i="1" s="1"/>
  <c r="J43" i="14"/>
  <c r="I42" i="1" s="1" a="1"/>
  <c r="I42" i="1" s="1"/>
  <c r="N40" i="13"/>
  <c r="P40" i="13" s="1"/>
  <c r="Q40" i="13" s="1"/>
  <c r="M39" i="13"/>
  <c r="L83" i="9"/>
  <c r="I32" i="1" a="1"/>
  <c r="I32" i="1" s="1"/>
  <c r="I33" i="1" a="1"/>
  <c r="I33" i="1" s="1"/>
  <c r="I43" i="1" a="1"/>
  <c r="I43" i="1" s="1"/>
  <c r="L84" i="9"/>
  <c r="G86" i="10"/>
  <c r="K86" i="10"/>
  <c r="J86" i="10"/>
  <c r="C88" i="10"/>
  <c r="B88" i="10"/>
  <c r="A89" i="10"/>
  <c r="L83" i="10"/>
  <c r="A93" i="13"/>
  <c r="C92" i="13"/>
  <c r="B92" i="13"/>
  <c r="I84" i="10"/>
  <c r="H84" i="10"/>
  <c r="C88" i="9"/>
  <c r="D87" i="9" s="1"/>
  <c r="E87" i="9" s="1"/>
  <c r="B88" i="9"/>
  <c r="A89" i="9"/>
  <c r="D86" i="9"/>
  <c r="E86" i="9" s="1"/>
  <c r="F86" i="9"/>
  <c r="I85" i="9"/>
  <c r="H85" i="9"/>
  <c r="K85" i="10"/>
  <c r="J85" i="10"/>
  <c r="G85" i="10"/>
  <c r="S38" i="14"/>
  <c r="N38" i="14"/>
  <c r="I37" i="14"/>
  <c r="E36" i="1" s="1" a="1"/>
  <c r="E36" i="1" s="1"/>
  <c r="Z81" i="1"/>
  <c r="C88" i="1" a="1"/>
  <c r="C88" i="1" s="1"/>
  <c r="B88" i="1" a="1"/>
  <c r="B88" i="1" s="1"/>
  <c r="X88" i="1" s="1"/>
  <c r="A89" i="1"/>
  <c r="G88" i="1" a="1"/>
  <c r="G88" i="1" s="1"/>
  <c r="E88" i="1" a="1"/>
  <c r="E88" i="1" s="1"/>
  <c r="J88" i="1" a="1"/>
  <c r="J88" i="1" s="1"/>
  <c r="K88" i="1" a="1"/>
  <c r="K88" i="1" s="1"/>
  <c r="W87" i="1"/>
  <c r="L85" i="9" l="1"/>
  <c r="J36" i="1" a="1"/>
  <c r="J36" i="1" s="1"/>
  <c r="K36" i="1" a="1"/>
  <c r="K36" i="1" s="1"/>
  <c r="N39" i="13"/>
  <c r="P39" i="13" s="1"/>
  <c r="Q39" i="13" s="1"/>
  <c r="J41" i="14" s="1"/>
  <c r="I40" i="1" s="1" a="1"/>
  <c r="I40" i="1" s="1"/>
  <c r="M38" i="13"/>
  <c r="N38" i="13" s="1"/>
  <c r="P38" i="13" s="1"/>
  <c r="Q38" i="13" s="1"/>
  <c r="J40" i="14" s="1"/>
  <c r="I39" i="1" s="1" a="1"/>
  <c r="I39" i="1" s="1"/>
  <c r="J52" i="14"/>
  <c r="J42" i="14"/>
  <c r="A90" i="9"/>
  <c r="C89" i="9"/>
  <c r="D88" i="9" s="1"/>
  <c r="E88" i="9" s="1"/>
  <c r="B89" i="9"/>
  <c r="F88" i="9" s="1"/>
  <c r="L84" i="10"/>
  <c r="A90" i="10"/>
  <c r="C89" i="10"/>
  <c r="D88" i="10" s="1"/>
  <c r="E88" i="10" s="1"/>
  <c r="B89" i="10"/>
  <c r="F88" i="10" s="1"/>
  <c r="C93" i="13"/>
  <c r="B93" i="13"/>
  <c r="A94" i="13"/>
  <c r="D87" i="10"/>
  <c r="E87" i="10" s="1"/>
  <c r="F87" i="10"/>
  <c r="K86" i="9"/>
  <c r="J86" i="9"/>
  <c r="G86" i="9"/>
  <c r="I85" i="10"/>
  <c r="H85" i="10"/>
  <c r="F87" i="9"/>
  <c r="I86" i="10"/>
  <c r="H86" i="10"/>
  <c r="N37" i="14"/>
  <c r="S37" i="14"/>
  <c r="I36" i="14"/>
  <c r="E35" i="1" s="1" a="1"/>
  <c r="E35" i="1" s="1"/>
  <c r="Z82" i="1"/>
  <c r="E89" i="1" a="1"/>
  <c r="E89" i="1" s="1"/>
  <c r="C89" i="1" a="1"/>
  <c r="C89" i="1" s="1"/>
  <c r="B89" i="1" a="1"/>
  <c r="B89" i="1" s="1"/>
  <c r="X89" i="1" s="1"/>
  <c r="A90" i="1"/>
  <c r="G89" i="1" a="1"/>
  <c r="G89" i="1" s="1"/>
  <c r="J89" i="1" a="1"/>
  <c r="J89" i="1" s="1"/>
  <c r="K89" i="1" a="1"/>
  <c r="K89" i="1" s="1"/>
  <c r="W88" i="1"/>
  <c r="Z83" i="1" s="1"/>
  <c r="L86" i="10" l="1"/>
  <c r="J35" i="1" a="1"/>
  <c r="J35" i="1" s="1"/>
  <c r="K35" i="1" a="1"/>
  <c r="K35" i="1" s="1"/>
  <c r="I41" i="1" a="1"/>
  <c r="I41" i="1" s="1"/>
  <c r="I51" i="1" a="1"/>
  <c r="I51" i="1" s="1"/>
  <c r="L85" i="10"/>
  <c r="K88" i="10"/>
  <c r="J88" i="10"/>
  <c r="G88" i="10"/>
  <c r="A95" i="13"/>
  <c r="C94" i="13"/>
  <c r="B94" i="13"/>
  <c r="C90" i="10"/>
  <c r="A91" i="10"/>
  <c r="B90" i="10"/>
  <c r="I86" i="9"/>
  <c r="H86" i="9"/>
  <c r="L86" i="9" s="1"/>
  <c r="K87" i="9"/>
  <c r="J87" i="9"/>
  <c r="G87" i="9"/>
  <c r="K88" i="9"/>
  <c r="G88" i="9"/>
  <c r="J88" i="9"/>
  <c r="K87" i="10"/>
  <c r="J87" i="10"/>
  <c r="G87" i="10"/>
  <c r="B90" i="9"/>
  <c r="F89" i="9" s="1"/>
  <c r="A91" i="9"/>
  <c r="C90" i="9"/>
  <c r="S36" i="14"/>
  <c r="N36" i="14"/>
  <c r="I35" i="14"/>
  <c r="E34" i="1" s="1" a="1"/>
  <c r="E34" i="1" s="1"/>
  <c r="E90" i="1" a="1"/>
  <c r="E90" i="1" s="1"/>
  <c r="C90" i="1" a="1"/>
  <c r="C90" i="1" s="1"/>
  <c r="B90" i="1" a="1"/>
  <c r="B90" i="1" s="1"/>
  <c r="X90" i="1" s="1"/>
  <c r="A91" i="1"/>
  <c r="G90" i="1" a="1"/>
  <c r="G90" i="1" s="1"/>
  <c r="K90" i="1" a="1"/>
  <c r="K90" i="1" s="1"/>
  <c r="J90" i="1" a="1"/>
  <c r="J90" i="1" s="1"/>
  <c r="W89" i="1"/>
  <c r="J34" i="1" l="1" a="1"/>
  <c r="J34" i="1" s="1"/>
  <c r="K34" i="1" a="1"/>
  <c r="K34" i="1" s="1"/>
  <c r="I88" i="9"/>
  <c r="H88" i="9"/>
  <c r="I87" i="9"/>
  <c r="H87" i="9"/>
  <c r="L87" i="9" s="1"/>
  <c r="A92" i="10"/>
  <c r="C91" i="10"/>
  <c r="D90" i="10" s="1"/>
  <c r="E90" i="10" s="1"/>
  <c r="B91" i="10"/>
  <c r="G89" i="9"/>
  <c r="D89" i="10"/>
  <c r="E89" i="10" s="1"/>
  <c r="F89" i="10"/>
  <c r="A92" i="9"/>
  <c r="C91" i="9"/>
  <c r="B91" i="9"/>
  <c r="F90" i="9" s="1"/>
  <c r="A96" i="13"/>
  <c r="C95" i="13"/>
  <c r="B95" i="13"/>
  <c r="I88" i="10"/>
  <c r="H88" i="10"/>
  <c r="I87" i="10"/>
  <c r="H87" i="10"/>
  <c r="D89" i="9"/>
  <c r="E89" i="9" s="1"/>
  <c r="J89" i="9" s="1"/>
  <c r="N35" i="14"/>
  <c r="S35" i="14"/>
  <c r="I34" i="14"/>
  <c r="E33" i="1" s="1" a="1"/>
  <c r="E33" i="1" s="1"/>
  <c r="Z84" i="1"/>
  <c r="A92" i="1"/>
  <c r="C91" i="1" a="1"/>
  <c r="C91" i="1" s="1"/>
  <c r="B91" i="1" a="1"/>
  <c r="B91" i="1" s="1"/>
  <c r="X91" i="1" s="1"/>
  <c r="E91" i="1" a="1"/>
  <c r="E91" i="1" s="1"/>
  <c r="K91" i="1" a="1"/>
  <c r="K91" i="1" s="1"/>
  <c r="J91" i="1" a="1"/>
  <c r="J91" i="1" s="1"/>
  <c r="G91" i="1" a="1"/>
  <c r="G91" i="1" s="1"/>
  <c r="W90" i="1"/>
  <c r="L88" i="9" l="1"/>
  <c r="K33" i="1" a="1"/>
  <c r="K33" i="1" s="1"/>
  <c r="J33" i="1" a="1"/>
  <c r="J33" i="1" s="1"/>
  <c r="K89" i="9"/>
  <c r="G90" i="9"/>
  <c r="D90" i="9"/>
  <c r="E90" i="9" s="1"/>
  <c r="J90" i="9" s="1"/>
  <c r="G89" i="10"/>
  <c r="K89" i="10"/>
  <c r="J89" i="10"/>
  <c r="I89" i="9"/>
  <c r="H89" i="9"/>
  <c r="A93" i="9"/>
  <c r="C92" i="9"/>
  <c r="B92" i="9"/>
  <c r="C92" i="10"/>
  <c r="A93" i="10"/>
  <c r="B92" i="10"/>
  <c r="F91" i="10" s="1"/>
  <c r="A97" i="13"/>
  <c r="C96" i="13"/>
  <c r="B96" i="13"/>
  <c r="L87" i="10"/>
  <c r="F90" i="10"/>
  <c r="L88" i="10"/>
  <c r="S34" i="14"/>
  <c r="N34" i="14"/>
  <c r="I33" i="14"/>
  <c r="E32" i="1" s="1" a="1"/>
  <c r="E32" i="1" s="1"/>
  <c r="Z85" i="1"/>
  <c r="W91" i="1"/>
  <c r="B92" i="1" a="1"/>
  <c r="B92" i="1" s="1"/>
  <c r="X92" i="1" s="1"/>
  <c r="A93" i="1"/>
  <c r="E92" i="1" a="1"/>
  <c r="E92" i="1" s="1"/>
  <c r="C92" i="1" a="1"/>
  <c r="C92" i="1" s="1"/>
  <c r="K92" i="1" a="1"/>
  <c r="K92" i="1" s="1"/>
  <c r="J92" i="1" a="1"/>
  <c r="J92" i="1" s="1"/>
  <c r="G92" i="1" a="1"/>
  <c r="G92" i="1" s="1"/>
  <c r="L89" i="9" l="1"/>
  <c r="K32" i="1" a="1"/>
  <c r="K32" i="1" s="1"/>
  <c r="J32" i="1" a="1"/>
  <c r="J32" i="1" s="1"/>
  <c r="G91" i="10"/>
  <c r="A98" i="13"/>
  <c r="C97" i="13"/>
  <c r="B97" i="13"/>
  <c r="A94" i="10"/>
  <c r="C93" i="10"/>
  <c r="D92" i="10" s="1"/>
  <c r="E92" i="10" s="1"/>
  <c r="B93" i="10"/>
  <c r="F92" i="10" s="1"/>
  <c r="D91" i="10"/>
  <c r="E91" i="10" s="1"/>
  <c r="J91" i="10" s="1"/>
  <c r="A94" i="9"/>
  <c r="B93" i="9"/>
  <c r="F92" i="9" s="1"/>
  <c r="C93" i="9"/>
  <c r="I89" i="10"/>
  <c r="H89" i="10"/>
  <c r="D91" i="9"/>
  <c r="E91" i="9" s="1"/>
  <c r="F91" i="9"/>
  <c r="H90" i="9"/>
  <c r="I90" i="9"/>
  <c r="K90" i="10"/>
  <c r="J90" i="10"/>
  <c r="G90" i="10"/>
  <c r="K90" i="9"/>
  <c r="N33" i="14"/>
  <c r="S33" i="14"/>
  <c r="I32" i="14"/>
  <c r="E31" i="1" s="1" a="1"/>
  <c r="E31" i="1" s="1"/>
  <c r="C93" i="1" a="1"/>
  <c r="C93" i="1" s="1"/>
  <c r="B93" i="1" a="1"/>
  <c r="B93" i="1" s="1"/>
  <c r="X93" i="1" s="1"/>
  <c r="A94" i="1"/>
  <c r="E93" i="1" a="1"/>
  <c r="E93" i="1" s="1"/>
  <c r="J93" i="1" a="1"/>
  <c r="J93" i="1" s="1"/>
  <c r="K93" i="1" a="1"/>
  <c r="K93" i="1" s="1"/>
  <c r="G93" i="1" a="1"/>
  <c r="G93" i="1" s="1"/>
  <c r="Z86" i="1"/>
  <c r="W92" i="1"/>
  <c r="J31" i="1" l="1" a="1"/>
  <c r="J31" i="1" s="1"/>
  <c r="K31" i="1" a="1"/>
  <c r="K31" i="1" s="1"/>
  <c r="D85" i="13"/>
  <c r="L89" i="10"/>
  <c r="L90" i="9"/>
  <c r="G92" i="9"/>
  <c r="D92" i="9"/>
  <c r="E92" i="9" s="1"/>
  <c r="J92" i="9" s="1"/>
  <c r="K92" i="10"/>
  <c r="J92" i="10"/>
  <c r="G92" i="10"/>
  <c r="C94" i="9"/>
  <c r="A95" i="9"/>
  <c r="B94" i="9"/>
  <c r="F93" i="9" s="1"/>
  <c r="I90" i="10"/>
  <c r="H90" i="10"/>
  <c r="C94" i="10"/>
  <c r="B94" i="10"/>
  <c r="A95" i="10"/>
  <c r="J91" i="9"/>
  <c r="G91" i="9"/>
  <c r="K91" i="9"/>
  <c r="B98" i="13"/>
  <c r="A99" i="13"/>
  <c r="C98" i="13"/>
  <c r="I91" i="10"/>
  <c r="H91" i="10"/>
  <c r="K91" i="10"/>
  <c r="N32" i="14"/>
  <c r="S32" i="14"/>
  <c r="I31" i="14"/>
  <c r="E30" i="1" s="1" a="1"/>
  <c r="E30" i="1" s="1"/>
  <c r="W93" i="1"/>
  <c r="E94" i="1" a="1"/>
  <c r="E94" i="1" s="1"/>
  <c r="C94" i="1" a="1"/>
  <c r="C94" i="1" s="1"/>
  <c r="B94" i="1" a="1"/>
  <c r="B94" i="1" s="1"/>
  <c r="X94" i="1" s="1"/>
  <c r="A95" i="1"/>
  <c r="K94" i="1" a="1"/>
  <c r="K94" i="1" s="1"/>
  <c r="J94" i="1" a="1"/>
  <c r="J94" i="1" s="1"/>
  <c r="G94" i="1" a="1"/>
  <c r="G94" i="1" s="1"/>
  <c r="Z87" i="1"/>
  <c r="K30" i="1" l="1" a="1"/>
  <c r="K30" i="1" s="1"/>
  <c r="J30" i="1" a="1"/>
  <c r="J30" i="1" s="1"/>
  <c r="D84" i="13"/>
  <c r="D83" i="13" s="1"/>
  <c r="L90" i="10"/>
  <c r="G93" i="9"/>
  <c r="D93" i="10"/>
  <c r="E93" i="10" s="1"/>
  <c r="A100" i="13"/>
  <c r="C99" i="13"/>
  <c r="B99" i="13"/>
  <c r="F93" i="10"/>
  <c r="A96" i="10"/>
  <c r="C95" i="10"/>
  <c r="B95" i="10"/>
  <c r="H91" i="9"/>
  <c r="I91" i="9"/>
  <c r="L91" i="10"/>
  <c r="C95" i="9"/>
  <c r="A96" i="9"/>
  <c r="B95" i="9"/>
  <c r="F94" i="9" s="1"/>
  <c r="I92" i="10"/>
  <c r="H92" i="10"/>
  <c r="D93" i="9"/>
  <c r="E93" i="9" s="1"/>
  <c r="J93" i="9" s="1"/>
  <c r="H92" i="9"/>
  <c r="I92" i="9"/>
  <c r="K92" i="9"/>
  <c r="N31" i="14"/>
  <c r="S31" i="14"/>
  <c r="I30" i="14"/>
  <c r="E29" i="1" s="1" a="1"/>
  <c r="E29" i="1" s="1"/>
  <c r="A96" i="1"/>
  <c r="E95" i="1" a="1"/>
  <c r="E95" i="1" s="1"/>
  <c r="C95" i="1" a="1"/>
  <c r="C95" i="1" s="1"/>
  <c r="B95" i="1" a="1"/>
  <c r="B95" i="1" s="1"/>
  <c r="X95" i="1" s="1"/>
  <c r="G95" i="1" a="1"/>
  <c r="G95" i="1" s="1"/>
  <c r="K95" i="1" a="1"/>
  <c r="K95" i="1" s="1"/>
  <c r="J95" i="1" a="1"/>
  <c r="J95" i="1" s="1"/>
  <c r="Z88" i="1"/>
  <c r="W94" i="1"/>
  <c r="J29" i="1" l="1" a="1"/>
  <c r="J29" i="1" s="1"/>
  <c r="K29" i="1" a="1"/>
  <c r="K29" i="1" s="1"/>
  <c r="L92" i="10"/>
  <c r="D82" i="13"/>
  <c r="L91" i="9"/>
  <c r="C96" i="9"/>
  <c r="D95" i="9" s="1"/>
  <c r="E95" i="9" s="1"/>
  <c r="B96" i="9"/>
  <c r="F95" i="9" s="1"/>
  <c r="A97" i="9"/>
  <c r="C96" i="10"/>
  <c r="B96" i="10"/>
  <c r="A97" i="10"/>
  <c r="K93" i="10"/>
  <c r="J93" i="10"/>
  <c r="G93" i="10"/>
  <c r="A101" i="13"/>
  <c r="C100" i="13"/>
  <c r="B100" i="13"/>
  <c r="L92" i="9"/>
  <c r="D94" i="10"/>
  <c r="E94" i="10" s="1"/>
  <c r="K93" i="9"/>
  <c r="H93" i="9"/>
  <c r="I93" i="9"/>
  <c r="G94" i="9"/>
  <c r="D94" i="9"/>
  <c r="E94" i="9" s="1"/>
  <c r="J94" i="9" s="1"/>
  <c r="F94" i="10"/>
  <c r="N30" i="14"/>
  <c r="S30" i="14"/>
  <c r="I29" i="14"/>
  <c r="E28" i="1" s="1" a="1"/>
  <c r="E28" i="1" s="1"/>
  <c r="B96" i="1" a="1"/>
  <c r="B96" i="1" s="1"/>
  <c r="X96" i="1" s="1"/>
  <c r="A97" i="1"/>
  <c r="E96" i="1" a="1"/>
  <c r="E96" i="1" s="1"/>
  <c r="C96" i="1" a="1"/>
  <c r="C96" i="1" s="1"/>
  <c r="G96" i="1" a="1"/>
  <c r="G96" i="1" s="1"/>
  <c r="K96" i="1" a="1"/>
  <c r="K96" i="1" s="1"/>
  <c r="J96" i="1" a="1"/>
  <c r="J96" i="1" s="1"/>
  <c r="Z89" i="1"/>
  <c r="W95" i="1"/>
  <c r="Z90" i="1" s="1"/>
  <c r="K28" i="1" l="1" a="1"/>
  <c r="K28" i="1" s="1"/>
  <c r="J28" i="1" a="1"/>
  <c r="J28" i="1" s="1"/>
  <c r="K94" i="9"/>
  <c r="D81" i="13"/>
  <c r="D80" i="13" s="1"/>
  <c r="M82" i="13"/>
  <c r="N82" i="13" s="1"/>
  <c r="P82" i="13" s="1"/>
  <c r="Q82" i="13" s="1"/>
  <c r="I94" i="9"/>
  <c r="H94" i="9"/>
  <c r="L93" i="9"/>
  <c r="C101" i="13"/>
  <c r="B101" i="13"/>
  <c r="A102" i="13"/>
  <c r="K94" i="10"/>
  <c r="J94" i="10"/>
  <c r="G94" i="10"/>
  <c r="I93" i="10"/>
  <c r="H93" i="10"/>
  <c r="L93" i="10" s="1"/>
  <c r="J95" i="9"/>
  <c r="K95" i="9"/>
  <c r="G95" i="9"/>
  <c r="A98" i="10"/>
  <c r="C97" i="10"/>
  <c r="B97" i="10"/>
  <c r="F96" i="10" s="1"/>
  <c r="D95" i="10"/>
  <c r="E95" i="10" s="1"/>
  <c r="F95" i="10"/>
  <c r="B97" i="9"/>
  <c r="F96" i="9" s="1"/>
  <c r="C97" i="9"/>
  <c r="D96" i="9" s="1"/>
  <c r="E96" i="9" s="1"/>
  <c r="A98" i="9"/>
  <c r="N29" i="14"/>
  <c r="S29" i="14"/>
  <c r="I28" i="14"/>
  <c r="E27" i="1" s="1" a="1"/>
  <c r="E27" i="1" s="1"/>
  <c r="A98" i="1"/>
  <c r="K97" i="1" a="1"/>
  <c r="K97" i="1" s="1"/>
  <c r="J97" i="1" a="1"/>
  <c r="J97" i="1" s="1"/>
  <c r="W96" i="1"/>
  <c r="J27" i="1" l="1" a="1"/>
  <c r="J27" i="1" s="1"/>
  <c r="K27" i="1" a="1"/>
  <c r="K27" i="1" s="1"/>
  <c r="M81" i="13"/>
  <c r="N81" i="13" s="1"/>
  <c r="P81" i="13" s="1"/>
  <c r="Q81" i="13" s="1"/>
  <c r="D79" i="13"/>
  <c r="M80" i="13"/>
  <c r="N80" i="13" s="1"/>
  <c r="P80" i="13" s="1"/>
  <c r="Q80" i="13" s="1"/>
  <c r="L94" i="9"/>
  <c r="G96" i="10"/>
  <c r="J95" i="10"/>
  <c r="G95" i="10"/>
  <c r="K95" i="10"/>
  <c r="I94" i="10"/>
  <c r="H94" i="10"/>
  <c r="B102" i="13"/>
  <c r="A103" i="13"/>
  <c r="C102" i="13"/>
  <c r="K96" i="9"/>
  <c r="J96" i="9"/>
  <c r="G96" i="9"/>
  <c r="D96" i="10"/>
  <c r="E96" i="10" s="1"/>
  <c r="J96" i="10" s="1"/>
  <c r="C98" i="10"/>
  <c r="D97" i="10" s="1"/>
  <c r="E97" i="10" s="1"/>
  <c r="B98" i="10"/>
  <c r="F97" i="10" s="1"/>
  <c r="A99" i="10"/>
  <c r="H95" i="9"/>
  <c r="I95" i="9"/>
  <c r="C98" i="9"/>
  <c r="D97" i="9" s="1"/>
  <c r="E97" i="9" s="1"/>
  <c r="A99" i="9"/>
  <c r="B98" i="9"/>
  <c r="S28" i="14"/>
  <c r="N28" i="14"/>
  <c r="I27" i="14"/>
  <c r="E26" i="1" s="1" a="1"/>
  <c r="E26" i="1" s="1"/>
  <c r="Z96" i="1"/>
  <c r="Z91" i="1"/>
  <c r="Z93" i="1"/>
  <c r="Z94" i="1"/>
  <c r="Z95" i="1"/>
  <c r="A99" i="1"/>
  <c r="K98" i="1" a="1"/>
  <c r="K98" i="1" s="1"/>
  <c r="J98" i="1" a="1"/>
  <c r="J98" i="1" s="1"/>
  <c r="Z92" i="1"/>
  <c r="L94" i="10" l="1"/>
  <c r="K26" i="1" a="1"/>
  <c r="K26" i="1" s="1"/>
  <c r="J26" i="1" a="1"/>
  <c r="J26" i="1" s="1"/>
  <c r="D78" i="13"/>
  <c r="D77" i="13" s="1"/>
  <c r="M79" i="13"/>
  <c r="N79" i="13" s="1"/>
  <c r="P79" i="13" s="1"/>
  <c r="Q79" i="13" s="1"/>
  <c r="K97" i="10"/>
  <c r="J97" i="10"/>
  <c r="G97" i="10"/>
  <c r="A100" i="9"/>
  <c r="C99" i="9"/>
  <c r="D98" i="9" s="1"/>
  <c r="E98" i="9" s="1"/>
  <c r="B99" i="9"/>
  <c r="L95" i="9"/>
  <c r="I96" i="9"/>
  <c r="H96" i="9"/>
  <c r="A100" i="10"/>
  <c r="C99" i="10"/>
  <c r="B99" i="10"/>
  <c r="F98" i="10" s="1"/>
  <c r="A104" i="13"/>
  <c r="C103" i="13"/>
  <c r="B103" i="13"/>
  <c r="I95" i="10"/>
  <c r="H95" i="10"/>
  <c r="I96" i="10"/>
  <c r="H96" i="10"/>
  <c r="F97" i="9"/>
  <c r="K96" i="10"/>
  <c r="N27" i="14"/>
  <c r="S27" i="14"/>
  <c r="I26" i="14"/>
  <c r="E25" i="1" s="1" a="1"/>
  <c r="E25" i="1" s="1"/>
  <c r="A100" i="1"/>
  <c r="J99" i="1" a="1"/>
  <c r="J99" i="1" s="1"/>
  <c r="K99" i="1" a="1"/>
  <c r="K99" i="1" s="1"/>
  <c r="L96" i="10" l="1"/>
  <c r="L96" i="9"/>
  <c r="L95" i="10"/>
  <c r="K25" i="1" a="1"/>
  <c r="K25" i="1" s="1"/>
  <c r="J25" i="1" a="1"/>
  <c r="J25" i="1" s="1"/>
  <c r="D76" i="13"/>
  <c r="M78" i="13"/>
  <c r="N78" i="13" s="1"/>
  <c r="P78" i="13" s="1"/>
  <c r="Q78" i="13" s="1"/>
  <c r="G98" i="10"/>
  <c r="C100" i="10"/>
  <c r="D99" i="10" s="1"/>
  <c r="E99" i="10" s="1"/>
  <c r="B100" i="10"/>
  <c r="A101" i="10"/>
  <c r="A105" i="13"/>
  <c r="C104" i="13"/>
  <c r="B104" i="13"/>
  <c r="K97" i="9"/>
  <c r="J97" i="9"/>
  <c r="G97" i="9"/>
  <c r="D98" i="10"/>
  <c r="E98" i="10" s="1"/>
  <c r="J98" i="10" s="1"/>
  <c r="C100" i="9"/>
  <c r="B100" i="9"/>
  <c r="A101" i="9"/>
  <c r="F98" i="9"/>
  <c r="I97" i="10"/>
  <c r="H97" i="10"/>
  <c r="S26" i="14"/>
  <c r="N26" i="14"/>
  <c r="I25" i="14"/>
  <c r="E24" i="1" a="1"/>
  <c r="E24" i="1" s="1"/>
  <c r="A101" i="1"/>
  <c r="K100" i="1" a="1"/>
  <c r="K100" i="1" s="1"/>
  <c r="J100" i="1" a="1"/>
  <c r="J100" i="1" s="1"/>
  <c r="L97" i="10" l="1"/>
  <c r="K24" i="1" a="1"/>
  <c r="K24" i="1" s="1"/>
  <c r="J24" i="1" a="1"/>
  <c r="J24" i="1" s="1"/>
  <c r="M77" i="13"/>
  <c r="N77" i="13" s="1"/>
  <c r="P77" i="13" s="1"/>
  <c r="Q77" i="13" s="1"/>
  <c r="D75" i="13"/>
  <c r="D74" i="13" s="1"/>
  <c r="M76" i="13"/>
  <c r="N76" i="13" s="1"/>
  <c r="P76" i="13" s="1"/>
  <c r="Q76" i="13" s="1"/>
  <c r="G98" i="9"/>
  <c r="K98" i="9"/>
  <c r="J98" i="9"/>
  <c r="C101" i="9"/>
  <c r="D100" i="9" s="1"/>
  <c r="E100" i="9" s="1"/>
  <c r="B101" i="9"/>
  <c r="F100" i="9" s="1"/>
  <c r="A102" i="9"/>
  <c r="F99" i="9"/>
  <c r="D99" i="9"/>
  <c r="E99" i="9" s="1"/>
  <c r="I97" i="9"/>
  <c r="H97" i="9"/>
  <c r="A102" i="10"/>
  <c r="C101" i="10"/>
  <c r="D100" i="10" s="1"/>
  <c r="E100" i="10" s="1"/>
  <c r="B101" i="10"/>
  <c r="F100" i="10" s="1"/>
  <c r="A106" i="13"/>
  <c r="C105" i="13"/>
  <c r="B105" i="13"/>
  <c r="K98" i="10"/>
  <c r="I98" i="10"/>
  <c r="H98" i="10"/>
  <c r="F99" i="10"/>
  <c r="N25" i="14"/>
  <c r="S25" i="14"/>
  <c r="I24" i="14"/>
  <c r="E23" i="1" s="1" a="1"/>
  <c r="E23" i="1" s="1"/>
  <c r="A102" i="1"/>
  <c r="K101" i="1" a="1"/>
  <c r="K101" i="1" s="1"/>
  <c r="J101" i="1" a="1"/>
  <c r="J101" i="1" s="1"/>
  <c r="J23" i="1" l="1" a="1"/>
  <c r="J23" i="1" s="1"/>
  <c r="K23" i="1" a="1"/>
  <c r="K23" i="1" s="1"/>
  <c r="D73" i="13"/>
  <c r="M75" i="13"/>
  <c r="N75" i="13" s="1"/>
  <c r="P75" i="13" s="1"/>
  <c r="Q75" i="13" s="1"/>
  <c r="L98" i="10"/>
  <c r="L97" i="9"/>
  <c r="K100" i="9"/>
  <c r="G100" i="9"/>
  <c r="J100" i="9"/>
  <c r="K99" i="10"/>
  <c r="J99" i="10"/>
  <c r="G99" i="10"/>
  <c r="K100" i="10"/>
  <c r="J100" i="10"/>
  <c r="G100" i="10"/>
  <c r="B106" i="13"/>
  <c r="A107" i="13"/>
  <c r="C106" i="13"/>
  <c r="C102" i="10"/>
  <c r="B102" i="10"/>
  <c r="F101" i="10" s="1"/>
  <c r="A103" i="10"/>
  <c r="J99" i="9"/>
  <c r="G99" i="9"/>
  <c r="K99" i="9"/>
  <c r="B102" i="9"/>
  <c r="F101" i="9" s="1"/>
  <c r="A103" i="9"/>
  <c r="C102" i="9"/>
  <c r="D101" i="9" s="1"/>
  <c r="E101" i="9" s="1"/>
  <c r="I98" i="9"/>
  <c r="H98" i="9"/>
  <c r="N24" i="14"/>
  <c r="S24" i="14"/>
  <c r="I23" i="14"/>
  <c r="E22" i="1" s="1" a="1"/>
  <c r="E22" i="1" s="1"/>
  <c r="A103" i="1"/>
  <c r="J102" i="1" a="1"/>
  <c r="J102" i="1" s="1"/>
  <c r="K102" i="1" a="1"/>
  <c r="K102" i="1" s="1"/>
  <c r="J22" i="1" l="1" a="1"/>
  <c r="J22" i="1" s="1"/>
  <c r="K22" i="1" a="1"/>
  <c r="K22" i="1" s="1"/>
  <c r="L98" i="9"/>
  <c r="M74" i="13"/>
  <c r="N74" i="13" s="1"/>
  <c r="P74" i="13" s="1"/>
  <c r="Q74" i="13" s="1"/>
  <c r="D72" i="13"/>
  <c r="D71" i="13" s="1"/>
  <c r="M73" i="13"/>
  <c r="N73" i="13" s="1"/>
  <c r="P73" i="13" s="1"/>
  <c r="Q73" i="13" s="1"/>
  <c r="G101" i="10"/>
  <c r="A108" i="13"/>
  <c r="B107" i="13"/>
  <c r="C107" i="13"/>
  <c r="A104" i="9"/>
  <c r="C103" i="9"/>
  <c r="D102" i="9" s="1"/>
  <c r="E102" i="9" s="1"/>
  <c r="B103" i="9"/>
  <c r="F102" i="9" s="1"/>
  <c r="I100" i="10"/>
  <c r="H100" i="10"/>
  <c r="J101" i="9"/>
  <c r="K101" i="9"/>
  <c r="G101" i="9"/>
  <c r="H99" i="9"/>
  <c r="I99" i="9"/>
  <c r="I99" i="10"/>
  <c r="H99" i="10"/>
  <c r="A104" i="10"/>
  <c r="C103" i="10"/>
  <c r="D102" i="10" s="1"/>
  <c r="E102" i="10" s="1"/>
  <c r="B103" i="10"/>
  <c r="F102" i="10" s="1"/>
  <c r="H100" i="9"/>
  <c r="I100" i="9"/>
  <c r="D101" i="10"/>
  <c r="E101" i="10" s="1"/>
  <c r="J101" i="10" s="1"/>
  <c r="N23" i="14"/>
  <c r="S23" i="14"/>
  <c r="I22" i="14"/>
  <c r="E21" i="1" s="1" a="1"/>
  <c r="E21" i="1" s="1"/>
  <c r="A104" i="1"/>
  <c r="J103" i="1" a="1"/>
  <c r="J103" i="1" s="1"/>
  <c r="K103" i="1" a="1"/>
  <c r="K103" i="1" s="1"/>
  <c r="L99" i="10" l="1"/>
  <c r="J21" i="1" a="1"/>
  <c r="J21" i="1" s="1"/>
  <c r="K21" i="1" a="1"/>
  <c r="K21" i="1" s="1"/>
  <c r="D70" i="13"/>
  <c r="M72" i="13"/>
  <c r="N72" i="13" s="1"/>
  <c r="P72" i="13" s="1"/>
  <c r="Q72" i="13" s="1"/>
  <c r="L100" i="10"/>
  <c r="L99" i="9"/>
  <c r="J102" i="10"/>
  <c r="K102" i="10"/>
  <c r="G102" i="10"/>
  <c r="K102" i="9"/>
  <c r="J102" i="9"/>
  <c r="G102" i="9"/>
  <c r="I101" i="9"/>
  <c r="H101" i="9"/>
  <c r="C104" i="10"/>
  <c r="B104" i="10"/>
  <c r="A105" i="10"/>
  <c r="A109" i="13"/>
  <c r="B108" i="13"/>
  <c r="C108" i="13"/>
  <c r="C104" i="9"/>
  <c r="B104" i="9"/>
  <c r="F103" i="9" s="1"/>
  <c r="A105" i="9"/>
  <c r="L100" i="9"/>
  <c r="K101" i="10"/>
  <c r="I101" i="10"/>
  <c r="H101" i="10"/>
  <c r="S22" i="14"/>
  <c r="N22" i="14"/>
  <c r="I21" i="14"/>
  <c r="E20" i="1" s="1" a="1"/>
  <c r="E20" i="1" s="1"/>
  <c r="A105" i="1"/>
  <c r="J104" i="1" a="1"/>
  <c r="J104" i="1" s="1"/>
  <c r="K104" i="1" a="1"/>
  <c r="K104" i="1" s="1"/>
  <c r="J20" i="1" l="1" a="1"/>
  <c r="J20" i="1" s="1"/>
  <c r="K20" i="1" a="1"/>
  <c r="K20" i="1" s="1"/>
  <c r="J75" i="14"/>
  <c r="I74" i="1" s="1" a="1"/>
  <c r="I74" i="1" s="1"/>
  <c r="J84" i="14"/>
  <c r="M71" i="13"/>
  <c r="N71" i="13" s="1"/>
  <c r="P71" i="13" s="1"/>
  <c r="Q71" i="13" s="1"/>
  <c r="D69" i="13"/>
  <c r="D68" i="13" s="1"/>
  <c r="D67" i="13" s="1"/>
  <c r="D66" i="13" s="1"/>
  <c r="D65" i="13" s="1"/>
  <c r="D64" i="13" s="1"/>
  <c r="D63" i="13" s="1"/>
  <c r="M70" i="13"/>
  <c r="N70" i="13" s="1"/>
  <c r="P70" i="13" s="1"/>
  <c r="Q70" i="13" s="1"/>
  <c r="L101" i="10"/>
  <c r="L101" i="9"/>
  <c r="C109" i="13"/>
  <c r="B109" i="13"/>
  <c r="A110" i="13"/>
  <c r="D103" i="9"/>
  <c r="E103" i="9" s="1"/>
  <c r="J103" i="9" s="1"/>
  <c r="G103" i="9"/>
  <c r="C105" i="10"/>
  <c r="D104" i="10" s="1"/>
  <c r="E104" i="10" s="1"/>
  <c r="B105" i="10"/>
  <c r="A106" i="10"/>
  <c r="I102" i="9"/>
  <c r="H102" i="9"/>
  <c r="D103" i="10"/>
  <c r="E103" i="10" s="1"/>
  <c r="F103" i="10"/>
  <c r="I102" i="10"/>
  <c r="H102" i="10"/>
  <c r="A106" i="9"/>
  <c r="C105" i="9"/>
  <c r="B105" i="9"/>
  <c r="F104" i="9" s="1"/>
  <c r="N21" i="14"/>
  <c r="S21" i="14"/>
  <c r="I20" i="14"/>
  <c r="E19" i="1" s="1" a="1"/>
  <c r="E19" i="1" s="1"/>
  <c r="A106" i="1"/>
  <c r="K105" i="1" a="1"/>
  <c r="K105" i="1" s="1"/>
  <c r="J105" i="1" a="1"/>
  <c r="J105" i="1" s="1"/>
  <c r="J19" i="1" l="1" a="1"/>
  <c r="J19" i="1" s="1"/>
  <c r="K19" i="1" a="1"/>
  <c r="K19" i="1" s="1"/>
  <c r="D62" i="13"/>
  <c r="J74" i="14"/>
  <c r="I73" i="1" s="1" a="1"/>
  <c r="I73" i="1" s="1"/>
  <c r="J83" i="14"/>
  <c r="J73" i="14"/>
  <c r="I72" i="1" s="1" a="1"/>
  <c r="I72" i="1" s="1"/>
  <c r="J82" i="14"/>
  <c r="M69" i="13"/>
  <c r="N69" i="13" s="1"/>
  <c r="P69" i="13" s="1"/>
  <c r="Q69" i="13" s="1"/>
  <c r="K103" i="9"/>
  <c r="L102" i="9"/>
  <c r="L102" i="10"/>
  <c r="G104" i="9"/>
  <c r="I103" i="9"/>
  <c r="H103" i="9"/>
  <c r="L103" i="9" s="1"/>
  <c r="B110" i="13"/>
  <c r="C110" i="13"/>
  <c r="A111" i="13"/>
  <c r="F104" i="10"/>
  <c r="C106" i="10"/>
  <c r="B106" i="10"/>
  <c r="A107" i="10"/>
  <c r="C106" i="9"/>
  <c r="A107" i="9"/>
  <c r="B106" i="9"/>
  <c r="K103" i="10"/>
  <c r="J103" i="10"/>
  <c r="G103" i="10"/>
  <c r="D104" i="9"/>
  <c r="E104" i="9" s="1"/>
  <c r="J104" i="9" s="1"/>
  <c r="N20" i="14"/>
  <c r="S20" i="14"/>
  <c r="I19" i="14"/>
  <c r="E18" i="1" s="1" a="1"/>
  <c r="E18" i="1" s="1"/>
  <c r="A107" i="1"/>
  <c r="J106" i="1" a="1"/>
  <c r="J106" i="1" s="1"/>
  <c r="K106" i="1" a="1"/>
  <c r="K106" i="1" s="1"/>
  <c r="K18" i="1" l="1" a="1"/>
  <c r="K18" i="1" s="1"/>
  <c r="J18" i="1" a="1"/>
  <c r="J18" i="1" s="1"/>
  <c r="M61" i="13"/>
  <c r="J72" i="14"/>
  <c r="I71" i="1" s="1" a="1"/>
  <c r="I71" i="1" s="1"/>
  <c r="J81" i="14"/>
  <c r="M68" i="13"/>
  <c r="A108" i="9"/>
  <c r="C107" i="9"/>
  <c r="D106" i="9" s="1"/>
  <c r="E106" i="9" s="1"/>
  <c r="B107" i="9"/>
  <c r="A108" i="10"/>
  <c r="C107" i="10"/>
  <c r="D106" i="10" s="1"/>
  <c r="E106" i="10" s="1"/>
  <c r="B107" i="10"/>
  <c r="F106" i="10" s="1"/>
  <c r="D105" i="9"/>
  <c r="E105" i="9" s="1"/>
  <c r="F105" i="9"/>
  <c r="J104" i="10"/>
  <c r="G104" i="10"/>
  <c r="K104" i="10"/>
  <c r="A112" i="13"/>
  <c r="C111" i="13"/>
  <c r="B111" i="13"/>
  <c r="D105" i="10"/>
  <c r="E105" i="10" s="1"/>
  <c r="K104" i="9"/>
  <c r="F105" i="10"/>
  <c r="I103" i="10"/>
  <c r="H103" i="10"/>
  <c r="I104" i="9"/>
  <c r="H104" i="9"/>
  <c r="S19" i="14"/>
  <c r="N19" i="14"/>
  <c r="I18" i="14"/>
  <c r="E17" i="1" s="1" a="1"/>
  <c r="E17" i="1" s="1"/>
  <c r="A108" i="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K107" i="1" a="1"/>
  <c r="K107" i="1" s="1"/>
  <c r="J107" i="1" a="1"/>
  <c r="J107" i="1" s="1"/>
  <c r="J17" i="1" l="1" a="1"/>
  <c r="J17" i="1" s="1"/>
  <c r="K17" i="1" a="1"/>
  <c r="K17" i="1" s="1"/>
  <c r="N61" i="13"/>
  <c r="P61" i="13" s="1"/>
  <c r="Q61" i="13" s="1"/>
  <c r="J63" i="14" s="1"/>
  <c r="I62" i="1" s="1" a="1"/>
  <c r="I62" i="1" s="1"/>
  <c r="M60" i="13"/>
  <c r="N68" i="13"/>
  <c r="P68" i="13" s="1"/>
  <c r="Q68" i="13" s="1"/>
  <c r="M67" i="13"/>
  <c r="L103" i="10"/>
  <c r="L104" i="9"/>
  <c r="A113" i="13"/>
  <c r="B112" i="13"/>
  <c r="C112" i="13"/>
  <c r="H104" i="10"/>
  <c r="I104" i="10"/>
  <c r="J106" i="10"/>
  <c r="K106" i="10"/>
  <c r="G106" i="10"/>
  <c r="C108" i="10"/>
  <c r="B108" i="10"/>
  <c r="A109" i="10"/>
  <c r="J105" i="9"/>
  <c r="G105" i="9"/>
  <c r="K105" i="9"/>
  <c r="K105" i="10"/>
  <c r="J105" i="10"/>
  <c r="G105" i="10"/>
  <c r="C108" i="9"/>
  <c r="B108" i="9"/>
  <c r="A109" i="9"/>
  <c r="F106" i="9"/>
  <c r="N18" i="14"/>
  <c r="S18" i="14"/>
  <c r="I17" i="14"/>
  <c r="E16" i="1" s="1" a="1"/>
  <c r="E16" i="1" s="1"/>
  <c r="K16" i="1" l="1" a="1"/>
  <c r="K16" i="1" s="1"/>
  <c r="J16" i="1" a="1"/>
  <c r="J16" i="1" s="1"/>
  <c r="N67" i="13"/>
  <c r="P67" i="13" s="1"/>
  <c r="Q67" i="13" s="1"/>
  <c r="J69" i="14" s="1"/>
  <c r="I68" i="1" s="1" a="1"/>
  <c r="I68" i="1" s="1"/>
  <c r="M66" i="13"/>
  <c r="N60" i="13"/>
  <c r="P60" i="13" s="1"/>
  <c r="Q60" i="13" s="1"/>
  <c r="J62" i="14" s="1"/>
  <c r="I61" i="1" s="1" a="1"/>
  <c r="I61" i="1" s="1"/>
  <c r="M59" i="13"/>
  <c r="N59" i="13" s="1"/>
  <c r="P59" i="13" s="1"/>
  <c r="Q59" i="13" s="1"/>
  <c r="J61" i="14" s="1"/>
  <c r="M64" i="13"/>
  <c r="J78" i="14"/>
  <c r="I77" i="1" s="1" a="1"/>
  <c r="I77" i="1" s="1"/>
  <c r="J70" i="14"/>
  <c r="I59" i="1" s="1" a="1"/>
  <c r="I59" i="1" s="1"/>
  <c r="J79" i="14"/>
  <c r="I78" i="1" s="1" a="1"/>
  <c r="I78" i="1" s="1"/>
  <c r="J71" i="14"/>
  <c r="J80" i="14"/>
  <c r="I58" i="1" a="1"/>
  <c r="I58" i="1" s="1"/>
  <c r="L104" i="10"/>
  <c r="C109" i="9"/>
  <c r="D108" i="9" s="1"/>
  <c r="E108" i="9" s="1"/>
  <c r="B109" i="9"/>
  <c r="F108" i="9" s="1"/>
  <c r="A110" i="9"/>
  <c r="A114" i="13"/>
  <c r="C113" i="13"/>
  <c r="B113" i="13"/>
  <c r="F107" i="9"/>
  <c r="I105" i="10"/>
  <c r="H105" i="10"/>
  <c r="H105" i="9"/>
  <c r="I105" i="9"/>
  <c r="J106" i="9"/>
  <c r="G106" i="9"/>
  <c r="K106" i="9"/>
  <c r="A110" i="10"/>
  <c r="C109" i="10"/>
  <c r="B109" i="10"/>
  <c r="D107" i="9"/>
  <c r="E107" i="9" s="1"/>
  <c r="D107" i="10"/>
  <c r="E107" i="10" s="1"/>
  <c r="F107" i="10"/>
  <c r="H106" i="10"/>
  <c r="L106" i="10" s="1"/>
  <c r="I106" i="10"/>
  <c r="S17" i="14"/>
  <c r="N17" i="14"/>
  <c r="I16" i="14"/>
  <c r="E15" i="1" s="1" a="1"/>
  <c r="E15" i="1" s="1"/>
  <c r="K15" i="1" l="1" a="1"/>
  <c r="K15" i="1" s="1"/>
  <c r="J15" i="1" a="1"/>
  <c r="J15" i="1" s="1"/>
  <c r="I69" i="1" a="1"/>
  <c r="I69" i="1" s="1"/>
  <c r="I79" i="1" a="1"/>
  <c r="I79" i="1" s="1"/>
  <c r="N64" i="13"/>
  <c r="P64" i="13" s="1"/>
  <c r="Q64" i="13" s="1"/>
  <c r="M63" i="13"/>
  <c r="I60" i="1" a="1"/>
  <c r="I60" i="1" s="1"/>
  <c r="I70" i="1" a="1"/>
  <c r="I70" i="1" s="1"/>
  <c r="L105" i="9"/>
  <c r="L105" i="10"/>
  <c r="N66" i="13"/>
  <c r="P66" i="13" s="1"/>
  <c r="Q66" i="13" s="1"/>
  <c r="J68" i="14" s="1"/>
  <c r="I67" i="1" s="1" a="1"/>
  <c r="I67" i="1" s="1"/>
  <c r="M65" i="13"/>
  <c r="N65" i="13" s="1"/>
  <c r="P65" i="13" s="1"/>
  <c r="Q65" i="13" s="1"/>
  <c r="I57" i="1" a="1"/>
  <c r="I57" i="1" s="1"/>
  <c r="G108" i="9"/>
  <c r="K108" i="9"/>
  <c r="J108" i="9"/>
  <c r="A111" i="10"/>
  <c r="C110" i="10"/>
  <c r="D109" i="10" s="1"/>
  <c r="E109" i="10" s="1"/>
  <c r="B110" i="10"/>
  <c r="D108" i="10"/>
  <c r="E108" i="10" s="1"/>
  <c r="F108" i="10"/>
  <c r="I106" i="9"/>
  <c r="H106" i="9"/>
  <c r="B114" i="13"/>
  <c r="C114" i="13"/>
  <c r="A115" i="13"/>
  <c r="J107" i="9"/>
  <c r="G107" i="9"/>
  <c r="K107" i="9"/>
  <c r="A111" i="9"/>
  <c r="C110" i="9"/>
  <c r="D109" i="9" s="1"/>
  <c r="E109" i="9" s="1"/>
  <c r="B110" i="9"/>
  <c r="F109" i="9" s="1"/>
  <c r="K107" i="10"/>
  <c r="J107" i="10"/>
  <c r="G107" i="10"/>
  <c r="S16" i="14"/>
  <c r="N16" i="14"/>
  <c r="I15" i="14"/>
  <c r="E14" i="1" s="1" a="1"/>
  <c r="E14" i="1" s="1"/>
  <c r="J14" i="1" l="1" a="1"/>
  <c r="J14" i="1" s="1"/>
  <c r="K14" i="1" a="1"/>
  <c r="K14" i="1" s="1"/>
  <c r="J77" i="14"/>
  <c r="I76" i="1" s="1" a="1"/>
  <c r="I76" i="1" s="1"/>
  <c r="J67" i="14"/>
  <c r="N63" i="13"/>
  <c r="P63" i="13" s="1"/>
  <c r="Q63" i="13" s="1"/>
  <c r="J65" i="14" s="1"/>
  <c r="M62" i="13"/>
  <c r="N62" i="13" s="1"/>
  <c r="P62" i="13" s="1"/>
  <c r="Q62" i="13" s="1"/>
  <c r="J64" i="14" s="1"/>
  <c r="I63" i="1" s="1" a="1"/>
  <c r="I63" i="1" s="1"/>
  <c r="J76" i="14"/>
  <c r="I75" i="1" s="1" a="1"/>
  <c r="I75" i="1" s="1"/>
  <c r="J66" i="14"/>
  <c r="L106" i="9"/>
  <c r="K109" i="9"/>
  <c r="J109" i="9"/>
  <c r="G109" i="9"/>
  <c r="A116" i="13"/>
  <c r="B115" i="13"/>
  <c r="C115" i="13"/>
  <c r="J108" i="10"/>
  <c r="G108" i="10"/>
  <c r="K108" i="10"/>
  <c r="I107" i="10"/>
  <c r="H107" i="10"/>
  <c r="L107" i="10" s="1"/>
  <c r="I107" i="9"/>
  <c r="H107" i="9"/>
  <c r="B111" i="9"/>
  <c r="C111" i="9"/>
  <c r="A112" i="9"/>
  <c r="C111" i="10"/>
  <c r="B111" i="10"/>
  <c r="F110" i="10" s="1"/>
  <c r="A112" i="10"/>
  <c r="F109" i="10"/>
  <c r="I108" i="9"/>
  <c r="H108" i="9"/>
  <c r="S15" i="14"/>
  <c r="N15" i="14"/>
  <c r="I14" i="14"/>
  <c r="E13" i="1" s="1" a="1"/>
  <c r="E13" i="1" s="1"/>
  <c r="L107" i="9" l="1"/>
  <c r="K13" i="1" a="1"/>
  <c r="K13" i="1" s="1"/>
  <c r="J13" i="1" a="1"/>
  <c r="J13" i="1" s="1"/>
  <c r="I65" i="1" a="1"/>
  <c r="I65" i="1" s="1"/>
  <c r="O18" i="14"/>
  <c r="R17" i="1" s="1" a="1"/>
  <c r="R17" i="1" s="1"/>
  <c r="O17" i="14"/>
  <c r="R16" i="1" s="1" a="1"/>
  <c r="R16" i="1" s="1"/>
  <c r="O19" i="14"/>
  <c r="R18" i="1" s="1" a="1"/>
  <c r="R18" i="1" s="1"/>
  <c r="O22" i="14"/>
  <c r="O21" i="14" s="1"/>
  <c r="O20" i="14" s="1"/>
  <c r="I64" i="1" a="1"/>
  <c r="I64" i="1" s="1"/>
  <c r="T17" i="14"/>
  <c r="S16" i="1" s="1" a="1"/>
  <c r="S16" i="1" s="1"/>
  <c r="T18" i="14"/>
  <c r="S17" i="1" s="1" a="1"/>
  <c r="S17" i="1" s="1"/>
  <c r="T19" i="14"/>
  <c r="S18" i="1" s="1" a="1"/>
  <c r="S18" i="1" s="1"/>
  <c r="T22" i="14"/>
  <c r="T21" i="14" s="1"/>
  <c r="T20" i="14" s="1"/>
  <c r="I56" i="1" a="1"/>
  <c r="I56" i="1" s="1"/>
  <c r="I66" i="1" a="1"/>
  <c r="I66" i="1" s="1"/>
  <c r="L108" i="9"/>
  <c r="A113" i="9"/>
  <c r="C112" i="9"/>
  <c r="B112" i="9"/>
  <c r="D110" i="9"/>
  <c r="E110" i="9" s="1"/>
  <c r="D110" i="10"/>
  <c r="E110" i="10" s="1"/>
  <c r="J110" i="10" s="1"/>
  <c r="F110" i="9"/>
  <c r="G110" i="10"/>
  <c r="I108" i="10"/>
  <c r="H108" i="10"/>
  <c r="A117" i="13"/>
  <c r="B116" i="13"/>
  <c r="C116" i="13"/>
  <c r="G109" i="10"/>
  <c r="K109" i="10"/>
  <c r="J109" i="10"/>
  <c r="I109" i="9"/>
  <c r="H109" i="9"/>
  <c r="C112" i="10"/>
  <c r="D111" i="10" s="1"/>
  <c r="E111" i="10" s="1"/>
  <c r="B112" i="10"/>
  <c r="F111" i="10" s="1"/>
  <c r="A113" i="10"/>
  <c r="S14" i="14"/>
  <c r="N14" i="14"/>
  <c r="I13" i="14"/>
  <c r="E12" i="1" s="1" a="1"/>
  <c r="E12" i="1" s="1"/>
  <c r="J12" i="1" l="1" a="1"/>
  <c r="J12" i="1" s="1"/>
  <c r="K12" i="1" a="1"/>
  <c r="K12" i="1" s="1"/>
  <c r="L108" i="10"/>
  <c r="K110" i="10"/>
  <c r="G111" i="10"/>
  <c r="K111" i="10"/>
  <c r="J111" i="10"/>
  <c r="I109" i="10"/>
  <c r="H109" i="10"/>
  <c r="L109" i="10" s="1"/>
  <c r="C117" i="13"/>
  <c r="B117" i="13"/>
  <c r="A118" i="13"/>
  <c r="I110" i="10"/>
  <c r="H110" i="10"/>
  <c r="K110" i="9"/>
  <c r="J110" i="9"/>
  <c r="G110" i="9"/>
  <c r="A114" i="10"/>
  <c r="C113" i="10"/>
  <c r="D112" i="10" s="1"/>
  <c r="E112" i="10" s="1"/>
  <c r="B113" i="10"/>
  <c r="F112" i="10" s="1"/>
  <c r="A114" i="9"/>
  <c r="B113" i="9"/>
  <c r="C113" i="9"/>
  <c r="F111" i="9"/>
  <c r="L109" i="9"/>
  <c r="D111" i="9"/>
  <c r="E111" i="9" s="1"/>
  <c r="S13" i="14"/>
  <c r="N13" i="14"/>
  <c r="I12" i="14"/>
  <c r="I11" i="14" s="1"/>
  <c r="E11" i="1" l="1" a="1"/>
  <c r="E11" i="1" s="1"/>
  <c r="J11" i="1" a="1"/>
  <c r="J11" i="1" s="1"/>
  <c r="K11" i="1" a="1"/>
  <c r="K11" i="1" s="1"/>
  <c r="L110" i="10"/>
  <c r="K111" i="9"/>
  <c r="J111" i="9"/>
  <c r="G111" i="9"/>
  <c r="B118" i="13"/>
  <c r="A119" i="13"/>
  <c r="C118" i="13"/>
  <c r="J112" i="10"/>
  <c r="K112" i="10"/>
  <c r="G112" i="10"/>
  <c r="C114" i="9"/>
  <c r="D113" i="9" s="1"/>
  <c r="E113" i="9" s="1"/>
  <c r="B114" i="9"/>
  <c r="F113" i="9" s="1"/>
  <c r="A115" i="9"/>
  <c r="A115" i="10"/>
  <c r="B114" i="10"/>
  <c r="C114" i="10"/>
  <c r="D113" i="10" s="1"/>
  <c r="E113" i="10" s="1"/>
  <c r="D112" i="9"/>
  <c r="E112" i="9" s="1"/>
  <c r="F112" i="9"/>
  <c r="I110" i="9"/>
  <c r="H110" i="9"/>
  <c r="I111" i="10"/>
  <c r="H111" i="10"/>
  <c r="L111" i="10" s="1"/>
  <c r="S12" i="14"/>
  <c r="N12" i="14"/>
  <c r="E10" i="1" a="1"/>
  <c r="E10" i="1" s="1"/>
  <c r="J10" i="1" l="1" a="1"/>
  <c r="J10" i="1" s="1"/>
  <c r="K10" i="1" a="1"/>
  <c r="K10" i="1" s="1"/>
  <c r="L110" i="9"/>
  <c r="K112" i="9"/>
  <c r="G112" i="9"/>
  <c r="J112" i="9"/>
  <c r="K113" i="9"/>
  <c r="J113" i="9"/>
  <c r="G113" i="9"/>
  <c r="A120" i="13"/>
  <c r="B119" i="13"/>
  <c r="C119" i="13"/>
  <c r="C115" i="9"/>
  <c r="B115" i="9"/>
  <c r="F114" i="9" s="1"/>
  <c r="A116" i="9"/>
  <c r="H111" i="9"/>
  <c r="I111" i="9"/>
  <c r="I112" i="10"/>
  <c r="H112" i="10"/>
  <c r="F113" i="10"/>
  <c r="B115" i="10"/>
  <c r="A116" i="10"/>
  <c r="C115" i="10"/>
  <c r="D114" i="10" s="1"/>
  <c r="E114" i="10" s="1"/>
  <c r="N11" i="14"/>
  <c r="S11" i="14"/>
  <c r="I10" i="14"/>
  <c r="E9" i="1" s="1" a="1"/>
  <c r="E9" i="1" s="1"/>
  <c r="L112" i="10" l="1"/>
  <c r="J9" i="1" a="1"/>
  <c r="J9" i="1" s="1"/>
  <c r="K9" i="1" a="1"/>
  <c r="K9" i="1" s="1"/>
  <c r="L111" i="9"/>
  <c r="K113" i="10"/>
  <c r="J113" i="10"/>
  <c r="G113" i="10"/>
  <c r="B116" i="9"/>
  <c r="A117" i="9"/>
  <c r="C116" i="9"/>
  <c r="I113" i="9"/>
  <c r="H113" i="9"/>
  <c r="F114" i="10"/>
  <c r="A121" i="13"/>
  <c r="C120" i="13"/>
  <c r="B120" i="13"/>
  <c r="D114" i="9"/>
  <c r="E114" i="9" s="1"/>
  <c r="J114" i="9" s="1"/>
  <c r="I112" i="9"/>
  <c r="H112" i="9"/>
  <c r="G114" i="9"/>
  <c r="A117" i="10"/>
  <c r="C116" i="10"/>
  <c r="D115" i="10" s="1"/>
  <c r="E115" i="10" s="1"/>
  <c r="B116" i="10"/>
  <c r="F115" i="10" s="1"/>
  <c r="N10" i="14"/>
  <c r="S10" i="14"/>
  <c r="I9" i="14"/>
  <c r="E8" i="1" s="1" a="1"/>
  <c r="E8" i="1" s="1"/>
  <c r="L112" i="9" l="1"/>
  <c r="J8" i="1" a="1"/>
  <c r="J8" i="1" s="1"/>
  <c r="K8" i="1" a="1"/>
  <c r="K8" i="1" s="1"/>
  <c r="L113" i="9"/>
  <c r="K114" i="9"/>
  <c r="K115" i="10"/>
  <c r="J115" i="10"/>
  <c r="G115" i="10"/>
  <c r="J114" i="10"/>
  <c r="K114" i="10"/>
  <c r="G114" i="10"/>
  <c r="A118" i="9"/>
  <c r="C117" i="9"/>
  <c r="B117" i="9"/>
  <c r="F116" i="9" s="1"/>
  <c r="A122" i="13"/>
  <c r="C121" i="13"/>
  <c r="B121" i="13"/>
  <c r="D115" i="9"/>
  <c r="E115" i="9" s="1"/>
  <c r="I113" i="10"/>
  <c r="H113" i="10"/>
  <c r="H114" i="9"/>
  <c r="I114" i="9"/>
  <c r="C117" i="10"/>
  <c r="D116" i="10" s="1"/>
  <c r="E116" i="10" s="1"/>
  <c r="B117" i="10"/>
  <c r="F116" i="10" s="1"/>
  <c r="A118" i="10"/>
  <c r="F115" i="9"/>
  <c r="N9" i="14"/>
  <c r="S9" i="14"/>
  <c r="I8" i="14"/>
  <c r="E7" i="1" s="1" a="1"/>
  <c r="E7" i="1" s="1"/>
  <c r="J7" i="1" l="1" a="1"/>
  <c r="J7" i="1" s="1"/>
  <c r="K7" i="1" a="1"/>
  <c r="K7" i="1" s="1"/>
  <c r="D109" i="13"/>
  <c r="L113" i="10"/>
  <c r="A119" i="10"/>
  <c r="C118" i="10"/>
  <c r="D117" i="10" s="1"/>
  <c r="E117" i="10" s="1"/>
  <c r="B118" i="10"/>
  <c r="F117" i="10" s="1"/>
  <c r="J116" i="10"/>
  <c r="K116" i="10"/>
  <c r="G116" i="10"/>
  <c r="K115" i="9"/>
  <c r="G115" i="9"/>
  <c r="J115" i="9"/>
  <c r="G116" i="9"/>
  <c r="B122" i="13"/>
  <c r="A123" i="13"/>
  <c r="C122" i="13"/>
  <c r="C118" i="9"/>
  <c r="D117" i="9" s="1"/>
  <c r="E117" i="9" s="1"/>
  <c r="B118" i="9"/>
  <c r="F117" i="9" s="1"/>
  <c r="A119" i="9"/>
  <c r="I114" i="10"/>
  <c r="H114" i="10"/>
  <c r="I115" i="10"/>
  <c r="H115" i="10"/>
  <c r="L114" i="9"/>
  <c r="D116" i="9"/>
  <c r="E116" i="9" s="1"/>
  <c r="J116" i="9" s="1"/>
  <c r="S8" i="14"/>
  <c r="N8" i="14"/>
  <c r="I7" i="14"/>
  <c r="I6" i="14" s="1"/>
  <c r="E6" i="1" l="1" a="1"/>
  <c r="E6" i="1" s="1"/>
  <c r="K6" i="1" a="1"/>
  <c r="K6" i="1" s="1"/>
  <c r="J6" i="1" a="1"/>
  <c r="J6" i="1" s="1"/>
  <c r="D108" i="13"/>
  <c r="D107" i="13" s="1"/>
  <c r="L114" i="10"/>
  <c r="L115" i="10"/>
  <c r="K116" i="9"/>
  <c r="K117" i="10"/>
  <c r="J117" i="10"/>
  <c r="G117" i="10"/>
  <c r="H115" i="9"/>
  <c r="I115" i="9"/>
  <c r="A124" i="13"/>
  <c r="C123" i="13"/>
  <c r="B123" i="13"/>
  <c r="I116" i="10"/>
  <c r="H116" i="10"/>
  <c r="J117" i="9"/>
  <c r="G117" i="9"/>
  <c r="K117" i="9"/>
  <c r="I116" i="9"/>
  <c r="H116" i="9"/>
  <c r="C119" i="10"/>
  <c r="D118" i="10" s="1"/>
  <c r="E118" i="10" s="1"/>
  <c r="B119" i="10"/>
  <c r="F118" i="10" s="1"/>
  <c r="A120" i="10"/>
  <c r="C119" i="9"/>
  <c r="D118" i="9" s="1"/>
  <c r="E118" i="9" s="1"/>
  <c r="B119" i="9"/>
  <c r="F118" i="9" s="1"/>
  <c r="A120" i="9"/>
  <c r="E5" i="1" a="1"/>
  <c r="E5" i="1" s="1"/>
  <c r="N7" i="14"/>
  <c r="S7" i="14"/>
  <c r="L116" i="9" l="1"/>
  <c r="K5" i="1" a="1"/>
  <c r="K5" i="1" s="1"/>
  <c r="J5" i="1" a="1"/>
  <c r="J5" i="1" s="1"/>
  <c r="D106" i="13"/>
  <c r="L116" i="10"/>
  <c r="J118" i="10"/>
  <c r="K118" i="10"/>
  <c r="G118" i="10"/>
  <c r="I117" i="9"/>
  <c r="H117" i="9"/>
  <c r="L117" i="9" s="1"/>
  <c r="K118" i="9"/>
  <c r="J118" i="9"/>
  <c r="G118" i="9"/>
  <c r="I117" i="10"/>
  <c r="H117" i="10"/>
  <c r="L117" i="10" s="1"/>
  <c r="C120" i="9"/>
  <c r="D119" i="9" s="1"/>
  <c r="E119" i="9" s="1"/>
  <c r="B120" i="9"/>
  <c r="F119" i="9" s="1"/>
  <c r="A121" i="9"/>
  <c r="A125" i="13"/>
  <c r="B124" i="13"/>
  <c r="C124" i="13"/>
  <c r="L115" i="9"/>
  <c r="A121" i="10"/>
  <c r="C120" i="10"/>
  <c r="B120" i="10"/>
  <c r="F119" i="10" s="1"/>
  <c r="S6" i="14"/>
  <c r="N6" i="14"/>
  <c r="I14" i="16"/>
  <c r="J14" i="16" l="1"/>
  <c r="D105" i="13"/>
  <c r="D104" i="13" s="1"/>
  <c r="M106" i="13"/>
  <c r="N106" i="13" s="1"/>
  <c r="P106" i="13" s="1"/>
  <c r="Q106" i="13" s="1"/>
  <c r="I118" i="9"/>
  <c r="H118" i="9"/>
  <c r="G119" i="10"/>
  <c r="B121" i="9"/>
  <c r="F120" i="9" s="1"/>
  <c r="C121" i="9"/>
  <c r="D120" i="9" s="1"/>
  <c r="E120" i="9" s="1"/>
  <c r="A122" i="9"/>
  <c r="C125" i="13"/>
  <c r="B125" i="13"/>
  <c r="A126" i="13"/>
  <c r="I118" i="10"/>
  <c r="H118" i="10"/>
  <c r="J119" i="9"/>
  <c r="K119" i="9"/>
  <c r="G119" i="9"/>
  <c r="D119" i="10"/>
  <c r="E119" i="10" s="1"/>
  <c r="J119" i="10" s="1"/>
  <c r="A122" i="10"/>
  <c r="C121" i="10"/>
  <c r="D120" i="10" s="1"/>
  <c r="E120" i="10" s="1"/>
  <c r="B121" i="10"/>
  <c r="F120" i="10" s="1"/>
  <c r="P4" i="13"/>
  <c r="Q4" i="13" s="1"/>
  <c r="D103" i="13" l="1"/>
  <c r="M105" i="13"/>
  <c r="N105" i="13" s="1"/>
  <c r="P105" i="13" s="1"/>
  <c r="Q105" i="13" s="1"/>
  <c r="J16" i="14"/>
  <c r="L118" i="9"/>
  <c r="J120" i="10"/>
  <c r="G120" i="10"/>
  <c r="K120" i="10"/>
  <c r="B126" i="13"/>
  <c r="A127" i="13"/>
  <c r="C126" i="13"/>
  <c r="L118" i="10"/>
  <c r="A123" i="9"/>
  <c r="C122" i="9"/>
  <c r="B122" i="9"/>
  <c r="F121" i="9" s="1"/>
  <c r="I119" i="10"/>
  <c r="H119" i="10"/>
  <c r="K119" i="10"/>
  <c r="I119" i="9"/>
  <c r="H119" i="9"/>
  <c r="K120" i="9"/>
  <c r="J120" i="9"/>
  <c r="G120" i="9"/>
  <c r="C122" i="10"/>
  <c r="D121" i="10" s="1"/>
  <c r="E121" i="10" s="1"/>
  <c r="B122" i="10"/>
  <c r="F121" i="10" s="1"/>
  <c r="A123" i="10"/>
  <c r="I15" i="1" l="1" a="1"/>
  <c r="I15" i="1" s="1"/>
  <c r="M104" i="13"/>
  <c r="N104" i="13" s="1"/>
  <c r="P104" i="13" s="1"/>
  <c r="Q104" i="13" s="1"/>
  <c r="D102" i="13"/>
  <c r="D101" i="13" s="1"/>
  <c r="M103" i="13"/>
  <c r="N103" i="13" s="1"/>
  <c r="P103" i="13" s="1"/>
  <c r="Q103" i="13" s="1"/>
  <c r="L119" i="10"/>
  <c r="T16" i="14"/>
  <c r="O16" i="14"/>
  <c r="L119" i="9"/>
  <c r="G121" i="9"/>
  <c r="D121" i="9"/>
  <c r="E121" i="9" s="1"/>
  <c r="J121" i="9" s="1"/>
  <c r="G121" i="10"/>
  <c r="K121" i="10"/>
  <c r="J121" i="10"/>
  <c r="A128" i="13"/>
  <c r="C127" i="13"/>
  <c r="B127" i="13"/>
  <c r="C123" i="9"/>
  <c r="D122" i="9" s="1"/>
  <c r="E122" i="9" s="1"/>
  <c r="A124" i="9"/>
  <c r="B123" i="9"/>
  <c r="A124" i="10"/>
  <c r="C123" i="10"/>
  <c r="D122" i="10" s="1"/>
  <c r="E122" i="10" s="1"/>
  <c r="B123" i="10"/>
  <c r="F122" i="10" s="1"/>
  <c r="I120" i="10"/>
  <c r="H120" i="10"/>
  <c r="I120" i="9"/>
  <c r="H120" i="9"/>
  <c r="L120" i="9" l="1"/>
  <c r="L120" i="10"/>
  <c r="D100" i="13"/>
  <c r="R15" i="1" a="1"/>
  <c r="R15" i="1" s="1"/>
  <c r="S15" i="1" a="1"/>
  <c r="S15" i="1" s="1"/>
  <c r="M102" i="13"/>
  <c r="N102" i="13" s="1"/>
  <c r="P102" i="13" s="1"/>
  <c r="Q102" i="13" s="1"/>
  <c r="J122" i="10"/>
  <c r="G122" i="10"/>
  <c r="K122" i="10"/>
  <c r="H121" i="10"/>
  <c r="I121" i="10"/>
  <c r="A125" i="10"/>
  <c r="C124" i="10"/>
  <c r="D123" i="10" s="1"/>
  <c r="E123" i="10" s="1"/>
  <c r="B124" i="10"/>
  <c r="F123" i="10" s="1"/>
  <c r="C128" i="13"/>
  <c r="B128" i="13"/>
  <c r="A129" i="13"/>
  <c r="K121" i="9"/>
  <c r="I121" i="9"/>
  <c r="H121" i="9"/>
  <c r="C124" i="9"/>
  <c r="B124" i="9"/>
  <c r="A125" i="9"/>
  <c r="F122" i="9"/>
  <c r="L121" i="9" l="1"/>
  <c r="L121" i="10"/>
  <c r="M101" i="13"/>
  <c r="N101" i="13" s="1"/>
  <c r="P101" i="13" s="1"/>
  <c r="Q101" i="13" s="1"/>
  <c r="D99" i="13"/>
  <c r="D98" i="13" s="1"/>
  <c r="M100" i="13"/>
  <c r="N100" i="13" s="1"/>
  <c r="P100" i="13" s="1"/>
  <c r="Q100" i="13" s="1"/>
  <c r="J123" i="10"/>
  <c r="G123" i="10"/>
  <c r="K123" i="10"/>
  <c r="C125" i="9"/>
  <c r="D124" i="9" s="1"/>
  <c r="E124" i="9" s="1"/>
  <c r="B125" i="9"/>
  <c r="F124" i="9" s="1"/>
  <c r="A126" i="9"/>
  <c r="A130" i="13"/>
  <c r="C129" i="13"/>
  <c r="B129" i="13"/>
  <c r="F123" i="9"/>
  <c r="I122" i="10"/>
  <c r="H122" i="10"/>
  <c r="A126" i="10"/>
  <c r="C125" i="10"/>
  <c r="B125" i="10"/>
  <c r="F124" i="10" s="1"/>
  <c r="G122" i="9"/>
  <c r="K122" i="9"/>
  <c r="J122" i="9"/>
  <c r="D123" i="9"/>
  <c r="E123" i="9" s="1"/>
  <c r="D97" i="13" l="1"/>
  <c r="M99" i="13"/>
  <c r="N99" i="13" s="1"/>
  <c r="P99" i="13" s="1"/>
  <c r="Q99" i="13" s="1"/>
  <c r="L122" i="10"/>
  <c r="G124" i="10"/>
  <c r="J123" i="9"/>
  <c r="G123" i="9"/>
  <c r="K123" i="9"/>
  <c r="J124" i="9"/>
  <c r="K124" i="9"/>
  <c r="G124" i="9"/>
  <c r="A127" i="10"/>
  <c r="C126" i="10"/>
  <c r="B126" i="10"/>
  <c r="F125" i="10" s="1"/>
  <c r="D124" i="10"/>
  <c r="E124" i="10" s="1"/>
  <c r="J124" i="10" s="1"/>
  <c r="C126" i="9"/>
  <c r="D125" i="9" s="1"/>
  <c r="E125" i="9" s="1"/>
  <c r="B126" i="9"/>
  <c r="F125" i="9" s="1"/>
  <c r="A127" i="9"/>
  <c r="B130" i="13"/>
  <c r="A131" i="13"/>
  <c r="C130" i="13"/>
  <c r="I123" i="10"/>
  <c r="H123" i="10"/>
  <c r="L123" i="10" s="1"/>
  <c r="I122" i="9"/>
  <c r="H122" i="9"/>
  <c r="L122" i="9" s="1"/>
  <c r="M98" i="13" l="1"/>
  <c r="N98" i="13" s="1"/>
  <c r="P98" i="13" s="1"/>
  <c r="Q98" i="13" s="1"/>
  <c r="D96" i="13"/>
  <c r="D95" i="13" s="1"/>
  <c r="M97" i="13"/>
  <c r="N97" i="13" s="1"/>
  <c r="P97" i="13" s="1"/>
  <c r="Q97" i="13" s="1"/>
  <c r="I124" i="9"/>
  <c r="H124" i="9"/>
  <c r="A128" i="9"/>
  <c r="C127" i="9"/>
  <c r="B127" i="9"/>
  <c r="F126" i="9" s="1"/>
  <c r="A128" i="10"/>
  <c r="C127" i="10"/>
  <c r="D126" i="10" s="1"/>
  <c r="E126" i="10" s="1"/>
  <c r="B127" i="10"/>
  <c r="F126" i="10" s="1"/>
  <c r="I123" i="9"/>
  <c r="H123" i="9"/>
  <c r="G125" i="10"/>
  <c r="I124" i="10"/>
  <c r="H124" i="10"/>
  <c r="K124" i="10"/>
  <c r="A132" i="13"/>
  <c r="C131" i="13"/>
  <c r="B131" i="13"/>
  <c r="K125" i="9"/>
  <c r="J125" i="9"/>
  <c r="G125" i="9"/>
  <c r="D125" i="10"/>
  <c r="E125" i="10" s="1"/>
  <c r="J125" i="10" s="1"/>
  <c r="L123" i="9" l="1"/>
  <c r="L124" i="9"/>
  <c r="D94" i="13"/>
  <c r="M96" i="13"/>
  <c r="N96" i="13" s="1"/>
  <c r="P96" i="13" s="1"/>
  <c r="Q96" i="13" s="1"/>
  <c r="K125" i="10"/>
  <c r="K126" i="10"/>
  <c r="G126" i="10"/>
  <c r="J126" i="10"/>
  <c r="G126" i="9"/>
  <c r="C128" i="10"/>
  <c r="D127" i="10" s="1"/>
  <c r="E127" i="10" s="1"/>
  <c r="B128" i="10"/>
  <c r="F127" i="10" s="1"/>
  <c r="A129" i="10"/>
  <c r="I125" i="9"/>
  <c r="H125" i="9"/>
  <c r="D126" i="9"/>
  <c r="E126" i="9" s="1"/>
  <c r="J126" i="9" s="1"/>
  <c r="C128" i="9"/>
  <c r="B128" i="9"/>
  <c r="F127" i="9" s="1"/>
  <c r="A129" i="9"/>
  <c r="A133" i="13"/>
  <c r="B132" i="13"/>
  <c r="C132" i="13"/>
  <c r="L124" i="10"/>
  <c r="I125" i="10"/>
  <c r="H125" i="10"/>
  <c r="J99" i="14" l="1"/>
  <c r="J108" i="14"/>
  <c r="M95" i="13"/>
  <c r="N95" i="13" s="1"/>
  <c r="P95" i="13" s="1"/>
  <c r="Q95" i="13" s="1"/>
  <c r="D93" i="13"/>
  <c r="D92" i="13" s="1"/>
  <c r="D91" i="13" s="1"/>
  <c r="D90" i="13" s="1"/>
  <c r="D89" i="13" s="1"/>
  <c r="D88" i="13" s="1"/>
  <c r="D87" i="13" s="1"/>
  <c r="M94" i="13"/>
  <c r="N94" i="13" s="1"/>
  <c r="P94" i="13" s="1"/>
  <c r="Q94" i="13" s="1"/>
  <c r="L125" i="9"/>
  <c r="G127" i="9"/>
  <c r="C129" i="9"/>
  <c r="D128" i="9" s="1"/>
  <c r="E128" i="9" s="1"/>
  <c r="A130" i="9"/>
  <c r="B129" i="9"/>
  <c r="F128" i="9" s="1"/>
  <c r="D127" i="9"/>
  <c r="E127" i="9" s="1"/>
  <c r="J127" i="9" s="1"/>
  <c r="A130" i="10"/>
  <c r="C129" i="10"/>
  <c r="B129" i="10"/>
  <c r="L125" i="10"/>
  <c r="I126" i="9"/>
  <c r="H126" i="9"/>
  <c r="K127" i="10"/>
  <c r="J127" i="10"/>
  <c r="G127" i="10"/>
  <c r="K126" i="9"/>
  <c r="C133" i="13"/>
  <c r="B133" i="13"/>
  <c r="A134" i="13"/>
  <c r="I126" i="10"/>
  <c r="H126" i="10"/>
  <c r="D86" i="13" l="1"/>
  <c r="J97" i="14"/>
  <c r="J106" i="14"/>
  <c r="J98" i="14"/>
  <c r="J107" i="14"/>
  <c r="L126" i="10"/>
  <c r="M93" i="13"/>
  <c r="N93" i="13" s="1"/>
  <c r="P93" i="13" s="1"/>
  <c r="Q93" i="13" s="1"/>
  <c r="I127" i="10"/>
  <c r="H127" i="10"/>
  <c r="L127" i="10" s="1"/>
  <c r="G128" i="9"/>
  <c r="K128" i="9"/>
  <c r="J128" i="9"/>
  <c r="A131" i="10"/>
  <c r="C130" i="10"/>
  <c r="D129" i="10" s="1"/>
  <c r="E129" i="10" s="1"/>
  <c r="B130" i="10"/>
  <c r="C130" i="9"/>
  <c r="B130" i="9"/>
  <c r="A131" i="9"/>
  <c r="L126" i="9"/>
  <c r="F128" i="10"/>
  <c r="B134" i="13"/>
  <c r="A135" i="13"/>
  <c r="C134" i="13"/>
  <c r="K127" i="9"/>
  <c r="H127" i="9"/>
  <c r="I127" i="9"/>
  <c r="D128" i="10"/>
  <c r="E128" i="10" s="1"/>
  <c r="L127" i="9" l="1"/>
  <c r="M85" i="13"/>
  <c r="J96" i="14"/>
  <c r="J105" i="14"/>
  <c r="I96" i="1" a="1"/>
  <c r="I96" i="1" s="1"/>
  <c r="I95" i="1" a="1"/>
  <c r="I95" i="1" s="1"/>
  <c r="M92" i="13"/>
  <c r="J128" i="10"/>
  <c r="G128" i="10"/>
  <c r="K128" i="10"/>
  <c r="C131" i="9"/>
  <c r="D130" i="9" s="1"/>
  <c r="E130" i="9" s="1"/>
  <c r="B131" i="9"/>
  <c r="F130" i="9" s="1"/>
  <c r="A132" i="9"/>
  <c r="C131" i="10"/>
  <c r="D130" i="10" s="1"/>
  <c r="E130" i="10" s="1"/>
  <c r="B131" i="10"/>
  <c r="A132" i="10"/>
  <c r="I128" i="9"/>
  <c r="H128" i="9"/>
  <c r="F129" i="10"/>
  <c r="A136" i="13"/>
  <c r="C135" i="13"/>
  <c r="B135" i="13"/>
  <c r="F129" i="9"/>
  <c r="D129" i="9"/>
  <c r="E129" i="9" s="1"/>
  <c r="L128" i="9" l="1"/>
  <c r="N85" i="13"/>
  <c r="P85" i="13" s="1"/>
  <c r="Q85" i="13" s="1"/>
  <c r="J87" i="14" s="1"/>
  <c r="M84" i="13"/>
  <c r="N92" i="13"/>
  <c r="P92" i="13" s="1"/>
  <c r="Q92" i="13" s="1"/>
  <c r="J94" i="14" s="1"/>
  <c r="M91" i="13"/>
  <c r="A137" i="13"/>
  <c r="C136" i="13"/>
  <c r="B136" i="13"/>
  <c r="K129" i="10"/>
  <c r="J129" i="10"/>
  <c r="G129" i="10"/>
  <c r="J129" i="9"/>
  <c r="G129" i="9"/>
  <c r="K129" i="9"/>
  <c r="C132" i="9"/>
  <c r="B132" i="9"/>
  <c r="F131" i="9" s="1"/>
  <c r="A133" i="9"/>
  <c r="A133" i="10"/>
  <c r="C132" i="10"/>
  <c r="B132" i="10"/>
  <c r="K130" i="9"/>
  <c r="J130" i="9"/>
  <c r="G130" i="9"/>
  <c r="F130" i="10"/>
  <c r="H128" i="10"/>
  <c r="I128" i="10"/>
  <c r="N91" i="13" l="1"/>
  <c r="P91" i="13" s="1"/>
  <c r="Q91" i="13" s="1"/>
  <c r="J103" i="14" s="1"/>
  <c r="M90" i="13"/>
  <c r="N84" i="13"/>
  <c r="P84" i="13" s="1"/>
  <c r="Q84" i="13" s="1"/>
  <c r="J86" i="14" s="1"/>
  <c r="I85" i="1" s="1" a="1"/>
  <c r="I85" i="1" s="1"/>
  <c r="M83" i="13"/>
  <c r="N83" i="13" s="1"/>
  <c r="P83" i="13" s="1"/>
  <c r="Q83" i="13" s="1"/>
  <c r="J85" i="14" s="1"/>
  <c r="O26" i="14"/>
  <c r="I86" i="1" a="1"/>
  <c r="I86" i="1" s="1"/>
  <c r="M88" i="13"/>
  <c r="J93" i="14"/>
  <c r="I92" i="1" s="1" a="1"/>
  <c r="I92" i="1" s="1"/>
  <c r="J102" i="14"/>
  <c r="J95" i="14"/>
  <c r="J104" i="14"/>
  <c r="I83" i="1" a="1"/>
  <c r="I83" i="1" s="1"/>
  <c r="I93" i="1" a="1"/>
  <c r="I93" i="1" s="1"/>
  <c r="I82" i="1" a="1"/>
  <c r="I82" i="1" s="1"/>
  <c r="G131" i="9"/>
  <c r="I130" i="9"/>
  <c r="H130" i="9"/>
  <c r="B133" i="10"/>
  <c r="C133" i="10"/>
  <c r="A134" i="10"/>
  <c r="I129" i="10"/>
  <c r="H129" i="10"/>
  <c r="A138" i="13"/>
  <c r="C137" i="13"/>
  <c r="B137" i="13"/>
  <c r="F131" i="10"/>
  <c r="L128" i="10"/>
  <c r="D131" i="9"/>
  <c r="E131" i="9" s="1"/>
  <c r="J131" i="9" s="1"/>
  <c r="C133" i="9"/>
  <c r="B133" i="9"/>
  <c r="F132" i="9" s="1"/>
  <c r="A134" i="9"/>
  <c r="D131" i="10"/>
  <c r="E131" i="10" s="1"/>
  <c r="H129" i="9"/>
  <c r="I129" i="9"/>
  <c r="K130" i="10"/>
  <c r="G130" i="10"/>
  <c r="J130" i="10"/>
  <c r="L130" i="9" l="1"/>
  <c r="L129" i="10"/>
  <c r="N88" i="13"/>
  <c r="P88" i="13" s="1"/>
  <c r="Q88" i="13" s="1"/>
  <c r="M87" i="13"/>
  <c r="O25" i="14"/>
  <c r="O24" i="14" s="1"/>
  <c r="O23" i="14" s="1"/>
  <c r="T25" i="14"/>
  <c r="T24" i="14" s="1"/>
  <c r="T23" i="14" s="1"/>
  <c r="T26" i="14"/>
  <c r="M89" i="13"/>
  <c r="N89" i="13" s="1"/>
  <c r="P89" i="13" s="1"/>
  <c r="Q89" i="13" s="1"/>
  <c r="N90" i="13"/>
  <c r="P90" i="13" s="1"/>
  <c r="Q90" i="13" s="1"/>
  <c r="J92" i="14" s="1"/>
  <c r="I91" i="1" s="1" a="1"/>
  <c r="I91" i="1" s="1"/>
  <c r="I84" i="1" a="1"/>
  <c r="I84" i="1" s="1"/>
  <c r="I94" i="1" a="1"/>
  <c r="I94" i="1" s="1"/>
  <c r="I80" i="1" a="1"/>
  <c r="I80" i="1" s="1"/>
  <c r="I81" i="1" a="1"/>
  <c r="I81" i="1" s="1"/>
  <c r="L129" i="9"/>
  <c r="G132" i="9"/>
  <c r="A135" i="9"/>
  <c r="C134" i="9"/>
  <c r="D133" i="9" s="1"/>
  <c r="E133" i="9" s="1"/>
  <c r="B134" i="9"/>
  <c r="F133" i="9" s="1"/>
  <c r="B138" i="13"/>
  <c r="A139" i="13"/>
  <c r="C138" i="13"/>
  <c r="K131" i="10"/>
  <c r="J131" i="10"/>
  <c r="G131" i="10"/>
  <c r="D132" i="10"/>
  <c r="E132" i="10" s="1"/>
  <c r="F132" i="10"/>
  <c r="D132" i="9"/>
  <c r="E132" i="9" s="1"/>
  <c r="J132" i="9" s="1"/>
  <c r="A135" i="10"/>
  <c r="C134" i="10"/>
  <c r="D133" i="10" s="1"/>
  <c r="E133" i="10" s="1"/>
  <c r="B134" i="10"/>
  <c r="F133" i="10" s="1"/>
  <c r="I130" i="10"/>
  <c r="H130" i="10"/>
  <c r="K131" i="9"/>
  <c r="I131" i="9"/>
  <c r="H131" i="9"/>
  <c r="L131" i="9" s="1"/>
  <c r="J101" i="14" l="1"/>
  <c r="J91" i="14"/>
  <c r="I90" i="1" s="1" a="1"/>
  <c r="I90" i="1" s="1"/>
  <c r="N87" i="13"/>
  <c r="P87" i="13" s="1"/>
  <c r="Q87" i="13" s="1"/>
  <c r="J89" i="14" s="1"/>
  <c r="M86" i="13"/>
  <c r="N86" i="13" s="1"/>
  <c r="P86" i="13" s="1"/>
  <c r="Q86" i="13" s="1"/>
  <c r="J88" i="14" s="1"/>
  <c r="J100" i="14"/>
  <c r="J90" i="14"/>
  <c r="S20" i="1" a="1"/>
  <c r="S20" i="1" s="1"/>
  <c r="S19" i="1" a="1"/>
  <c r="S19" i="1" s="1"/>
  <c r="R23" i="1" a="1"/>
  <c r="R23" i="1" s="1"/>
  <c r="R24" i="1" a="1"/>
  <c r="R24" i="1" s="1"/>
  <c r="R20" i="1" a="1"/>
  <c r="R20" i="1" s="1"/>
  <c r="R19" i="1" a="1"/>
  <c r="R19" i="1" s="1"/>
  <c r="O33" i="14"/>
  <c r="T34" i="14"/>
  <c r="K133" i="9"/>
  <c r="J133" i="9"/>
  <c r="G133" i="9"/>
  <c r="I131" i="10"/>
  <c r="H131" i="10"/>
  <c r="L131" i="10" s="1"/>
  <c r="C135" i="9"/>
  <c r="B135" i="9"/>
  <c r="A136" i="9"/>
  <c r="K132" i="9"/>
  <c r="J132" i="10"/>
  <c r="K132" i="10"/>
  <c r="G132" i="10"/>
  <c r="K133" i="10"/>
  <c r="J133" i="10"/>
  <c r="G133" i="10"/>
  <c r="A140" i="13"/>
  <c r="B139" i="13"/>
  <c r="C139" i="13"/>
  <c r="L130" i="10"/>
  <c r="C135" i="10"/>
  <c r="D134" i="10" s="1"/>
  <c r="E134" i="10" s="1"/>
  <c r="B135" i="10"/>
  <c r="F134" i="10" s="1"/>
  <c r="A136" i="10"/>
  <c r="I132" i="9"/>
  <c r="H132" i="9"/>
  <c r="I89" i="1" l="1" a="1"/>
  <c r="I89" i="1" s="1"/>
  <c r="I87" i="1" a="1"/>
  <c r="I87" i="1" s="1"/>
  <c r="O29" i="14"/>
  <c r="R28" i="1" s="1" a="1"/>
  <c r="R28" i="1" s="1"/>
  <c r="O27" i="14"/>
  <c r="O28" i="14"/>
  <c r="R27" i="1" s="1" a="1"/>
  <c r="R27" i="1" s="1"/>
  <c r="O44" i="14"/>
  <c r="O42" i="14"/>
  <c r="R41" i="1" s="1" a="1"/>
  <c r="R41" i="1" s="1"/>
  <c r="T27" i="14"/>
  <c r="O46" i="14"/>
  <c r="O43" i="14"/>
  <c r="R42" i="1" s="1" a="1"/>
  <c r="R42" i="1" s="1"/>
  <c r="O45" i="14"/>
  <c r="O47" i="14"/>
  <c r="O35" i="14"/>
  <c r="R34" i="1" s="1" a="1"/>
  <c r="R34" i="1" s="1"/>
  <c r="O37" i="14"/>
  <c r="O34" i="14"/>
  <c r="R33" i="1" s="1" a="1"/>
  <c r="R33" i="1" s="1"/>
  <c r="O30" i="14"/>
  <c r="R29" i="1" s="1" a="1"/>
  <c r="R29" i="1" s="1"/>
  <c r="O31" i="14"/>
  <c r="R30" i="1" s="1" a="1"/>
  <c r="R30" i="1" s="1"/>
  <c r="O36" i="14"/>
  <c r="O38" i="14"/>
  <c r="R37" i="1" s="1" a="1"/>
  <c r="R37" i="1" s="1"/>
  <c r="O41" i="14"/>
  <c r="R40" i="1" s="1" a="1"/>
  <c r="R40" i="1" s="1"/>
  <c r="O39" i="14"/>
  <c r="R38" i="1" s="1" a="1"/>
  <c r="R38" i="1" s="1"/>
  <c r="O40" i="14"/>
  <c r="R39" i="1" s="1" a="1"/>
  <c r="R39" i="1" s="1"/>
  <c r="I88" i="1" a="1"/>
  <c r="I88" i="1" s="1"/>
  <c r="T35" i="14"/>
  <c r="T31" i="14"/>
  <c r="S30" i="1" s="1" a="1"/>
  <c r="S30" i="1" s="1"/>
  <c r="T47" i="14"/>
  <c r="T29" i="14"/>
  <c r="S28" i="1" s="1" a="1"/>
  <c r="S28" i="1" s="1"/>
  <c r="T46" i="14"/>
  <c r="T28" i="14"/>
  <c r="S27" i="1" s="1" a="1"/>
  <c r="S27" i="1" s="1"/>
  <c r="T45" i="14"/>
  <c r="T42" i="14"/>
  <c r="S41" i="1" s="1" a="1"/>
  <c r="S41" i="1" s="1"/>
  <c r="T43" i="14"/>
  <c r="S42" i="1" s="1" a="1"/>
  <c r="S42" i="1" s="1"/>
  <c r="T36" i="14"/>
  <c r="T38" i="14"/>
  <c r="S37" i="1" s="1" a="1"/>
  <c r="S37" i="1" s="1"/>
  <c r="T40" i="14"/>
  <c r="S39" i="1" s="1" a="1"/>
  <c r="S39" i="1" s="1"/>
  <c r="T41" i="14"/>
  <c r="S40" i="1" s="1" a="1"/>
  <c r="S40" i="1" s="1"/>
  <c r="T44" i="14"/>
  <c r="T30" i="14"/>
  <c r="S29" i="1" s="1" a="1"/>
  <c r="S29" i="1" s="1"/>
  <c r="T39" i="14"/>
  <c r="S38" i="1" s="1" a="1"/>
  <c r="S38" i="1" s="1"/>
  <c r="T37" i="14"/>
  <c r="S33" i="1" a="1"/>
  <c r="S33" i="1" s="1"/>
  <c r="S23" i="1" a="1"/>
  <c r="S23" i="1" s="1"/>
  <c r="T33" i="14"/>
  <c r="R32" i="1" a="1"/>
  <c r="R32" i="1" s="1"/>
  <c r="R22" i="1" a="1"/>
  <c r="R22" i="1" s="1"/>
  <c r="O32" i="14"/>
  <c r="L132" i="9"/>
  <c r="C136" i="9"/>
  <c r="D135" i="9" s="1"/>
  <c r="E135" i="9" s="1"/>
  <c r="A137" i="9"/>
  <c r="B136" i="9"/>
  <c r="K134" i="10"/>
  <c r="J134" i="10"/>
  <c r="G134" i="10"/>
  <c r="A137" i="10"/>
  <c r="C136" i="10"/>
  <c r="B136" i="10"/>
  <c r="F135" i="10" s="1"/>
  <c r="I133" i="9"/>
  <c r="H133" i="9"/>
  <c r="L133" i="9" s="1"/>
  <c r="I132" i="10"/>
  <c r="H132" i="10"/>
  <c r="D134" i="9"/>
  <c r="E134" i="9" s="1"/>
  <c r="F134" i="9"/>
  <c r="A141" i="13"/>
  <c r="B140" i="13"/>
  <c r="C140" i="13"/>
  <c r="I133" i="10"/>
  <c r="H133" i="10"/>
  <c r="L133" i="10" s="1"/>
  <c r="L132" i="10" l="1"/>
  <c r="R25" i="1" a="1"/>
  <c r="R25" i="1" s="1"/>
  <c r="R35" i="1" a="1"/>
  <c r="R35" i="1" s="1"/>
  <c r="S25" i="1" a="1"/>
  <c r="S25" i="1" s="1"/>
  <c r="S35" i="1" a="1"/>
  <c r="S35" i="1" s="1"/>
  <c r="R26" i="1" a="1"/>
  <c r="R26" i="1" s="1"/>
  <c r="R36" i="1" a="1"/>
  <c r="R36" i="1" s="1"/>
  <c r="S24" i="1" a="1"/>
  <c r="S24" i="1" s="1"/>
  <c r="S34" i="1" a="1"/>
  <c r="S34" i="1" s="1"/>
  <c r="S26" i="1" a="1"/>
  <c r="S26" i="1" s="1"/>
  <c r="S36" i="1" a="1"/>
  <c r="S36" i="1" s="1"/>
  <c r="R31" i="1" a="1"/>
  <c r="R31" i="1" s="1"/>
  <c r="R21" i="1" a="1"/>
  <c r="R21" i="1" s="1"/>
  <c r="S32" i="1" a="1"/>
  <c r="S32" i="1" s="1"/>
  <c r="S22" i="1" a="1"/>
  <c r="S22" i="1" s="1"/>
  <c r="T32" i="14"/>
  <c r="C141" i="13"/>
  <c r="B141" i="13"/>
  <c r="A142" i="13"/>
  <c r="G135" i="10"/>
  <c r="K134" i="9"/>
  <c r="G134" i="9"/>
  <c r="J134" i="9"/>
  <c r="D135" i="10"/>
  <c r="E135" i="10" s="1"/>
  <c r="J135" i="10" s="1"/>
  <c r="B137" i="10"/>
  <c r="A138" i="10"/>
  <c r="C137" i="10"/>
  <c r="A138" i="9"/>
  <c r="C137" i="9"/>
  <c r="D136" i="9" s="1"/>
  <c r="E136" i="9" s="1"/>
  <c r="B137" i="9"/>
  <c r="F136" i="9" s="1"/>
  <c r="I134" i="10"/>
  <c r="H134" i="10"/>
  <c r="F135" i="9"/>
  <c r="S31" i="1" l="1" a="1"/>
  <c r="S31" i="1" s="1"/>
  <c r="S21" i="1" a="1"/>
  <c r="S21" i="1" s="1"/>
  <c r="L134" i="10"/>
  <c r="A139" i="10"/>
  <c r="C138" i="10"/>
  <c r="B138" i="10"/>
  <c r="C142" i="13"/>
  <c r="B142" i="13"/>
  <c r="A143" i="13"/>
  <c r="C138" i="9"/>
  <c r="D137" i="9" s="1"/>
  <c r="E137" i="9" s="1"/>
  <c r="B138" i="9"/>
  <c r="F137" i="9" s="1"/>
  <c r="A139" i="9"/>
  <c r="D136" i="10"/>
  <c r="E136" i="10" s="1"/>
  <c r="I134" i="9"/>
  <c r="H134" i="9"/>
  <c r="J135" i="9"/>
  <c r="G135" i="9"/>
  <c r="K135" i="9"/>
  <c r="F136" i="10"/>
  <c r="K136" i="9"/>
  <c r="J136" i="9"/>
  <c r="G136" i="9"/>
  <c r="H135" i="10"/>
  <c r="I135" i="10"/>
  <c r="K135" i="10"/>
  <c r="L134" i="9" l="1"/>
  <c r="L135" i="10"/>
  <c r="J137" i="9"/>
  <c r="K137" i="9"/>
  <c r="G137" i="9"/>
  <c r="I136" i="9"/>
  <c r="H136" i="9"/>
  <c r="A144" i="13"/>
  <c r="C143" i="13"/>
  <c r="B143" i="13"/>
  <c r="C139" i="9"/>
  <c r="B139" i="9"/>
  <c r="A140" i="9"/>
  <c r="K136" i="10"/>
  <c r="J136" i="10"/>
  <c r="G136" i="10"/>
  <c r="I135" i="9"/>
  <c r="H135" i="9"/>
  <c r="F137" i="10"/>
  <c r="C139" i="10"/>
  <c r="D138" i="10" s="1"/>
  <c r="E138" i="10" s="1"/>
  <c r="A140" i="10"/>
  <c r="B139" i="10"/>
  <c r="D137" i="10"/>
  <c r="E137" i="10" s="1"/>
  <c r="L136" i="9" l="1"/>
  <c r="L135" i="9"/>
  <c r="C140" i="9"/>
  <c r="D139" i="9" s="1"/>
  <c r="E139" i="9" s="1"/>
  <c r="B140" i="9"/>
  <c r="A141" i="9"/>
  <c r="D138" i="9"/>
  <c r="E138" i="9" s="1"/>
  <c r="K137" i="10"/>
  <c r="J137" i="10"/>
  <c r="G137" i="10"/>
  <c r="F138" i="9"/>
  <c r="A145" i="13"/>
  <c r="C144" i="13"/>
  <c r="B144" i="13"/>
  <c r="I137" i="9"/>
  <c r="H137" i="9"/>
  <c r="I136" i="10"/>
  <c r="H136" i="10"/>
  <c r="C140" i="10"/>
  <c r="B140" i="10"/>
  <c r="A141" i="10"/>
  <c r="F138" i="10"/>
  <c r="L136" i="10" l="1"/>
  <c r="L137" i="9"/>
  <c r="F139" i="10"/>
  <c r="A146" i="13"/>
  <c r="C145" i="13"/>
  <c r="B145" i="13"/>
  <c r="B141" i="10"/>
  <c r="A142" i="10"/>
  <c r="C141" i="10"/>
  <c r="D140" i="10" s="1"/>
  <c r="E140" i="10" s="1"/>
  <c r="I137" i="10"/>
  <c r="H137" i="10"/>
  <c r="A142" i="9"/>
  <c r="C141" i="9"/>
  <c r="B141" i="9"/>
  <c r="K138" i="9"/>
  <c r="J138" i="9"/>
  <c r="G138" i="9"/>
  <c r="D139" i="10"/>
  <c r="E139" i="10" s="1"/>
  <c r="K138" i="10"/>
  <c r="J138" i="10"/>
  <c r="G138" i="10"/>
  <c r="F139" i="9"/>
  <c r="L137" i="10" l="1"/>
  <c r="D133" i="13"/>
  <c r="F140" i="9"/>
  <c r="A143" i="10"/>
  <c r="C142" i="10"/>
  <c r="D141" i="10" s="1"/>
  <c r="E141" i="10" s="1"/>
  <c r="B142" i="10"/>
  <c r="F141" i="10" s="1"/>
  <c r="C142" i="9"/>
  <c r="B142" i="9"/>
  <c r="A143" i="9"/>
  <c r="G139" i="9"/>
  <c r="K139" i="9"/>
  <c r="J139" i="9"/>
  <c r="B146" i="13"/>
  <c r="C146" i="13"/>
  <c r="A147" i="13"/>
  <c r="I138" i="10"/>
  <c r="H138" i="10"/>
  <c r="K139" i="10"/>
  <c r="J139" i="10"/>
  <c r="G139" i="10"/>
  <c r="D140" i="9"/>
  <c r="E140" i="9" s="1"/>
  <c r="I138" i="9"/>
  <c r="H138" i="9"/>
  <c r="F140" i="10"/>
  <c r="D132" i="13" l="1"/>
  <c r="D131" i="13" s="1"/>
  <c r="L138" i="9"/>
  <c r="A148" i="13"/>
  <c r="C147" i="13"/>
  <c r="B147" i="13"/>
  <c r="L138" i="10"/>
  <c r="K140" i="10"/>
  <c r="G140" i="10"/>
  <c r="J140" i="10"/>
  <c r="C143" i="9"/>
  <c r="B143" i="9"/>
  <c r="A144" i="9"/>
  <c r="K140" i="9"/>
  <c r="J140" i="9"/>
  <c r="G140" i="9"/>
  <c r="G141" i="10"/>
  <c r="K141" i="10"/>
  <c r="J141" i="10"/>
  <c r="H139" i="9"/>
  <c r="I139" i="9"/>
  <c r="D141" i="9"/>
  <c r="E141" i="9" s="1"/>
  <c r="C143" i="10"/>
  <c r="B143" i="10"/>
  <c r="F142" i="10" s="1"/>
  <c r="A144" i="10"/>
  <c r="I139" i="10"/>
  <c r="H139" i="10"/>
  <c r="F141" i="9"/>
  <c r="L139" i="10" l="1"/>
  <c r="D130" i="13"/>
  <c r="A145" i="9"/>
  <c r="B144" i="9"/>
  <c r="F143" i="9" s="1"/>
  <c r="C144" i="9"/>
  <c r="D143" i="9" s="1"/>
  <c r="E143" i="9" s="1"/>
  <c r="I140" i="10"/>
  <c r="H140" i="10"/>
  <c r="D142" i="9"/>
  <c r="E142" i="9" s="1"/>
  <c r="I140" i="9"/>
  <c r="H140" i="9"/>
  <c r="L140" i="9" s="1"/>
  <c r="G142" i="10"/>
  <c r="J141" i="9"/>
  <c r="G141" i="9"/>
  <c r="K141" i="9"/>
  <c r="A145" i="10"/>
  <c r="C144" i="10"/>
  <c r="B144" i="10"/>
  <c r="F142" i="9"/>
  <c r="L139" i="9"/>
  <c r="I141" i="10"/>
  <c r="H141" i="10"/>
  <c r="D142" i="10"/>
  <c r="E142" i="10" s="1"/>
  <c r="J142" i="10" s="1"/>
  <c r="A149" i="13"/>
  <c r="B148" i="13"/>
  <c r="C148" i="13"/>
  <c r="L140" i="10" l="1"/>
  <c r="D129" i="13"/>
  <c r="M130" i="13"/>
  <c r="N130" i="13" s="1"/>
  <c r="P130" i="13" s="1"/>
  <c r="Q130" i="13" s="1"/>
  <c r="K142" i="10"/>
  <c r="A146" i="10"/>
  <c r="C145" i="10"/>
  <c r="D144" i="10" s="1"/>
  <c r="E144" i="10" s="1"/>
  <c r="B145" i="10"/>
  <c r="K143" i="9"/>
  <c r="J143" i="9"/>
  <c r="G143" i="9"/>
  <c r="J142" i="9"/>
  <c r="G142" i="9"/>
  <c r="K142" i="9"/>
  <c r="C149" i="13"/>
  <c r="B149" i="13"/>
  <c r="A150" i="13"/>
  <c r="I141" i="9"/>
  <c r="H141" i="9"/>
  <c r="L141" i="9" s="1"/>
  <c r="H142" i="10"/>
  <c r="I142" i="10"/>
  <c r="F143" i="10"/>
  <c r="D143" i="10"/>
  <c r="E143" i="10" s="1"/>
  <c r="L141" i="10"/>
  <c r="B145" i="9"/>
  <c r="F144" i="9" s="1"/>
  <c r="A146" i="9"/>
  <c r="C145" i="9"/>
  <c r="D144" i="9" s="1"/>
  <c r="E144" i="9" s="1"/>
  <c r="D128" i="13" l="1"/>
  <c r="M129" i="13"/>
  <c r="N129" i="13" s="1"/>
  <c r="P129" i="13" s="1"/>
  <c r="Q129" i="13" s="1"/>
  <c r="L142" i="10"/>
  <c r="I142" i="9"/>
  <c r="H142" i="9"/>
  <c r="I143" i="9"/>
  <c r="H143" i="9"/>
  <c r="L143" i="9" s="1"/>
  <c r="K143" i="10"/>
  <c r="J143" i="10"/>
  <c r="G143" i="10"/>
  <c r="K144" i="9"/>
  <c r="J144" i="9"/>
  <c r="G144" i="9"/>
  <c r="C150" i="13"/>
  <c r="B150" i="13"/>
  <c r="A151" i="13"/>
  <c r="C146" i="9"/>
  <c r="B146" i="9"/>
  <c r="A147" i="9"/>
  <c r="A147" i="10"/>
  <c r="C146" i="10"/>
  <c r="B146" i="10"/>
  <c r="F144" i="10"/>
  <c r="D127" i="13" l="1"/>
  <c r="M128" i="13"/>
  <c r="N128" i="13" s="1"/>
  <c r="P128" i="13" s="1"/>
  <c r="Q128" i="13" s="1"/>
  <c r="L142" i="9"/>
  <c r="D145" i="10"/>
  <c r="E145" i="10" s="1"/>
  <c r="F145" i="10"/>
  <c r="A152" i="13"/>
  <c r="C151" i="13"/>
  <c r="B151" i="13"/>
  <c r="I144" i="9"/>
  <c r="H144" i="9"/>
  <c r="L144" i="9" s="1"/>
  <c r="A148" i="9"/>
  <c r="C147" i="9"/>
  <c r="B147" i="9"/>
  <c r="C147" i="10"/>
  <c r="B147" i="10"/>
  <c r="A148" i="10"/>
  <c r="H143" i="10"/>
  <c r="I143" i="10"/>
  <c r="K144" i="10"/>
  <c r="J144" i="10"/>
  <c r="G144" i="10"/>
  <c r="F145" i="9"/>
  <c r="D145" i="9"/>
  <c r="E145" i="9" s="1"/>
  <c r="L143" i="10" l="1"/>
  <c r="D126" i="13"/>
  <c r="D125" i="13" s="1"/>
  <c r="M127" i="13"/>
  <c r="N127" i="13" s="1"/>
  <c r="P127" i="13" s="1"/>
  <c r="Q127" i="13" s="1"/>
  <c r="A149" i="10"/>
  <c r="C148" i="10"/>
  <c r="D147" i="10" s="1"/>
  <c r="E147" i="10" s="1"/>
  <c r="B148" i="10"/>
  <c r="F147" i="10" s="1"/>
  <c r="A149" i="9"/>
  <c r="B148" i="9"/>
  <c r="F147" i="9" s="1"/>
  <c r="C148" i="9"/>
  <c r="A153" i="13"/>
  <c r="C152" i="13"/>
  <c r="B152" i="13"/>
  <c r="G145" i="10"/>
  <c r="K145" i="10"/>
  <c r="J145" i="10"/>
  <c r="D146" i="9"/>
  <c r="E146" i="9" s="1"/>
  <c r="F146" i="9"/>
  <c r="K145" i="9"/>
  <c r="G145" i="9"/>
  <c r="J145" i="9"/>
  <c r="D146" i="10"/>
  <c r="E146" i="10" s="1"/>
  <c r="I144" i="10"/>
  <c r="H144" i="10"/>
  <c r="L144" i="10" s="1"/>
  <c r="F146" i="10"/>
  <c r="D124" i="13" l="1"/>
  <c r="M126" i="13"/>
  <c r="N126" i="13" s="1"/>
  <c r="P126" i="13" s="1"/>
  <c r="Q126" i="13" s="1"/>
  <c r="J147" i="10"/>
  <c r="G147" i="10"/>
  <c r="K147" i="10"/>
  <c r="I145" i="10"/>
  <c r="H145" i="10"/>
  <c r="L145" i="10" s="1"/>
  <c r="A154" i="13"/>
  <c r="C153" i="13"/>
  <c r="B153" i="13"/>
  <c r="C149" i="9"/>
  <c r="D148" i="9" s="1"/>
  <c r="E148" i="9" s="1"/>
  <c r="B149" i="9"/>
  <c r="F148" i="9" s="1"/>
  <c r="A150" i="9"/>
  <c r="I145" i="9"/>
  <c r="H145" i="9"/>
  <c r="G146" i="9"/>
  <c r="K146" i="9"/>
  <c r="J146" i="9"/>
  <c r="K147" i="9"/>
  <c r="J147" i="9"/>
  <c r="G147" i="9"/>
  <c r="A150" i="10"/>
  <c r="C149" i="10"/>
  <c r="D148" i="10" s="1"/>
  <c r="E148" i="10" s="1"/>
  <c r="B149" i="10"/>
  <c r="F148" i="10" s="1"/>
  <c r="K146" i="10"/>
  <c r="J146" i="10"/>
  <c r="G146" i="10"/>
  <c r="D147" i="9"/>
  <c r="E147" i="9" s="1"/>
  <c r="M125" i="13" l="1"/>
  <c r="N125" i="13" s="1"/>
  <c r="P125" i="13" s="1"/>
  <c r="Q125" i="13" s="1"/>
  <c r="D123" i="13"/>
  <c r="D122" i="13" s="1"/>
  <c r="D142" i="13"/>
  <c r="K148" i="9"/>
  <c r="J148" i="9"/>
  <c r="G148" i="9"/>
  <c r="I146" i="9"/>
  <c r="H146" i="9"/>
  <c r="K148" i="10"/>
  <c r="J148" i="10"/>
  <c r="G148" i="10"/>
  <c r="L145" i="9"/>
  <c r="B154" i="13"/>
  <c r="A155" i="13"/>
  <c r="C154" i="13"/>
  <c r="F149" i="9"/>
  <c r="A151" i="10"/>
  <c r="C150" i="10"/>
  <c r="B150" i="10"/>
  <c r="I147" i="9"/>
  <c r="H147" i="9"/>
  <c r="I146" i="10"/>
  <c r="H146" i="10"/>
  <c r="L146" i="10" s="1"/>
  <c r="H147" i="10"/>
  <c r="I147" i="10"/>
  <c r="C150" i="9"/>
  <c r="D149" i="9" s="1"/>
  <c r="E149" i="9" s="1"/>
  <c r="B150" i="9"/>
  <c r="A151" i="9"/>
  <c r="L146" i="9" l="1"/>
  <c r="M124" i="13"/>
  <c r="N124" i="13" s="1"/>
  <c r="P124" i="13" s="1"/>
  <c r="Q124" i="13" s="1"/>
  <c r="D141" i="13"/>
  <c r="D140" i="13" s="1"/>
  <c r="D139" i="13" s="1"/>
  <c r="D138" i="13" s="1"/>
  <c r="D137" i="13" s="1"/>
  <c r="D136" i="13" s="1"/>
  <c r="D135" i="13" s="1"/>
  <c r="D121" i="13"/>
  <c r="M123" i="13"/>
  <c r="N123" i="13" s="1"/>
  <c r="P123" i="13" s="1"/>
  <c r="Q123" i="13" s="1"/>
  <c r="L147" i="9"/>
  <c r="L147" i="10"/>
  <c r="A152" i="10"/>
  <c r="C151" i="10"/>
  <c r="B151" i="10"/>
  <c r="D149" i="10"/>
  <c r="E149" i="10" s="1"/>
  <c r="A156" i="13"/>
  <c r="B155" i="13"/>
  <c r="C155" i="13"/>
  <c r="K149" i="9"/>
  <c r="J149" i="9"/>
  <c r="G149" i="9"/>
  <c r="A152" i="9"/>
  <c r="C151" i="9"/>
  <c r="D150" i="9" s="1"/>
  <c r="E150" i="9" s="1"/>
  <c r="B151" i="9"/>
  <c r="I148" i="10"/>
  <c r="H148" i="10"/>
  <c r="I148" i="9"/>
  <c r="H148" i="9"/>
  <c r="F149" i="10"/>
  <c r="D134" i="13" l="1"/>
  <c r="L148" i="9"/>
  <c r="D120" i="13"/>
  <c r="D119" i="13" s="1"/>
  <c r="M122" i="13"/>
  <c r="N122" i="13" s="1"/>
  <c r="P122" i="13" s="1"/>
  <c r="Q122" i="13" s="1"/>
  <c r="L148" i="10"/>
  <c r="K149" i="10"/>
  <c r="G149" i="10"/>
  <c r="J149" i="10"/>
  <c r="C152" i="9"/>
  <c r="B152" i="9"/>
  <c r="A153" i="9"/>
  <c r="I149" i="9"/>
  <c r="H149" i="9"/>
  <c r="F150" i="9"/>
  <c r="A157" i="13"/>
  <c r="B156" i="13"/>
  <c r="C156" i="13"/>
  <c r="C152" i="10"/>
  <c r="D151" i="10" s="1"/>
  <c r="E151" i="10" s="1"/>
  <c r="B152" i="10"/>
  <c r="F151" i="10" s="1"/>
  <c r="A153" i="10"/>
  <c r="F150" i="10"/>
  <c r="D150" i="10"/>
  <c r="E150" i="10" s="1"/>
  <c r="M133" i="13" l="1"/>
  <c r="M121" i="13"/>
  <c r="N121" i="13" s="1"/>
  <c r="P121" i="13" s="1"/>
  <c r="Q121" i="13" s="1"/>
  <c r="M120" i="13"/>
  <c r="N120" i="13" s="1"/>
  <c r="P120" i="13" s="1"/>
  <c r="Q120" i="13" s="1"/>
  <c r="D118" i="13"/>
  <c r="M119" i="13"/>
  <c r="N119" i="13" s="1"/>
  <c r="P119" i="13" s="1"/>
  <c r="Q119" i="13" s="1"/>
  <c r="L149" i="9"/>
  <c r="K150" i="9"/>
  <c r="J150" i="9"/>
  <c r="G150" i="9"/>
  <c r="C157" i="13"/>
  <c r="B157" i="13"/>
  <c r="A158" i="13"/>
  <c r="I149" i="10"/>
  <c r="H149" i="10"/>
  <c r="C153" i="9"/>
  <c r="D152" i="9" s="1"/>
  <c r="E152" i="9" s="1"/>
  <c r="B153" i="9"/>
  <c r="F152" i="9" s="1"/>
  <c r="A154" i="9"/>
  <c r="J151" i="10"/>
  <c r="K151" i="10"/>
  <c r="G151" i="10"/>
  <c r="K150" i="10"/>
  <c r="J150" i="10"/>
  <c r="G150" i="10"/>
  <c r="A154" i="10"/>
  <c r="C153" i="10"/>
  <c r="D152" i="10" s="1"/>
  <c r="E152" i="10" s="1"/>
  <c r="B153" i="10"/>
  <c r="F152" i="10" s="1"/>
  <c r="F151" i="9"/>
  <c r="D151" i="9"/>
  <c r="E151" i="9" s="1"/>
  <c r="N133" i="13" l="1"/>
  <c r="P133" i="13" s="1"/>
  <c r="Q133" i="13" s="1"/>
  <c r="J135" i="14" s="1"/>
  <c r="M132" i="13"/>
  <c r="J123" i="14"/>
  <c r="J132" i="14"/>
  <c r="J122" i="14"/>
  <c r="J131" i="14"/>
  <c r="D117" i="13"/>
  <c r="D116" i="13" s="1"/>
  <c r="D115" i="13" s="1"/>
  <c r="D114" i="13" s="1"/>
  <c r="D113" i="13" s="1"/>
  <c r="D112" i="13" s="1"/>
  <c r="D111" i="13" s="1"/>
  <c r="M118" i="13"/>
  <c r="N118" i="13" s="1"/>
  <c r="P118" i="13" s="1"/>
  <c r="Q118" i="13" s="1"/>
  <c r="K152" i="9"/>
  <c r="J152" i="9"/>
  <c r="G152" i="9"/>
  <c r="H151" i="10"/>
  <c r="I151" i="10"/>
  <c r="I150" i="10"/>
  <c r="H150" i="10"/>
  <c r="L150" i="10" s="1"/>
  <c r="A155" i="9"/>
  <c r="C154" i="9"/>
  <c r="D153" i="9" s="1"/>
  <c r="E153" i="9" s="1"/>
  <c r="B154" i="9"/>
  <c r="F153" i="9" s="1"/>
  <c r="K151" i="9"/>
  <c r="J151" i="9"/>
  <c r="G151" i="9"/>
  <c r="I150" i="9"/>
  <c r="H150" i="9"/>
  <c r="L149" i="10"/>
  <c r="G152" i="10"/>
  <c r="J152" i="10"/>
  <c r="K152" i="10"/>
  <c r="C158" i="13"/>
  <c r="B158" i="13"/>
  <c r="A159" i="13"/>
  <c r="A155" i="10"/>
  <c r="C154" i="10"/>
  <c r="D153" i="10" s="1"/>
  <c r="E153" i="10" s="1"/>
  <c r="B154" i="10"/>
  <c r="L150" i="9" l="1"/>
  <c r="D110" i="13"/>
  <c r="N132" i="13"/>
  <c r="P132" i="13" s="1"/>
  <c r="Q132" i="13" s="1"/>
  <c r="J134" i="14" s="1"/>
  <c r="M131" i="13"/>
  <c r="N131" i="13" s="1"/>
  <c r="P131" i="13" s="1"/>
  <c r="Q131" i="13" s="1"/>
  <c r="J133" i="14" s="1"/>
  <c r="J121" i="14"/>
  <c r="J130" i="14"/>
  <c r="M117" i="13"/>
  <c r="N117" i="13" s="1"/>
  <c r="P117" i="13" s="1"/>
  <c r="Q117" i="13" s="1"/>
  <c r="L151" i="10"/>
  <c r="A156" i="9"/>
  <c r="C155" i="9"/>
  <c r="D154" i="9" s="1"/>
  <c r="E154" i="9" s="1"/>
  <c r="B155" i="9"/>
  <c r="F154" i="9" s="1"/>
  <c r="I152" i="10"/>
  <c r="H152" i="10"/>
  <c r="L152" i="10" s="1"/>
  <c r="H151" i="9"/>
  <c r="I151" i="9"/>
  <c r="A160" i="13"/>
  <c r="C159" i="13"/>
  <c r="B159" i="13"/>
  <c r="I152" i="9"/>
  <c r="H152" i="9"/>
  <c r="J153" i="9"/>
  <c r="G153" i="9"/>
  <c r="K153" i="9"/>
  <c r="C155" i="10"/>
  <c r="B155" i="10"/>
  <c r="F154" i="10" s="1"/>
  <c r="A156" i="10"/>
  <c r="F153" i="10"/>
  <c r="L152" i="9" l="1"/>
  <c r="M109" i="13"/>
  <c r="J120" i="14"/>
  <c r="J129" i="14"/>
  <c r="M116" i="13"/>
  <c r="L151" i="9"/>
  <c r="G154" i="10"/>
  <c r="I153" i="9"/>
  <c r="H153" i="9"/>
  <c r="A161" i="13"/>
  <c r="C160" i="13"/>
  <c r="B160" i="13"/>
  <c r="K153" i="10"/>
  <c r="J153" i="10"/>
  <c r="G153" i="10"/>
  <c r="D154" i="10"/>
  <c r="E154" i="10" s="1"/>
  <c r="J154" i="10" s="1"/>
  <c r="B156" i="10"/>
  <c r="A157" i="10"/>
  <c r="C156" i="10"/>
  <c r="K154" i="9"/>
  <c r="J154" i="9"/>
  <c r="G154" i="9"/>
  <c r="C156" i="9"/>
  <c r="D155" i="9" s="1"/>
  <c r="E155" i="9" s="1"/>
  <c r="B156" i="9"/>
  <c r="F155" i="9" s="1"/>
  <c r="A157" i="9"/>
  <c r="N109" i="13" l="1"/>
  <c r="P109" i="13" s="1"/>
  <c r="Q109" i="13" s="1"/>
  <c r="J111" i="14" s="1"/>
  <c r="M108" i="13"/>
  <c r="M136" i="13"/>
  <c r="N116" i="13"/>
  <c r="P116" i="13" s="1"/>
  <c r="Q116" i="13" s="1"/>
  <c r="J118" i="14" s="1"/>
  <c r="M115" i="13"/>
  <c r="L153" i="9"/>
  <c r="K155" i="9"/>
  <c r="J155" i="9"/>
  <c r="G155" i="9"/>
  <c r="I153" i="10"/>
  <c r="H153" i="10"/>
  <c r="C157" i="9"/>
  <c r="D156" i="9" s="1"/>
  <c r="E156" i="9" s="1"/>
  <c r="B157" i="9"/>
  <c r="F156" i="9" s="1"/>
  <c r="A158" i="9"/>
  <c r="A158" i="10"/>
  <c r="C157" i="10"/>
  <c r="B157" i="10"/>
  <c r="F156" i="10" s="1"/>
  <c r="D155" i="10"/>
  <c r="E155" i="10" s="1"/>
  <c r="A162" i="13"/>
  <c r="C161" i="13"/>
  <c r="B161" i="13"/>
  <c r="F155" i="10"/>
  <c r="I154" i="9"/>
  <c r="H154" i="9"/>
  <c r="K154" i="10"/>
  <c r="H154" i="10"/>
  <c r="I154" i="10"/>
  <c r="N115" i="13" l="1"/>
  <c r="P115" i="13" s="1"/>
  <c r="Q115" i="13" s="1"/>
  <c r="J127" i="14" s="1"/>
  <c r="M114" i="13"/>
  <c r="N136" i="13"/>
  <c r="P136" i="13" s="1"/>
  <c r="Q136" i="13" s="1"/>
  <c r="J138" i="14" s="1"/>
  <c r="M135" i="13"/>
  <c r="N108" i="13"/>
  <c r="P108" i="13" s="1"/>
  <c r="Q108" i="13" s="1"/>
  <c r="J110" i="14" s="1"/>
  <c r="M107" i="13"/>
  <c r="N107" i="13" s="1"/>
  <c r="P107" i="13" s="1"/>
  <c r="Q107" i="13" s="1"/>
  <c r="J109" i="14" s="1"/>
  <c r="T50" i="14"/>
  <c r="M112" i="13"/>
  <c r="J117" i="14"/>
  <c r="J126" i="14"/>
  <c r="J119" i="14"/>
  <c r="J128" i="14"/>
  <c r="L153" i="10"/>
  <c r="G156" i="9"/>
  <c r="K156" i="9"/>
  <c r="J156" i="9"/>
  <c r="G156" i="10"/>
  <c r="C158" i="10"/>
  <c r="A159" i="10"/>
  <c r="B158" i="10"/>
  <c r="F157" i="10" s="1"/>
  <c r="D156" i="10"/>
  <c r="E156" i="10" s="1"/>
  <c r="J156" i="10" s="1"/>
  <c r="A159" i="9"/>
  <c r="C158" i="9"/>
  <c r="B158" i="9"/>
  <c r="I155" i="9"/>
  <c r="H155" i="9"/>
  <c r="J155" i="10"/>
  <c r="K155" i="10"/>
  <c r="G155" i="10"/>
  <c r="B162" i="13"/>
  <c r="A163" i="13"/>
  <c r="C162" i="13"/>
  <c r="L154" i="10"/>
  <c r="L154" i="9"/>
  <c r="N112" i="13" l="1"/>
  <c r="P112" i="13" s="1"/>
  <c r="Q112" i="13" s="1"/>
  <c r="M111" i="13"/>
  <c r="O49" i="14"/>
  <c r="O48" i="14"/>
  <c r="T48" i="14"/>
  <c r="T49" i="14"/>
  <c r="O50" i="14"/>
  <c r="N135" i="13"/>
  <c r="P135" i="13" s="1"/>
  <c r="Q135" i="13" s="1"/>
  <c r="J137" i="14" s="1"/>
  <c r="M134" i="13"/>
  <c r="N134" i="13" s="1"/>
  <c r="P134" i="13" s="1"/>
  <c r="Q134" i="13" s="1"/>
  <c r="J136" i="14" s="1"/>
  <c r="N114" i="13"/>
  <c r="P114" i="13" s="1"/>
  <c r="Q114" i="13" s="1"/>
  <c r="J116" i="14" s="1"/>
  <c r="M113" i="13"/>
  <c r="N113" i="13" s="1"/>
  <c r="P113" i="13" s="1"/>
  <c r="Q113" i="13" s="1"/>
  <c r="L155" i="9"/>
  <c r="G157" i="10"/>
  <c r="I156" i="10"/>
  <c r="H156" i="10"/>
  <c r="K156" i="10"/>
  <c r="C159" i="10"/>
  <c r="B159" i="10"/>
  <c r="A160" i="10"/>
  <c r="D157" i="10"/>
  <c r="E157" i="10" s="1"/>
  <c r="J157" i="10" s="1"/>
  <c r="D157" i="9"/>
  <c r="E157" i="9" s="1"/>
  <c r="I155" i="10"/>
  <c r="H155" i="10"/>
  <c r="C159" i="9"/>
  <c r="B159" i="9"/>
  <c r="F158" i="9" s="1"/>
  <c r="A160" i="9"/>
  <c r="A164" i="13"/>
  <c r="C163" i="13"/>
  <c r="B163" i="13"/>
  <c r="F157" i="9"/>
  <c r="I156" i="9"/>
  <c r="H156" i="9"/>
  <c r="L156" i="9" s="1"/>
  <c r="J125" i="14" l="1"/>
  <c r="J115" i="14"/>
  <c r="N111" i="13"/>
  <c r="P111" i="13" s="1"/>
  <c r="Q111" i="13" s="1"/>
  <c r="J113" i="14" s="1"/>
  <c r="T54" i="14" s="1"/>
  <c r="M110" i="13"/>
  <c r="N110" i="13" s="1"/>
  <c r="P110" i="13" s="1"/>
  <c r="Q110" i="13" s="1"/>
  <c r="J112" i="14" s="1"/>
  <c r="J124" i="14"/>
  <c r="J114" i="14"/>
  <c r="S44" i="1" a="1"/>
  <c r="S44" i="1" s="1"/>
  <c r="S47" i="1" a="1"/>
  <c r="S47" i="1" s="1"/>
  <c r="S46" i="1" a="1"/>
  <c r="S46" i="1" s="1"/>
  <c r="R47" i="1" a="1"/>
  <c r="R47" i="1" s="1"/>
  <c r="R46" i="1" a="1"/>
  <c r="R46" i="1" s="1"/>
  <c r="S45" i="1" a="1"/>
  <c r="S45" i="1" s="1"/>
  <c r="T70" i="14"/>
  <c r="S69" i="1" s="1" a="1"/>
  <c r="S69" i="1" s="1"/>
  <c r="O55" i="14"/>
  <c r="L155" i="10"/>
  <c r="G158" i="9"/>
  <c r="D158" i="10"/>
  <c r="E158" i="10" s="1"/>
  <c r="F158" i="10"/>
  <c r="K157" i="9"/>
  <c r="J157" i="9"/>
  <c r="G157" i="9"/>
  <c r="D158" i="9"/>
  <c r="E158" i="9" s="1"/>
  <c r="J158" i="9" s="1"/>
  <c r="B160" i="10"/>
  <c r="F159" i="10" s="1"/>
  <c r="A161" i="10"/>
  <c r="C160" i="10"/>
  <c r="L156" i="10"/>
  <c r="I157" i="10"/>
  <c r="H157" i="10"/>
  <c r="A165" i="13"/>
  <c r="B164" i="13"/>
  <c r="C164" i="13"/>
  <c r="C160" i="9"/>
  <c r="D159" i="9" s="1"/>
  <c r="E159" i="9" s="1"/>
  <c r="B160" i="9"/>
  <c r="F159" i="9" s="1"/>
  <c r="A161" i="9"/>
  <c r="K157" i="10"/>
  <c r="O53" i="14" l="1"/>
  <c r="R52" i="1" s="1" a="1"/>
  <c r="R52" i="1" s="1"/>
  <c r="O51" i="14"/>
  <c r="R50" i="1" s="1" a="1"/>
  <c r="R50" i="1" s="1"/>
  <c r="O52" i="14"/>
  <c r="R51" i="1" s="1" a="1"/>
  <c r="R51" i="1" s="1"/>
  <c r="T53" i="14"/>
  <c r="S52" i="1" s="1" a="1"/>
  <c r="S52" i="1" s="1"/>
  <c r="T51" i="14"/>
  <c r="S50" i="1" s="1" a="1"/>
  <c r="S50" i="1" s="1"/>
  <c r="T52" i="14"/>
  <c r="S51" i="1" s="1" a="1"/>
  <c r="S51" i="1" s="1"/>
  <c r="O74" i="14"/>
  <c r="R73" i="1" s="1" a="1"/>
  <c r="R73" i="1" s="1"/>
  <c r="T57" i="14"/>
  <c r="S56" i="1" s="1" a="1"/>
  <c r="S56" i="1" s="1"/>
  <c r="O75" i="14"/>
  <c r="R74" i="1" s="1" a="1"/>
  <c r="R74" i="1" s="1"/>
  <c r="O77" i="14"/>
  <c r="O73" i="14"/>
  <c r="R72" i="1" s="1" a="1"/>
  <c r="R72" i="1" s="1"/>
  <c r="T62" i="14"/>
  <c r="S61" i="1" s="1" a="1"/>
  <c r="S61" i="1" s="1"/>
  <c r="O72" i="14"/>
  <c r="R71" i="1" s="1" a="1"/>
  <c r="R71" i="1" s="1"/>
  <c r="O58" i="14"/>
  <c r="R57" i="1" s="1" a="1"/>
  <c r="R57" i="1" s="1"/>
  <c r="T63" i="14"/>
  <c r="S62" i="1" s="1" a="1"/>
  <c r="S62" i="1" s="1"/>
  <c r="O71" i="14"/>
  <c r="R70" i="1" s="1" a="1"/>
  <c r="R70" i="1" s="1"/>
  <c r="O70" i="14"/>
  <c r="R69" i="1" s="1" a="1"/>
  <c r="R69" i="1" s="1"/>
  <c r="O57" i="14"/>
  <c r="R56" i="1" s="1" a="1"/>
  <c r="R56" i="1" s="1"/>
  <c r="O69" i="14"/>
  <c r="R68" i="1" s="1" a="1"/>
  <c r="R68" i="1" s="1"/>
  <c r="T56" i="14"/>
  <c r="T58" i="14"/>
  <c r="S57" i="1" s="1" a="1"/>
  <c r="S57" i="1" s="1"/>
  <c r="O68" i="14"/>
  <c r="R67" i="1" s="1" a="1"/>
  <c r="R67" i="1" s="1"/>
  <c r="O66" i="14"/>
  <c r="R65" i="1" s="1" a="1"/>
  <c r="R65" i="1" s="1"/>
  <c r="O63" i="14"/>
  <c r="R62" i="1" s="1" a="1"/>
  <c r="R62" i="1" s="1"/>
  <c r="O64" i="14"/>
  <c r="R63" i="1" s="1" a="1"/>
  <c r="R63" i="1" s="1"/>
  <c r="O76" i="14"/>
  <c r="O65" i="14"/>
  <c r="R64" i="1" s="1" a="1"/>
  <c r="R64" i="1" s="1"/>
  <c r="O56" i="14"/>
  <c r="O62" i="14"/>
  <c r="R61" i="1" s="1" a="1"/>
  <c r="R61" i="1" s="1"/>
  <c r="O67" i="14"/>
  <c r="R66" i="1" s="1" a="1"/>
  <c r="R66" i="1" s="1"/>
  <c r="T76" i="14"/>
  <c r="T67" i="14"/>
  <c r="S66" i="1" s="1" a="1"/>
  <c r="S66" i="1" s="1"/>
  <c r="T69" i="14"/>
  <c r="S68" i="1" s="1" a="1"/>
  <c r="S68" i="1" s="1"/>
  <c r="T75" i="14"/>
  <c r="S74" i="1" s="1" a="1"/>
  <c r="S74" i="1" s="1"/>
  <c r="T74" i="14"/>
  <c r="S73" i="1" s="1" a="1"/>
  <c r="S73" i="1" s="1"/>
  <c r="T72" i="14"/>
  <c r="S71" i="1" s="1" a="1"/>
  <c r="S71" i="1" s="1"/>
  <c r="T65" i="14"/>
  <c r="S64" i="1" s="1" a="1"/>
  <c r="S64" i="1" s="1"/>
  <c r="T73" i="14"/>
  <c r="S72" i="1" s="1" a="1"/>
  <c r="S72" i="1" s="1"/>
  <c r="T77" i="14"/>
  <c r="T64" i="14"/>
  <c r="S63" i="1" s="1" a="1"/>
  <c r="S63" i="1" s="1"/>
  <c r="T71" i="14"/>
  <c r="S70" i="1" s="1" a="1"/>
  <c r="S70" i="1" s="1"/>
  <c r="T68" i="14"/>
  <c r="S67" i="1" s="1" a="1"/>
  <c r="S67" i="1" s="1"/>
  <c r="T66" i="14"/>
  <c r="S65" i="1" s="1" a="1"/>
  <c r="S65" i="1" s="1"/>
  <c r="R54" i="1" a="1"/>
  <c r="R54" i="1" s="1"/>
  <c r="R44" i="1" a="1"/>
  <c r="R44" i="1" s="1"/>
  <c r="O54" i="14"/>
  <c r="S53" i="1" a="1"/>
  <c r="S53" i="1" s="1"/>
  <c r="S43" i="1" a="1"/>
  <c r="S43" i="1" s="1"/>
  <c r="L157" i="10"/>
  <c r="K159" i="9"/>
  <c r="G159" i="9"/>
  <c r="J159" i="9"/>
  <c r="G159" i="10"/>
  <c r="K158" i="10"/>
  <c r="J158" i="10"/>
  <c r="G158" i="10"/>
  <c r="C165" i="13"/>
  <c r="B165" i="13"/>
  <c r="A166" i="13"/>
  <c r="I157" i="9"/>
  <c r="H157" i="9"/>
  <c r="D159" i="10"/>
  <c r="E159" i="10" s="1"/>
  <c r="J159" i="10" s="1"/>
  <c r="A162" i="9"/>
  <c r="C161" i="9"/>
  <c r="B161" i="9"/>
  <c r="F160" i="9" s="1"/>
  <c r="A162" i="10"/>
  <c r="B161" i="10"/>
  <c r="C161" i="10"/>
  <c r="D160" i="10" s="1"/>
  <c r="E160" i="10" s="1"/>
  <c r="I158" i="9"/>
  <c r="H158" i="9"/>
  <c r="K158" i="9"/>
  <c r="T61" i="14" l="1"/>
  <c r="T55" i="14"/>
  <c r="S54" i="1" s="1" a="1"/>
  <c r="S54" i="1" s="1"/>
  <c r="S55" i="1" a="1"/>
  <c r="S55" i="1" s="1"/>
  <c r="S60" i="1" a="1"/>
  <c r="S60" i="1" s="1"/>
  <c r="T60" i="14"/>
  <c r="R45" i="1" a="1"/>
  <c r="R45" i="1" s="1"/>
  <c r="R55" i="1" a="1"/>
  <c r="R55" i="1" s="1"/>
  <c r="L157" i="9"/>
  <c r="O61" i="14"/>
  <c r="R48" i="1" a="1"/>
  <c r="R48" i="1" s="1"/>
  <c r="S48" i="1" a="1"/>
  <c r="S48" i="1" s="1"/>
  <c r="R53" i="1" a="1"/>
  <c r="R53" i="1" s="1"/>
  <c r="R43" i="1" a="1"/>
  <c r="R43" i="1" s="1"/>
  <c r="L158" i="9"/>
  <c r="G160" i="9"/>
  <c r="A163" i="9"/>
  <c r="C162" i="9"/>
  <c r="D161" i="9" s="1"/>
  <c r="E161" i="9" s="1"/>
  <c r="B162" i="9"/>
  <c r="C162" i="10"/>
  <c r="A163" i="10"/>
  <c r="B162" i="10"/>
  <c r="B166" i="13"/>
  <c r="A167" i="13"/>
  <c r="C166" i="13"/>
  <c r="D160" i="9"/>
  <c r="E160" i="9" s="1"/>
  <c r="J160" i="9" s="1"/>
  <c r="H159" i="10"/>
  <c r="I159" i="10"/>
  <c r="F160" i="10"/>
  <c r="K159" i="10"/>
  <c r="I159" i="9"/>
  <c r="H159" i="9"/>
  <c r="I158" i="10"/>
  <c r="H158" i="10"/>
  <c r="R60" i="1" l="1" a="1"/>
  <c r="R60" i="1" s="1"/>
  <c r="O60" i="14"/>
  <c r="S49" i="1" a="1"/>
  <c r="S49" i="1" s="1"/>
  <c r="T59" i="14"/>
  <c r="S58" i="1" s="1" a="1"/>
  <c r="S58" i="1" s="1"/>
  <c r="S59" i="1" a="1"/>
  <c r="S59" i="1" s="1"/>
  <c r="L159" i="9"/>
  <c r="L159" i="10"/>
  <c r="K160" i="10"/>
  <c r="J160" i="10"/>
  <c r="G160" i="10"/>
  <c r="D161" i="10"/>
  <c r="E161" i="10" s="1"/>
  <c r="C167" i="13"/>
  <c r="A168" i="13"/>
  <c r="B167" i="13"/>
  <c r="C163" i="9"/>
  <c r="D162" i="9" s="1"/>
  <c r="E162" i="9" s="1"/>
  <c r="B163" i="9"/>
  <c r="A164" i="9"/>
  <c r="A164" i="10"/>
  <c r="C163" i="10"/>
  <c r="B163" i="10"/>
  <c r="F161" i="10"/>
  <c r="L158" i="10"/>
  <c r="I160" i="9"/>
  <c r="H160" i="9"/>
  <c r="F161" i="9"/>
  <c r="K160" i="9"/>
  <c r="R49" i="1" l="1" a="1"/>
  <c r="R49" i="1" s="1"/>
  <c r="R59" i="1" a="1"/>
  <c r="R59" i="1" s="1"/>
  <c r="O59" i="14"/>
  <c r="R58" i="1" s="1" a="1"/>
  <c r="R58" i="1" s="1"/>
  <c r="L160" i="9"/>
  <c r="C164" i="9"/>
  <c r="D163" i="9" s="1"/>
  <c r="E163" i="9" s="1"/>
  <c r="B164" i="9"/>
  <c r="A165" i="9"/>
  <c r="D162" i="10"/>
  <c r="E162" i="10" s="1"/>
  <c r="F162" i="9"/>
  <c r="F162" i="10"/>
  <c r="I160" i="10"/>
  <c r="H160" i="10"/>
  <c r="L160" i="10" s="1"/>
  <c r="G161" i="10"/>
  <c r="K161" i="10"/>
  <c r="J161" i="10"/>
  <c r="A169" i="13"/>
  <c r="C168" i="13"/>
  <c r="B168" i="13"/>
  <c r="B164" i="10"/>
  <c r="C164" i="10"/>
  <c r="A165" i="10"/>
  <c r="K161" i="9"/>
  <c r="J161" i="9"/>
  <c r="G161" i="9"/>
  <c r="K162" i="9" l="1"/>
  <c r="J162" i="9"/>
  <c r="G162" i="9"/>
  <c r="A166" i="9"/>
  <c r="B165" i="9"/>
  <c r="F164" i="9" s="1"/>
  <c r="C165" i="9"/>
  <c r="D164" i="9" s="1"/>
  <c r="E164" i="9" s="1"/>
  <c r="A166" i="10"/>
  <c r="C165" i="10"/>
  <c r="B165" i="10"/>
  <c r="I161" i="10"/>
  <c r="H161" i="10"/>
  <c r="L161" i="10" s="1"/>
  <c r="A170" i="13"/>
  <c r="C169" i="13"/>
  <c r="B169" i="13"/>
  <c r="K162" i="10"/>
  <c r="G162" i="10"/>
  <c r="J162" i="10"/>
  <c r="F163" i="9"/>
  <c r="D163" i="10"/>
  <c r="E163" i="10" s="1"/>
  <c r="I161" i="9"/>
  <c r="H161" i="9"/>
  <c r="F163" i="10"/>
  <c r="D157" i="13" l="1"/>
  <c r="L161" i="9"/>
  <c r="K164" i="9"/>
  <c r="J164" i="9"/>
  <c r="G164" i="9"/>
  <c r="C170" i="13"/>
  <c r="B170" i="13"/>
  <c r="A171" i="13"/>
  <c r="K163" i="10"/>
  <c r="J163" i="10"/>
  <c r="G163" i="10"/>
  <c r="C166" i="9"/>
  <c r="D165" i="9" s="1"/>
  <c r="E165" i="9" s="1"/>
  <c r="B166" i="9"/>
  <c r="A167" i="9"/>
  <c r="C166" i="10"/>
  <c r="D165" i="10" s="1"/>
  <c r="E165" i="10" s="1"/>
  <c r="B166" i="10"/>
  <c r="A167" i="10"/>
  <c r="H162" i="9"/>
  <c r="I162" i="9"/>
  <c r="G163" i="9"/>
  <c r="K163" i="9"/>
  <c r="J163" i="9"/>
  <c r="H162" i="10"/>
  <c r="I162" i="10"/>
  <c r="D164" i="10"/>
  <c r="E164" i="10" s="1"/>
  <c r="F164" i="10"/>
  <c r="L162" i="9" l="1"/>
  <c r="D156" i="13"/>
  <c r="D155" i="13" s="1"/>
  <c r="C167" i="10"/>
  <c r="D166" i="10" s="1"/>
  <c r="E166" i="10" s="1"/>
  <c r="B167" i="10"/>
  <c r="F166" i="10" s="1"/>
  <c r="A168" i="10"/>
  <c r="G164" i="10"/>
  <c r="K164" i="10"/>
  <c r="J164" i="10"/>
  <c r="C167" i="9"/>
  <c r="D166" i="9" s="1"/>
  <c r="E166" i="9" s="1"/>
  <c r="B167" i="9"/>
  <c r="F166" i="9" s="1"/>
  <c r="A168" i="9"/>
  <c r="F165" i="9"/>
  <c r="F165" i="10"/>
  <c r="L162" i="10"/>
  <c r="I163" i="10"/>
  <c r="H163" i="10"/>
  <c r="C171" i="13"/>
  <c r="B171" i="13"/>
  <c r="A172" i="13"/>
  <c r="H163" i="9"/>
  <c r="I163" i="9"/>
  <c r="I164" i="9"/>
  <c r="H164" i="9"/>
  <c r="D154" i="13" l="1"/>
  <c r="L163" i="10"/>
  <c r="J166" i="9"/>
  <c r="G166" i="9"/>
  <c r="K166" i="9"/>
  <c r="A169" i="9"/>
  <c r="C168" i="9"/>
  <c r="D167" i="9" s="1"/>
  <c r="E167" i="9" s="1"/>
  <c r="B168" i="9"/>
  <c r="F167" i="9" s="1"/>
  <c r="H164" i="10"/>
  <c r="I164" i="10"/>
  <c r="K165" i="10"/>
  <c r="J165" i="10"/>
  <c r="G165" i="10"/>
  <c r="G166" i="10"/>
  <c r="K166" i="10"/>
  <c r="J166" i="10"/>
  <c r="K165" i="9"/>
  <c r="J165" i="9"/>
  <c r="G165" i="9"/>
  <c r="L164" i="9"/>
  <c r="L163" i="9"/>
  <c r="A173" i="13"/>
  <c r="C172" i="13"/>
  <c r="B172" i="13"/>
  <c r="C168" i="10"/>
  <c r="D167" i="10" s="1"/>
  <c r="E167" i="10" s="1"/>
  <c r="B168" i="10"/>
  <c r="F167" i="10" s="1"/>
  <c r="A169" i="10"/>
  <c r="L164" i="10" l="1"/>
  <c r="D153" i="13"/>
  <c r="D152" i="13" s="1"/>
  <c r="M154" i="13"/>
  <c r="N154" i="13" s="1"/>
  <c r="P154" i="13" s="1"/>
  <c r="Q154" i="13" s="1"/>
  <c r="K167" i="9"/>
  <c r="J167" i="9"/>
  <c r="G167" i="9"/>
  <c r="I165" i="9"/>
  <c r="H165" i="9"/>
  <c r="H166" i="10"/>
  <c r="I166" i="10"/>
  <c r="I165" i="10"/>
  <c r="H165" i="10"/>
  <c r="K167" i="10"/>
  <c r="J167" i="10"/>
  <c r="G167" i="10"/>
  <c r="A170" i="10"/>
  <c r="C169" i="10"/>
  <c r="B169" i="10"/>
  <c r="F168" i="10" s="1"/>
  <c r="B169" i="9"/>
  <c r="A170" i="9"/>
  <c r="C169" i="9"/>
  <c r="A174" i="13"/>
  <c r="C173" i="13"/>
  <c r="B173" i="13"/>
  <c r="I166" i="9"/>
  <c r="H166" i="9"/>
  <c r="L166" i="9" l="1"/>
  <c r="D151" i="13"/>
  <c r="M153" i="13"/>
  <c r="N153" i="13" s="1"/>
  <c r="P153" i="13" s="1"/>
  <c r="Q153" i="13" s="1"/>
  <c r="L165" i="9"/>
  <c r="L166" i="10"/>
  <c r="G168" i="10"/>
  <c r="C170" i="9"/>
  <c r="B170" i="9"/>
  <c r="A171" i="9"/>
  <c r="I167" i="10"/>
  <c r="H167" i="10"/>
  <c r="L165" i="10"/>
  <c r="F168" i="9"/>
  <c r="I167" i="9"/>
  <c r="H167" i="9"/>
  <c r="A171" i="10"/>
  <c r="C170" i="10"/>
  <c r="B170" i="10"/>
  <c r="D168" i="9"/>
  <c r="E168" i="9" s="1"/>
  <c r="D168" i="10"/>
  <c r="E168" i="10" s="1"/>
  <c r="J168" i="10" s="1"/>
  <c r="A175" i="13"/>
  <c r="C174" i="13"/>
  <c r="B174" i="13"/>
  <c r="M152" i="13" l="1"/>
  <c r="N152" i="13" s="1"/>
  <c r="P152" i="13" s="1"/>
  <c r="Q152" i="13" s="1"/>
  <c r="D150" i="13"/>
  <c r="D149" i="13" s="1"/>
  <c r="D148" i="13" s="1"/>
  <c r="D147" i="13" s="1"/>
  <c r="D146" i="13" s="1"/>
  <c r="D145" i="13" s="1"/>
  <c r="D144" i="13" s="1"/>
  <c r="D143" i="13" s="1"/>
  <c r="M151" i="13"/>
  <c r="N151" i="13" s="1"/>
  <c r="P151" i="13" s="1"/>
  <c r="Q151" i="13" s="1"/>
  <c r="L167" i="9"/>
  <c r="D169" i="10"/>
  <c r="E169" i="10" s="1"/>
  <c r="L167" i="10"/>
  <c r="K168" i="9"/>
  <c r="J168" i="9"/>
  <c r="G168" i="9"/>
  <c r="F169" i="10"/>
  <c r="C171" i="10"/>
  <c r="B171" i="10"/>
  <c r="A172" i="10"/>
  <c r="D169" i="9"/>
  <c r="E169" i="9" s="1"/>
  <c r="H168" i="10"/>
  <c r="I168" i="10"/>
  <c r="F169" i="9"/>
  <c r="B171" i="9"/>
  <c r="F170" i="9" s="1"/>
  <c r="A172" i="9"/>
  <c r="C171" i="9"/>
  <c r="D170" i="9" s="1"/>
  <c r="E170" i="9" s="1"/>
  <c r="C175" i="13"/>
  <c r="B175" i="13"/>
  <c r="A176" i="13"/>
  <c r="K168" i="10"/>
  <c r="M150" i="13" l="1"/>
  <c r="N150" i="13" s="1"/>
  <c r="P150" i="13" s="1"/>
  <c r="Q150" i="13" s="1"/>
  <c r="L168" i="10"/>
  <c r="A177" i="13"/>
  <c r="C176" i="13"/>
  <c r="B176" i="13"/>
  <c r="I168" i="9"/>
  <c r="H168" i="9"/>
  <c r="L168" i="9" s="1"/>
  <c r="G170" i="9"/>
  <c r="K170" i="9"/>
  <c r="J170" i="9"/>
  <c r="A173" i="10"/>
  <c r="C172" i="10"/>
  <c r="D171" i="10" s="1"/>
  <c r="E171" i="10" s="1"/>
  <c r="B172" i="10"/>
  <c r="J169" i="9"/>
  <c r="K169" i="9"/>
  <c r="G169" i="9"/>
  <c r="A173" i="9"/>
  <c r="C172" i="9"/>
  <c r="D171" i="9" s="1"/>
  <c r="E171" i="9" s="1"/>
  <c r="B172" i="9"/>
  <c r="D170" i="10"/>
  <c r="E170" i="10" s="1"/>
  <c r="K169" i="10"/>
  <c r="J169" i="10"/>
  <c r="G169" i="10"/>
  <c r="F170" i="10"/>
  <c r="J153" i="14" l="1"/>
  <c r="M149" i="13"/>
  <c r="I169" i="9"/>
  <c r="H169" i="9"/>
  <c r="B173" i="10"/>
  <c r="C173" i="10"/>
  <c r="D172" i="10" s="1"/>
  <c r="E172" i="10" s="1"/>
  <c r="A174" i="10"/>
  <c r="I170" i="9"/>
  <c r="H170" i="9"/>
  <c r="G170" i="10"/>
  <c r="K170" i="10"/>
  <c r="J170" i="10"/>
  <c r="F171" i="10"/>
  <c r="C173" i="9"/>
  <c r="B173" i="9"/>
  <c r="A174" i="9"/>
  <c r="F171" i="9"/>
  <c r="I169" i="10"/>
  <c r="H169" i="10"/>
  <c r="A178" i="13"/>
  <c r="C177" i="13"/>
  <c r="B177" i="13"/>
  <c r="J156" i="14" l="1"/>
  <c r="N149" i="13"/>
  <c r="P149" i="13" s="1"/>
  <c r="Q149" i="13" s="1"/>
  <c r="J151" i="14" s="1"/>
  <c r="M148" i="13"/>
  <c r="M142" i="13"/>
  <c r="L170" i="9"/>
  <c r="D172" i="9"/>
  <c r="E172" i="9" s="1"/>
  <c r="I170" i="10"/>
  <c r="H170" i="10"/>
  <c r="A175" i="10"/>
  <c r="C174" i="10"/>
  <c r="D173" i="10" s="1"/>
  <c r="E173" i="10" s="1"/>
  <c r="B174" i="10"/>
  <c r="F173" i="10" s="1"/>
  <c r="K171" i="9"/>
  <c r="J171" i="9"/>
  <c r="G171" i="9"/>
  <c r="F172" i="9"/>
  <c r="C174" i="9"/>
  <c r="B174" i="9"/>
  <c r="A175" i="9"/>
  <c r="G171" i="10"/>
  <c r="K171" i="10"/>
  <c r="J171" i="10"/>
  <c r="F172" i="10"/>
  <c r="C178" i="13"/>
  <c r="B178" i="13"/>
  <c r="A179" i="13"/>
  <c r="L169" i="9"/>
  <c r="L169" i="10"/>
  <c r="L170" i="10" l="1"/>
  <c r="N142" i="13"/>
  <c r="P142" i="13" s="1"/>
  <c r="Q142" i="13" s="1"/>
  <c r="J154" i="14" s="1"/>
  <c r="M141" i="13"/>
  <c r="N148" i="13"/>
  <c r="P148" i="13" s="1"/>
  <c r="Q148" i="13" s="1"/>
  <c r="J150" i="14" s="1"/>
  <c r="M147" i="13"/>
  <c r="M145" i="13"/>
  <c r="J152" i="14"/>
  <c r="J172" i="10"/>
  <c r="K172" i="10"/>
  <c r="G172" i="10"/>
  <c r="K172" i="9"/>
  <c r="G172" i="9"/>
  <c r="J172" i="9"/>
  <c r="A176" i="10"/>
  <c r="C175" i="10"/>
  <c r="B175" i="10"/>
  <c r="A176" i="9"/>
  <c r="C175" i="9"/>
  <c r="B175" i="9"/>
  <c r="I171" i="9"/>
  <c r="H171" i="9"/>
  <c r="I171" i="10"/>
  <c r="H171" i="10"/>
  <c r="G173" i="10"/>
  <c r="J173" i="10"/>
  <c r="K173" i="10"/>
  <c r="B179" i="13"/>
  <c r="C179" i="13"/>
  <c r="A180" i="13"/>
  <c r="F173" i="9"/>
  <c r="D173" i="9"/>
  <c r="E173" i="9" s="1"/>
  <c r="L171" i="9" l="1"/>
  <c r="N145" i="13"/>
  <c r="P145" i="13" s="1"/>
  <c r="Q145" i="13" s="1"/>
  <c r="M144" i="13"/>
  <c r="N147" i="13"/>
  <c r="P147" i="13" s="1"/>
  <c r="Q147" i="13" s="1"/>
  <c r="J149" i="14" s="1"/>
  <c r="M146" i="13"/>
  <c r="N146" i="13" s="1"/>
  <c r="P146" i="13" s="1"/>
  <c r="Q146" i="13" s="1"/>
  <c r="N141" i="13"/>
  <c r="P141" i="13" s="1"/>
  <c r="Q141" i="13" s="1"/>
  <c r="J144" i="14" s="1"/>
  <c r="M140" i="13"/>
  <c r="L171" i="10"/>
  <c r="C176" i="10"/>
  <c r="D176" i="10" s="1"/>
  <c r="E176" i="10" s="1"/>
  <c r="B176" i="10"/>
  <c r="F176" i="10" s="1"/>
  <c r="D174" i="10"/>
  <c r="E174" i="10" s="1"/>
  <c r="I172" i="9"/>
  <c r="H172" i="9"/>
  <c r="L172" i="9" s="1"/>
  <c r="F174" i="9"/>
  <c r="I173" i="10"/>
  <c r="H173" i="10"/>
  <c r="C180" i="13"/>
  <c r="A181" i="13"/>
  <c r="B180" i="13"/>
  <c r="H172" i="10"/>
  <c r="I172" i="10"/>
  <c r="D174" i="9"/>
  <c r="E174" i="9" s="1"/>
  <c r="C176" i="9"/>
  <c r="B176" i="9"/>
  <c r="A177" i="9"/>
  <c r="K173" i="9"/>
  <c r="J173" i="9"/>
  <c r="G173" i="9"/>
  <c r="F174" i="10"/>
  <c r="D175" i="10" l="1"/>
  <c r="E175" i="10" s="1"/>
  <c r="M139" i="13"/>
  <c r="N140" i="13"/>
  <c r="P140" i="13" s="1"/>
  <c r="Q140" i="13" s="1"/>
  <c r="J143" i="14" s="1"/>
  <c r="J148" i="14"/>
  <c r="N144" i="13"/>
  <c r="P144" i="13" s="1"/>
  <c r="Q144" i="13" s="1"/>
  <c r="J146" i="14" s="1"/>
  <c r="M143" i="13"/>
  <c r="N143" i="13" s="1"/>
  <c r="P143" i="13" s="1"/>
  <c r="Q143" i="13" s="1"/>
  <c r="J147" i="14"/>
  <c r="S76" i="1" a="1"/>
  <c r="S76" i="1" s="1"/>
  <c r="R76" i="1" a="1"/>
  <c r="R76" i="1" s="1"/>
  <c r="L173" i="10"/>
  <c r="L172" i="10"/>
  <c r="C177" i="9"/>
  <c r="D177" i="9" s="1"/>
  <c r="E177" i="9" s="1"/>
  <c r="B177" i="9"/>
  <c r="F177" i="9" s="1"/>
  <c r="A182" i="13"/>
  <c r="B181" i="13"/>
  <c r="C181" i="13"/>
  <c r="D175" i="9"/>
  <c r="E175" i="9" s="1"/>
  <c r="J176" i="10"/>
  <c r="K176" i="10"/>
  <c r="G176" i="10"/>
  <c r="F175" i="10"/>
  <c r="K174" i="9"/>
  <c r="J174" i="9"/>
  <c r="G174" i="9"/>
  <c r="K174" i="10"/>
  <c r="G174" i="10"/>
  <c r="J174" i="10"/>
  <c r="I173" i="9"/>
  <c r="H173" i="9"/>
  <c r="F175" i="9"/>
  <c r="J155" i="14" l="1"/>
  <c r="J145" i="14"/>
  <c r="M138" i="13"/>
  <c r="N139" i="13"/>
  <c r="P139" i="13" s="1"/>
  <c r="Q139" i="13" s="1"/>
  <c r="J142" i="14" s="1"/>
  <c r="D176" i="9"/>
  <c r="E176" i="9" s="1"/>
  <c r="L173" i="9"/>
  <c r="K175" i="10"/>
  <c r="J175" i="10"/>
  <c r="G175" i="10"/>
  <c r="I174" i="9"/>
  <c r="H174" i="9"/>
  <c r="H176" i="10"/>
  <c r="I176" i="10"/>
  <c r="K175" i="9"/>
  <c r="J175" i="9"/>
  <c r="G175" i="9"/>
  <c r="J177" i="9"/>
  <c r="G177" i="9"/>
  <c r="K177" i="9"/>
  <c r="A183" i="13"/>
  <c r="C182" i="13"/>
  <c r="B182" i="13"/>
  <c r="I174" i="10"/>
  <c r="H174" i="10"/>
  <c r="L174" i="10" s="1"/>
  <c r="F176" i="9"/>
  <c r="M137" i="13" l="1"/>
  <c r="N137" i="13" s="1"/>
  <c r="P137" i="13" s="1"/>
  <c r="Q137" i="13" s="1"/>
  <c r="J139" i="14" s="1"/>
  <c r="N138" i="13"/>
  <c r="P138" i="13" s="1"/>
  <c r="Q138" i="13" s="1"/>
  <c r="L174" i="9"/>
  <c r="L176" i="10"/>
  <c r="K176" i="9"/>
  <c r="J176" i="9"/>
  <c r="G176" i="9"/>
  <c r="C183" i="13"/>
  <c r="B183" i="13"/>
  <c r="A184" i="13"/>
  <c r="I175" i="9"/>
  <c r="H175" i="9"/>
  <c r="G104" i="14"/>
  <c r="G155" i="14"/>
  <c r="G160" i="14"/>
  <c r="G170" i="14"/>
  <c r="G172" i="14"/>
  <c r="G89" i="14"/>
  <c r="G57" i="14"/>
  <c r="G109" i="14"/>
  <c r="G133" i="14"/>
  <c r="G118" i="14"/>
  <c r="G167" i="14"/>
  <c r="G81" i="14"/>
  <c r="G131" i="14"/>
  <c r="G159" i="14"/>
  <c r="G152" i="14"/>
  <c r="G98" i="14"/>
  <c r="G56" i="14"/>
  <c r="G102" i="14"/>
  <c r="G145" i="14"/>
  <c r="G129" i="14"/>
  <c r="G28" i="14"/>
  <c r="G107" i="14"/>
  <c r="G103" i="14"/>
  <c r="G70" i="14"/>
  <c r="G106" i="14"/>
  <c r="G22" i="14"/>
  <c r="G119" i="14"/>
  <c r="G44" i="14"/>
  <c r="G176" i="14"/>
  <c r="G154" i="14"/>
  <c r="G122" i="14"/>
  <c r="G148" i="14"/>
  <c r="G65" i="14"/>
  <c r="G120" i="14"/>
  <c r="G140" i="14"/>
  <c r="G33" i="14"/>
  <c r="G20" i="14"/>
  <c r="G67" i="14"/>
  <c r="G76" i="14"/>
  <c r="G75" i="14"/>
  <c r="G146" i="14"/>
  <c r="G130" i="14"/>
  <c r="G112" i="14"/>
  <c r="G84" i="14"/>
  <c r="G85" i="14"/>
  <c r="G61" i="14"/>
  <c r="G39" i="14"/>
  <c r="G171" i="14"/>
  <c r="G92" i="14"/>
  <c r="G147" i="14"/>
  <c r="G175" i="14"/>
  <c r="G60" i="14"/>
  <c r="G16" i="14"/>
  <c r="G135" i="14"/>
  <c r="G143" i="14"/>
  <c r="G30" i="14"/>
  <c r="G69" i="14"/>
  <c r="G80" i="14"/>
  <c r="G90" i="14"/>
  <c r="G93" i="14"/>
  <c r="G99" i="14"/>
  <c r="G71" i="14"/>
  <c r="G91" i="14"/>
  <c r="G114" i="14"/>
  <c r="G157" i="14"/>
  <c r="G137" i="14"/>
  <c r="G18" i="14"/>
  <c r="G86" i="14"/>
  <c r="G32" i="14"/>
  <c r="G142" i="14"/>
  <c r="G43" i="14"/>
  <c r="G162" i="14"/>
  <c r="G121" i="14"/>
  <c r="G72" i="14"/>
  <c r="G21" i="14"/>
  <c r="G125" i="14"/>
  <c r="G101" i="14"/>
  <c r="G136" i="14"/>
  <c r="G53" i="14"/>
  <c r="G74" i="14"/>
  <c r="G42" i="14"/>
  <c r="G87" i="14"/>
  <c r="G46" i="14"/>
  <c r="G116" i="14"/>
  <c r="G94" i="14"/>
  <c r="G168" i="14"/>
  <c r="G138" i="14"/>
  <c r="G150" i="14"/>
  <c r="G77" i="14"/>
  <c r="G141" i="14"/>
  <c r="G62" i="14"/>
  <c r="G68" i="14"/>
  <c r="G163" i="14"/>
  <c r="G169" i="14"/>
  <c r="G50" i="14"/>
  <c r="G66" i="14"/>
  <c r="G174" i="14"/>
  <c r="G79" i="14"/>
  <c r="G17" i="14"/>
  <c r="G164" i="14"/>
  <c r="G38" i="14"/>
  <c r="G113" i="14"/>
  <c r="G110" i="14"/>
  <c r="G144" i="14"/>
  <c r="G111" i="14"/>
  <c r="G31" i="14"/>
  <c r="G127" i="14"/>
  <c r="G132" i="14"/>
  <c r="G51" i="14"/>
  <c r="G78" i="14"/>
  <c r="G88" i="14"/>
  <c r="G165" i="14"/>
  <c r="G58" i="14"/>
  <c r="G25" i="14"/>
  <c r="G108" i="14"/>
  <c r="G151" i="14"/>
  <c r="G139" i="14"/>
  <c r="G173" i="14"/>
  <c r="G52" i="14"/>
  <c r="G105" i="14"/>
  <c r="G83" i="14"/>
  <c r="G73" i="14"/>
  <c r="G23" i="14"/>
  <c r="G35" i="14"/>
  <c r="G41" i="14"/>
  <c r="G48" i="14"/>
  <c r="G37" i="14"/>
  <c r="G128" i="14"/>
  <c r="G95" i="14"/>
  <c r="G124" i="14"/>
  <c r="G123" i="14"/>
  <c r="G117" i="14"/>
  <c r="G64" i="14"/>
  <c r="G82" i="14"/>
  <c r="G63" i="14"/>
  <c r="G96" i="14"/>
  <c r="G126" i="14"/>
  <c r="G49" i="14"/>
  <c r="G156" i="14"/>
  <c r="G24" i="14"/>
  <c r="G158" i="14"/>
  <c r="G36" i="14"/>
  <c r="G55" i="14"/>
  <c r="G115" i="14"/>
  <c r="G40" i="14"/>
  <c r="G97" i="14"/>
  <c r="G100" i="14"/>
  <c r="G134" i="14"/>
  <c r="G161" i="14"/>
  <c r="G45" i="14"/>
  <c r="G54" i="14"/>
  <c r="G19" i="14"/>
  <c r="G29" i="14"/>
  <c r="G166" i="14"/>
  <c r="G149" i="14"/>
  <c r="G153" i="14"/>
  <c r="G27" i="14"/>
  <c r="G59" i="14"/>
  <c r="G26" i="14"/>
  <c r="G47" i="14"/>
  <c r="G34" i="14"/>
  <c r="I177" i="9"/>
  <c r="H177" i="9"/>
  <c r="I175" i="10"/>
  <c r="H175" i="10"/>
  <c r="L177" i="9" l="1"/>
  <c r="J141" i="14"/>
  <c r="J140" i="14"/>
  <c r="T80" i="14"/>
  <c r="S79" i="1" s="1" a="1"/>
  <c r="S79" i="1" s="1"/>
  <c r="O81" i="14"/>
  <c r="R80" i="1" s="1" a="1"/>
  <c r="R80" i="1" s="1"/>
  <c r="O82" i="14"/>
  <c r="R81" i="1" s="1" a="1"/>
  <c r="R81" i="1" s="1"/>
  <c r="O83" i="14"/>
  <c r="R82" i="1" s="1" a="1"/>
  <c r="R82" i="1" s="1"/>
  <c r="T79" i="14"/>
  <c r="S78" i="1" s="1" a="1"/>
  <c r="S78" i="1" s="1"/>
  <c r="T83" i="14"/>
  <c r="S82" i="1" s="1" a="1"/>
  <c r="S82" i="1" s="1"/>
  <c r="T78" i="14"/>
  <c r="S77" i="1" s="1" a="1"/>
  <c r="S77" i="1" s="1"/>
  <c r="O85" i="14"/>
  <c r="R84" i="1" s="1" a="1"/>
  <c r="R84" i="1" s="1"/>
  <c r="T84" i="14"/>
  <c r="S83" i="1" s="1" a="1"/>
  <c r="S83" i="1" s="1"/>
  <c r="T81" i="14"/>
  <c r="S80" i="1" s="1" a="1"/>
  <c r="S80" i="1" s="1"/>
  <c r="T82" i="14"/>
  <c r="S81" i="1" s="1" a="1"/>
  <c r="S81" i="1" s="1"/>
  <c r="O84" i="14"/>
  <c r="R83" i="1" s="1" a="1"/>
  <c r="R83" i="1" s="1"/>
  <c r="T85" i="14"/>
  <c r="S84" i="1" s="1" a="1"/>
  <c r="S84" i="1" s="1"/>
  <c r="O79" i="14"/>
  <c r="R78" i="1" s="1" a="1"/>
  <c r="R78" i="1" s="1"/>
  <c r="O80" i="14"/>
  <c r="R79" i="1" s="1" a="1"/>
  <c r="R79" i="1" s="1"/>
  <c r="O78" i="14"/>
  <c r="R77" i="1" s="1" a="1"/>
  <c r="R77" i="1" s="1"/>
  <c r="T86" i="14"/>
  <c r="O86" i="14"/>
  <c r="O94" i="14"/>
  <c r="T91" i="14"/>
  <c r="S90" i="1" s="1" a="1"/>
  <c r="S90" i="1" s="1"/>
  <c r="T87" i="14"/>
  <c r="S86" i="1" s="1" a="1"/>
  <c r="S86" i="1" s="1"/>
  <c r="T93" i="14"/>
  <c r="T94" i="14"/>
  <c r="T95" i="14"/>
  <c r="O87" i="14"/>
  <c r="R86" i="1" s="1" a="1"/>
  <c r="R86" i="1" s="1"/>
  <c r="O92" i="14"/>
  <c r="T89" i="14"/>
  <c r="S88" i="1" s="1" a="1"/>
  <c r="S88" i="1" s="1"/>
  <c r="O95" i="14"/>
  <c r="T90" i="14"/>
  <c r="S89" i="1" s="1" a="1"/>
  <c r="S89" i="1" s="1"/>
  <c r="O93" i="14"/>
  <c r="T92" i="14"/>
  <c r="O89" i="14"/>
  <c r="R88" i="1" s="1" a="1"/>
  <c r="R88" i="1" s="1"/>
  <c r="T88" i="14"/>
  <c r="S87" i="1" s="1" a="1"/>
  <c r="S87" i="1" s="1"/>
  <c r="O88" i="14"/>
  <c r="R87" i="1" s="1" a="1"/>
  <c r="R87" i="1" s="1"/>
  <c r="O90" i="14"/>
  <c r="R89" i="1" s="1" a="1"/>
  <c r="R89" i="1" s="1"/>
  <c r="O91" i="14"/>
  <c r="R90" i="1" s="1" a="1"/>
  <c r="R90" i="1" s="1"/>
  <c r="G8" i="14"/>
  <c r="H7" i="1" s="1" a="1"/>
  <c r="H7" i="1" s="1"/>
  <c r="G9" i="14"/>
  <c r="H8" i="1" s="1" a="1"/>
  <c r="H8" i="1" s="1"/>
  <c r="G7" i="14"/>
  <c r="G6" i="14" s="1"/>
  <c r="I21" i="16" s="1"/>
  <c r="G10" i="14"/>
  <c r="G11" i="14"/>
  <c r="G12" i="14"/>
  <c r="H11" i="1" s="1" a="1"/>
  <c r="H11" i="1" s="1"/>
  <c r="G14" i="14"/>
  <c r="H13" i="1" s="1" a="1"/>
  <c r="H13" i="1" s="1"/>
  <c r="G15" i="14"/>
  <c r="H14" i="1" s="1" a="1"/>
  <c r="H14" i="1" s="1"/>
  <c r="G13" i="14"/>
  <c r="H12" i="1" s="1" a="1"/>
  <c r="H12" i="1" s="1"/>
  <c r="L175" i="10"/>
  <c r="L87" i="14"/>
  <c r="Q87" i="14"/>
  <c r="H85" i="1" a="1"/>
  <c r="H85" i="1" s="1"/>
  <c r="Q80" i="14"/>
  <c r="L80" i="14"/>
  <c r="H78" i="1" a="1"/>
  <c r="H78" i="1" s="1"/>
  <c r="L81" i="14"/>
  <c r="Q81" i="14"/>
  <c r="H79" i="1" a="1"/>
  <c r="H79" i="1" s="1"/>
  <c r="L33" i="14"/>
  <c r="Q33" i="14"/>
  <c r="H31" i="1" a="1"/>
  <c r="H31" i="1" s="1"/>
  <c r="L69" i="14"/>
  <c r="Q69" i="14"/>
  <c r="H67" i="1" a="1"/>
  <c r="H67" i="1" s="1"/>
  <c r="Q65" i="14"/>
  <c r="L65" i="14"/>
  <c r="H63" i="1" a="1"/>
  <c r="H63" i="1" s="1"/>
  <c r="Q20" i="14"/>
  <c r="L20" i="14"/>
  <c r="H18" i="1" a="1"/>
  <c r="H18" i="1" s="1"/>
  <c r="Q31" i="14"/>
  <c r="L31" i="14"/>
  <c r="H29" i="1" a="1"/>
  <c r="H29" i="1" s="1"/>
  <c r="Q109" i="14"/>
  <c r="L109" i="14"/>
  <c r="L99" i="14"/>
  <c r="Q99" i="14"/>
  <c r="L57" i="14"/>
  <c r="Q57" i="14"/>
  <c r="H55" i="1" a="1"/>
  <c r="H55" i="1" s="1"/>
  <c r="Q53" i="14"/>
  <c r="L53" i="14"/>
  <c r="H51" i="1" a="1"/>
  <c r="H51" i="1" s="1"/>
  <c r="Q101" i="14"/>
  <c r="L101" i="14"/>
  <c r="L21" i="14"/>
  <c r="Q21" i="14"/>
  <c r="H19" i="1" a="1"/>
  <c r="H19" i="1" s="1"/>
  <c r="Q74" i="14"/>
  <c r="L74" i="14"/>
  <c r="H72" i="1" a="1"/>
  <c r="H72" i="1" s="1"/>
  <c r="L72" i="14"/>
  <c r="Q72" i="14"/>
  <c r="H70" i="1" a="1"/>
  <c r="H70" i="1" s="1"/>
  <c r="Q22" i="14"/>
  <c r="L22" i="14"/>
  <c r="H20" i="1" a="1"/>
  <c r="H20" i="1" s="1"/>
  <c r="L93" i="14"/>
  <c r="Q93" i="14"/>
  <c r="H91" i="1" a="1"/>
  <c r="H91" i="1" s="1"/>
  <c r="Q95" i="14"/>
  <c r="L95" i="14"/>
  <c r="H93" i="1" a="1"/>
  <c r="H93" i="1" s="1"/>
  <c r="L110" i="14"/>
  <c r="Q110" i="14"/>
  <c r="L97" i="14"/>
  <c r="Q97" i="14"/>
  <c r="H95" i="1" a="1"/>
  <c r="H95" i="1" s="1"/>
  <c r="L66" i="14"/>
  <c r="Q66" i="14"/>
  <c r="H64" i="1" a="1"/>
  <c r="H64" i="1" s="1"/>
  <c r="Q92" i="14"/>
  <c r="L92" i="14"/>
  <c r="H90" i="1" a="1"/>
  <c r="H90" i="1" s="1"/>
  <c r="Q106" i="14"/>
  <c r="L106" i="14"/>
  <c r="L113" i="14"/>
  <c r="Q113" i="14"/>
  <c r="Q100" i="14"/>
  <c r="Q98" i="1" s="1" a="1"/>
  <c r="Q98" i="1" s="1"/>
  <c r="L100" i="14"/>
  <c r="P98" i="1" s="1" a="1"/>
  <c r="P98" i="1" s="1"/>
  <c r="Q50" i="14"/>
  <c r="L50" i="14"/>
  <c r="H48" i="1" a="1"/>
  <c r="H48" i="1" s="1"/>
  <c r="Q70" i="14"/>
  <c r="L70" i="14"/>
  <c r="H68" i="1" a="1"/>
  <c r="H68" i="1" s="1"/>
  <c r="Q19" i="14"/>
  <c r="L19" i="14"/>
  <c r="H17" i="1" a="1"/>
  <c r="H17" i="1" s="1"/>
  <c r="L45" i="14"/>
  <c r="Q45" i="14"/>
  <c r="Q43" i="1" s="1" a="1"/>
  <c r="Q43" i="1" s="1"/>
  <c r="H43" i="1" a="1"/>
  <c r="H43" i="1" s="1"/>
  <c r="Q89" i="14"/>
  <c r="L89" i="14"/>
  <c r="H87" i="1" a="1"/>
  <c r="H87" i="1" s="1"/>
  <c r="Q40" i="14"/>
  <c r="L40" i="14"/>
  <c r="H38" i="1" a="1"/>
  <c r="H38" i="1" s="1"/>
  <c r="Q43" i="14"/>
  <c r="L43" i="14"/>
  <c r="H41" i="1" a="1"/>
  <c r="H41" i="1" s="1"/>
  <c r="L39" i="14"/>
  <c r="Q39" i="14"/>
  <c r="H37" i="1" a="1"/>
  <c r="H37" i="1" s="1"/>
  <c r="Q104" i="14"/>
  <c r="L104" i="14"/>
  <c r="L54" i="14"/>
  <c r="Q54" i="14"/>
  <c r="H52" i="1" a="1"/>
  <c r="H52" i="1" s="1"/>
  <c r="Q17" i="14"/>
  <c r="L17" i="14"/>
  <c r="H15" i="1" a="1"/>
  <c r="H15" i="1" s="1"/>
  <c r="Q105" i="14"/>
  <c r="L105" i="14"/>
  <c r="Q61" i="14"/>
  <c r="L61" i="14"/>
  <c r="H59" i="1" a="1"/>
  <c r="H59" i="1" s="1"/>
  <c r="Q103" i="14"/>
  <c r="L103" i="14"/>
  <c r="L175" i="9"/>
  <c r="F177" i="14" s="1"/>
  <c r="Q29" i="14"/>
  <c r="L29" i="14"/>
  <c r="H27" i="1" a="1"/>
  <c r="H27" i="1" s="1"/>
  <c r="Q37" i="14"/>
  <c r="L37" i="14"/>
  <c r="H35" i="1" a="1"/>
  <c r="H35" i="1" s="1"/>
  <c r="Q23" i="14"/>
  <c r="L23" i="14"/>
  <c r="H21" i="1" a="1"/>
  <c r="H21" i="1" s="1"/>
  <c r="Q85" i="14"/>
  <c r="L85" i="14"/>
  <c r="H83" i="1" a="1"/>
  <c r="H83" i="1" s="1"/>
  <c r="Q107" i="14"/>
  <c r="L107" i="14"/>
  <c r="Q46" i="14"/>
  <c r="L46" i="14"/>
  <c r="H44" i="1" a="1"/>
  <c r="H44" i="1" s="1"/>
  <c r="Q35" i="14"/>
  <c r="L35" i="14"/>
  <c r="H33" i="1" a="1"/>
  <c r="H33" i="1" s="1"/>
  <c r="Q73" i="14"/>
  <c r="L73" i="14"/>
  <c r="H71" i="1" a="1"/>
  <c r="H71" i="1" s="1"/>
  <c r="Q55" i="14"/>
  <c r="L55" i="14"/>
  <c r="H53" i="1" a="1"/>
  <c r="H53" i="1" s="1"/>
  <c r="Q86" i="14"/>
  <c r="L86" i="14"/>
  <c r="P84" i="1" s="1" a="1"/>
  <c r="P84" i="1" s="1"/>
  <c r="H84" i="1" a="1"/>
  <c r="H84" i="1" s="1"/>
  <c r="L84" i="14"/>
  <c r="Q84" i="14"/>
  <c r="H82" i="1" a="1"/>
  <c r="H82" i="1" s="1"/>
  <c r="Q28" i="14"/>
  <c r="L28" i="14"/>
  <c r="H26" i="1" a="1"/>
  <c r="H26" i="1" s="1"/>
  <c r="A185" i="13"/>
  <c r="C184" i="13"/>
  <c r="B184" i="13"/>
  <c r="Q111" i="14"/>
  <c r="L111" i="14"/>
  <c r="Q44" i="14"/>
  <c r="L44" i="14"/>
  <c r="H42" i="1" a="1"/>
  <c r="H42" i="1" s="1"/>
  <c r="L18" i="14"/>
  <c r="Q18" i="14"/>
  <c r="H16" i="1" a="1"/>
  <c r="H16" i="1" s="1"/>
  <c r="Q112" i="14"/>
  <c r="L112" i="14"/>
  <c r="L42" i="14"/>
  <c r="Q42" i="14"/>
  <c r="H40" i="1" a="1"/>
  <c r="H40" i="1" s="1"/>
  <c r="L48" i="14"/>
  <c r="Q48" i="14"/>
  <c r="H46" i="1" a="1"/>
  <c r="H46" i="1" s="1"/>
  <c r="Q79" i="14"/>
  <c r="L79" i="14"/>
  <c r="H77" i="1" a="1"/>
  <c r="H77" i="1" s="1"/>
  <c r="L36" i="14"/>
  <c r="Q36" i="14"/>
  <c r="H34" i="1" a="1"/>
  <c r="H34" i="1" s="1"/>
  <c r="Q32" i="14"/>
  <c r="L32" i="14"/>
  <c r="H30" i="1" a="1"/>
  <c r="H30" i="1" s="1"/>
  <c r="Q49" i="14"/>
  <c r="L49" i="14"/>
  <c r="H47" i="1" a="1"/>
  <c r="H47" i="1" s="1"/>
  <c r="Q77" i="14"/>
  <c r="L77" i="14"/>
  <c r="H75" i="1" a="1"/>
  <c r="H75" i="1" s="1"/>
  <c r="L30" i="14"/>
  <c r="Q30" i="14"/>
  <c r="H28" i="1" a="1"/>
  <c r="H28" i="1" s="1"/>
  <c r="Q38" i="14"/>
  <c r="L38" i="14"/>
  <c r="H36" i="1" a="1"/>
  <c r="H36" i="1" s="1"/>
  <c r="L60" i="14"/>
  <c r="Q60" i="14"/>
  <c r="H58" i="1" a="1"/>
  <c r="H58" i="1" s="1"/>
  <c r="Q115" i="14"/>
  <c r="L115" i="14"/>
  <c r="Q68" i="14"/>
  <c r="L68" i="14"/>
  <c r="H66" i="1" a="1"/>
  <c r="H66" i="1" s="1"/>
  <c r="Q62" i="14"/>
  <c r="L62" i="14"/>
  <c r="H60" i="1" a="1"/>
  <c r="H60" i="1" s="1"/>
  <c r="Q34" i="14"/>
  <c r="L34" i="14"/>
  <c r="H32" i="1" a="1"/>
  <c r="H32" i="1" s="1"/>
  <c r="L102" i="14"/>
  <c r="Q102" i="14"/>
  <c r="Q16" i="14"/>
  <c r="L16" i="14"/>
  <c r="Q52" i="14"/>
  <c r="L52" i="14"/>
  <c r="H50" i="1" a="1"/>
  <c r="H50" i="1" s="1"/>
  <c r="L58" i="14"/>
  <c r="Q58" i="14"/>
  <c r="H56" i="1" a="1"/>
  <c r="H56" i="1" s="1"/>
  <c r="Q26" i="14"/>
  <c r="L26" i="14"/>
  <c r="H24" i="1" a="1"/>
  <c r="H24" i="1" s="1"/>
  <c r="Q88" i="14"/>
  <c r="L88" i="14"/>
  <c r="P86" i="1" s="1" a="1"/>
  <c r="P86" i="1" s="1"/>
  <c r="H86" i="1" a="1"/>
  <c r="H86" i="1" s="1"/>
  <c r="L114" i="14"/>
  <c r="Q114" i="14"/>
  <c r="L75" i="14"/>
  <c r="Q75" i="14"/>
  <c r="H73" i="1" a="1"/>
  <c r="H73" i="1" s="1"/>
  <c r="Q56" i="14"/>
  <c r="L56" i="14"/>
  <c r="H54" i="1" a="1"/>
  <c r="H54" i="1" s="1"/>
  <c r="H176" i="9"/>
  <c r="I176" i="9"/>
  <c r="Q41" i="14"/>
  <c r="L41" i="14"/>
  <c r="H39" i="1" a="1"/>
  <c r="H39" i="1" s="1"/>
  <c r="Q83" i="14"/>
  <c r="L83" i="14"/>
  <c r="H81" i="1" a="1"/>
  <c r="H81" i="1" s="1"/>
  <c r="L24" i="14"/>
  <c r="Q24" i="14"/>
  <c r="H22" i="1" a="1"/>
  <c r="H22" i="1" s="1"/>
  <c r="L108" i="14"/>
  <c r="Q108" i="14"/>
  <c r="Q47" i="14"/>
  <c r="L47" i="14"/>
  <c r="P45" i="1" s="1" a="1"/>
  <c r="P45" i="1" s="1"/>
  <c r="H45" i="1" a="1"/>
  <c r="H45" i="1" s="1"/>
  <c r="L82" i="14"/>
  <c r="Q82" i="14"/>
  <c r="H80" i="1" a="1"/>
  <c r="H80" i="1" s="1"/>
  <c r="Q91" i="14"/>
  <c r="L91" i="14"/>
  <c r="H89" i="1" a="1"/>
  <c r="H89" i="1" s="1"/>
  <c r="L76" i="14"/>
  <c r="Q76" i="14"/>
  <c r="H74" i="1" a="1"/>
  <c r="H74" i="1" s="1"/>
  <c r="Q98" i="14"/>
  <c r="L98" i="14"/>
  <c r="H96" i="1" a="1"/>
  <c r="H96" i="1" s="1"/>
  <c r="L90" i="14"/>
  <c r="Q90" i="14"/>
  <c r="H88" i="1" a="1"/>
  <c r="H88" i="1" s="1"/>
  <c r="F157" i="14"/>
  <c r="F101" i="14"/>
  <c r="F140" i="14"/>
  <c r="F170" i="14"/>
  <c r="F92" i="14"/>
  <c r="F116" i="14"/>
  <c r="F163" i="14"/>
  <c r="F162" i="14"/>
  <c r="F156" i="14"/>
  <c r="F176" i="14"/>
  <c r="F175" i="14"/>
  <c r="F120" i="14"/>
  <c r="F145" i="14"/>
  <c r="F89" i="14"/>
  <c r="F169" i="14"/>
  <c r="F98" i="14"/>
  <c r="F113" i="14"/>
  <c r="F104" i="14"/>
  <c r="F168" i="14"/>
  <c r="F133" i="14"/>
  <c r="F110" i="14"/>
  <c r="F139" i="14"/>
  <c r="F127" i="14"/>
  <c r="F23" i="14"/>
  <c r="F58" i="14"/>
  <c r="F151" i="14"/>
  <c r="F124" i="14"/>
  <c r="F74" i="14"/>
  <c r="F29" i="14"/>
  <c r="F165" i="14"/>
  <c r="F99" i="14"/>
  <c r="F94" i="14"/>
  <c r="F63" i="14"/>
  <c r="F153" i="14"/>
  <c r="F19" i="14"/>
  <c r="F53" i="14"/>
  <c r="F66" i="14"/>
  <c r="F141" i="14"/>
  <c r="F107" i="14"/>
  <c r="F161" i="14"/>
  <c r="F32" i="14"/>
  <c r="F55" i="14"/>
  <c r="F105" i="14"/>
  <c r="F111" i="14"/>
  <c r="F138" i="14"/>
  <c r="F84" i="14"/>
  <c r="F172" i="14"/>
  <c r="F115" i="14"/>
  <c r="F56" i="14"/>
  <c r="F81" i="14"/>
  <c r="F65" i="14"/>
  <c r="F134" i="14"/>
  <c r="F64" i="14"/>
  <c r="F154" i="14"/>
  <c r="F108" i="14"/>
  <c r="F26" i="14"/>
  <c r="F106" i="14"/>
  <c r="F95" i="14"/>
  <c r="F68" i="14"/>
  <c r="F132" i="14"/>
  <c r="F109" i="14"/>
  <c r="F121" i="14"/>
  <c r="F24" i="14"/>
  <c r="F174" i="14"/>
  <c r="F25" i="14"/>
  <c r="F148" i="14"/>
  <c r="F173" i="14"/>
  <c r="F83" i="14"/>
  <c r="F126" i="14"/>
  <c r="F38" i="14"/>
  <c r="F167" i="14"/>
  <c r="F82" i="14"/>
  <c r="F136" i="14"/>
  <c r="F144" i="14"/>
  <c r="F46" i="14"/>
  <c r="F171" i="14"/>
  <c r="F16" i="14"/>
  <c r="F77" i="14"/>
  <c r="F80" i="14"/>
  <c r="F34" i="14"/>
  <c r="F73" i="14"/>
  <c r="F49" i="14"/>
  <c r="F122" i="14"/>
  <c r="F166" i="14"/>
  <c r="F42" i="14"/>
  <c r="F71" i="14"/>
  <c r="F76" i="14"/>
  <c r="F131" i="14"/>
  <c r="F62" i="14"/>
  <c r="F114" i="14"/>
  <c r="F112" i="14"/>
  <c r="F36" i="14"/>
  <c r="F18" i="14"/>
  <c r="F37" i="14"/>
  <c r="F160" i="14"/>
  <c r="F59" i="14"/>
  <c r="F100" i="14"/>
  <c r="F88" i="14"/>
  <c r="F20" i="14"/>
  <c r="F147" i="14"/>
  <c r="F150" i="14"/>
  <c r="F164" i="14"/>
  <c r="F129" i="14"/>
  <c r="F54" i="14"/>
  <c r="F85" i="14"/>
  <c r="F97" i="14"/>
  <c r="F142" i="14"/>
  <c r="F137" i="14"/>
  <c r="F33" i="14"/>
  <c r="F96" i="14"/>
  <c r="F93" i="14"/>
  <c r="F57" i="14"/>
  <c r="F21" i="14"/>
  <c r="F91" i="14"/>
  <c r="F125" i="14"/>
  <c r="F43" i="14"/>
  <c r="F102" i="14"/>
  <c r="F117" i="14"/>
  <c r="F72" i="14"/>
  <c r="F30" i="14"/>
  <c r="F52" i="14"/>
  <c r="F128" i="14"/>
  <c r="F103" i="14"/>
  <c r="F39" i="14"/>
  <c r="F27" i="14"/>
  <c r="F22" i="14"/>
  <c r="F146" i="14"/>
  <c r="F47" i="14"/>
  <c r="F17" i="14"/>
  <c r="F86" i="14"/>
  <c r="F118" i="14"/>
  <c r="F45" i="14"/>
  <c r="F87" i="14"/>
  <c r="F79" i="14"/>
  <c r="F48" i="14"/>
  <c r="F119" i="14"/>
  <c r="F35" i="14"/>
  <c r="F60" i="14"/>
  <c r="F67" i="14"/>
  <c r="F31" i="14"/>
  <c r="F155" i="14"/>
  <c r="F130" i="14"/>
  <c r="F70" i="14"/>
  <c r="F44" i="14"/>
  <c r="F149" i="14"/>
  <c r="F159" i="14"/>
  <c r="F61" i="14"/>
  <c r="F40" i="14"/>
  <c r="F123" i="14"/>
  <c r="F152" i="14"/>
  <c r="F75" i="14"/>
  <c r="F135" i="14"/>
  <c r="F28" i="14"/>
  <c r="F41" i="14"/>
  <c r="F50" i="14"/>
  <c r="F51" i="14"/>
  <c r="F78" i="14"/>
  <c r="F158" i="14"/>
  <c r="F69" i="14"/>
  <c r="F143" i="14"/>
  <c r="F90" i="14"/>
  <c r="L25" i="14"/>
  <c r="Q25" i="14"/>
  <c r="H23" i="1" a="1"/>
  <c r="H23" i="1" s="1"/>
  <c r="L96" i="14"/>
  <c r="P94" i="1" s="1" a="1"/>
  <c r="P94" i="1" s="1"/>
  <c r="Q96" i="14"/>
  <c r="Q94" i="1" s="1" a="1"/>
  <c r="Q94" i="1" s="1"/>
  <c r="H94" i="1" a="1"/>
  <c r="H94" i="1" s="1"/>
  <c r="L63" i="14"/>
  <c r="Q63" i="14"/>
  <c r="H61" i="1" a="1"/>
  <c r="H61" i="1" s="1"/>
  <c r="Q59" i="14"/>
  <c r="L59" i="14"/>
  <c r="H57" i="1" a="1"/>
  <c r="H57" i="1" s="1"/>
  <c r="L78" i="14"/>
  <c r="Q78" i="14"/>
  <c r="Q76" i="1" s="1" a="1"/>
  <c r="Q76" i="1" s="1"/>
  <c r="H76" i="1" a="1"/>
  <c r="H76" i="1" s="1"/>
  <c r="L27" i="14"/>
  <c r="Q27" i="14"/>
  <c r="H25" i="1" a="1"/>
  <c r="H25" i="1" s="1"/>
  <c r="L64" i="14"/>
  <c r="Q64" i="14"/>
  <c r="H62" i="1" a="1"/>
  <c r="H62" i="1" s="1"/>
  <c r="L51" i="14"/>
  <c r="Q51" i="14"/>
  <c r="H49" i="1" a="1"/>
  <c r="H49" i="1" s="1"/>
  <c r="Q94" i="14"/>
  <c r="Q92" i="1" s="1" a="1"/>
  <c r="Q92" i="1" s="1"/>
  <c r="L94" i="14"/>
  <c r="P92" i="1" s="1" a="1"/>
  <c r="P92" i="1" s="1"/>
  <c r="H92" i="1" a="1"/>
  <c r="H92" i="1" s="1"/>
  <c r="Q71" i="14"/>
  <c r="Q69" i="1" s="1" a="1"/>
  <c r="Q69" i="1" s="1"/>
  <c r="L71" i="14"/>
  <c r="P69" i="1" s="1" a="1"/>
  <c r="P69" i="1" s="1"/>
  <c r="H69" i="1" a="1"/>
  <c r="H69" i="1" s="1"/>
  <c r="Q67" i="14"/>
  <c r="L67" i="14"/>
  <c r="H65" i="1" a="1"/>
  <c r="H65" i="1" s="1"/>
  <c r="Q54" i="1" l="1" a="1"/>
  <c r="Q54" i="1" s="1"/>
  <c r="P62" i="1" a="1"/>
  <c r="P62" i="1" s="1"/>
  <c r="P59" i="1" a="1"/>
  <c r="P59" i="1" s="1"/>
  <c r="Q59" i="1" a="1"/>
  <c r="Q59" i="1" s="1"/>
  <c r="Q42" i="1" a="1"/>
  <c r="Q42" i="1" s="1"/>
  <c r="P82" i="1" a="1"/>
  <c r="P82" i="1" s="1"/>
  <c r="Q58" i="1" a="1"/>
  <c r="Q58" i="1" s="1"/>
  <c r="Q62" i="1" a="1"/>
  <c r="Q62" i="1" s="1"/>
  <c r="P42" i="1" a="1"/>
  <c r="P42" i="1" s="1"/>
  <c r="Q70" i="1" a="1"/>
  <c r="Q70" i="1" s="1"/>
  <c r="L7" i="14"/>
  <c r="P89" i="1" a="1"/>
  <c r="P89" i="1" s="1"/>
  <c r="Q44" i="1" a="1"/>
  <c r="Q44" i="1" s="1"/>
  <c r="P66" i="1" a="1"/>
  <c r="P66" i="1" s="1"/>
  <c r="Q66" i="1" a="1"/>
  <c r="Q66" i="1" s="1"/>
  <c r="Q102" i="1" a="1"/>
  <c r="Q102" i="1" s="1"/>
  <c r="P18" i="1" a="1"/>
  <c r="P18" i="1" s="1"/>
  <c r="L11" i="14"/>
  <c r="P22" i="1" a="1"/>
  <c r="P22" i="1" s="1"/>
  <c r="Q22" i="1" a="1"/>
  <c r="Q22" i="1" s="1"/>
  <c r="P65" i="1" a="1"/>
  <c r="P65" i="1" s="1"/>
  <c r="P107" i="1" a="1"/>
  <c r="P107" i="1" s="1"/>
  <c r="P34" i="1" a="1"/>
  <c r="P34" i="1" s="1"/>
  <c r="Q50" i="1" a="1"/>
  <c r="Q50" i="1" s="1"/>
  <c r="P70" i="1" a="1"/>
  <c r="P70" i="1" s="1"/>
  <c r="Q9" i="14"/>
  <c r="Q10" i="14"/>
  <c r="Q12" i="14"/>
  <c r="Q89" i="1" a="1"/>
  <c r="Q89" i="1" s="1"/>
  <c r="Q60" i="1" a="1"/>
  <c r="Q60" i="1" s="1"/>
  <c r="L13" i="14"/>
  <c r="Q13" i="14"/>
  <c r="Q7" i="14"/>
  <c r="Q11" i="14"/>
  <c r="Q8" i="14"/>
  <c r="H9" i="1" a="1"/>
  <c r="H9" i="1" s="1"/>
  <c r="H10" i="1" a="1"/>
  <c r="H10" i="1" s="1"/>
  <c r="L12" i="14"/>
  <c r="Q86" i="1" a="1"/>
  <c r="Q86" i="1" s="1"/>
  <c r="L10" i="14"/>
  <c r="P9" i="1" s="1" a="1"/>
  <c r="P9" i="1" s="1"/>
  <c r="Q99" i="1" a="1"/>
  <c r="Q99" i="1" s="1"/>
  <c r="Q82" i="1" a="1"/>
  <c r="Q82" i="1" s="1"/>
  <c r="L8" i="14"/>
  <c r="P6" i="1" s="1" a="1"/>
  <c r="P6" i="1" s="1"/>
  <c r="P76" i="1" a="1"/>
  <c r="P76" i="1" s="1"/>
  <c r="L9" i="14"/>
  <c r="P8" i="1" s="1" a="1"/>
  <c r="P8" i="1" s="1"/>
  <c r="R75" i="1" a="1"/>
  <c r="R75" i="1" s="1"/>
  <c r="R85" i="1" a="1"/>
  <c r="R85" i="1" s="1"/>
  <c r="H5" i="1" a="1"/>
  <c r="H5" i="1" s="1"/>
  <c r="S75" i="1" a="1"/>
  <c r="S75" i="1" s="1"/>
  <c r="S85" i="1" a="1"/>
  <c r="S85" i="1" s="1"/>
  <c r="H6" i="1" a="1"/>
  <c r="H6" i="1" s="1"/>
  <c r="P58" i="1" a="1"/>
  <c r="P58" i="1" s="1"/>
  <c r="P40" i="1" a="1"/>
  <c r="P40" i="1" s="1"/>
  <c r="P57" i="1" a="1"/>
  <c r="P57" i="1" s="1"/>
  <c r="Q65" i="1" a="1"/>
  <c r="Q65" i="1" s="1"/>
  <c r="Q6" i="14"/>
  <c r="L6" i="14"/>
  <c r="Q90" i="1" a="1"/>
  <c r="Q90" i="1" s="1"/>
  <c r="P99" i="1" a="1"/>
  <c r="P99" i="1" s="1"/>
  <c r="Q88" i="1" a="1"/>
  <c r="Q88" i="1" s="1"/>
  <c r="P88" i="1" a="1"/>
  <c r="P88" i="1" s="1"/>
  <c r="Q84" i="1" a="1"/>
  <c r="Q84" i="1" s="1"/>
  <c r="Q6" i="1" a="1"/>
  <c r="Q6" i="1" s="1"/>
  <c r="P39" i="1" a="1"/>
  <c r="P39" i="1" s="1"/>
  <c r="P46" i="1" a="1"/>
  <c r="P46" i="1" s="1"/>
  <c r="Q46" i="1" a="1"/>
  <c r="Q46" i="1" s="1"/>
  <c r="Q107" i="1" a="1"/>
  <c r="Q107" i="1" s="1"/>
  <c r="P20" i="1" a="1"/>
  <c r="P20" i="1" s="1"/>
  <c r="Q20" i="1" a="1"/>
  <c r="Q20" i="1" s="1"/>
  <c r="P44" i="1" a="1"/>
  <c r="P44" i="1" s="1"/>
  <c r="G178" i="14"/>
  <c r="G177" i="14"/>
  <c r="Q28" i="1" a="1"/>
  <c r="Q28" i="1" s="1"/>
  <c r="Q39" i="1" a="1"/>
  <c r="Q39" i="1" s="1"/>
  <c r="P24" i="1" a="1"/>
  <c r="P24" i="1" s="1"/>
  <c r="P50" i="1" a="1"/>
  <c r="P50" i="1" s="1"/>
  <c r="P28" i="1" a="1"/>
  <c r="P28" i="1" s="1"/>
  <c r="P102" i="1" a="1"/>
  <c r="P102" i="1" s="1"/>
  <c r="Q10" i="1" a="1"/>
  <c r="Q10" i="1" s="1"/>
  <c r="P10" i="1" a="1"/>
  <c r="P10" i="1" s="1"/>
  <c r="P81" i="1" a="1"/>
  <c r="P81" i="1" s="1"/>
  <c r="P61" i="1" a="1"/>
  <c r="P61" i="1" s="1"/>
  <c r="Q23" i="1" a="1"/>
  <c r="Q23" i="1" s="1"/>
  <c r="Q55" i="1" a="1"/>
  <c r="Q55" i="1" s="1"/>
  <c r="Q81" i="1" a="1"/>
  <c r="Q81" i="1" s="1"/>
  <c r="Q74" i="1" a="1"/>
  <c r="Q74" i="1" s="1"/>
  <c r="Q47" i="1" a="1"/>
  <c r="Q47" i="1" s="1"/>
  <c r="P33" i="1" a="1"/>
  <c r="P33" i="1" s="1"/>
  <c r="Q73" i="1" a="1"/>
  <c r="Q73" i="1" s="1"/>
  <c r="P73" i="1" a="1"/>
  <c r="P73" i="1" s="1"/>
  <c r="Q57" i="1" a="1"/>
  <c r="Q57" i="1" s="1"/>
  <c r="Q61" i="1" a="1"/>
  <c r="Q61" i="1" s="1"/>
  <c r="Q56" i="1" a="1"/>
  <c r="Q56" i="1" s="1"/>
  <c r="Q95" i="1" a="1"/>
  <c r="Q95" i="1" s="1"/>
  <c r="Q35" i="1" a="1"/>
  <c r="Q35" i="1" s="1"/>
  <c r="Q36" i="1" a="1"/>
  <c r="Q36" i="1" s="1"/>
  <c r="Q96" i="1" a="1"/>
  <c r="Q96" i="1" s="1"/>
  <c r="Q49" i="1" a="1"/>
  <c r="Q49" i="1" s="1"/>
  <c r="Q93" i="1" a="1"/>
  <c r="Q93" i="1" s="1"/>
  <c r="Q32" i="1" a="1"/>
  <c r="Q32" i="1" s="1"/>
  <c r="Q25" i="1" a="1"/>
  <c r="Q25" i="1" s="1"/>
  <c r="Q33" i="1" a="1"/>
  <c r="Q33" i="1" s="1"/>
  <c r="P77" i="1" a="1"/>
  <c r="P77" i="1" s="1"/>
  <c r="P90" i="1" a="1"/>
  <c r="P90" i="1" s="1"/>
  <c r="P36" i="1" a="1"/>
  <c r="P36" i="1" s="1"/>
  <c r="P35" i="1" a="1"/>
  <c r="P35" i="1" s="1"/>
  <c r="P95" i="1" a="1"/>
  <c r="P95" i="1" s="1"/>
  <c r="P23" i="1" a="1"/>
  <c r="P23" i="1" s="1"/>
  <c r="P96" i="1" a="1"/>
  <c r="P96" i="1" s="1"/>
  <c r="P53" i="1" a="1"/>
  <c r="P53" i="1" s="1"/>
  <c r="P49" i="1" a="1"/>
  <c r="P49" i="1" s="1"/>
  <c r="P52" i="1" a="1"/>
  <c r="P52" i="1" s="1"/>
  <c r="P78" i="1" a="1"/>
  <c r="P78" i="1" s="1"/>
  <c r="P54" i="1" a="1"/>
  <c r="P54" i="1" s="1"/>
  <c r="P47" i="1" a="1"/>
  <c r="P47" i="1" s="1"/>
  <c r="P32" i="1" a="1"/>
  <c r="P32" i="1" s="1"/>
  <c r="P103" i="1" a="1"/>
  <c r="P103" i="1" s="1"/>
  <c r="P25" i="1" a="1"/>
  <c r="P25" i="1" s="1"/>
  <c r="P41" i="1" a="1"/>
  <c r="P41" i="1" s="1"/>
  <c r="Q41" i="1" a="1"/>
  <c r="Q41" i="1" s="1"/>
  <c r="P83" i="1" a="1"/>
  <c r="P83" i="1" s="1"/>
  <c r="Q24" i="1" a="1"/>
  <c r="Q24" i="1" s="1"/>
  <c r="Q77" i="1" a="1"/>
  <c r="Q77" i="1" s="1"/>
  <c r="P26" i="1" a="1"/>
  <c r="P26" i="1" s="1"/>
  <c r="Q83" i="1" a="1"/>
  <c r="Q83" i="1" s="1"/>
  <c r="P104" i="1" a="1"/>
  <c r="P104" i="1" s="1"/>
  <c r="Q18" i="1" a="1"/>
  <c r="Q18" i="1" s="1"/>
  <c r="Q26" i="1" a="1"/>
  <c r="Q26" i="1" s="1"/>
  <c r="P38" i="1" a="1"/>
  <c r="P38" i="1" s="1"/>
  <c r="Q104" i="1" a="1"/>
  <c r="Q104" i="1" s="1"/>
  <c r="P21" i="1" a="1"/>
  <c r="P21" i="1" s="1"/>
  <c r="Q38" i="1" a="1"/>
  <c r="Q38" i="1" s="1"/>
  <c r="P72" i="1" a="1"/>
  <c r="P72" i="1" s="1"/>
  <c r="P63" i="1" a="1"/>
  <c r="P63" i="1" s="1"/>
  <c r="P56" i="1" a="1"/>
  <c r="P56" i="1" s="1"/>
  <c r="Q21" i="1" a="1"/>
  <c r="Q21" i="1" s="1"/>
  <c r="Q72" i="1" a="1"/>
  <c r="Q72" i="1" s="1"/>
  <c r="Q63" i="1" a="1"/>
  <c r="Q63" i="1" s="1"/>
  <c r="P87" i="1" a="1"/>
  <c r="P87" i="1" s="1"/>
  <c r="Q40" i="1" a="1"/>
  <c r="Q40" i="1" s="1"/>
  <c r="Q87" i="1" a="1"/>
  <c r="Q87" i="1" s="1"/>
  <c r="Q19" i="1" a="1"/>
  <c r="Q19" i="1" s="1"/>
  <c r="Q64" i="1" a="1"/>
  <c r="Q64" i="1" s="1"/>
  <c r="P19" i="1" a="1"/>
  <c r="P19" i="1" s="1"/>
  <c r="Q67" i="1" a="1"/>
  <c r="Q67" i="1" s="1"/>
  <c r="P64" i="1" a="1"/>
  <c r="P64" i="1" s="1"/>
  <c r="P67" i="1" a="1"/>
  <c r="P67" i="1" s="1"/>
  <c r="P27" i="1" a="1"/>
  <c r="P27" i="1" s="1"/>
  <c r="P5" i="1" a="1"/>
  <c r="P5" i="1" s="1"/>
  <c r="P43" i="1" a="1"/>
  <c r="P43" i="1" s="1"/>
  <c r="Q27" i="1" a="1"/>
  <c r="Q27" i="1" s="1"/>
  <c r="P7" i="1" a="1"/>
  <c r="P7" i="1" s="1"/>
  <c r="Q31" i="1" a="1"/>
  <c r="Q31" i="1" s="1"/>
  <c r="Q16" i="1" a="1"/>
  <c r="Q16" i="1" s="1"/>
  <c r="Q53" i="1" a="1"/>
  <c r="Q53" i="1" s="1"/>
  <c r="P17" i="1" a="1"/>
  <c r="P17" i="1" s="1"/>
  <c r="P51" i="1" a="1"/>
  <c r="P51" i="1" s="1"/>
  <c r="P31" i="1" a="1"/>
  <c r="P31" i="1" s="1"/>
  <c r="Q100" i="1" a="1"/>
  <c r="Q100" i="1" s="1"/>
  <c r="P75" i="1" a="1"/>
  <c r="P75" i="1" s="1"/>
  <c r="P16" i="1" a="1"/>
  <c r="P16" i="1" s="1"/>
  <c r="P101" i="1" a="1"/>
  <c r="P101" i="1" s="1"/>
  <c r="P15" i="1" a="1"/>
  <c r="P15" i="1" s="1"/>
  <c r="Q17" i="1" a="1"/>
  <c r="Q17" i="1" s="1"/>
  <c r="Q51" i="1" a="1"/>
  <c r="Q51" i="1" s="1"/>
  <c r="P74" i="1" a="1"/>
  <c r="P74" i="1" s="1"/>
  <c r="P100" i="1" a="1"/>
  <c r="P100" i="1" s="1"/>
  <c r="Q75" i="1" a="1"/>
  <c r="Q75" i="1" s="1"/>
  <c r="P71" i="1" a="1"/>
  <c r="P71" i="1" s="1"/>
  <c r="Q101" i="1" a="1"/>
  <c r="Q101" i="1" s="1"/>
  <c r="Q15" i="1" a="1"/>
  <c r="Q15" i="1" s="1"/>
  <c r="Q79" i="1" a="1"/>
  <c r="Q79" i="1" s="1"/>
  <c r="Q71" i="1" a="1"/>
  <c r="Q71" i="1" s="1"/>
  <c r="P68" i="1" a="1"/>
  <c r="P68" i="1" s="1"/>
  <c r="P79" i="1" a="1"/>
  <c r="P79" i="1" s="1"/>
  <c r="Q52" i="1" a="1"/>
  <c r="Q52" i="1" s="1"/>
  <c r="Q68" i="1" a="1"/>
  <c r="Q68" i="1" s="1"/>
  <c r="P93" i="1" a="1"/>
  <c r="P93" i="1" s="1"/>
  <c r="P55" i="1" a="1"/>
  <c r="P55" i="1" s="1"/>
  <c r="Q97" i="1" a="1"/>
  <c r="Q97" i="1" s="1"/>
  <c r="P48" i="1" a="1"/>
  <c r="P48" i="1" s="1"/>
  <c r="P97" i="1" a="1"/>
  <c r="P97" i="1" s="1"/>
  <c r="Q78" i="1" a="1"/>
  <c r="Q78" i="1" s="1"/>
  <c r="P60" i="1" a="1"/>
  <c r="P60" i="1" s="1"/>
  <c r="P30" i="1" a="1"/>
  <c r="P30" i="1" s="1"/>
  <c r="Q103" i="1" a="1"/>
  <c r="Q103" i="1" s="1"/>
  <c r="Q48" i="1" a="1"/>
  <c r="Q48" i="1" s="1"/>
  <c r="Q91" i="1" a="1"/>
  <c r="Q91" i="1" s="1"/>
  <c r="P91" i="1" a="1"/>
  <c r="P91" i="1" s="1"/>
  <c r="Q85" i="1" a="1"/>
  <c r="Q85" i="1" s="1"/>
  <c r="P80" i="1" a="1"/>
  <c r="P80" i="1" s="1"/>
  <c r="Q30" i="1" a="1"/>
  <c r="Q30" i="1" s="1"/>
  <c r="L15" i="14"/>
  <c r="P14" i="1" s="1" a="1"/>
  <c r="P14" i="1" s="1"/>
  <c r="F15" i="14"/>
  <c r="F14" i="14" s="1"/>
  <c r="F13" i="14" s="1"/>
  <c r="F12" i="14" s="1"/>
  <c r="F11" i="14" s="1"/>
  <c r="F10" i="14" s="1"/>
  <c r="F9" i="14" s="1"/>
  <c r="F8" i="14" s="1"/>
  <c r="F7" i="14" s="1"/>
  <c r="F6" i="14" s="1"/>
  <c r="I19" i="16" s="1"/>
  <c r="Q37" i="1" a="1"/>
  <c r="Q37" i="1" s="1"/>
  <c r="P85" i="1" a="1"/>
  <c r="P85" i="1" s="1"/>
  <c r="Q5" i="1" a="1"/>
  <c r="Q5" i="1" s="1"/>
  <c r="Q34" i="1" a="1"/>
  <c r="Q34" i="1" s="1"/>
  <c r="Q15" i="14"/>
  <c r="Q14" i="1" s="1" a="1"/>
  <c r="Q14" i="1" s="1"/>
  <c r="P37" i="1" a="1"/>
  <c r="P37" i="1" s="1"/>
  <c r="P29" i="1" a="1"/>
  <c r="P29" i="1" s="1"/>
  <c r="Q80" i="1" a="1"/>
  <c r="Q80" i="1" s="1"/>
  <c r="Q45" i="1" a="1"/>
  <c r="Q45" i="1" s="1"/>
  <c r="Q7" i="1" a="1"/>
  <c r="Q7" i="1" s="1"/>
  <c r="Q29" i="1" a="1"/>
  <c r="Q29" i="1" s="1"/>
  <c r="P44" i="14"/>
  <c r="K44" i="14"/>
  <c r="F42" i="1" a="1"/>
  <c r="F42" i="1" s="1"/>
  <c r="P52" i="14"/>
  <c r="K52" i="14"/>
  <c r="F50" i="1" a="1"/>
  <c r="F50" i="1" s="1"/>
  <c r="P100" i="14"/>
  <c r="K100" i="14"/>
  <c r="P81" i="14"/>
  <c r="K81" i="14"/>
  <c r="F79" i="1" a="1"/>
  <c r="F79" i="1" s="1"/>
  <c r="A186" i="13"/>
  <c r="B185" i="13"/>
  <c r="C185" i="13"/>
  <c r="P28" i="14"/>
  <c r="K28" i="14"/>
  <c r="F26" i="1" a="1"/>
  <c r="F26" i="1" s="1"/>
  <c r="P17" i="14"/>
  <c r="K17" i="14"/>
  <c r="F15" i="1" a="1"/>
  <c r="F15" i="1" s="1"/>
  <c r="P97" i="14"/>
  <c r="K97" i="14"/>
  <c r="F95" i="1" a="1"/>
  <c r="F95" i="1" s="1"/>
  <c r="P49" i="14"/>
  <c r="K49" i="14"/>
  <c r="F47" i="1" a="1"/>
  <c r="F47" i="1" s="1"/>
  <c r="P68" i="14"/>
  <c r="K68" i="14"/>
  <c r="F66" i="1" a="1"/>
  <c r="F66" i="1" s="1"/>
  <c r="P19" i="14"/>
  <c r="K19" i="14"/>
  <c r="F17" i="1" a="1"/>
  <c r="F17" i="1" s="1"/>
  <c r="P70" i="14"/>
  <c r="K70" i="14"/>
  <c r="F68" i="1" a="1"/>
  <c r="F68" i="1" s="1"/>
  <c r="P30" i="14"/>
  <c r="K30" i="14"/>
  <c r="F28" i="1" a="1"/>
  <c r="F28" i="1" s="1"/>
  <c r="P59" i="14"/>
  <c r="K59" i="14"/>
  <c r="F57" i="1" a="1"/>
  <c r="F57" i="1" s="1"/>
  <c r="P56" i="14"/>
  <c r="K56" i="14"/>
  <c r="F54" i="1" a="1"/>
  <c r="F54" i="1" s="1"/>
  <c r="P61" i="14"/>
  <c r="K61" i="14"/>
  <c r="F59" i="1" a="1"/>
  <c r="F59" i="1" s="1"/>
  <c r="P39" i="14"/>
  <c r="K39" i="14"/>
  <c r="F37" i="1" a="1"/>
  <c r="F37" i="1" s="1"/>
  <c r="K64" i="14"/>
  <c r="P64" i="14"/>
  <c r="F62" i="1" a="1"/>
  <c r="F62" i="1" s="1"/>
  <c r="P72" i="14"/>
  <c r="K72" i="14"/>
  <c r="F70" i="1" a="1"/>
  <c r="F70" i="1" s="1"/>
  <c r="K82" i="14"/>
  <c r="P82" i="14"/>
  <c r="F80" i="1" a="1"/>
  <c r="F80" i="1" s="1"/>
  <c r="P115" i="14"/>
  <c r="K115" i="14"/>
  <c r="P58" i="14"/>
  <c r="K58" i="14"/>
  <c r="F56" i="1" a="1"/>
  <c r="F56" i="1" s="1"/>
  <c r="K101" i="14"/>
  <c r="P101" i="14"/>
  <c r="P103" i="14"/>
  <c r="K103" i="14"/>
  <c r="K37" i="14"/>
  <c r="P37" i="14"/>
  <c r="F35" i="1" a="1"/>
  <c r="F35" i="1" s="1"/>
  <c r="K23" i="14"/>
  <c r="P23" i="14"/>
  <c r="F21" i="1" a="1"/>
  <c r="F21" i="1" s="1"/>
  <c r="P31" i="14"/>
  <c r="K31" i="14"/>
  <c r="F29" i="1" a="1"/>
  <c r="F29" i="1" s="1"/>
  <c r="K102" i="14"/>
  <c r="P102" i="14"/>
  <c r="P18" i="14"/>
  <c r="K18" i="14"/>
  <c r="F16" i="1" a="1"/>
  <c r="F16" i="1" s="1"/>
  <c r="P38" i="14"/>
  <c r="K38" i="14"/>
  <c r="F36" i="1" a="1"/>
  <c r="F36" i="1" s="1"/>
  <c r="P84" i="14"/>
  <c r="K84" i="14"/>
  <c r="F82" i="1" a="1"/>
  <c r="F82" i="1" s="1"/>
  <c r="P20" i="14"/>
  <c r="K20" i="14"/>
  <c r="F18" i="1" a="1"/>
  <c r="F18" i="1" s="1"/>
  <c r="P29" i="14"/>
  <c r="K29" i="14"/>
  <c r="F27" i="1" a="1"/>
  <c r="F27" i="1" s="1"/>
  <c r="P116" i="14"/>
  <c r="K116" i="14"/>
  <c r="P67" i="14"/>
  <c r="K67" i="14"/>
  <c r="F65" i="1" a="1"/>
  <c r="F65" i="1" s="1"/>
  <c r="K43" i="14"/>
  <c r="P43" i="14"/>
  <c r="F41" i="1" a="1"/>
  <c r="F41" i="1" s="1"/>
  <c r="P36" i="14"/>
  <c r="K36" i="14"/>
  <c r="F34" i="1" a="1"/>
  <c r="F34" i="1" s="1"/>
  <c r="P60" i="14"/>
  <c r="K60" i="14"/>
  <c r="F58" i="1" a="1"/>
  <c r="F58" i="1" s="1"/>
  <c r="K112" i="14"/>
  <c r="P112" i="14"/>
  <c r="P83" i="14"/>
  <c r="K83" i="14"/>
  <c r="F81" i="1" a="1"/>
  <c r="F81" i="1" s="1"/>
  <c r="K111" i="14"/>
  <c r="P111" i="14"/>
  <c r="P110" i="14"/>
  <c r="K110" i="14"/>
  <c r="P90" i="14"/>
  <c r="K90" i="14"/>
  <c r="F88" i="1" a="1"/>
  <c r="F88" i="1" s="1"/>
  <c r="P35" i="14"/>
  <c r="K35" i="14"/>
  <c r="F33" i="1" a="1"/>
  <c r="F33" i="1" s="1"/>
  <c r="P91" i="14"/>
  <c r="K91" i="14"/>
  <c r="F89" i="1" a="1"/>
  <c r="F89" i="1" s="1"/>
  <c r="K114" i="14"/>
  <c r="P114" i="14"/>
  <c r="K105" i="14"/>
  <c r="P105" i="14"/>
  <c r="P48" i="14"/>
  <c r="K48" i="14"/>
  <c r="F46" i="1" a="1"/>
  <c r="F46" i="1" s="1"/>
  <c r="K57" i="14"/>
  <c r="P57" i="14"/>
  <c r="F55" i="1" a="1"/>
  <c r="F55" i="1" s="1"/>
  <c r="P25" i="14"/>
  <c r="K25" i="14"/>
  <c r="F23" i="1" a="1"/>
  <c r="F23" i="1" s="1"/>
  <c r="P104" i="14"/>
  <c r="K104" i="14"/>
  <c r="P21" i="14"/>
  <c r="K21" i="14"/>
  <c r="F19" i="1" a="1"/>
  <c r="F19" i="1" s="1"/>
  <c r="K62" i="14"/>
  <c r="P62" i="14"/>
  <c r="F60" i="1" a="1"/>
  <c r="F60" i="1" s="1"/>
  <c r="P55" i="14"/>
  <c r="K55" i="14"/>
  <c r="F53" i="1" a="1"/>
  <c r="F53" i="1" s="1"/>
  <c r="K69" i="14"/>
  <c r="P69" i="14"/>
  <c r="F67" i="1" a="1"/>
  <c r="F67" i="1" s="1"/>
  <c r="P32" i="14"/>
  <c r="K32" i="14"/>
  <c r="F30" i="1" a="1"/>
  <c r="F30" i="1" s="1"/>
  <c r="P78" i="14"/>
  <c r="K78" i="14"/>
  <c r="F76" i="1" a="1"/>
  <c r="F76" i="1" s="1"/>
  <c r="P87" i="14"/>
  <c r="K87" i="14"/>
  <c r="F85" i="1" a="1"/>
  <c r="F85" i="1" s="1"/>
  <c r="P96" i="14"/>
  <c r="K96" i="14"/>
  <c r="F94" i="1" a="1"/>
  <c r="F94" i="1" s="1"/>
  <c r="P71" i="14"/>
  <c r="K71" i="14"/>
  <c r="F69" i="1" a="1"/>
  <c r="F69" i="1" s="1"/>
  <c r="K24" i="14"/>
  <c r="P24" i="14"/>
  <c r="F22" i="1" a="1"/>
  <c r="F22" i="1" s="1"/>
  <c r="P107" i="14"/>
  <c r="K107" i="14"/>
  <c r="K98" i="14"/>
  <c r="P98" i="14"/>
  <c r="F96" i="1" a="1"/>
  <c r="F96" i="1" s="1"/>
  <c r="P51" i="14"/>
  <c r="K51" i="14"/>
  <c r="F49" i="1" a="1"/>
  <c r="F49" i="1" s="1"/>
  <c r="K45" i="14"/>
  <c r="P45" i="14"/>
  <c r="F43" i="1" a="1"/>
  <c r="F43" i="1" s="1"/>
  <c r="K33" i="14"/>
  <c r="P33" i="14"/>
  <c r="F31" i="1" a="1"/>
  <c r="F31" i="1" s="1"/>
  <c r="P42" i="14"/>
  <c r="K42" i="14"/>
  <c r="F40" i="1" a="1"/>
  <c r="F40" i="1" s="1"/>
  <c r="P79" i="14"/>
  <c r="K79" i="14"/>
  <c r="F77" i="1" a="1"/>
  <c r="F77" i="1" s="1"/>
  <c r="K93" i="14"/>
  <c r="P93" i="14"/>
  <c r="F91" i="1" a="1"/>
  <c r="F91" i="1" s="1"/>
  <c r="P76" i="14"/>
  <c r="K76" i="14"/>
  <c r="F74" i="1" a="1"/>
  <c r="F74" i="1" s="1"/>
  <c r="P113" i="14"/>
  <c r="K113" i="14"/>
  <c r="L176" i="9"/>
  <c r="F178" i="14" s="1"/>
  <c r="K117" i="14" s="1"/>
  <c r="P50" i="14"/>
  <c r="K50" i="14"/>
  <c r="F48" i="1" a="1"/>
  <c r="F48" i="1" s="1"/>
  <c r="K109" i="14"/>
  <c r="P109" i="14"/>
  <c r="P66" i="14"/>
  <c r="K66" i="14"/>
  <c r="F64" i="1" a="1"/>
  <c r="F64" i="1" s="1"/>
  <c r="P89" i="14"/>
  <c r="K89" i="14"/>
  <c r="F87" i="1" a="1"/>
  <c r="F87" i="1" s="1"/>
  <c r="P41" i="14"/>
  <c r="K41" i="14"/>
  <c r="F39" i="1" a="1"/>
  <c r="F39" i="1" s="1"/>
  <c r="P86" i="14"/>
  <c r="K86" i="14"/>
  <c r="F84" i="1" a="1"/>
  <c r="F84" i="1" s="1"/>
  <c r="P53" i="14"/>
  <c r="K53" i="14"/>
  <c r="F51" i="1" a="1"/>
  <c r="F51" i="1" s="1"/>
  <c r="P47" i="14"/>
  <c r="K47" i="14"/>
  <c r="F45" i="1" a="1"/>
  <c r="F45" i="1" s="1"/>
  <c r="P85" i="14"/>
  <c r="K85" i="14"/>
  <c r="F83" i="1" a="1"/>
  <c r="F83" i="1" s="1"/>
  <c r="P73" i="14"/>
  <c r="K73" i="14"/>
  <c r="F71" i="1" a="1"/>
  <c r="F71" i="1" s="1"/>
  <c r="P95" i="14"/>
  <c r="K95" i="14"/>
  <c r="F93" i="1" a="1"/>
  <c r="F93" i="1" s="1"/>
  <c r="K75" i="14"/>
  <c r="P75" i="14"/>
  <c r="F73" i="1" a="1"/>
  <c r="F73" i="1" s="1"/>
  <c r="P54" i="14"/>
  <c r="K54" i="14"/>
  <c r="F52" i="1" a="1"/>
  <c r="F52" i="1" s="1"/>
  <c r="P34" i="14"/>
  <c r="K34" i="14"/>
  <c r="F32" i="1" a="1"/>
  <c r="F32" i="1" s="1"/>
  <c r="P106" i="14"/>
  <c r="K106" i="14"/>
  <c r="P63" i="14"/>
  <c r="K63" i="14"/>
  <c r="F61" i="1" a="1"/>
  <c r="F61" i="1" s="1"/>
  <c r="P80" i="14"/>
  <c r="K80" i="14"/>
  <c r="F78" i="1" a="1"/>
  <c r="F78" i="1" s="1"/>
  <c r="P26" i="14"/>
  <c r="K26" i="14"/>
  <c r="F24" i="1" a="1"/>
  <c r="F24" i="1" s="1"/>
  <c r="K94" i="14"/>
  <c r="P94" i="14"/>
  <c r="F92" i="1" a="1"/>
  <c r="F92" i="1" s="1"/>
  <c r="P22" i="14"/>
  <c r="K22" i="14"/>
  <c r="F20" i="1" a="1"/>
  <c r="F20" i="1" s="1"/>
  <c r="P77" i="14"/>
  <c r="K77" i="14"/>
  <c r="F75" i="1" a="1"/>
  <c r="F75" i="1" s="1"/>
  <c r="K108" i="14"/>
  <c r="P108" i="14"/>
  <c r="P40" i="14"/>
  <c r="K40" i="14"/>
  <c r="F38" i="1" a="1"/>
  <c r="F38" i="1" s="1"/>
  <c r="P27" i="14"/>
  <c r="K27" i="14"/>
  <c r="F25" i="1" a="1"/>
  <c r="F25" i="1" s="1"/>
  <c r="P16" i="14"/>
  <c r="K16" i="14"/>
  <c r="K99" i="14"/>
  <c r="P99" i="14"/>
  <c r="P88" i="14"/>
  <c r="K88" i="14"/>
  <c r="F86" i="1" a="1"/>
  <c r="F86" i="1" s="1"/>
  <c r="P46" i="14"/>
  <c r="K46" i="14"/>
  <c r="F44" i="1" a="1"/>
  <c r="F44" i="1" s="1"/>
  <c r="P65" i="14"/>
  <c r="K65" i="14"/>
  <c r="F63" i="1" a="1"/>
  <c r="F63" i="1" s="1"/>
  <c r="P74" i="14"/>
  <c r="K74" i="14"/>
  <c r="F72" i="1" a="1"/>
  <c r="F72" i="1" s="1"/>
  <c r="P92" i="14"/>
  <c r="K92" i="14"/>
  <c r="F90" i="1" a="1"/>
  <c r="F90" i="1" s="1"/>
  <c r="Q8" i="1" l="1" a="1"/>
  <c r="Q8" i="1" s="1"/>
  <c r="P11" i="1" a="1"/>
  <c r="P11" i="1" s="1"/>
  <c r="Q9" i="1" a="1"/>
  <c r="Q9" i="1" s="1"/>
  <c r="M105" i="1" a="1"/>
  <c r="M105" i="1" s="1"/>
  <c r="Q11" i="1" a="1"/>
  <c r="Q11" i="1" s="1"/>
  <c r="L93" i="1" a="1"/>
  <c r="L93" i="1" s="1"/>
  <c r="L41" i="1" a="1"/>
  <c r="L41" i="1" s="1"/>
  <c r="L32" i="1" a="1"/>
  <c r="L32" i="1" s="1"/>
  <c r="M53" i="1" a="1"/>
  <c r="M53" i="1" s="1"/>
  <c r="F13" i="1" a="1"/>
  <c r="F13" i="1" s="1"/>
  <c r="M87" i="1" a="1"/>
  <c r="M87" i="1" s="1"/>
  <c r="L73" i="1" a="1"/>
  <c r="L73" i="1" s="1"/>
  <c r="L61" i="1" a="1"/>
  <c r="L61" i="1" s="1"/>
  <c r="F14" i="1" a="1"/>
  <c r="F14" i="1" s="1"/>
  <c r="M51" i="1" a="1"/>
  <c r="M51" i="1" s="1"/>
  <c r="M69" i="1" a="1"/>
  <c r="M69" i="1" s="1"/>
  <c r="M52" i="1" a="1"/>
  <c r="M52" i="1" s="1"/>
  <c r="L26" i="1" a="1"/>
  <c r="L26" i="1" s="1"/>
  <c r="L107" i="1" a="1"/>
  <c r="L107" i="1" s="1"/>
  <c r="M89" i="1" a="1"/>
  <c r="M89" i="1" s="1"/>
  <c r="Q117" i="14"/>
  <c r="Q106" i="1" s="1" a="1"/>
  <c r="Q106" i="1" s="1"/>
  <c r="L74" i="1" a="1"/>
  <c r="L74" i="1" s="1"/>
  <c r="M104" i="1" a="1"/>
  <c r="M104" i="1" s="1"/>
  <c r="L33" i="1" a="1"/>
  <c r="L33" i="1" s="1"/>
  <c r="M32" i="1" a="1"/>
  <c r="M32" i="1" s="1"/>
  <c r="M19" i="1" a="1"/>
  <c r="M19" i="1" s="1"/>
  <c r="L94" i="1" a="1"/>
  <c r="L94" i="1" s="1"/>
  <c r="P117" i="14"/>
  <c r="M39" i="1" a="1"/>
  <c r="M39" i="1" s="1"/>
  <c r="M94" i="1" a="1"/>
  <c r="M94" i="1" s="1"/>
  <c r="L116" i="14"/>
  <c r="P105" i="1" s="1" a="1"/>
  <c r="P105" i="1" s="1"/>
  <c r="L117" i="14"/>
  <c r="P106" i="1" s="1" a="1"/>
  <c r="P106" i="1" s="1"/>
  <c r="Q116" i="14"/>
  <c r="Q105" i="1" s="1" a="1"/>
  <c r="Q105" i="1" s="1"/>
  <c r="M60" i="1" a="1"/>
  <c r="M60" i="1" s="1"/>
  <c r="L91" i="1" a="1"/>
  <c r="L91" i="1" s="1"/>
  <c r="L42" i="1" a="1"/>
  <c r="L42" i="1" s="1"/>
  <c r="F8" i="1" a="1"/>
  <c r="F8" i="1" s="1"/>
  <c r="F6" i="1" a="1"/>
  <c r="F6" i="1" s="1"/>
  <c r="F7" i="1" a="1"/>
  <c r="F7" i="1" s="1"/>
  <c r="F10" i="1" a="1"/>
  <c r="F10" i="1" s="1"/>
  <c r="M107" i="1" a="1"/>
  <c r="M107" i="1" s="1"/>
  <c r="F9" i="1" a="1"/>
  <c r="F9" i="1" s="1"/>
  <c r="L49" i="1" a="1"/>
  <c r="L49" i="1" s="1"/>
  <c r="F11" i="1" a="1"/>
  <c r="F11" i="1" s="1"/>
  <c r="F5" i="1" a="1"/>
  <c r="F5" i="1" s="1"/>
  <c r="F12" i="1" a="1"/>
  <c r="F12" i="1" s="1"/>
  <c r="L25" i="1" a="1"/>
  <c r="L25" i="1" s="1"/>
  <c r="M55" i="1" a="1"/>
  <c r="M55" i="1" s="1"/>
  <c r="M103" i="1" a="1"/>
  <c r="M103" i="1" s="1"/>
  <c r="M17" i="1" a="1"/>
  <c r="M17" i="1" s="1"/>
  <c r="M62" i="1" a="1"/>
  <c r="M62" i="1" s="1"/>
  <c r="L99" i="1" a="1"/>
  <c r="L99" i="1" s="1"/>
  <c r="M92" i="1" a="1"/>
  <c r="M92" i="1" s="1"/>
  <c r="M86" i="1" a="1"/>
  <c r="M86" i="1" s="1"/>
  <c r="L86" i="1" a="1"/>
  <c r="L86" i="1" s="1"/>
  <c r="M49" i="1" a="1"/>
  <c r="M49" i="1" s="1"/>
  <c r="L29" i="1" a="1"/>
  <c r="L29" i="1" s="1"/>
  <c r="M106" i="1" a="1"/>
  <c r="M106" i="1" s="1"/>
  <c r="M59" i="1" a="1"/>
  <c r="M59" i="1" s="1"/>
  <c r="L85" i="1" a="1"/>
  <c r="L85" i="1" s="1"/>
  <c r="M18" i="1" a="1"/>
  <c r="M18" i="1" s="1"/>
  <c r="L71" i="1" a="1"/>
  <c r="L71" i="1" s="1"/>
  <c r="L104" i="1" a="1"/>
  <c r="L104" i="1" s="1"/>
  <c r="L19" i="1" a="1"/>
  <c r="L19" i="1" s="1"/>
  <c r="M20" i="1" a="1"/>
  <c r="M20" i="1" s="1"/>
  <c r="L18" i="1" a="1"/>
  <c r="L18" i="1" s="1"/>
  <c r="P14" i="14"/>
  <c r="M71" i="1" a="1"/>
  <c r="M71" i="1" s="1"/>
  <c r="M24" i="1" a="1"/>
  <c r="M24" i="1" s="1"/>
  <c r="K14" i="14"/>
  <c r="P10" i="14"/>
  <c r="M9" i="1" s="1" a="1"/>
  <c r="M9" i="1" s="1"/>
  <c r="P13" i="14"/>
  <c r="M12" i="1" s="1" a="1"/>
  <c r="M12" i="1" s="1"/>
  <c r="K13" i="14"/>
  <c r="L12" i="1" s="1" a="1"/>
  <c r="L12" i="1" s="1"/>
  <c r="P11" i="14"/>
  <c r="M10" i="1" s="1" a="1"/>
  <c r="M10" i="1" s="1"/>
  <c r="P12" i="14"/>
  <c r="M11" i="1" s="1" a="1"/>
  <c r="M11" i="1" s="1"/>
  <c r="M41" i="1" a="1"/>
  <c r="M41" i="1" s="1"/>
  <c r="P9" i="14"/>
  <c r="P15" i="14"/>
  <c r="L65" i="1" a="1"/>
  <c r="L65" i="1" s="1"/>
  <c r="L66" i="1" a="1"/>
  <c r="L66" i="1" s="1"/>
  <c r="K15" i="14"/>
  <c r="K6" i="14"/>
  <c r="P6" i="14"/>
  <c r="M27" i="1" a="1"/>
  <c r="M27" i="1" s="1"/>
  <c r="M64" i="1" a="1"/>
  <c r="M64" i="1" s="1"/>
  <c r="L92" i="1" a="1"/>
  <c r="L92" i="1" s="1"/>
  <c r="M93" i="1" a="1"/>
  <c r="M93" i="1" s="1"/>
  <c r="K12" i="14"/>
  <c r="L11" i="1" s="1" a="1"/>
  <c r="L11" i="1" s="1"/>
  <c r="K9" i="14"/>
  <c r="M25" i="1" a="1"/>
  <c r="M25" i="1" s="1"/>
  <c r="L38" i="1" a="1"/>
  <c r="L38" i="1" s="1"/>
  <c r="M91" i="1" a="1"/>
  <c r="M91" i="1" s="1"/>
  <c r="L48" i="1" a="1"/>
  <c r="L48" i="1" s="1"/>
  <c r="M90" i="1" a="1"/>
  <c r="M90" i="1" s="1"/>
  <c r="L83" i="1" a="1"/>
  <c r="L83" i="1" s="1"/>
  <c r="M38" i="1" a="1"/>
  <c r="M38" i="1" s="1"/>
  <c r="M58" i="1" a="1"/>
  <c r="M58" i="1" s="1"/>
  <c r="L76" i="1" a="1"/>
  <c r="L76" i="1" s="1"/>
  <c r="L90" i="1" a="1"/>
  <c r="L90" i="1" s="1"/>
  <c r="L72" i="1" a="1"/>
  <c r="L72" i="1" s="1"/>
  <c r="L45" i="1" a="1"/>
  <c r="L45" i="1" s="1"/>
  <c r="M45" i="1" a="1"/>
  <c r="M45" i="1" s="1"/>
  <c r="L96" i="1" a="1"/>
  <c r="L96" i="1" s="1"/>
  <c r="M70" i="1" a="1"/>
  <c r="M70" i="1" s="1"/>
  <c r="M74" i="1" a="1"/>
  <c r="M74" i="1" s="1"/>
  <c r="L60" i="1" a="1"/>
  <c r="L60" i="1" s="1"/>
  <c r="L22" i="1" a="1"/>
  <c r="L22" i="1" s="1"/>
  <c r="L106" i="1" a="1"/>
  <c r="L106" i="1" s="1"/>
  <c r="L37" i="1" a="1"/>
  <c r="L37" i="1" s="1"/>
  <c r="L27" i="1" a="1"/>
  <c r="L27" i="1" s="1"/>
  <c r="L95" i="1" a="1"/>
  <c r="L95" i="1" s="1"/>
  <c r="M31" i="1" a="1"/>
  <c r="M31" i="1" s="1"/>
  <c r="M85" i="1" a="1"/>
  <c r="M85" i="1" s="1"/>
  <c r="M48" i="1" a="1"/>
  <c r="M48" i="1" s="1"/>
  <c r="M28" i="1" a="1"/>
  <c r="M28" i="1" s="1"/>
  <c r="M78" i="1" a="1"/>
  <c r="M78" i="1" s="1"/>
  <c r="M72" i="1" a="1"/>
  <c r="M72" i="1" s="1"/>
  <c r="M26" i="1" a="1"/>
  <c r="M26" i="1" s="1"/>
  <c r="J21" i="16"/>
  <c r="M100" i="1" a="1"/>
  <c r="M100" i="1" s="1"/>
  <c r="M61" i="1" a="1"/>
  <c r="M61" i="1" s="1"/>
  <c r="T61" i="1" s="1"/>
  <c r="M21" i="1" a="1"/>
  <c r="M21" i="1" s="1"/>
  <c r="M33" i="1" a="1"/>
  <c r="M33" i="1" s="1"/>
  <c r="M35" i="1" a="1"/>
  <c r="M35" i="1" s="1"/>
  <c r="M47" i="1" a="1"/>
  <c r="M47" i="1" s="1"/>
  <c r="M84" i="1" a="1"/>
  <c r="M84" i="1" s="1"/>
  <c r="M50" i="1" a="1"/>
  <c r="M50" i="1" s="1"/>
  <c r="M73" i="1" a="1"/>
  <c r="M73" i="1" s="1"/>
  <c r="T73" i="1" s="1"/>
  <c r="M101" i="1" a="1"/>
  <c r="M101" i="1" s="1"/>
  <c r="L53" i="1" a="1"/>
  <c r="L53" i="1" s="1"/>
  <c r="L89" i="1" a="1"/>
  <c r="L89" i="1" s="1"/>
  <c r="L70" i="1" a="1"/>
  <c r="L70" i="1" s="1"/>
  <c r="L17" i="1" a="1"/>
  <c r="L17" i="1" s="1"/>
  <c r="L87" i="1" a="1"/>
  <c r="L87" i="1" s="1"/>
  <c r="U87" i="1" s="1"/>
  <c r="L75" i="1" a="1"/>
  <c r="L75" i="1" s="1"/>
  <c r="L20" i="1" a="1"/>
  <c r="L20" i="1" s="1"/>
  <c r="L59" i="1" a="1"/>
  <c r="L59" i="1" s="1"/>
  <c r="L64" i="1" a="1"/>
  <c r="L64" i="1" s="1"/>
  <c r="L43" i="1" a="1"/>
  <c r="L43" i="1" s="1"/>
  <c r="L30" i="1" a="1"/>
  <c r="L30" i="1" s="1"/>
  <c r="L36" i="1" a="1"/>
  <c r="L36" i="1" s="1"/>
  <c r="L78" i="1" a="1"/>
  <c r="L78" i="1" s="1"/>
  <c r="M14" i="1" a="1"/>
  <c r="M14" i="1" s="1"/>
  <c r="M40" i="1" a="1"/>
  <c r="M40" i="1" s="1"/>
  <c r="M95" i="1" a="1"/>
  <c r="M95" i="1" s="1"/>
  <c r="L23" i="1" a="1"/>
  <c r="L23" i="1" s="1"/>
  <c r="L101" i="1" a="1"/>
  <c r="L101" i="1" s="1"/>
  <c r="L50" i="1" a="1"/>
  <c r="L50" i="1" s="1"/>
  <c r="M23" i="1" a="1"/>
  <c r="M23" i="1" s="1"/>
  <c r="L54" i="1" a="1"/>
  <c r="L54" i="1" s="1"/>
  <c r="L31" i="1" a="1"/>
  <c r="L31" i="1" s="1"/>
  <c r="L81" i="1" a="1"/>
  <c r="L81" i="1" s="1"/>
  <c r="M99" i="1" a="1"/>
  <c r="M99" i="1" s="1"/>
  <c r="M54" i="1" a="1"/>
  <c r="M54" i="1" s="1"/>
  <c r="M81" i="1" a="1"/>
  <c r="M81" i="1" s="1"/>
  <c r="L82" i="1" a="1"/>
  <c r="L82" i="1" s="1"/>
  <c r="M43" i="1" a="1"/>
  <c r="M43" i="1" s="1"/>
  <c r="M76" i="1" a="1"/>
  <c r="M76" i="1" s="1"/>
  <c r="L55" i="1" a="1"/>
  <c r="L55" i="1" s="1"/>
  <c r="M82" i="1" a="1"/>
  <c r="M82" i="1" s="1"/>
  <c r="L57" i="1" a="1"/>
  <c r="L57" i="1" s="1"/>
  <c r="M42" i="1" a="1"/>
  <c r="M42" i="1" s="1"/>
  <c r="L56" i="1" a="1"/>
  <c r="L56" i="1" s="1"/>
  <c r="M57" i="1" a="1"/>
  <c r="M57" i="1" s="1"/>
  <c r="L46" i="1" a="1"/>
  <c r="L46" i="1" s="1"/>
  <c r="M56" i="1" a="1"/>
  <c r="M56" i="1" s="1"/>
  <c r="K11" i="14"/>
  <c r="L10" i="1" s="1" a="1"/>
  <c r="L10" i="1" s="1"/>
  <c r="M30" i="1" a="1"/>
  <c r="M30" i="1" s="1"/>
  <c r="M46" i="1" a="1"/>
  <c r="M46" i="1" s="1"/>
  <c r="L58" i="1" a="1"/>
  <c r="L58" i="1" s="1"/>
  <c r="M36" i="1" a="1"/>
  <c r="M36" i="1" s="1"/>
  <c r="L28" i="1" a="1"/>
  <c r="L28" i="1" s="1"/>
  <c r="K8" i="14"/>
  <c r="M83" i="1" a="1"/>
  <c r="M83" i="1" s="1"/>
  <c r="K7" i="14"/>
  <c r="L5" i="1" s="1" a="1"/>
  <c r="L5" i="1" s="1"/>
  <c r="L63" i="1" a="1"/>
  <c r="L63" i="1" s="1"/>
  <c r="P7" i="14"/>
  <c r="M63" i="1" a="1"/>
  <c r="M63" i="1" s="1"/>
  <c r="P8" i="14"/>
  <c r="M67" i="1" a="1"/>
  <c r="M67" i="1" s="1"/>
  <c r="L103" i="1" a="1"/>
  <c r="L103" i="1" s="1"/>
  <c r="L16" i="1" a="1"/>
  <c r="L16" i="1" s="1"/>
  <c r="K10" i="14"/>
  <c r="M96" i="1" a="1"/>
  <c r="M96" i="1" s="1"/>
  <c r="L67" i="1" a="1"/>
  <c r="L67" i="1" s="1"/>
  <c r="L34" i="1" a="1"/>
  <c r="L34" i="1" s="1"/>
  <c r="M16" i="1" a="1"/>
  <c r="M16" i="1" s="1"/>
  <c r="M80" i="1" a="1"/>
  <c r="M80" i="1" s="1"/>
  <c r="L68" i="1" a="1"/>
  <c r="L68" i="1" s="1"/>
  <c r="L15" i="1" a="1"/>
  <c r="L15" i="1" s="1"/>
  <c r="L44" i="1" a="1"/>
  <c r="L44" i="1" s="1"/>
  <c r="M34" i="1" a="1"/>
  <c r="M34" i="1" s="1"/>
  <c r="L80" i="1" a="1"/>
  <c r="L80" i="1" s="1"/>
  <c r="M68" i="1" a="1"/>
  <c r="M68" i="1" s="1"/>
  <c r="M15" i="1" a="1"/>
  <c r="M15" i="1" s="1"/>
  <c r="L24" i="1" a="1"/>
  <c r="L24" i="1" s="1"/>
  <c r="M44" i="1" a="1"/>
  <c r="M44" i="1" s="1"/>
  <c r="L51" i="1" a="1"/>
  <c r="L51" i="1" s="1"/>
  <c r="U51" i="1" s="1"/>
  <c r="L105" i="1" a="1"/>
  <c r="L105" i="1" s="1"/>
  <c r="L100" i="1" a="1"/>
  <c r="L100" i="1" s="1"/>
  <c r="Q14" i="14"/>
  <c r="Q12" i="1" s="1" a="1"/>
  <c r="Q12" i="1" s="1"/>
  <c r="L84" i="1" a="1"/>
  <c r="L84" i="1" s="1"/>
  <c r="M22" i="1" a="1"/>
  <c r="M22" i="1" s="1"/>
  <c r="M29" i="1" a="1"/>
  <c r="M29" i="1" s="1"/>
  <c r="M65" i="1" a="1"/>
  <c r="M65" i="1" s="1"/>
  <c r="L62" i="1" a="1"/>
  <c r="L62" i="1" s="1"/>
  <c r="M66" i="1" a="1"/>
  <c r="M66" i="1" s="1"/>
  <c r="L52" i="1" a="1"/>
  <c r="L52" i="1" s="1"/>
  <c r="L39" i="1" a="1"/>
  <c r="L39" i="1" s="1"/>
  <c r="L69" i="1" a="1"/>
  <c r="L69" i="1" s="1"/>
  <c r="T69" i="1" s="1"/>
  <c r="L21" i="1" a="1"/>
  <c r="L21" i="1" s="1"/>
  <c r="L14" i="14"/>
  <c r="P12" i="1" s="1" a="1"/>
  <c r="P12" i="1" s="1"/>
  <c r="M97" i="1" a="1"/>
  <c r="M97" i="1" s="1"/>
  <c r="L88" i="1" a="1"/>
  <c r="L88" i="1" s="1"/>
  <c r="L47" i="1" a="1"/>
  <c r="L47" i="1" s="1"/>
  <c r="L79" i="1" a="1"/>
  <c r="L79" i="1" s="1"/>
  <c r="L77" i="1" a="1"/>
  <c r="L77" i="1" s="1"/>
  <c r="L97" i="1" a="1"/>
  <c r="L97" i="1" s="1"/>
  <c r="M77" i="1" a="1"/>
  <c r="M77" i="1" s="1"/>
  <c r="M88" i="1" a="1"/>
  <c r="M88" i="1" s="1"/>
  <c r="M37" i="1" a="1"/>
  <c r="M37" i="1" s="1"/>
  <c r="M79" i="1" a="1"/>
  <c r="M79" i="1" s="1"/>
  <c r="M75" i="1" a="1"/>
  <c r="M75" i="1" s="1"/>
  <c r="L102" i="1" a="1"/>
  <c r="L102" i="1" s="1"/>
  <c r="L35" i="1" a="1"/>
  <c r="L35" i="1" s="1"/>
  <c r="L98" i="1" a="1"/>
  <c r="L98" i="1" s="1"/>
  <c r="L40" i="1" a="1"/>
  <c r="L40" i="1" s="1"/>
  <c r="M102" i="1" a="1"/>
  <c r="M102" i="1" s="1"/>
  <c r="M98" i="1" a="1"/>
  <c r="M98" i="1" s="1"/>
  <c r="C186" i="13"/>
  <c r="B186" i="13"/>
  <c r="A187" i="13"/>
  <c r="M13" i="1" l="1" a="1"/>
  <c r="M13" i="1" s="1"/>
  <c r="T89" i="1"/>
  <c r="U53" i="1"/>
  <c r="U39" i="1"/>
  <c r="U41" i="1"/>
  <c r="U35" i="1"/>
  <c r="T26" i="1"/>
  <c r="M5" i="1" a="1"/>
  <c r="M5" i="1" s="1"/>
  <c r="J19" i="16" s="1"/>
  <c r="U47" i="1"/>
  <c r="T19" i="1"/>
  <c r="L13" i="1" a="1"/>
  <c r="L13" i="1" s="1"/>
  <c r="M8" i="1" a="1"/>
  <c r="M8" i="1" s="1"/>
  <c r="T41" i="1"/>
  <c r="V41" i="1" s="1"/>
  <c r="U32" i="1"/>
  <c r="U58" i="1"/>
  <c r="U33" i="1"/>
  <c r="U52" i="1"/>
  <c r="L8" i="1" a="1"/>
  <c r="L8" i="1" s="1"/>
  <c r="T55" i="1"/>
  <c r="T32" i="1"/>
  <c r="U61" i="1"/>
  <c r="V61" i="1" s="1"/>
  <c r="U62" i="1"/>
  <c r="T25" i="1"/>
  <c r="U19" i="1"/>
  <c r="T17" i="1"/>
  <c r="L6" i="1" a="1"/>
  <c r="L6" i="1" s="1"/>
  <c r="P13" i="1" a="1"/>
  <c r="P13" i="1" s="1"/>
  <c r="T83" i="1"/>
  <c r="U59" i="1"/>
  <c r="M6" i="1" a="1"/>
  <c r="M6" i="1" s="1"/>
  <c r="U26" i="1"/>
  <c r="T49" i="1"/>
  <c r="T74" i="1"/>
  <c r="U49" i="1"/>
  <c r="U29" i="1"/>
  <c r="U60" i="1"/>
  <c r="U74" i="1"/>
  <c r="U42" i="1"/>
  <c r="M7" i="1" a="1"/>
  <c r="M7" i="1" s="1"/>
  <c r="L7" i="1" a="1"/>
  <c r="L7" i="1" s="1"/>
  <c r="Q13" i="1" a="1"/>
  <c r="Q13" i="1" s="1"/>
  <c r="T70" i="1"/>
  <c r="L14" i="1" a="1"/>
  <c r="L14" i="1" s="1"/>
  <c r="L9" i="1" a="1"/>
  <c r="L9" i="1" s="1"/>
  <c r="T38" i="1"/>
  <c r="U86" i="1"/>
  <c r="U72" i="1"/>
  <c r="T27" i="1"/>
  <c r="T72" i="1"/>
  <c r="U25" i="1"/>
  <c r="T37" i="1"/>
  <c r="T18" i="1"/>
  <c r="U78" i="1"/>
  <c r="U38" i="1"/>
  <c r="T86" i="1"/>
  <c r="T85" i="1"/>
  <c r="T45" i="1"/>
  <c r="T78" i="1"/>
  <c r="T90" i="1"/>
  <c r="T33" i="1"/>
  <c r="T22" i="1"/>
  <c r="U71" i="1"/>
  <c r="U90" i="1"/>
  <c r="U18" i="1"/>
  <c r="AC18" i="1"/>
  <c r="AA18" i="1" s="1"/>
  <c r="Y28" i="18" s="1"/>
  <c r="U85" i="1"/>
  <c r="U27" i="1"/>
  <c r="T53" i="1"/>
  <c r="V53" i="1" s="1"/>
  <c r="T60" i="1"/>
  <c r="T40" i="1"/>
  <c r="U45" i="1"/>
  <c r="T21" i="1"/>
  <c r="U48" i="1"/>
  <c r="U28" i="1"/>
  <c r="T71" i="1"/>
  <c r="T24" i="1"/>
  <c r="T50" i="1"/>
  <c r="U50" i="1"/>
  <c r="T76" i="1"/>
  <c r="T36" i="1"/>
  <c r="U55" i="1"/>
  <c r="U30" i="1"/>
  <c r="T56" i="1"/>
  <c r="U66" i="1"/>
  <c r="T65" i="1"/>
  <c r="T43" i="1"/>
  <c r="U84" i="1"/>
  <c r="U20" i="1"/>
  <c r="T87" i="1"/>
  <c r="V87" i="1" s="1"/>
  <c r="U81" i="1"/>
  <c r="U23" i="1"/>
  <c r="T81" i="1"/>
  <c r="U56" i="1"/>
  <c r="T64" i="1"/>
  <c r="T23" i="1"/>
  <c r="T58" i="1"/>
  <c r="V58" i="1" s="1"/>
  <c r="U67" i="1"/>
  <c r="T82" i="1"/>
  <c r="T31" i="1"/>
  <c r="U73" i="1"/>
  <c r="V73" i="1" s="1"/>
  <c r="U75" i="1"/>
  <c r="T59" i="1"/>
  <c r="V59" i="1" s="1"/>
  <c r="T67" i="1"/>
  <c r="U63" i="1"/>
  <c r="T54" i="1"/>
  <c r="U82" i="1"/>
  <c r="T84" i="1"/>
  <c r="T20" i="1"/>
  <c r="T68" i="1"/>
  <c r="U43" i="1"/>
  <c r="U80" i="1"/>
  <c r="T46" i="1"/>
  <c r="U31" i="1"/>
  <c r="T48" i="1"/>
  <c r="T15" i="1"/>
  <c r="T66" i="1"/>
  <c r="T77" i="1"/>
  <c r="U88" i="1"/>
  <c r="U54" i="1"/>
  <c r="U44" i="1"/>
  <c r="U24" i="1"/>
  <c r="T62" i="1"/>
  <c r="U70" i="1"/>
  <c r="U64" i="1"/>
  <c r="U89" i="1"/>
  <c r="V89" i="1" s="1"/>
  <c r="T57" i="1"/>
  <c r="AC16" i="1"/>
  <c r="Z26" i="18" s="1"/>
  <c r="AC17" i="1"/>
  <c r="T28" i="1"/>
  <c r="U17" i="1"/>
  <c r="U76" i="1"/>
  <c r="U83" i="1"/>
  <c r="T63" i="1"/>
  <c r="T51" i="1"/>
  <c r="V51" i="1" s="1"/>
  <c r="T29" i="1"/>
  <c r="U69" i="1"/>
  <c r="V69" i="1" s="1"/>
  <c r="U15" i="1"/>
  <c r="AC15" i="1"/>
  <c r="Z25" i="18" s="1"/>
  <c r="U36" i="1"/>
  <c r="T34" i="1"/>
  <c r="T52" i="1"/>
  <c r="U68" i="1"/>
  <c r="T30" i="1"/>
  <c r="U79" i="1"/>
  <c r="U22" i="1"/>
  <c r="T16" i="1"/>
  <c r="U16" i="1"/>
  <c r="U77" i="1"/>
  <c r="T75" i="1"/>
  <c r="U21" i="1"/>
  <c r="T79" i="1"/>
  <c r="T39" i="1"/>
  <c r="V39" i="1" s="1"/>
  <c r="U57" i="1"/>
  <c r="U37" i="1"/>
  <c r="T80" i="1"/>
  <c r="T35" i="1"/>
  <c r="V35" i="1" s="1"/>
  <c r="U34" i="1"/>
  <c r="T42" i="1"/>
  <c r="V42" i="1" s="1"/>
  <c r="T47" i="1"/>
  <c r="T88" i="1"/>
  <c r="T44" i="1"/>
  <c r="U46" i="1"/>
  <c r="U40" i="1"/>
  <c r="U65" i="1"/>
  <c r="B187" i="13"/>
  <c r="C187" i="13"/>
  <c r="A188" i="13"/>
  <c r="V19" i="1" l="1"/>
  <c r="V47" i="1"/>
  <c r="V26" i="1"/>
  <c r="V33" i="1"/>
  <c r="V25" i="1"/>
  <c r="V55" i="1"/>
  <c r="V17" i="1"/>
  <c r="V62" i="1"/>
  <c r="V32" i="1"/>
  <c r="V49" i="1"/>
  <c r="V52" i="1"/>
  <c r="V83" i="1"/>
  <c r="V74" i="1"/>
  <c r="V90" i="1"/>
  <c r="V22" i="1"/>
  <c r="V72" i="1"/>
  <c r="V29" i="1"/>
  <c r="V60" i="1"/>
  <c r="V38" i="1"/>
  <c r="V70" i="1"/>
  <c r="V86" i="1"/>
  <c r="V37" i="1"/>
  <c r="V27" i="1"/>
  <c r="V18" i="1"/>
  <c r="V66" i="1"/>
  <c r="Z28" i="18"/>
  <c r="V78" i="1"/>
  <c r="V75" i="1"/>
  <c r="V85" i="1"/>
  <c r="V30" i="1"/>
  <c r="V45" i="1"/>
  <c r="V40" i="1"/>
  <c r="V71" i="1"/>
  <c r="V21" i="1"/>
  <c r="V48" i="1"/>
  <c r="V28" i="1"/>
  <c r="V65" i="1"/>
  <c r="V24" i="1"/>
  <c r="V50" i="1"/>
  <c r="V68" i="1"/>
  <c r="V43" i="1"/>
  <c r="V64" i="1"/>
  <c r="V36" i="1"/>
  <c r="V76" i="1"/>
  <c r="V63" i="1"/>
  <c r="V20" i="1"/>
  <c r="V56" i="1"/>
  <c r="V81" i="1"/>
  <c r="V84" i="1"/>
  <c r="V23" i="1"/>
  <c r="V82" i="1"/>
  <c r="V67" i="1"/>
  <c r="V16" i="1"/>
  <c r="V54" i="1"/>
  <c r="V88" i="1"/>
  <c r="V77" i="1"/>
  <c r="AA16" i="1"/>
  <c r="Y26" i="18" s="1"/>
  <c r="V31" i="1"/>
  <c r="V44" i="1"/>
  <c r="V34" i="1"/>
  <c r="V57" i="1"/>
  <c r="AA15" i="1"/>
  <c r="Y25" i="18" s="1"/>
  <c r="V15" i="1"/>
  <c r="V80" i="1"/>
  <c r="AA17" i="1"/>
  <c r="Y27" i="18" s="1"/>
  <c r="Z27" i="18"/>
  <c r="V46" i="1"/>
  <c r="V79" i="1"/>
  <c r="C188" i="13"/>
  <c r="B188" i="13"/>
  <c r="A189" i="13"/>
  <c r="Y69" i="1" l="1"/>
  <c r="Y37" i="1"/>
  <c r="Y70" i="1"/>
  <c r="Y82" i="1"/>
  <c r="Y55" i="1"/>
  <c r="Y17" i="1"/>
  <c r="Y25" i="1"/>
  <c r="Y48" i="1"/>
  <c r="Y65" i="1"/>
  <c r="Y40" i="1"/>
  <c r="Y60" i="1"/>
  <c r="Y35" i="1"/>
  <c r="Y47" i="1"/>
  <c r="Y71" i="1"/>
  <c r="Y36" i="1"/>
  <c r="Y67" i="1"/>
  <c r="Y85" i="1"/>
  <c r="Y24" i="1"/>
  <c r="Y38" i="1"/>
  <c r="Y59" i="1"/>
  <c r="Y34" i="1"/>
  <c r="Y16" i="1"/>
  <c r="Y80" i="1"/>
  <c r="Y68" i="1"/>
  <c r="Y21" i="1"/>
  <c r="Y58" i="1"/>
  <c r="Y20" i="1"/>
  <c r="Y61" i="1"/>
  <c r="Y19" i="1"/>
  <c r="Y18" i="1"/>
  <c r="Y50" i="1"/>
  <c r="Y74" i="1"/>
  <c r="Y81" i="1"/>
  <c r="Y66" i="1"/>
  <c r="Y22" i="1"/>
  <c r="Y72" i="1"/>
  <c r="Y64" i="1"/>
  <c r="Y84" i="1"/>
  <c r="Y23" i="1"/>
  <c r="Y63" i="1"/>
  <c r="Y62" i="1"/>
  <c r="Y83" i="1"/>
  <c r="Y73" i="1"/>
  <c r="Y52" i="1"/>
  <c r="Y49" i="1"/>
  <c r="Y57" i="1"/>
  <c r="Y43" i="1"/>
  <c r="Y15" i="1"/>
  <c r="Y39" i="1"/>
  <c r="Y30" i="1"/>
  <c r="Y28" i="1"/>
  <c r="Y51" i="1"/>
  <c r="Y32" i="1"/>
  <c r="Y27" i="1"/>
  <c r="Y26" i="1"/>
  <c r="Y33" i="1"/>
  <c r="Y46" i="1"/>
  <c r="Y31" i="1"/>
  <c r="Y41" i="1"/>
  <c r="Y29" i="1"/>
  <c r="Y54" i="1"/>
  <c r="Y76" i="1"/>
  <c r="Y53" i="1"/>
  <c r="Y78" i="1"/>
  <c r="Y56" i="1"/>
  <c r="Y75" i="1"/>
  <c r="Y44" i="1"/>
  <c r="Y42" i="1"/>
  <c r="Y45" i="1"/>
  <c r="Y79" i="1"/>
  <c r="Y77" i="1"/>
  <c r="A190" i="13"/>
  <c r="C189" i="13"/>
  <c r="B189" i="13"/>
  <c r="A191" i="13" l="1"/>
  <c r="C190" i="13"/>
  <c r="B190" i="13"/>
  <c r="C191" i="13" l="1"/>
  <c r="B191" i="13"/>
  <c r="A192" i="13"/>
  <c r="A193" i="13" l="1"/>
  <c r="C192" i="13"/>
  <c r="B192" i="13"/>
  <c r="A194" i="13" l="1"/>
  <c r="C193" i="13"/>
  <c r="B193" i="13"/>
  <c r="D181" i="13" l="1"/>
  <c r="C194" i="13"/>
  <c r="B194" i="13"/>
  <c r="A195" i="13"/>
  <c r="D180" i="13" l="1"/>
  <c r="D179" i="13" s="1"/>
  <c r="B195" i="13"/>
  <c r="C195" i="13"/>
  <c r="A196" i="13"/>
  <c r="D178" i="13" l="1"/>
  <c r="C196" i="13"/>
  <c r="A197" i="13"/>
  <c r="B196" i="13"/>
  <c r="D177" i="13" l="1"/>
  <c r="M178" i="13"/>
  <c r="N178" i="13" s="1"/>
  <c r="P178" i="13" s="1"/>
  <c r="Q178" i="13" s="1"/>
  <c r="A198" i="13"/>
  <c r="C197" i="13"/>
  <c r="B197" i="13"/>
  <c r="D176" i="13" l="1"/>
  <c r="M177" i="13"/>
  <c r="N177" i="13" s="1"/>
  <c r="P177" i="13" s="1"/>
  <c r="Q177" i="13" s="1"/>
  <c r="A199" i="13"/>
  <c r="C198" i="13"/>
  <c r="B198" i="13"/>
  <c r="D175" i="13" l="1"/>
  <c r="M176" i="13"/>
  <c r="C199" i="13"/>
  <c r="B199" i="13"/>
  <c r="A200" i="13"/>
  <c r="N176" i="13" l="1"/>
  <c r="P176" i="13"/>
  <c r="Q176" i="13" s="1"/>
  <c r="D174" i="13"/>
  <c r="D173" i="13" s="1"/>
  <c r="M175" i="13"/>
  <c r="N175" i="13" s="1"/>
  <c r="P175" i="13" s="1"/>
  <c r="Q175" i="13" s="1"/>
  <c r="A201" i="13"/>
  <c r="C200" i="13"/>
  <c r="B200" i="13"/>
  <c r="D172" i="13" l="1"/>
  <c r="M174" i="13"/>
  <c r="N174" i="13" s="1"/>
  <c r="P174" i="13" s="1"/>
  <c r="Q174" i="13" s="1"/>
  <c r="A202" i="13"/>
  <c r="C201" i="13"/>
  <c r="B201" i="13"/>
  <c r="M173" i="13" l="1"/>
  <c r="N173" i="13" s="1"/>
  <c r="P173" i="13" s="1"/>
  <c r="Q173" i="13" s="1"/>
  <c r="D171" i="13"/>
  <c r="D170" i="13" s="1"/>
  <c r="M172" i="13"/>
  <c r="C202" i="13"/>
  <c r="B202" i="13"/>
  <c r="A203" i="13"/>
  <c r="N172" i="13" l="1"/>
  <c r="P172" i="13"/>
  <c r="Q172" i="13" s="1"/>
  <c r="D169" i="13"/>
  <c r="M171" i="13"/>
  <c r="N171" i="13" s="1"/>
  <c r="P171" i="13" s="1"/>
  <c r="Q171" i="13" s="1"/>
  <c r="B203" i="13"/>
  <c r="A204" i="13"/>
  <c r="C203" i="13"/>
  <c r="M170" i="13" l="1"/>
  <c r="N170" i="13" s="1"/>
  <c r="P170" i="13" s="1"/>
  <c r="Q170" i="13" s="1"/>
  <c r="D168" i="13"/>
  <c r="D167" i="13" s="1"/>
  <c r="M169" i="13"/>
  <c r="N169" i="13" s="1"/>
  <c r="P169" i="13" s="1"/>
  <c r="Q169" i="13" s="1"/>
  <c r="C204" i="13"/>
  <c r="A205" i="13"/>
  <c r="B204" i="13"/>
  <c r="D166" i="13" l="1"/>
  <c r="M168" i="13"/>
  <c r="A206" i="13"/>
  <c r="C205" i="13"/>
  <c r="B205" i="13"/>
  <c r="N168" i="13" l="1"/>
  <c r="P168" i="13" s="1"/>
  <c r="Q168" i="13" s="1"/>
  <c r="J171" i="14" s="1"/>
  <c r="M167" i="13"/>
  <c r="N167" i="13" s="1"/>
  <c r="P167" i="13" s="1"/>
  <c r="Q167" i="13" s="1"/>
  <c r="D165" i="13"/>
  <c r="D164" i="13" s="1"/>
  <c r="D163" i="13" s="1"/>
  <c r="D162" i="13" s="1"/>
  <c r="D161" i="13" s="1"/>
  <c r="D160" i="13" s="1"/>
  <c r="D159" i="13" s="1"/>
  <c r="M166" i="13"/>
  <c r="N166" i="13" s="1"/>
  <c r="P166" i="13" s="1"/>
  <c r="Q166" i="13" s="1"/>
  <c r="A207" i="13"/>
  <c r="C206" i="13"/>
  <c r="B206" i="13"/>
  <c r="D158" i="13" l="1"/>
  <c r="J169" i="14"/>
  <c r="J178" i="14"/>
  <c r="M165" i="13"/>
  <c r="N165" i="13" s="1"/>
  <c r="P165" i="13" s="1"/>
  <c r="Q165" i="13" s="1"/>
  <c r="J170" i="14"/>
  <c r="C207" i="13"/>
  <c r="B207" i="13"/>
  <c r="A208" i="13"/>
  <c r="M157" i="13" l="1"/>
  <c r="J168" i="14"/>
  <c r="J177" i="14"/>
  <c r="M164" i="13"/>
  <c r="A209" i="13"/>
  <c r="C208" i="13"/>
  <c r="B208" i="13"/>
  <c r="N157" i="13" l="1"/>
  <c r="P157" i="13" s="1"/>
  <c r="Q157" i="13" s="1"/>
  <c r="J159" i="14" s="1"/>
  <c r="M156" i="13"/>
  <c r="N164" i="13"/>
  <c r="P164" i="13" s="1"/>
  <c r="Q164" i="13" s="1"/>
  <c r="J166" i="14" s="1"/>
  <c r="M163" i="13"/>
  <c r="A210" i="13"/>
  <c r="C209" i="13"/>
  <c r="B209" i="13"/>
  <c r="N163" i="13" l="1"/>
  <c r="P163" i="13" s="1"/>
  <c r="Q163" i="13" s="1"/>
  <c r="J175" i="14" s="1"/>
  <c r="M162" i="13"/>
  <c r="N156" i="13"/>
  <c r="P156" i="13" s="1"/>
  <c r="Q156" i="13" s="1"/>
  <c r="J158" i="14" s="1"/>
  <c r="M155" i="13"/>
  <c r="N155" i="13" s="1"/>
  <c r="P155" i="13" s="1"/>
  <c r="Q155" i="13" s="1"/>
  <c r="J157" i="14" s="1"/>
  <c r="J174" i="14"/>
  <c r="M160" i="13"/>
  <c r="J167" i="14"/>
  <c r="J176" i="14"/>
  <c r="C210" i="13"/>
  <c r="B210" i="13"/>
  <c r="A211" i="13"/>
  <c r="J165" i="14" l="1"/>
  <c r="N160" i="13"/>
  <c r="P160" i="13" s="1"/>
  <c r="Q160" i="13" s="1"/>
  <c r="M159" i="13"/>
  <c r="T96" i="14"/>
  <c r="O97" i="14"/>
  <c r="O98" i="14"/>
  <c r="T97" i="14"/>
  <c r="T98" i="14"/>
  <c r="O96" i="14"/>
  <c r="M161" i="13"/>
  <c r="N161" i="13" s="1"/>
  <c r="P161" i="13" s="1"/>
  <c r="Q161" i="13" s="1"/>
  <c r="N162" i="13"/>
  <c r="P162" i="13" s="1"/>
  <c r="Q162" i="13" s="1"/>
  <c r="J164" i="14" s="1"/>
  <c r="R97" i="1" a="1"/>
  <c r="R97" i="1" s="1"/>
  <c r="B211" i="13"/>
  <c r="C211" i="13"/>
  <c r="A212" i="13"/>
  <c r="J173" i="14" l="1"/>
  <c r="J163" i="14"/>
  <c r="N159" i="13"/>
  <c r="P159" i="13" s="1"/>
  <c r="Q159" i="13" s="1"/>
  <c r="J161" i="14" s="1"/>
  <c r="T104" i="14" s="1"/>
  <c r="S93" i="1" s="1" a="1"/>
  <c r="S93" i="1" s="1"/>
  <c r="M158" i="13"/>
  <c r="N158" i="13" s="1"/>
  <c r="P158" i="13" s="1"/>
  <c r="Q158" i="13" s="1"/>
  <c r="J160" i="14" s="1"/>
  <c r="J172" i="14"/>
  <c r="J162" i="14"/>
  <c r="S97" i="1" a="1"/>
  <c r="S97" i="1" s="1"/>
  <c r="T97" i="1" s="1"/>
  <c r="C212" i="13"/>
  <c r="A213" i="13"/>
  <c r="B212" i="13"/>
  <c r="T111" i="14" l="1"/>
  <c r="S100" i="1" s="1" a="1"/>
  <c r="S100" i="1" s="1"/>
  <c r="T109" i="14"/>
  <c r="S98" i="1" s="1" a="1"/>
  <c r="S98" i="1" s="1"/>
  <c r="T107" i="14"/>
  <c r="S96" i="1" s="1" a="1"/>
  <c r="S96" i="1" s="1"/>
  <c r="T106" i="14"/>
  <c r="S95" i="1" s="1" a="1"/>
  <c r="S95" i="1" s="1"/>
  <c r="T110" i="14"/>
  <c r="T101" i="14"/>
  <c r="T108" i="14"/>
  <c r="S107" i="1" s="1" a="1"/>
  <c r="S107" i="1" s="1"/>
  <c r="T105" i="14"/>
  <c r="S94" i="1" s="1" a="1"/>
  <c r="S94" i="1" s="1"/>
  <c r="T103" i="14"/>
  <c r="S92" i="1" s="1" a="1"/>
  <c r="S92" i="1" s="1"/>
  <c r="T102" i="14"/>
  <c r="S91" i="1" s="1" a="1"/>
  <c r="S91" i="1" s="1"/>
  <c r="O107" i="14"/>
  <c r="R96" i="1" s="1" a="1"/>
  <c r="R96" i="1" s="1"/>
  <c r="O106" i="14"/>
  <c r="R95" i="1" s="1" a="1"/>
  <c r="R95" i="1" s="1"/>
  <c r="O116" i="14"/>
  <c r="R105" i="1" s="1" a="1"/>
  <c r="R105" i="1" s="1"/>
  <c r="O108" i="14"/>
  <c r="R107" i="1" s="1" a="1"/>
  <c r="R107" i="1" s="1"/>
  <c r="O113" i="14"/>
  <c r="O105" i="14"/>
  <c r="R94" i="1" s="1" a="1"/>
  <c r="R94" i="1" s="1"/>
  <c r="O115" i="14"/>
  <c r="R104" i="1" s="1" a="1"/>
  <c r="R104" i="1" s="1"/>
  <c r="O112" i="14"/>
  <c r="O111" i="14"/>
  <c r="R100" i="1" s="1" a="1"/>
  <c r="R100" i="1" s="1"/>
  <c r="O110" i="14"/>
  <c r="O109" i="14"/>
  <c r="R98" i="1" s="1" a="1"/>
  <c r="R98" i="1" s="1"/>
  <c r="O114" i="14"/>
  <c r="O117" i="14"/>
  <c r="R106" i="1" s="1" a="1"/>
  <c r="R106" i="1" s="1"/>
  <c r="O99" i="14"/>
  <c r="O101" i="14"/>
  <c r="T99" i="14"/>
  <c r="O100" i="14"/>
  <c r="T100" i="14"/>
  <c r="O104" i="14"/>
  <c r="O103" i="14"/>
  <c r="O102" i="14"/>
  <c r="T112" i="14"/>
  <c r="S101" i="1" s="1" a="1"/>
  <c r="S101" i="1" s="1"/>
  <c r="T115" i="14"/>
  <c r="S104" i="1" s="1" a="1"/>
  <c r="S104" i="1" s="1"/>
  <c r="T116" i="14"/>
  <c r="S105" i="1" s="1" a="1"/>
  <c r="S105" i="1" s="1"/>
  <c r="T114" i="14"/>
  <c r="S103" i="1" s="1" a="1"/>
  <c r="S103" i="1" s="1"/>
  <c r="T117" i="14"/>
  <c r="S106" i="1" s="1" a="1"/>
  <c r="S106" i="1" s="1"/>
  <c r="T113" i="14"/>
  <c r="S102" i="1" s="1" a="1"/>
  <c r="S102" i="1" s="1"/>
  <c r="U97" i="1"/>
  <c r="V97" i="1" s="1"/>
  <c r="B213" i="13"/>
  <c r="A214" i="13"/>
  <c r="C213" i="13"/>
  <c r="R99" i="1" l="1" a="1"/>
  <c r="R99" i="1" s="1"/>
  <c r="T99" i="1" s="1"/>
  <c r="S99" i="1" a="1"/>
  <c r="S99" i="1" s="1"/>
  <c r="T100" i="1"/>
  <c r="U104" i="1"/>
  <c r="T106" i="1"/>
  <c r="U95" i="1"/>
  <c r="U105" i="1"/>
  <c r="U98" i="1"/>
  <c r="T94" i="1"/>
  <c r="U107" i="1"/>
  <c r="U96" i="1"/>
  <c r="T104" i="1"/>
  <c r="R93" i="1" a="1"/>
  <c r="R93" i="1" s="1"/>
  <c r="R103" i="1" a="1"/>
  <c r="R103" i="1" s="1"/>
  <c r="U100" i="1"/>
  <c r="T105" i="1"/>
  <c r="T95" i="1"/>
  <c r="U106" i="1"/>
  <c r="U94" i="1"/>
  <c r="T107" i="1"/>
  <c r="R91" i="1" a="1"/>
  <c r="R91" i="1" s="1"/>
  <c r="R101" i="1" a="1"/>
  <c r="R101" i="1" s="1"/>
  <c r="R92" i="1" a="1"/>
  <c r="R92" i="1" s="1"/>
  <c r="R102" i="1" a="1"/>
  <c r="R102" i="1" s="1"/>
  <c r="T96" i="1"/>
  <c r="T98" i="1"/>
  <c r="A215" i="13"/>
  <c r="C214" i="13"/>
  <c r="B214" i="13"/>
  <c r="U99" i="1" l="1"/>
  <c r="V106" i="1"/>
  <c r="V100" i="1"/>
  <c r="V99" i="1"/>
  <c r="V104" i="1"/>
  <c r="V105" i="1"/>
  <c r="V98" i="1"/>
  <c r="V95" i="1"/>
  <c r="V107" i="1"/>
  <c r="V96" i="1"/>
  <c r="V94" i="1"/>
  <c r="Y95" i="1"/>
  <c r="Y94" i="1"/>
  <c r="U92" i="1"/>
  <c r="T92" i="1"/>
  <c r="T102" i="1"/>
  <c r="U102" i="1"/>
  <c r="T101" i="1"/>
  <c r="U101" i="1"/>
  <c r="T103" i="1"/>
  <c r="U103" i="1"/>
  <c r="T91" i="1"/>
  <c r="U91" i="1"/>
  <c r="T93" i="1"/>
  <c r="U93" i="1"/>
  <c r="C215" i="13"/>
  <c r="B215" i="13"/>
  <c r="A216" i="13"/>
  <c r="V92" i="1" l="1"/>
  <c r="V91" i="1"/>
  <c r="V101" i="1"/>
  <c r="Y86" i="1"/>
  <c r="V93" i="1"/>
  <c r="Y93" i="1" s="1"/>
  <c r="V103" i="1"/>
  <c r="V102" i="1"/>
  <c r="Y96" i="1"/>
  <c r="A217" i="13"/>
  <c r="C216" i="13"/>
  <c r="B216" i="13"/>
  <c r="Y102" i="1" l="1"/>
  <c r="Y92" i="1"/>
  <c r="Y98" i="1"/>
  <c r="Y97" i="1"/>
  <c r="Y87" i="1"/>
  <c r="Y88" i="1"/>
  <c r="Y99" i="1"/>
  <c r="Y101" i="1"/>
  <c r="Y100" i="1"/>
  <c r="Y89" i="1"/>
  <c r="Y90" i="1"/>
  <c r="Y91" i="1"/>
  <c r="A218" i="13"/>
  <c r="C217" i="13"/>
  <c r="B217" i="13"/>
  <c r="D205" i="13" l="1"/>
  <c r="C218" i="13"/>
  <c r="B218" i="13"/>
  <c r="A219" i="13"/>
  <c r="D204" i="13" l="1"/>
  <c r="D203" i="13" s="1"/>
  <c r="B219" i="13"/>
  <c r="A220" i="13"/>
  <c r="C219" i="13"/>
  <c r="D202" i="13" l="1"/>
  <c r="C220" i="13"/>
  <c r="A221" i="13"/>
  <c r="B220" i="13"/>
  <c r="D201" i="13" l="1"/>
  <c r="D200" i="13" s="1"/>
  <c r="M202" i="13"/>
  <c r="N202" i="13" s="1"/>
  <c r="P202" i="13" s="1"/>
  <c r="Q202" i="13" s="1"/>
  <c r="B221" i="13"/>
  <c r="C221" i="13"/>
  <c r="A222" i="13"/>
  <c r="D199" i="13" l="1"/>
  <c r="M201" i="13"/>
  <c r="N201" i="13" s="1"/>
  <c r="P201" i="13" s="1"/>
  <c r="Q201" i="13" s="1"/>
  <c r="A223" i="13"/>
  <c r="C222" i="13"/>
  <c r="B222" i="13"/>
  <c r="M200" i="13" l="1"/>
  <c r="N200" i="13" s="1"/>
  <c r="P200" i="13" s="1"/>
  <c r="Q200" i="13" s="1"/>
  <c r="D198" i="13"/>
  <c r="D197" i="13" s="1"/>
  <c r="M199" i="13"/>
  <c r="N199" i="13" s="1"/>
  <c r="P199" i="13" s="1"/>
  <c r="Q199" i="13" s="1"/>
  <c r="C223" i="13"/>
  <c r="B223" i="13"/>
  <c r="A224" i="13"/>
  <c r="D196" i="13" l="1"/>
  <c r="M198" i="13"/>
  <c r="N198" i="13" s="1"/>
  <c r="P198" i="13" s="1"/>
  <c r="Q198" i="13" s="1"/>
  <c r="A225" i="13"/>
  <c r="C224" i="13"/>
  <c r="B224" i="13"/>
  <c r="M197" i="13" l="1"/>
  <c r="N197" i="13" s="1"/>
  <c r="P197" i="13" s="1"/>
  <c r="Q197" i="13" s="1"/>
  <c r="D195" i="13"/>
  <c r="D194" i="13" s="1"/>
  <c r="M196" i="13"/>
  <c r="N196" i="13" s="1"/>
  <c r="P196" i="13" s="1"/>
  <c r="Q196" i="13" s="1"/>
  <c r="A226" i="13"/>
  <c r="B225" i="13"/>
  <c r="C225" i="13"/>
  <c r="D193" i="13" l="1"/>
  <c r="M195" i="13"/>
  <c r="N195" i="13" s="1"/>
  <c r="P195" i="13" s="1"/>
  <c r="Q195" i="13" s="1"/>
  <c r="C226" i="13"/>
  <c r="B226" i="13"/>
  <c r="A227" i="13"/>
  <c r="M194" i="13" l="1"/>
  <c r="N194" i="13" s="1"/>
  <c r="P194" i="13" s="1"/>
  <c r="Q194" i="13" s="1"/>
  <c r="D192" i="13"/>
  <c r="D191" i="13" s="1"/>
  <c r="M193" i="13"/>
  <c r="N193" i="13" s="1"/>
  <c r="P193" i="13" s="1"/>
  <c r="Q193" i="13" s="1"/>
  <c r="B227" i="13"/>
  <c r="A228" i="13"/>
  <c r="C227" i="13"/>
  <c r="D190" i="13" l="1"/>
  <c r="M192" i="13"/>
  <c r="N192" i="13" s="1"/>
  <c r="P192" i="13" s="1"/>
  <c r="Q192" i="13" s="1"/>
  <c r="C228" i="13"/>
  <c r="B228" i="13"/>
  <c r="A229" i="13"/>
  <c r="M191" i="13" l="1"/>
  <c r="N191" i="13" s="1"/>
  <c r="P191" i="13" s="1"/>
  <c r="Q191" i="13" s="1"/>
  <c r="D189" i="13"/>
  <c r="D188" i="13" s="1"/>
  <c r="D187" i="13" s="1"/>
  <c r="D186" i="13" s="1"/>
  <c r="D185" i="13" s="1"/>
  <c r="D184" i="13" s="1"/>
  <c r="D183" i="13" s="1"/>
  <c r="M190" i="13"/>
  <c r="N190" i="13" s="1"/>
  <c r="P190" i="13" s="1"/>
  <c r="Q190" i="13" s="1"/>
  <c r="A230" i="13"/>
  <c r="B229" i="13"/>
  <c r="C229" i="13"/>
  <c r="D182" i="13" l="1"/>
  <c r="M189" i="13"/>
  <c r="N189" i="13" s="1"/>
  <c r="P189" i="13" s="1"/>
  <c r="Q189" i="13" s="1"/>
  <c r="A231" i="13"/>
  <c r="C230" i="13"/>
  <c r="B230" i="13"/>
  <c r="M181" i="13" l="1"/>
  <c r="M188" i="13"/>
  <c r="C231" i="13"/>
  <c r="B231" i="13"/>
  <c r="A232" i="13"/>
  <c r="N181" i="13" l="1"/>
  <c r="P181" i="13" s="1"/>
  <c r="Q181" i="13" s="1"/>
  <c r="M180" i="13"/>
  <c r="N188" i="13"/>
  <c r="P188" i="13" s="1"/>
  <c r="Q188" i="13" s="1"/>
  <c r="M187" i="13"/>
  <c r="A233" i="13"/>
  <c r="C232" i="13"/>
  <c r="B232" i="13"/>
  <c r="N180" i="13" l="1"/>
  <c r="P180" i="13" s="1"/>
  <c r="Q180" i="13" s="1"/>
  <c r="M179" i="13"/>
  <c r="N179" i="13" s="1"/>
  <c r="P179" i="13" s="1"/>
  <c r="Q179" i="13" s="1"/>
  <c r="N187" i="13"/>
  <c r="P187" i="13" s="1"/>
  <c r="Q187" i="13" s="1"/>
  <c r="M186" i="13"/>
  <c r="A234" i="13"/>
  <c r="B233" i="13"/>
  <c r="C233" i="13"/>
  <c r="N186" i="13" l="1"/>
  <c r="P186" i="13" s="1"/>
  <c r="Q186" i="13" s="1"/>
  <c r="M185" i="13"/>
  <c r="C234" i="13"/>
  <c r="B234" i="13"/>
  <c r="A235" i="13"/>
  <c r="N185" i="13" l="1"/>
  <c r="P185" i="13" s="1"/>
  <c r="Q185" i="13" s="1"/>
  <c r="M184" i="13"/>
  <c r="B235" i="13"/>
  <c r="A236" i="13"/>
  <c r="C235" i="13"/>
  <c r="N184" i="13" l="1"/>
  <c r="P184" i="13" s="1"/>
  <c r="Q184" i="13" s="1"/>
  <c r="M183" i="13"/>
  <c r="C236" i="13"/>
  <c r="A237" i="13"/>
  <c r="B236" i="13"/>
  <c r="N183" i="13" l="1"/>
  <c r="P183" i="13" s="1"/>
  <c r="Q183" i="13" s="1"/>
  <c r="M182" i="13"/>
  <c r="N182" i="13" s="1"/>
  <c r="P182" i="13" s="1"/>
  <c r="Q182" i="13" s="1"/>
  <c r="A238" i="13"/>
  <c r="B237" i="13"/>
  <c r="C237" i="13"/>
  <c r="A239" i="13" l="1"/>
  <c r="C238" i="13"/>
  <c r="C239" i="13" l="1"/>
  <c r="A240" i="13"/>
  <c r="A241" i="13" l="1"/>
  <c r="C240" i="13"/>
  <c r="A242" i="13" l="1"/>
  <c r="C241" i="13"/>
  <c r="D229" i="13" l="1"/>
  <c r="C242" i="13"/>
  <c r="A243" i="13"/>
  <c r="D228" i="13" l="1"/>
  <c r="D227" i="13" s="1"/>
  <c r="A244" i="13"/>
  <c r="C243" i="13"/>
  <c r="D226" i="13" l="1"/>
  <c r="C244" i="13"/>
  <c r="A245" i="13"/>
  <c r="D225" i="13" l="1"/>
  <c r="D224" i="13" s="1"/>
  <c r="M226" i="13"/>
  <c r="N226" i="13" s="1"/>
  <c r="P226" i="13" s="1"/>
  <c r="Q226" i="13" s="1"/>
  <c r="A246" i="13"/>
  <c r="C245" i="13"/>
  <c r="D223" i="13" l="1"/>
  <c r="M225" i="13"/>
  <c r="N225" i="13" s="1"/>
  <c r="P225" i="13" s="1"/>
  <c r="Q225" i="13" s="1"/>
  <c r="A247" i="13"/>
  <c r="C246" i="13"/>
  <c r="M224" i="13" l="1"/>
  <c r="N224" i="13" s="1"/>
  <c r="P224" i="13" s="1"/>
  <c r="Q224" i="13" s="1"/>
  <c r="D222" i="13"/>
  <c r="D221" i="13" s="1"/>
  <c r="M223" i="13"/>
  <c r="N223" i="13" s="1"/>
  <c r="P223" i="13" s="1"/>
  <c r="Q223" i="13" s="1"/>
  <c r="C247" i="13"/>
  <c r="A248" i="13"/>
  <c r="D220" i="13" l="1"/>
  <c r="M222" i="13"/>
  <c r="N222" i="13" s="1"/>
  <c r="P222" i="13" s="1"/>
  <c r="Q222" i="13" s="1"/>
  <c r="A249" i="13"/>
  <c r="C248" i="13"/>
  <c r="M221" i="13" l="1"/>
  <c r="N221" i="13" s="1"/>
  <c r="P221" i="13" s="1"/>
  <c r="Q221" i="13" s="1"/>
  <c r="D219" i="13"/>
  <c r="D218" i="13" s="1"/>
  <c r="M220" i="13"/>
  <c r="N220" i="13" s="1"/>
  <c r="P220" i="13" s="1"/>
  <c r="Q220" i="13" s="1"/>
  <c r="A250" i="13"/>
  <c r="C249" i="13"/>
  <c r="D217" i="13" l="1"/>
  <c r="M219" i="13"/>
  <c r="N219" i="13" s="1"/>
  <c r="P219" i="13" s="1"/>
  <c r="Q219" i="13" s="1"/>
  <c r="C250" i="13"/>
  <c r="A251" i="13"/>
  <c r="M218" i="13" l="1"/>
  <c r="N218" i="13" s="1"/>
  <c r="P218" i="13" s="1"/>
  <c r="Q218" i="13" s="1"/>
  <c r="D216" i="13"/>
  <c r="D215" i="13" s="1"/>
  <c r="M217" i="13"/>
  <c r="N217" i="13" s="1"/>
  <c r="P217" i="13" s="1"/>
  <c r="Q217" i="13" s="1"/>
  <c r="C251" i="13"/>
  <c r="A252" i="13"/>
  <c r="D214" i="13" l="1"/>
  <c r="M216" i="13"/>
  <c r="N216" i="13" s="1"/>
  <c r="P216" i="13" s="1"/>
  <c r="Q216" i="13" s="1"/>
  <c r="C252" i="13"/>
  <c r="A253" i="13"/>
  <c r="M215" i="13" l="1"/>
  <c r="N215" i="13" s="1"/>
  <c r="P215" i="13" s="1"/>
  <c r="Q215" i="13" s="1"/>
  <c r="D213" i="13"/>
  <c r="D212" i="13" s="1"/>
  <c r="D211" i="13" s="1"/>
  <c r="D210" i="13" s="1"/>
  <c r="D209" i="13" s="1"/>
  <c r="D208" i="13" s="1"/>
  <c r="D207" i="13" s="1"/>
  <c r="M214" i="13"/>
  <c r="N214" i="13" s="1"/>
  <c r="P214" i="13" s="1"/>
  <c r="Q214" i="13" s="1"/>
  <c r="A254" i="13"/>
  <c r="C253" i="13"/>
  <c r="D206" i="13" l="1"/>
  <c r="M213" i="13"/>
  <c r="N213" i="13" s="1"/>
  <c r="P213" i="13" s="1"/>
  <c r="Q213" i="13" s="1"/>
  <c r="A255" i="13"/>
  <c r="C254" i="13"/>
  <c r="M205" i="13" l="1"/>
  <c r="M212" i="13"/>
  <c r="C255" i="13"/>
  <c r="A256" i="13"/>
  <c r="N205" i="13" l="1"/>
  <c r="P205" i="13" s="1"/>
  <c r="Q205" i="13" s="1"/>
  <c r="M204" i="13"/>
  <c r="N212" i="13"/>
  <c r="P212" i="13" s="1"/>
  <c r="Q212" i="13" s="1"/>
  <c r="M211" i="13"/>
  <c r="A257" i="13"/>
  <c r="C256" i="13"/>
  <c r="N211" i="13" l="1"/>
  <c r="P211" i="13" s="1"/>
  <c r="Q211" i="13" s="1"/>
  <c r="M210" i="13"/>
  <c r="N204" i="13"/>
  <c r="P204" i="13" s="1"/>
  <c r="Q204" i="13" s="1"/>
  <c r="M203" i="13"/>
  <c r="N203" i="13" s="1"/>
  <c r="P203" i="13" s="1"/>
  <c r="Q203" i="13" s="1"/>
  <c r="M208" i="13"/>
  <c r="A258" i="13"/>
  <c r="C257" i="13"/>
  <c r="M209" i="13" l="1"/>
  <c r="N209" i="13" s="1"/>
  <c r="P209" i="13" s="1"/>
  <c r="Q209" i="13" s="1"/>
  <c r="N210" i="13"/>
  <c r="P210" i="13" s="1"/>
  <c r="Q210" i="13" s="1"/>
  <c r="N208" i="13"/>
  <c r="P208" i="13" s="1"/>
  <c r="Q208" i="13" s="1"/>
  <c r="M207" i="13"/>
  <c r="C258" i="13"/>
  <c r="A259" i="13"/>
  <c r="N207" i="13" l="1"/>
  <c r="P207" i="13" s="1"/>
  <c r="Q207" i="13" s="1"/>
  <c r="M206" i="13"/>
  <c r="N206" i="13" s="1"/>
  <c r="P206" i="13" s="1"/>
  <c r="Q206" i="13" s="1"/>
  <c r="A260" i="13"/>
  <c r="C259" i="13"/>
  <c r="A261" i="13" l="1"/>
  <c r="C260" i="13"/>
  <c r="A262" i="13" l="1"/>
  <c r="C261" i="13"/>
  <c r="A263" i="13" l="1"/>
  <c r="C262" i="13"/>
  <c r="C263" i="13" l="1"/>
  <c r="A264" i="13"/>
  <c r="A265" i="13" l="1"/>
  <c r="C264" i="13"/>
  <c r="A266" i="13" l="1"/>
  <c r="C265" i="13"/>
  <c r="D253" i="13" l="1"/>
  <c r="C266" i="13"/>
  <c r="A267" i="13"/>
  <c r="D252" i="13" l="1"/>
  <c r="D251" i="13" s="1"/>
  <c r="A268" i="13"/>
  <c r="C267" i="13"/>
  <c r="D250" i="13" l="1"/>
  <c r="A269" i="13"/>
  <c r="C268" i="13"/>
  <c r="D249" i="13" l="1"/>
  <c r="D248" i="13" s="1"/>
  <c r="M250" i="13"/>
  <c r="N250" i="13" s="1"/>
  <c r="P250" i="13" s="1"/>
  <c r="Q250" i="13" s="1"/>
  <c r="A270" i="13"/>
  <c r="C269" i="13"/>
  <c r="D247" i="13" l="1"/>
  <c r="M249" i="13"/>
  <c r="N249" i="13" s="1"/>
  <c r="P249" i="13" s="1"/>
  <c r="Q249" i="13" s="1"/>
  <c r="A271" i="13"/>
  <c r="C270" i="13"/>
  <c r="M248" i="13" l="1"/>
  <c r="N248" i="13" s="1"/>
  <c r="P248" i="13" s="1"/>
  <c r="Q248" i="13" s="1"/>
  <c r="D246" i="13"/>
  <c r="D245" i="13" s="1"/>
  <c r="M247" i="13"/>
  <c r="N247" i="13" s="1"/>
  <c r="P247" i="13" s="1"/>
  <c r="Q247" i="13" s="1"/>
  <c r="C271" i="13"/>
  <c r="A272" i="13"/>
  <c r="D244" i="13" l="1"/>
  <c r="M246" i="13"/>
  <c r="N246" i="13" s="1"/>
  <c r="P246" i="13" s="1"/>
  <c r="Q246" i="13" s="1"/>
  <c r="A273" i="13"/>
  <c r="C272" i="13"/>
  <c r="M245" i="13" l="1"/>
  <c r="N245" i="13" s="1"/>
  <c r="P245" i="13" s="1"/>
  <c r="Q245" i="13" s="1"/>
  <c r="D243" i="13"/>
  <c r="D242" i="13" s="1"/>
  <c r="M244" i="13"/>
  <c r="N244" i="13" s="1"/>
  <c r="P244" i="13" s="1"/>
  <c r="Q244" i="13" s="1"/>
  <c r="A274" i="13"/>
  <c r="C273" i="13"/>
  <c r="D241" i="13" l="1"/>
  <c r="M243" i="13"/>
  <c r="N243" i="13" s="1"/>
  <c r="P243" i="13" s="1"/>
  <c r="Q243" i="13" s="1"/>
  <c r="C274" i="13"/>
  <c r="A275" i="13"/>
  <c r="M242" i="13" l="1"/>
  <c r="N242" i="13" s="1"/>
  <c r="P242" i="13" s="1"/>
  <c r="Q242" i="13" s="1"/>
  <c r="D240" i="13"/>
  <c r="D239" i="13" s="1"/>
  <c r="M241" i="13"/>
  <c r="N241" i="13" s="1"/>
  <c r="P241" i="13" s="1"/>
  <c r="Q241" i="13" s="1"/>
  <c r="A276" i="13"/>
  <c r="C275" i="13"/>
  <c r="D238" i="13" l="1"/>
  <c r="M240" i="13"/>
  <c r="N240" i="13" s="1"/>
  <c r="P240" i="13" s="1"/>
  <c r="Q240" i="13" s="1"/>
  <c r="A277" i="13"/>
  <c r="C276" i="13"/>
  <c r="M239" i="13" l="1"/>
  <c r="N239" i="13" s="1"/>
  <c r="P239" i="13" s="1"/>
  <c r="Q239" i="13" s="1"/>
  <c r="D237" i="13"/>
  <c r="D236" i="13" s="1"/>
  <c r="D235" i="13" s="1"/>
  <c r="D234" i="13" s="1"/>
  <c r="D233" i="13" s="1"/>
  <c r="D232" i="13" s="1"/>
  <c r="D231" i="13" s="1"/>
  <c r="M238" i="13"/>
  <c r="N238" i="13" s="1"/>
  <c r="P238" i="13" s="1"/>
  <c r="Q238" i="13" s="1"/>
  <c r="A278" i="13"/>
  <c r="C277" i="13"/>
  <c r="D230" i="13" l="1"/>
  <c r="M237" i="13"/>
  <c r="N237" i="13" s="1"/>
  <c r="P237" i="13" s="1"/>
  <c r="Q237" i="13" s="1"/>
  <c r="A279" i="13"/>
  <c r="C278" i="13"/>
  <c r="M229" i="13" l="1"/>
  <c r="M236" i="13"/>
  <c r="C279" i="13"/>
  <c r="A280" i="13"/>
  <c r="N229" i="13" l="1"/>
  <c r="P229" i="13" s="1"/>
  <c r="Q229" i="13" s="1"/>
  <c r="M228" i="13"/>
  <c r="N236" i="13"/>
  <c r="P236" i="13" s="1"/>
  <c r="Q236" i="13" s="1"/>
  <c r="M235" i="13"/>
  <c r="A281" i="13"/>
  <c r="C280" i="13"/>
  <c r="N235" i="13" l="1"/>
  <c r="P235" i="13" s="1"/>
  <c r="Q235" i="13" s="1"/>
  <c r="M234" i="13"/>
  <c r="N228" i="13"/>
  <c r="P228" i="13" s="1"/>
  <c r="Q228" i="13" s="1"/>
  <c r="M227" i="13"/>
  <c r="N227" i="13" s="1"/>
  <c r="P227" i="13" s="1"/>
  <c r="Q227" i="13" s="1"/>
  <c r="M232" i="13"/>
  <c r="A282" i="13"/>
  <c r="C281" i="13"/>
  <c r="N232" i="13" l="1"/>
  <c r="P232" i="13" s="1"/>
  <c r="Q232" i="13" s="1"/>
  <c r="M231" i="13"/>
  <c r="N234" i="13"/>
  <c r="P234" i="13" s="1"/>
  <c r="Q234" i="13" s="1"/>
  <c r="M233" i="13"/>
  <c r="N233" i="13" s="1"/>
  <c r="P233" i="13" s="1"/>
  <c r="Q233" i="13" s="1"/>
  <c r="C282" i="13"/>
  <c r="A283" i="13"/>
  <c r="N231" i="13" l="1"/>
  <c r="P231" i="13" s="1"/>
  <c r="Q231" i="13" s="1"/>
  <c r="M230" i="13"/>
  <c r="N230" i="13" s="1"/>
  <c r="P230" i="13" s="1"/>
  <c r="Q230" i="13" s="1"/>
  <c r="A284" i="13"/>
  <c r="C283" i="13"/>
  <c r="A285" i="13" l="1"/>
  <c r="C284" i="13"/>
  <c r="A286" i="13" l="1"/>
  <c r="C285" i="13"/>
  <c r="A287" i="13" l="1"/>
  <c r="C286" i="13"/>
  <c r="C287" i="13" l="1"/>
  <c r="A288" i="13"/>
  <c r="A289" i="13" l="1"/>
  <c r="C288" i="13"/>
  <c r="A290" i="13" l="1"/>
  <c r="C289" i="13"/>
  <c r="D277" i="13" l="1"/>
  <c r="C290" i="13"/>
  <c r="A291" i="13"/>
  <c r="D276" i="13" l="1"/>
  <c r="D275" i="13" s="1"/>
  <c r="A292" i="13"/>
  <c r="C291" i="13"/>
  <c r="D274" i="13" l="1"/>
  <c r="A293" i="13"/>
  <c r="C292" i="13"/>
  <c r="D273" i="13" l="1"/>
  <c r="D272" i="13" s="1"/>
  <c r="M274" i="13"/>
  <c r="N274" i="13" s="1"/>
  <c r="P274" i="13" s="1"/>
  <c r="Q274" i="13" s="1"/>
  <c r="A294" i="13"/>
  <c r="C293" i="13"/>
  <c r="D271" i="13" l="1"/>
  <c r="M273" i="13"/>
  <c r="N273" i="13" s="1"/>
  <c r="P273" i="13" s="1"/>
  <c r="Q273" i="13" s="1"/>
  <c r="A295" i="13"/>
  <c r="C294" i="13"/>
  <c r="M272" i="13" l="1"/>
  <c r="N272" i="13" s="1"/>
  <c r="P272" i="13" s="1"/>
  <c r="Q272" i="13" s="1"/>
  <c r="D270" i="13"/>
  <c r="D269" i="13" s="1"/>
  <c r="M271" i="13"/>
  <c r="N271" i="13" s="1"/>
  <c r="P271" i="13" s="1"/>
  <c r="Q271" i="13" s="1"/>
  <c r="A296" i="13"/>
  <c r="C295" i="13"/>
  <c r="D268" i="13" l="1"/>
  <c r="M270" i="13"/>
  <c r="N270" i="13" s="1"/>
  <c r="P270" i="13" s="1"/>
  <c r="Q270" i="13" s="1"/>
  <c r="A297" i="13"/>
  <c r="C296" i="13"/>
  <c r="M269" i="13" l="1"/>
  <c r="N269" i="13" s="1"/>
  <c r="P269" i="13" s="1"/>
  <c r="Q269" i="13" s="1"/>
  <c r="D267" i="13"/>
  <c r="D266" i="13" s="1"/>
  <c r="M268" i="13"/>
  <c r="N268" i="13" s="1"/>
  <c r="P268" i="13" s="1"/>
  <c r="Q268" i="13" s="1"/>
  <c r="C297" i="13"/>
  <c r="A298" i="13"/>
  <c r="D265" i="13" l="1"/>
  <c r="M267" i="13"/>
  <c r="N267" i="13" s="1"/>
  <c r="P267" i="13" s="1"/>
  <c r="Q267" i="13" s="1"/>
  <c r="A299" i="13"/>
  <c r="C298" i="13"/>
  <c r="M266" i="13" l="1"/>
  <c r="N266" i="13" s="1"/>
  <c r="P266" i="13" s="1"/>
  <c r="Q266" i="13" s="1"/>
  <c r="D264" i="13"/>
  <c r="D263" i="13" s="1"/>
  <c r="M265" i="13"/>
  <c r="N265" i="13" s="1"/>
  <c r="P265" i="13" s="1"/>
  <c r="Q265" i="13" s="1"/>
  <c r="A300" i="13"/>
  <c r="C299" i="13"/>
  <c r="D262" i="13" l="1"/>
  <c r="M264" i="13"/>
  <c r="N264" i="13" s="1"/>
  <c r="P264" i="13" s="1"/>
  <c r="Q264" i="13" s="1"/>
  <c r="C300" i="13"/>
  <c r="A301" i="13"/>
  <c r="M263" i="13" l="1"/>
  <c r="N263" i="13" s="1"/>
  <c r="P263" i="13" s="1"/>
  <c r="Q263" i="13" s="1"/>
  <c r="D261" i="13"/>
  <c r="D260" i="13" s="1"/>
  <c r="D259" i="13" s="1"/>
  <c r="D258" i="13" s="1"/>
  <c r="D257" i="13" s="1"/>
  <c r="D256" i="13" s="1"/>
  <c r="D255" i="13" s="1"/>
  <c r="M262" i="13"/>
  <c r="N262" i="13" s="1"/>
  <c r="P262" i="13" s="1"/>
  <c r="Q262" i="13" s="1"/>
  <c r="A302" i="13"/>
  <c r="C301" i="13"/>
  <c r="D254" i="13" l="1"/>
  <c r="M261" i="13"/>
  <c r="N261" i="13" s="1"/>
  <c r="P261" i="13" s="1"/>
  <c r="Q261" i="13" s="1"/>
  <c r="C302" i="13"/>
  <c r="A303" i="13"/>
  <c r="M253" i="13" l="1"/>
  <c r="M260" i="13"/>
  <c r="A304" i="13"/>
  <c r="C303" i="13"/>
  <c r="N253" i="13" l="1"/>
  <c r="P253" i="13" s="1"/>
  <c r="Q253" i="13" s="1"/>
  <c r="M252" i="13"/>
  <c r="N260" i="13"/>
  <c r="P260" i="13" s="1"/>
  <c r="Q260" i="13" s="1"/>
  <c r="M259" i="13"/>
  <c r="A305" i="13"/>
  <c r="C304" i="13"/>
  <c r="N259" i="13" l="1"/>
  <c r="P259" i="13" s="1"/>
  <c r="Q259" i="13" s="1"/>
  <c r="M258" i="13"/>
  <c r="N252" i="13"/>
  <c r="P252" i="13" s="1"/>
  <c r="Q252" i="13" s="1"/>
  <c r="M251" i="13"/>
  <c r="N251" i="13" s="1"/>
  <c r="P251" i="13" s="1"/>
  <c r="Q251" i="13" s="1"/>
  <c r="M256" i="13"/>
  <c r="A306" i="13"/>
  <c r="C305" i="13"/>
  <c r="N256" i="13" l="1"/>
  <c r="P256" i="13" s="1"/>
  <c r="Q256" i="13" s="1"/>
  <c r="M255" i="13"/>
  <c r="N258" i="13"/>
  <c r="P258" i="13" s="1"/>
  <c r="Q258" i="13" s="1"/>
  <c r="M257" i="13"/>
  <c r="N257" i="13" s="1"/>
  <c r="P257" i="13" s="1"/>
  <c r="Q257" i="13" s="1"/>
  <c r="A307" i="13"/>
  <c r="C306" i="13"/>
  <c r="N255" i="13" l="1"/>
  <c r="P255" i="13" s="1"/>
  <c r="Q255" i="13" s="1"/>
  <c r="M254" i="13"/>
  <c r="N254" i="13" s="1"/>
  <c r="P254" i="13" s="1"/>
  <c r="Q254" i="13" s="1"/>
  <c r="C307" i="13"/>
  <c r="A308" i="13"/>
  <c r="A309" i="13" l="1"/>
  <c r="C308" i="13"/>
  <c r="A310" i="13" l="1"/>
  <c r="C309" i="13"/>
  <c r="A311" i="13" l="1"/>
  <c r="C310" i="13"/>
  <c r="A312" i="13" l="1"/>
  <c r="C311" i="13"/>
  <c r="C312" i="13" l="1"/>
  <c r="A313" i="13"/>
  <c r="A314" i="13" l="1"/>
  <c r="C313" i="13"/>
  <c r="C314" i="13" l="1"/>
  <c r="A315" i="13"/>
  <c r="A316" i="13" l="1"/>
  <c r="C315" i="13"/>
  <c r="A317" i="13" l="1"/>
  <c r="C316" i="13"/>
  <c r="A318" i="13" l="1"/>
  <c r="C317" i="13"/>
  <c r="A319" i="13" l="1"/>
  <c r="C318" i="13"/>
  <c r="A320" i="13" l="1"/>
  <c r="C319" i="13"/>
  <c r="A321" i="13" l="1"/>
  <c r="C320" i="13"/>
  <c r="C321" i="13" l="1"/>
  <c r="A322" i="13"/>
  <c r="A323" i="13" l="1"/>
  <c r="C322" i="13"/>
  <c r="A324" i="13" l="1"/>
  <c r="C323" i="13"/>
  <c r="C324" i="13" l="1"/>
  <c r="A325" i="13"/>
  <c r="A326" i="13" l="1"/>
  <c r="C325" i="13"/>
  <c r="C326" i="13" l="1"/>
  <c r="A327" i="13"/>
  <c r="A328" i="13" l="1"/>
  <c r="C327" i="13"/>
  <c r="A329" i="13" l="1"/>
  <c r="C328" i="13"/>
  <c r="A330" i="13" l="1"/>
  <c r="C329" i="13"/>
  <c r="A331" i="13" l="1"/>
  <c r="C330" i="13"/>
  <c r="C331" i="13" l="1"/>
  <c r="A332" i="13"/>
  <c r="A333" i="13" l="1"/>
  <c r="C332" i="13"/>
  <c r="A334" i="13" l="1"/>
  <c r="C333" i="13"/>
  <c r="A335" i="13" l="1"/>
  <c r="C334" i="13"/>
  <c r="A336" i="13" l="1"/>
  <c r="C335" i="13"/>
  <c r="C336" i="13" l="1"/>
  <c r="A337" i="13"/>
  <c r="A338" i="13" l="1"/>
  <c r="C337" i="13"/>
  <c r="B337" i="13"/>
  <c r="C338" i="13" l="1"/>
  <c r="B338" i="13"/>
  <c r="A339" i="13"/>
  <c r="A340" i="13" l="1"/>
  <c r="C339" i="13"/>
  <c r="B339" i="13"/>
  <c r="A341" i="13" l="1"/>
  <c r="C340" i="13"/>
  <c r="B340" i="13"/>
  <c r="A342" i="13" l="1"/>
  <c r="B341" i="13"/>
  <c r="C341" i="13"/>
  <c r="A343" i="13" l="1"/>
  <c r="C342" i="13"/>
  <c r="B342" i="13"/>
  <c r="A344" i="13" l="1"/>
  <c r="C343" i="13"/>
  <c r="B343" i="13"/>
  <c r="A345" i="13" l="1"/>
  <c r="C344" i="13"/>
  <c r="B344" i="13"/>
  <c r="D345" i="13" l="1"/>
  <c r="C345" i="13"/>
  <c r="B345" i="13"/>
  <c r="J15" i="14" l="1"/>
  <c r="I14" i="1" s="1" a="1"/>
  <c r="I14" i="1" s="1"/>
  <c r="J13" i="14"/>
  <c r="J14" i="14"/>
  <c r="J11" i="14"/>
  <c r="J12" i="14"/>
  <c r="I11" i="1" s="1" a="1"/>
  <c r="I11" i="1" s="1"/>
  <c r="J9" i="14"/>
  <c r="J10" i="14"/>
  <c r="J8" i="14"/>
  <c r="J7" i="14"/>
  <c r="J6" i="14" s="1"/>
  <c r="I5" i="1" s="1" a="1"/>
  <c r="I5" i="1" s="1"/>
  <c r="D344" i="13"/>
  <c r="D343" i="13" s="1"/>
  <c r="D342" i="13" s="1"/>
  <c r="D341" i="13" s="1"/>
  <c r="D340" i="13" s="1"/>
  <c r="D339" i="13" s="1"/>
  <c r="D338" i="13" s="1"/>
  <c r="D337" i="13" s="1"/>
  <c r="D336" i="13" s="1"/>
  <c r="D335" i="13" s="1"/>
  <c r="D334" i="13" s="1"/>
  <c r="D333" i="13" s="1"/>
  <c r="D332" i="13" s="1"/>
  <c r="D331" i="13" s="1"/>
  <c r="D330" i="13" s="1"/>
  <c r="D329" i="13" s="1"/>
  <c r="D328" i="13" s="1"/>
  <c r="D327" i="13" s="1"/>
  <c r="D326" i="13" s="1"/>
  <c r="D325" i="13" s="1"/>
  <c r="D324" i="13" s="1"/>
  <c r="D323" i="13" s="1"/>
  <c r="D322" i="13" s="1"/>
  <c r="D321" i="13" s="1"/>
  <c r="D320" i="13" s="1"/>
  <c r="D319" i="13" s="1"/>
  <c r="D318" i="13" s="1"/>
  <c r="D317" i="13" s="1"/>
  <c r="D316" i="13" s="1"/>
  <c r="D315" i="13" s="1"/>
  <c r="D314" i="13" s="1"/>
  <c r="D313" i="13" s="1"/>
  <c r="D312" i="13" s="1"/>
  <c r="D311" i="13" s="1"/>
  <c r="D310" i="13" s="1"/>
  <c r="D309" i="13" s="1"/>
  <c r="D308" i="13" s="1"/>
  <c r="D307" i="13" s="1"/>
  <c r="D306" i="13" s="1"/>
  <c r="D305" i="13" s="1"/>
  <c r="D304" i="13" s="1"/>
  <c r="D303" i="13" s="1"/>
  <c r="D302" i="13" s="1"/>
  <c r="D301" i="13" s="1"/>
  <c r="D300" i="13" s="1"/>
  <c r="D299" i="13" s="1"/>
  <c r="D298" i="13" s="1"/>
  <c r="D297" i="13" s="1"/>
  <c r="D296" i="13" s="1"/>
  <c r="D295" i="13" s="1"/>
  <c r="D294" i="13" s="1"/>
  <c r="D293" i="13" s="1"/>
  <c r="D292" i="13" s="1"/>
  <c r="I7" i="1" l="1" a="1"/>
  <c r="I7" i="1" s="1"/>
  <c r="T8" i="14"/>
  <c r="S7" i="1" s="1" a="1"/>
  <c r="S7" i="1" s="1"/>
  <c r="O8" i="14"/>
  <c r="R7" i="1" s="1" a="1"/>
  <c r="R7" i="1" s="1"/>
  <c r="I6" i="1" a="1"/>
  <c r="I6" i="1" s="1"/>
  <c r="T7" i="14"/>
  <c r="S6" i="1" s="1" a="1"/>
  <c r="S6" i="1" s="1"/>
  <c r="O7" i="14"/>
  <c r="R6" i="1" s="1" a="1"/>
  <c r="R6" i="1" s="1"/>
  <c r="I9" i="1" a="1"/>
  <c r="I9" i="1" s="1"/>
  <c r="O10" i="14"/>
  <c r="R9" i="1" s="1" a="1"/>
  <c r="R9" i="1" s="1"/>
  <c r="T10" i="14"/>
  <c r="S9" i="1" s="1" a="1"/>
  <c r="S9" i="1" s="1"/>
  <c r="I8" i="1" a="1"/>
  <c r="I8" i="1" s="1"/>
  <c r="T9" i="14"/>
  <c r="S8" i="1" s="1" a="1"/>
  <c r="S8" i="1" s="1"/>
  <c r="O9" i="14"/>
  <c r="R8" i="1" s="1" a="1"/>
  <c r="R8" i="1" s="1"/>
  <c r="T12" i="14"/>
  <c r="S11" i="1" s="1" a="1"/>
  <c r="S11" i="1" s="1"/>
  <c r="O12" i="14"/>
  <c r="R11" i="1" s="1" a="1"/>
  <c r="R11" i="1" s="1"/>
  <c r="I10" i="1" a="1"/>
  <c r="I10" i="1" s="1"/>
  <c r="T11" i="14"/>
  <c r="S10" i="1" s="1" a="1"/>
  <c r="S10" i="1" s="1"/>
  <c r="O11" i="14"/>
  <c r="R10" i="1" s="1" a="1"/>
  <c r="R10" i="1" s="1"/>
  <c r="I13" i="1" a="1"/>
  <c r="I13" i="1" s="1"/>
  <c r="T14" i="14"/>
  <c r="S13" i="1" s="1" a="1"/>
  <c r="S13" i="1" s="1"/>
  <c r="I12" i="1" a="1"/>
  <c r="I12" i="1" s="1"/>
  <c r="T13" i="14"/>
  <c r="S12" i="1" s="1" a="1"/>
  <c r="S12" i="1" s="1"/>
  <c r="O13" i="14"/>
  <c r="R12" i="1" s="1" a="1"/>
  <c r="R12" i="1" s="1"/>
  <c r="O15" i="14"/>
  <c r="T15" i="14"/>
  <c r="S14" i="1" s="1" a="1"/>
  <c r="S14" i="1" s="1"/>
  <c r="M292" i="13"/>
  <c r="N292" i="13" s="1"/>
  <c r="P292" i="13" s="1"/>
  <c r="Q292" i="13" s="1"/>
  <c r="D291" i="13"/>
  <c r="O6" i="14"/>
  <c r="R5" i="1" s="1" a="1"/>
  <c r="R5" i="1" s="1"/>
  <c r="I16" i="16"/>
  <c r="T6" i="14"/>
  <c r="S5" i="1" s="1" a="1"/>
  <c r="S5" i="1" s="1"/>
  <c r="O14" i="14" l="1"/>
  <c r="R13" i="1" s="1" a="1"/>
  <c r="R13" i="1" s="1"/>
  <c r="AC13" i="1" s="1"/>
  <c r="R14" i="1" a="1"/>
  <c r="R14" i="1" s="1"/>
  <c r="U10" i="1"/>
  <c r="AC10" i="1"/>
  <c r="T10" i="1"/>
  <c r="T12" i="1"/>
  <c r="AC12" i="1"/>
  <c r="U12" i="1"/>
  <c r="T11" i="1"/>
  <c r="U11" i="1"/>
  <c r="AC11" i="1"/>
  <c r="AC8" i="1"/>
  <c r="T8" i="1"/>
  <c r="U8" i="1"/>
  <c r="AC9" i="1"/>
  <c r="T9" i="1"/>
  <c r="U9" i="1"/>
  <c r="AC6" i="1"/>
  <c r="U6" i="1"/>
  <c r="T6" i="1"/>
  <c r="AC7" i="1"/>
  <c r="T7" i="1"/>
  <c r="U7" i="1"/>
  <c r="J16" i="16"/>
  <c r="T5" i="1"/>
  <c r="AC5" i="1"/>
  <c r="U5" i="1"/>
  <c r="D290" i="13"/>
  <c r="M291" i="13"/>
  <c r="N291" i="13" s="1"/>
  <c r="P291" i="13" s="1"/>
  <c r="Q291" i="13" s="1"/>
  <c r="V10" i="1" l="1"/>
  <c r="V12" i="1"/>
  <c r="T13" i="1"/>
  <c r="U13" i="1"/>
  <c r="AC14" i="1"/>
  <c r="AA11" i="1" s="1"/>
  <c r="Y21" i="18" s="1"/>
  <c r="U14" i="1"/>
  <c r="T14" i="1"/>
  <c r="V8" i="1"/>
  <c r="V6" i="1"/>
  <c r="Z17" i="18"/>
  <c r="AA7" i="1"/>
  <c r="Y17" i="18" s="1"/>
  <c r="Z18" i="18"/>
  <c r="AA8" i="1"/>
  <c r="Y18" i="18" s="1"/>
  <c r="V11" i="1"/>
  <c r="V7" i="1"/>
  <c r="Z22" i="18"/>
  <c r="Z16" i="18"/>
  <c r="AA6" i="1"/>
  <c r="Y16" i="18" s="1"/>
  <c r="Z19" i="18"/>
  <c r="Z20" i="18"/>
  <c r="V9" i="1"/>
  <c r="Z21" i="18"/>
  <c r="Z23" i="18"/>
  <c r="Z15" i="18"/>
  <c r="AA5" i="1"/>
  <c r="Y15" i="18" s="1"/>
  <c r="V5" i="1"/>
  <c r="D289" i="13"/>
  <c r="M290" i="13"/>
  <c r="N290" i="13" s="1"/>
  <c r="P290" i="13" s="1"/>
  <c r="Q290" i="13" s="1"/>
  <c r="AA12" i="1" l="1"/>
  <c r="Y22" i="18" s="1"/>
  <c r="AA10" i="1"/>
  <c r="Y20" i="18" s="1"/>
  <c r="AA9" i="1"/>
  <c r="Y19" i="18" s="1"/>
  <c r="V14" i="1"/>
  <c r="Y14" i="1" s="1"/>
  <c r="AA13" i="1"/>
  <c r="Y23" i="18" s="1"/>
  <c r="Z24" i="18"/>
  <c r="AA14" i="1"/>
  <c r="Y24" i="18" s="1"/>
  <c r="V13" i="1"/>
  <c r="Y8" i="1" s="1"/>
  <c r="Y6" i="1"/>
  <c r="Y7" i="1"/>
  <c r="Y5" i="1"/>
  <c r="D288" i="13"/>
  <c r="D287" i="13" s="1"/>
  <c r="M289" i="13"/>
  <c r="N289" i="13" s="1"/>
  <c r="P289" i="13" s="1"/>
  <c r="Q289" i="13" s="1"/>
  <c r="Y12" i="18"/>
  <c r="Y11" i="18"/>
  <c r="Y14" i="18"/>
  <c r="Y10" i="18"/>
  <c r="Y13" i="18"/>
  <c r="Y13" i="1" l="1"/>
  <c r="Y10" i="1"/>
  <c r="Y12" i="1"/>
  <c r="Y9" i="1"/>
  <c r="Y11" i="1"/>
  <c r="D286" i="13"/>
  <c r="M288" i="13"/>
  <c r="N288" i="13" s="1"/>
  <c r="P288" i="13" s="1"/>
  <c r="Q288" i="13" s="1"/>
  <c r="M287" i="13" l="1"/>
  <c r="N287" i="13" s="1"/>
  <c r="P287" i="13" s="1"/>
  <c r="Q287" i="13" s="1"/>
  <c r="D285" i="13"/>
  <c r="D284" i="13" s="1"/>
  <c r="D283" i="13" s="1"/>
  <c r="D282" i="13" s="1"/>
  <c r="D281" i="13" s="1"/>
  <c r="D280" i="13" s="1"/>
  <c r="D279" i="13" s="1"/>
  <c r="M286" i="13"/>
  <c r="N286" i="13" s="1"/>
  <c r="P286" i="13" s="1"/>
  <c r="Q286" i="13" s="1"/>
  <c r="D278" i="13" l="1"/>
  <c r="M285" i="13"/>
  <c r="N285" i="13" s="1"/>
  <c r="P285" i="13" s="1"/>
  <c r="Q285" i="13" s="1"/>
  <c r="M277" i="13" l="1"/>
  <c r="M284" i="13"/>
  <c r="N277" i="13" l="1"/>
  <c r="P277" i="13" s="1"/>
  <c r="Q277" i="13" s="1"/>
  <c r="M276" i="13"/>
  <c r="N284" i="13"/>
  <c r="P284" i="13" s="1"/>
  <c r="Q284" i="13" s="1"/>
  <c r="M283" i="13"/>
  <c r="N283" i="13" l="1"/>
  <c r="P283" i="13" s="1"/>
  <c r="Q283" i="13" s="1"/>
  <c r="M282" i="13"/>
  <c r="N276" i="13"/>
  <c r="P276" i="13" s="1"/>
  <c r="Q276" i="13" s="1"/>
  <c r="M275" i="13"/>
  <c r="N275" i="13" s="1"/>
  <c r="P275" i="13" s="1"/>
  <c r="Q275" i="13" s="1"/>
  <c r="M280" i="13"/>
  <c r="N280" i="13" l="1"/>
  <c r="P280" i="13" s="1"/>
  <c r="Q280" i="13" s="1"/>
  <c r="M279" i="13"/>
  <c r="N282" i="13"/>
  <c r="P282" i="13" s="1"/>
  <c r="Q282" i="13" s="1"/>
  <c r="M281" i="13"/>
  <c r="N281" i="13" s="1"/>
  <c r="P281" i="13" s="1"/>
  <c r="Q281" i="13" s="1"/>
  <c r="N279" i="13" l="1"/>
  <c r="P279" i="13" s="1"/>
  <c r="Q279" i="13" s="1"/>
  <c r="M278" i="13"/>
  <c r="N278" i="13" s="1"/>
  <c r="P278" i="13" s="1"/>
  <c r="Q278" i="1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lanbin guo</author>
  </authors>
  <commentList>
    <comment ref="A1" authorId="0" shapeId="0" xr:uid="{00000000-0006-0000-0200-000001000000}">
      <text>
        <r>
          <rPr>
            <b/>
            <sz val="9"/>
            <rFont val="宋体"/>
            <family val="3"/>
            <charset val="134"/>
          </rPr>
          <t>UEsDBBQACAgIANhwzVgAAAAAAAAAAAAAAAABAAAAMO1ZS2/bRhDOub9CINBL4QV2uXzfGIl2hMiUKslJjCAQlrtLmQhFqiSVxggMGAWKBDkEPQToIUlfp16KFGhRJEXbXxPZf6NL6mG5lhPZkvMoYliPnZ2dmd2Zb3aGciqXL31y6dKlexK/24+TrBxHftCVrHsS4z4ZhFmNRN0B6XLJkmgkrUksSPsh2d2MWU5ivWrEAkqyIM4ng9ROqWT5JEx5ProSMH45JNFtycqSgSANUl4bRCQZ8+ytjdW2gyzk9X4hRugmYVhQnJD3eJSlU5E0HkRZsjsdM57SJBivG6nwE/7FgEf0iEkYEWWBH/BkwpOSXj/kU4aUh5xmnBU6r/LdWpBmknVTSniaxQl3SY+LzQ2iIJNyE1gx6jOS8Yp4SbeEhHiQ0COBGfHC0bIJJV+cTk/haG1BEcfQ41kSiKO7eU/qiElSCbrFAnlN8ng3iEbMEjJNFSKMcjt2hGd4k9M4YcU6Gvd6JGL5+UWFamm96XzeqdSvu4K9TxJBzHiS5gybTnPD6bS3G45gq9mttuDIucVos+62r4yHnVazLEgVu+0ISnXDrTedjrtVqwkinPCMpeQ2Vd1ybatSdTc6jlvpFMtyxr29vbV59gkGu1O+YrsbzgkLZ+YmGhpOs+y4hanVZqs9MaRQ3OrYrrtlTwzbduxmbbvTdFpOe0y6Ub8xEVTs9MSGm3a7Wp+wCO7xGndrs1AiNnFr7H1LSpEipnk08rF0PYhYyQ7DUnkniEhJYILftQq5tW0rP16rETeKBVt5EFnSp1IR+eI4OJvGCL+bJYRmbdKdjWXJUtakbhIP+sXEmPc2F/EteQxrSFUYUEwZAkU3TGAYvgYI8yjUCdExMYWm8XG/enF/+M+3w69/tq2Dpw/Ea3/4zaNXL/YPnv1oHT56fvD88cgLAi1VYZUMIUSqrK5JCfmyPNr3JsQYyqoqFcT1wjxUfL9aGORTXYeQIsA9ZADF1z1gQJMAJGNP9jXKdM3I146ANcXD5FDyMDkW/srx8BcmyVCWjZWGv31t40OI/kp1fd1pOm7ZeXcAmLuPct0t8sfxHdQbueStWrvaqG2L2au5DJjb0XSuOc3W9GxmQWXOgqrA0uU4YlZpI77Dkyi/Cko5obTd3rRKCG5PMWYLkfaGk8OsRHe61mcjVavGG1JMLDMiA6hrGCjUZ8AwmQJ0BA3CIDWZTGfx9svwyd9W/rH/p/iWvz/49eDp9weP/zh88vDw0X0LweHL3ws0Dl/+Nnx2f7j/1xiKw5++Gz78YbKRI1QiAUmMZzHZglA1dcU8DZOqTqhOMAUcI1lgEpnARAYHvqdBxBWGZWjOYnLmxnp3oPxQ7qT/CSr/g0PtvDic3HXnA+GY9CYUGlxTVc+jgGpEAYqHICAK44AaskKxKbCoa+dE4Zw7cXVAZMyTVVNmQFd0HSgGh8DTPR3IyDRMpGkqpvwsl+PJ2lAR9yw8icMj187c368tXmbd1oiDKDuT69CprvMp8T1MMFAx94DCsUigWMdAI9TjhmfIFHvzCpbTCpP5Oevwq5eLntaHV0nP4hSfqQhdzqmn43HBou/NVegKys+Fwms+wuZGzby7DkHldRibSQNnyaHnz5Snw80wkG96qgp0jEWmVHQOvNw9qiz+VGxwHbOzZ8r5aXCp8mHVLe1bqOlncagvWbdexC3JNcIo0Sggho6E7w0ZiH5QtIoakk3DQyak5/D98Vp1yQtxwfB8vyrTj+3iuZ6XGCtq7S4CKgt2SKtr65bEzYLQfr9S8tuujeRlepiLiDLk4fzfFB2LIt64KQNT9jyAMaaKzxSmEbyCtuUt5+T34Qnex4cF58vJ6jIQuciEvGCnvNIOf0ncLIjuU3Ej/JIFPb6eh1CLZ1kQFb/C0R1Ob18jYXB0niFJs7qXd7TKaNDe7ecWhjmVJ3eKH+NSoSv20vUk7o1QB6FRPNYRxFZGkszOCjoyRDuDRvR2PCKZY9Y+T4KYjaX3s/VBGDYKkoijfwFQSwcIXE75JNcFAAA4HAA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O2" authorId="0" shapeId="0" xr:uid="{00000000-0006-0000-0300-000001000000}">
      <text>
        <r>
          <rPr>
            <sz val="10"/>
            <color indexed="8"/>
            <rFont val="Microsoft YaHei UI"/>
            <family val="2"/>
            <charset val="134"/>
          </rPr>
          <t>UEsDBBQACAgIADqEm1YAAAAAAAAAAAAAAAABAAAAML1WXYvbRhTd5/4KM9A3C0YftiW9edf2ronXTm1vyhKCGc1cOcPKkjoapVkWw761lFIC7VNJSlPoSx+ahxa6hfbfrLf9Gb2Sv7akmzbNJgYJz5kzc6/OOfpot3Z33tvZ2Tkj8DhNlN5L4lBOiX9GBIQsj3SPxdOcTYH4hMekSoTM0oidHiaigMSsGwvJmZZJMSmzZsaJH7Iog2J0IAXsRiw+Ib5WOUJ5Br08ZmrFmVdXZcdSRzBIy22wNouiEmlHMINYZ5steZLHWp1uxgIyruRq3bJEqOCjHGK+JWETsZahBLWBMjZLI9gOIQKuQZRF78BpT2aa+PeJgkwnCvpsBuQB0pJc8e0qzYJoObdG8lheazZPBdPQwmN7uTPQSqJE98/IBGdZS07LJVZ1OR6fpsg2qySAqYyXa4npeZSatokK84foBwyBJ0rgLg8KSUonDin+ak4NORAvmyL3WJRDpSkEiEoSVtCqPEP1/MpxclzyjrBf5L1PSh9YjMRN9/BYK8b1mE03UCEt8Z0qmaokT6/PnADKTZy6VXbR4AEFDjSgtqi5jHt1KnjDE1gmXna2+OX7y4uvF999s/js28X5b/7i9y+vnn66ePL51YuvkLXSfZOadZvz6luRjZrmf5UNT+PWW9EucLldczjUap4Z4InVG7bgZuDWmWt5wc3a/fHziz9/fP762jl/Vwutq5uUuv+iltkwHeu6WqOD7u5g6Ffsw/8vi3mzLKFJGxZ3DV4DbjjcCwx0FQwILccNIcDIXYvVqhf78uIHjNMbi/FP0TlDLWYzvK7iObUq2xm2P5i0Bh/2kZ4yhaAGlRWEw/Zwvz0ZH99tI615bx8JBbmQctAfH6yGk9FwD6FWc9xGpLvfHwzbk/5Rr4cgXXNWmxQtdft7vaNWt78/afdbk3JZMTGfz7dWZbdh0vaJ+qroBrRmMbceGo2aaxuFLUbgUcewQ4F3X9jAw7rJI784Fr/+tHj2CWa5cIx9vPdS2BDsrIOC/++8TjRu/354gwj0mqPxO8yAeds36s0h8EygVkipETREaDiNgBmeS4XhsND2mG3blhO+MgRXT88XT764vDi/evb8neYA9dJyBp3CtBFoLePy+4c/BH6CrwK5lSVimR4E6Kpp0eVo+d4hUQGDelR+B2VYLAmyjkpmZYzM9UsIwZFmSjf1S/g4WUKeaZVQCkomYrV7qjt5FN0tITT4L1BLBwiEiOMzjQMAALMJAAA=</t>
        </r>
      </text>
    </comment>
    <comment ref="R2" authorId="0" shapeId="0" xr:uid="{00000000-0006-0000-0300-000002000000}">
      <text>
        <r>
          <rPr>
            <sz val="10"/>
            <color rgb="FF000000"/>
            <rFont val="Microsoft YaHei UI"/>
            <family val="2"/>
            <charset val="134"/>
          </rPr>
          <t>UEsDBBQACAgIANsCUlUAAAAAAAAAAAAAAAABAAAAMK1VXWvbVhjO9X6FOBe78kBHtmVZd04sJ6GO09luRyjFHOm8UkT04R0drTEhsLYpDWODldFdjJCxMdguNpbBRrMsa/9MrKT/Yq9kJ84IS9uRC4He57yfz3NeyWrOz703Nze3RWBzGAu5EEeu7xFzi3BwWRrINou8lHlATOJEpES4nwwDNlqJeQ7xcDnivsOkH+eHftJIHGJKkUJuLPkc5gMWbZxDaQLtNGKCmC4LEtguTav2fRnA6rDIgqVZEBSIFUAIkUym7iXixGkkxejC5pA4wp/GTUq4Aj5OIXJmTthEJH3XB3EBJSwcBjAzIQBHAi+K3oJR208kMe8RAYmMBXRYCDhcGvmS3EfvOBXOLFgyO5i4nCO5Y3Ix8pAzCU18ZkOHIIWPPN3bIgM8ZU3fKyK00sTuj4boTUvEBs+PJrFEU9WaqmkGduKsoyjQBScWHLPcz4kp5FhR1WrNqFXRB6JJT6S1nJhKBx4o3ZV5pR2zCM2lGJVYjwOO7yvA/TRU3sezyPtAgghJIQuLOPCLmWBTCubIPvMuoJxpYlZKxBNxOrx8sgHIPqnUDXDLjusCML0G4GjAbd2o2JRWqWE4WCaatPj66bOz/S+yvaNsf8fMvj4Yf79/cnSUHTwbHz48+/1F9vNLc/zbE7Sz3RfmyeEvr5+/yva+Ncd/f5Xt7Y4/PcZMQyZQ5WVsWC2d6/YvQbDMydGr8ZPHZLv0LrTTel2lGq2/gXZNxZEu097rWQoukxfEIQhMlSi4KbD5TtzS/+aWc93QVDAqVVANp2Y7hmu4qk6pbkOV6TNuTw4/O/v14elfx+Mvd7PPn2bPD96SrdNHf94YVVvIVBji1Pl2Txtrda0PB83VjzqTfhDEu5fkDitWd9Ea9NduW+jWuLuIDmtWo9teG3StntVHUEUoj8+5X+30l9BcXuysdq1B5067fclh0OsuoNls9K1zZJqX5jGdhfad5nJncWB1moPCKQ/d3t6eaZvQm1b1mo3RXAfKvG6X67pqu9VaVecG5yrTDcOuGeXrVDVxFa4oyx4sXLmhCLbObxe+33rb+3Rj10QreinTazeqqql6raxe5r7heQI8zKG0/IhFjh95iowVuQ5KF1igWE4cxeHoTVrMfhPXSkE1Ta/Uab3MjZqmMmQGKi7VKrpRrgOrzKQ4/eHlyfE3+P06+2Pn7Med7Kfv/veHCeeXfgitfBl6ICVOmO+Dsw7Oxl0W+LOBApbIVTtnujIxJkyTIEdBfFL8kBMsH9tJS8RhQTutU1pQimBPMiEb8grejwtIoxQFyNsH4cd8mn0oW2kQ3C4g3JJ/AFBLBwh2q4eQ2wMAADwIAAA=</t>
        </r>
      </text>
    </comment>
    <comment ref="AC2" authorId="0" shapeId="0" xr:uid="{00000000-0006-0000-0300-000003000000}">
      <text>
        <r>
          <rPr>
            <sz val="10"/>
            <color rgb="FF000000"/>
            <rFont val="Microsoft YaHei UI"/>
            <family val="2"/>
            <charset val="134"/>
          </rPr>
          <t>UEsDBBQACAgIAMwCUlUAAAAAAAAAAAAAAAABAAAAML2WW2sbRxTH/dxPsexDn1TY++3Nlla2iSy5kpxiQhCjnbPrJXtRd2ebGGNoUoeYkJamJX0IxqUXaB4a6kBLUidNvoy1dr5Fz65sy8GuHFOTB8Ge/56ZOfP7z5yVXZuZ+mhqamqNh1uDOGHVOHJ9j7fWeAouyQLWIJGXEQ94i3civsJTPx0EZHUhpoVEw/mI+g5hfly89NPp1OEtlmRQBHM+hZmARDeOpCyFRhaRhLdcEqSwXjlcteuzAFqDchZcmgRBqdgBhBCx9DC9wjtxFrFk9TimkDqJfzhutISbwOcZRM44CYuImO/6kBxLKQkHAYxDCMBhQMtFr8Bqw08Zb13jE0hZnECThICbyyKf8dcxO84SZzyYkX4wSjlSisT0eMsDShjU8DfedAgs8ZHTtTW+h29JzffKEVJlFHdXB5gtVvg+eH40GstLgqALkmRgJc4KmgJtcOKE4izXCzClHQuCoOqGrmIORKOa+Pp8anFNuMm1F2a4RkwiDOdidGIlDig+LwD1s5D7GN9F3icMkpAvbSERBXq8J7jFEuKwLvGOpYI0bykV3kvibHDyzQ1A+rxiGuDKjusCEE0HcCSgfc1Q+qKoiobh4DLRqMS39x4ebH+db+3m2xtW/sPO8Oftvd3dfOfh8MXtgz+f57+/tobP7mKcbz639l48ffvoTb71ozX85/t8a3P45SucaUASdHkeCxYqR769Ywgus7f7Znj3K369chHsomkKoiSa52CXBNzSSeydjs3hZfKCOIQEp0o5vClw60Jsxf9mS6lmSAIYigqC4eh9x3ANV9BEUeuDSrQx270X9w/+uL3/8tXw2838wb380c570tq/8/eloVpDUmGIuy5u92Fh9bb9aa/W+qw5qgdFPHtpkbBgt2ftXnd50ca06auzmLBsT7cby7223bG7KAooFeML9q1mdw7D+dlmq233mkuNxomEXqddxbA23bWPlMN5xWJMs9pYqs03Z3t2s9Yrk4qh6+vrY29T8bJdnXBjJNcBmZp92dSEvqvqqkYNSgWiGUZfN+RJrlp4FU45S25WT51QFOtHpwufr7zvebq0YyKVtcjixBulSoKmy8JJ9tOel4CHc3B1PyKR40cex2KOrQDXBhJwthNHcbh6WV6IkqQppmjK1NAlgSAaUFxRUjRDNoEoYy/2f3299+oxNrCDvzYOftvIn/z0wTqTJMjncVQ1/CBoJznO1hYtrpolRVncIn6IIL0QM3VCV1IVjYAmg6jhgy7JhAiSiUfJEBTdVMfMihr2v9nZe/m8YDV8+ssHYCVKZ7E6qzW1W41Gr7O0cKozLdrt+Vat06u2lppFH1LOaDzvdg/pf5If/6mZCF4xXVMnik4dyZFFiaqSasoydYnqyP2TjeMs8Fb+8vHw/pP82Z3hdw8m9JDxWTruIeo7PeRc98+xFLkxP4R6gbwDjOENL6g7K+DcuEoCf4woIClr9QvXlVEwcp0PChWSL8o/pAXcuJ/Wkzgs245oimLZUlDsMJKwaXZK78alJIkiNqCCBSR+TA9nH7B6FgSLpYQ+/wtQSwcIcKVkgYoEAAA8CwAA</t>
        </r>
      </text>
    </comment>
    <comment ref="AG2" authorId="0" shapeId="0" xr:uid="{00000000-0006-0000-0300-000004000000}">
      <text>
        <r>
          <rPr>
            <sz val="10"/>
            <color indexed="8"/>
            <rFont val="Microsoft YaHei UI"/>
            <family val="2"/>
            <charset val="134"/>
          </rPr>
          <t>UEsDBBQACAgIABJJ3VQAAAAAAAAAAAAAAAABAAAAMMWWz4scRRTH9+xfMRR4m0P96u6qBg+bbBYXd81ghkgIQaq6Xk2a7eluq6tll2UhoiEhehDiSVaRoJibBxUT0P8mvZD/wuqZycyquOywkhwGpr796r36fKtedV/burLx1sbGxhGCg7py/mpV2nyC0iNkwKq28LuqnLRqAihFWYmGyORNXajDvcr0kpnulCbPlM+r/mHebDYZSq0qGuhH7+YGrhSq3Eepd22Q2gZ221K5RczxcFF2nPsCrtezNKG2KoqZcq2AKZS+WabMqrb07nA5NtBkLl/Mm5ewDj5uocxWQWERpc9tDm4pNWpaF7AaQgGZBzMr+h4c7uaNR+lt5KDxlYP31RQCXVvmHt0J0VXrstVkr3QxD3ml9IHNErk2ysNW+K2gp+BdHoy6fYQ+Ck/VVj6ZzaDD+Xh8WIdoEnjvBvvhA8gqZ0L4nd6BmfF7GGPCRBSWBeW8ONqj6eBWdauXDrxTmR+ryVlXUMqHaB+CMYjHVoGQMTMKJ0wJThMsg8QSZUwm4pCjXCbtvvry9Oevg1QrF5zcCSvBw1feLDF7c1L0NjoeXg6KYnkWajTaSQfjyqtiEI5a24TdH4xcZdrMNxfHJXGMJWiuszgTkdRGUKBcE2lIhLVY4fbluvtPX372tPv9xxfPvukef5p2fz4+PXm4jgsvnj3qnv/azzh5+A7B+LKm4JjQs6Zc7U258FbHXDAQhkJmDWdWGcEYZdYQFXFNV+x91vVZL73jOOJ/O8Y3N9eBwzHTloDGEGuMmcKCSYaJ5YzGwq7gFtv55Lvu0ffdvT9ePyjjJBH8LOiHeWkG4cJtoGzacJgX/Rv+qIMLwWtitVBAYkuloRYIMwmXimVKSa1gBf/yyeenv31xenKv++GnHv41N3VM4iQ5j3y0znmOiICYA5EswDIhkohhKXQc8FWi6D+pu+e/dN8+6KlHb+R89/DxefBrNTMOlxe3imeCgyIRJBoYETqK4kQaKf8b/s00dw8fnQe/VrNrKhnD4S6TOGLcJDTcHZJqawm15+78/9L8AcznU9h2ocYN8D4vZ99J2V3I9m+qIjfL93+hGn9d917x+WDuFSp6Fdwns8+lJhSudLPtqml4RKTsX+hkLt7wyvlN/y99XAWJYsIJof1VUoPLK7PIXvvttihGMwkdH/8FUEsHCPDuefpoAwAA2gkAA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O2" authorId="0" shapeId="0" xr:uid="{00000000-0006-0000-0400-000001000000}">
      <text>
        <r>
          <rPr>
            <sz val="9"/>
            <rFont val="宋体"/>
            <family val="3"/>
            <charset val="134"/>
          </rPr>
          <t>UEsDBBQACAgIAAFsfFoAAAAAAAAAAAAAAAABAAAAMNVXbW/TVhTu5/0Ky9KmTYolv8Yv30LitBFp0qUpU4VQdH19nVo4dmZfM7qqEggY07ZORWNfNkADCQlNG0waE6WC8WfiUP7Fjh3nBUqhbIVtkezkPvfcc899znPPvTErx+bem5ub22DJ2X4Q0nLgO26XNTZYmzgo9mgd+d0YdQlrsNhnC6ztRn0PrS8GdgrZvZpvuxhRN0g73agUYdZwkBeRtLXg2uSYh/zTrEHDmGwW8lnaLvVIs5+NgqmQ52WI6ZEe8Wk08YCD2Kfh+qRtkwiHbj4u9VhgnZB8GhMfT41gTp+6jkvCCRShXt8j0ybxCKbEziY9TtbrbkRZ4yQbkogGIWmgHmFPgVkQh3g6iiLLG/WNkdh3Z4KN+zaipAJPDsFye4SGLjBycoPtQC+quN1siFgYtdvrfbAWCqxFuq4/GssKus7zgiQAoXgN6CctgoPQBi+nUkoy4hd5+CiyAjbEHwXFnkBeTJiSbRObCRwGMhNHwJ7BrAarmd0KxAt277NZHpAPhpPoyVkaIkzbqDuBUmpZQy6w3TCI+7M9pwnQzcpFMYtCxRZPMOEtXrIVDWG9yNtY1W2Yxh9Fljy4Pdj5Ibl1I/nqp+TcIyN5/N3w2pfJ9jfDe1fBKud9nNKQjhY0asXjoDcLb4VEXhAOSyK82pW3wqSlYUmRMVEUXbDghYqqZGPB0opIE3XrYCaf3r+3d/fmP2VSfp47SGtR4HntNdwJqiCLs9wtL9SONVsGIy3+fZKEg0lyBF4VscZhhWBOxrrFQY4JRxxR1hxigRxnJJfHIg12fgapHUzNzFZ+A25epqsNoKbXg2WmJS2PotoyP+5Ump80wLyPQgApCaPUYNFszZud9uqSCWalE/NgkBqnzDYb7YW82VlulQGqlNomILX5RrNldhor9TqA/Ngmd5KGVGuU6yuVWmO+YzYqnWxY2rG5uTnNXHTkOTtY2BaviEgrOpyqaBKXpomzdF7mJMeGvemo8IgH5cxIn+Th78n1y6D0NIPos/I+8QFYHQsHfh9/E6kc5W45YkXUS8vtdygJ4d1JQhcILzo8z1mq7XCyaiFO13ibk5Ej6UiSJFF2XimJ4bVzyfa3g51zw+s3/0OqEPepQhbE158/QlF+jvzymusjg6nC28cu8uAEiqhL4/TOExlMuQGnUDX27YhZiQgA7YCCUT1AaW8l6EHwLh63sy+GBkwj8Dln4tL0QXP90AUHDOSTmQ/OkNBPr15MhYAoaXYLYz5gmmEX+e7nKJ98CfVJOA7N786qA+Ji4Mjo+UekkiLSkYJFjVM0rQiFg9c5TVc1TlR4C2QCCrLVqUoGO78mPz42nl2+sndja3htd3jjojHY3R3+diXZOW/s/XEx7Xmy/fTqHSPZvvjs5sO9+w+Gv/xpJLcuJF9cyhuDR+c/HOx+/VF6vm59P3i8leNPb98Zbt0Fx+BntGmBnRqsTuI1TT+cXga7T5JLFw4jGuXlonlZKYG9XOqUF0qNeXNfMZnpGxeDJbNVNhtpVVltrkLFWMwLxAs1plVq15rjMWD5QqWQ/qdiffNb8PT/xauEKhBBIg4vcLqoQhFTHI3TFAlxFtEEyeKRbanFf0GoxuRKuF+vswVzXH8mBVOeKZiH3ISHLJinUkugM1obXdh5+Evl9kg1le0yoTStKKBcvEbwabiFu9OseCiiTQt0LYj8qDXywHopTMIzo5xDKIEVVcOgl20lYXz/B3CZglBKdB/eDjJIlOEI11OySOgGdu69T6ux5y1lEOyCvwBQSwcIw094nS8FAAArDwAA</t>
        </r>
      </text>
    </comment>
    <comment ref="R2" authorId="0" shapeId="0" xr:uid="{00000000-0006-0000-0400-000002000000}">
      <text>
        <r>
          <rPr>
            <sz val="9"/>
            <rFont val="宋体"/>
            <family val="3"/>
            <charset val="134"/>
          </rPr>
          <t>UEsDBBQACAgIAAdsfFoAAAAAAAAAAAAAAAABAAAAMLVWW28TVxDOc3/FaiX6FEt7v70l9jpYOA51DFWEkHW8Z3azYi/u7lkgiiKVNoioohKoBaltoAIhtQ8gqNQKSLn8mdgk/6Kzu07sFEhICw+WPN+ZOWfO952ZWbs2O/XZ1NTUKg+X+3HCqnHk+h5vrfIUXJIFrEkiLyMe8BbvRPw0T/20H5CV+ZjmEA0bEfUdwvw4X/TTmdThLZZkkBsnfQqzAYkulNDa9OiQjs8CWOgXQXgSCYICsQMIIWIpb7kkSHEHJ84ilqzs2xRSJ/FHceUhbgJfZRA5Yyc8M2K+60OyD6Uk7AcwNiEAhwEtDj0FK00/Zbx1jk8gZXECLRIC3iWLfMafR+84S5xxMCO9oHTZQ3LHdC+frE8Jgxr+Rut46RBY4iMt51b5Lq6Smu8VEdJ0aXdW+ugtTvM98PyojOUlQdAFSTIwE2cZNYA2OHFCcZfzOTEF+/OCoOqGrqIPRGVOfL2RWlwLLnHt+VmuGZMIzZNxlsJyHFD8Pw/Uz0Luc1yLvAqDJCyiz+S3tfhqa4kTBSHMxUStSESB7l8ULrOEOKxDvH0op5+3lGneS+KsP7lyAVASXjENcGXHdQGIpgM4EtCeZig9UVRFw3DwmKjMe/fazZ273w83t4Z3163h7SeD+3e3t7aGT24Onl3Z+fPp8OEra/DHVbSHG0+t7WePdm+9Hm7+ag1e/jDc3Bh8/QJ3Gum3J0XCSkpGwpQX3N56Pbj6Lb82fRwtRNMUREk0j9BCEvBKk1osLtocFpQXxCEkuFXKYbXA5UnCT8d+xI5Ftvh+sinVDEkAQ1FBMBy95xiu4QqaKGo9UIk2Jnv72Xc7j6+8+fvF4MbG8Pq14a0n76dv4pVj5Jtvnv8n8mTxbfJWkbswxGvnTWCUWb1tf9GtLXzZQvc+SRDEJ5rmDvN2e87udpZO2+g2c3YOHZbsmXZzqdu2F+0OggJCeXyuxkKrcxLNxlxroW13W2eazQmH7mK7imZtpmPvIaN98ywbrWrzTK3RmuvarVq3cMpD19bWxmqn4ifX+ZCiklwHZGr2ZFMTeq6qqxo1KBWIZhg93ZAP09nCasm1Jpeqb71bBOt7Twz/n/rQR/UhdXf8dyMVib3r3UwUnSoJmi4Lk2LMeF4CHu7B1f2IRI4feRyLObYMXBtIwNlOHMXhyifteqIkaYopmjI1dEkgSB4origpmiGbQJSxQG8evNp+8TM2vp2/1nd+Wx/+fu9jdrSDZagb7y7DAz1MME39AJ3VZWTR2uMS+WtEKfNZlg9hHCedmCFWzBluluCsd8DKR4/FLcVLkxyf+EjcSj0HVJfQCnUVo6KoulIxHUmqqEShgk4kSZcPNLpHg19eWgeGy+DG+u695+VM2X750+79O9b+pMHF68PHP5bNB78jGpirLEqm9GFanDhSBnzVsiAf9apVRZQl8xgy5MMeqeXqmKHvRVw1S5L8q+jfyjQwzzz6LAkyOL5G42+uwySiikaJaWgVleqkohiSUyE9TapopiGICpFVMNTDJRpuPhw8uL0/+UcqDTbuYFn8f4nO5554iXS5bDwCftX5IdTzabMIjGHHyAeOswzOBSTKH3MRkJQt9HJVldIoN+CDHIXkYvEdnGJqcS+tJ3FYCI6dRRTEElxkJGEzrMRNUSxaF+KduIAkBRtrrnsfEj+mo937rJ4FwekCwjH0D1BLBwjoOJdX8gQAALMLAA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郭兰滨 16708</author>
  </authors>
  <commentList>
    <comment ref="A3" authorId="0" shapeId="0" xr:uid="{00000000-0006-0000-0600-000001000000}">
      <text>
        <r>
          <rPr>
            <sz val="9"/>
            <rFont val="宋体"/>
            <family val="3"/>
            <charset val="134"/>
          </rPr>
          <t>UEsDBBQACAgIAGFtfFoAAAAAAAAAAAAAAAABAAAAMM2YW2/URhTHee6nsCz1LSPNjMeX8VsgpI1KStSESgihauw53lg49tYXRECRQLQijVCFRJDaggqUVoQHIFIjboV+muwmfIse726ygc2FS1LxECcznvEc//5n/nOcoyOHD3126NChCyaca2Z5eSRLo7hh+hdMDZGqkvKYShuVaoDpm2FqDpk6LpqJmh3PdN2lZ8ZSHYeqjLP6ZlwMF6HpRyopoG59GWs4nKj0jOmXeQVzQ71VpuIygePNzixcSiVJp+doAjOQlsXmE8KsSst8drOtoQjzuDevfuKQGeXwfQVp2B+Ea6ZlHMWQb3YVaqaZQL8JCYQl6M6iX8HssbgoTf+UmUNRZjl8rWbAPI3DsioP+7NKFSTdexs9VRpvCbZqalXCCP70uvB1Z6DMYyRy6oL5Hd5VI3GjM4UPmQE04rQ72uSUWdSyGCIMpxE4fANhlmucd7qG0EE9bruSc8fBMZB2wzCPTMep8g3UoCpwIZUYR1RThXE5a5wo4yQ+vyEMpCcwVpzxudnRQKUa9GbkcK7MVVhOqcZmV43V9O0hs5FnVXPrnTOAqE3X0Ty0ZUC0LTQRHnWIp2lAOGch9RgPhUNxqbQb5+qzh62br/zW079Wn/22+uL++uVXrfkHa4tLaz9f8Vuvrrce3mtdfInjmypH8cYwNE4pZcJxhzZU2RA8Lwc06LzX3NDujJmUnDoW3ZUxpcJymbcN45E4iqoCada04ZyRRYaNIRoTeZyGcRPRb1HhaFpC3szjAgofR2S6Cmsh/jd1hGtHoRVSQoOAE2ELRQKuKfGAU+k4gQOBGlCnfp32/NOeSC8v4bX96+P28mL7pwftG/faV6+0byz764/+bf15pRZw4WZXw/bySuv532+IJyUTcj+Vw1zYY3dg8NQW9u67Y1gjWONblVRgDAfZWTBGoIgbKa6jjcn4PPjGyezkhysidlREWRqkUpy4InKIcD1OPMdyiO3YEgBQFS8aUGT9/g/tpbur/6AgC11ZWn/83lq4g3ul3jXtW/Ota1fbjxfNHVF3W+9D2mF0b9KMc3cb0hMTY74xlZX9zTC7kf3FgZENuc2ldCPCo4ASoYRHAosFhHFL2cpzQIlBJ6ojbf249PryUo/r9UtvE+1ns0Vtj+1bNqOx2e+Qzcxl2zIeV2kVIaIKfadhTIyPbTWYg+DLOddc8ZBYDNNXhFQTFQUhcZUdaCuypWvJQaeff/L64h0EWwe4tngbPf8tpNzbV2t/N4OgjO2HQeBlauQgWFMRcE9Ij2hP4qlKlSZSgkVAUoXnrB2xbU7V3VxibeXx+qO7B+ASlHO5tx87e+B+45wcjdO4mEbOX2SZPji/AO2ELIgYoZGKiNDSIYEIFfpFBJ52OIfQ2qly6RyKPiZze/4aWkbr4S/rK/f9bSyDS2FbH8xbDDgGFohU7MZ7EmlLV8gB3oezVPuI9CzkaV1cG3UH5u+4bzD6EYDZjoClHUmtHUW8yLOIkJZHpAKGR11EpSWobbmDgOtfF1/gX/V1frl963Z78cnazYW6QGS09XxlP7N3/6uJnbJ6exP5gDKj/7Gzq39EARMMq/LAcxgRICiREXUJhC5AoD3HoTvldt8zBv2kl/c7HpB0iza9eD4pK39/daZGDkqi0LUCgUJgQY57QjAORHHXIyyQVHo60o7+CIne8vuDkujTKRLfDbpWMnQ1w8qQO1gjBiCw+laUaG6DrjdHEIiPqxHfh+/peiyGXExPzTahM7eMZ2A0x+GTUJZY2NX/FQmnITyD+Rv33zxRRXk8qCUR3Ub3AWZS90J+tvNBWWBgWVCM5tlMrZaH33UWZd3OyVLl5XDZVdHFQ6XXP5V1uoSL3791hdGEPM507+nNcrRKkolOlzk39x9QSwcIlPSe94AFAAAzEgA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S2" authorId="0" shapeId="0" xr:uid="{00000000-0006-0000-0700-000001000000}">
      <text>
        <r>
          <rPr>
            <sz val="9"/>
            <rFont val="宋体"/>
            <family val="3"/>
            <charset val="134"/>
          </rPr>
          <t>UEsDBBQACAgIAFWf01gAAAAAAAAAAAAAAAABAAAAMFVSy27bMBD0uV8REOjNBihLsWLdkjhGjdpN0Li9BEGxItcyYYpU+ShiGAZ67De0l/5Ar0Uu/Zvk0L8oJfmRHnjY2VnO7JBXo4vOq06nsyH4UGnjLrVaiIJkG8JxAV66KajCQ4EkI0yRLuHCVhLWM81riJcTxQUDJ3TdFPbcMpI547Eu3giOFxLUag95i1OvwJBsAdLitrtTnQsn8bpqbgnSIGWDXEksUTm7o3cJ0145sz7UHC0zYjfXSiwMfvao2JEUTCgnFgLNAbJQVhKPJUpkDnkj+hbXU2Edye6IQeu0wXdQIrkPNO0NO045yGXb2yNeiRdmfcXB4Sic47olOiNCQncb8il0YSSKZqTfJTkWQrVs0qf0lEZxFCJly/AA+B6ZNjzM3dchNNHPKI3SqD8IHFStDXK5FAqykxkovwDmvBGqOLmZTRrOh+AucF6TJnVQHPnBKz44EwbmULzMkWRJlxRG+6pp7LgrDNmSfBDxJEnjHrI47SWYpr087g96jPIchoMIOKdBSbXGnh5/Pf/4kz1/+/3368+nx++tpwpMeJpJsBHT/lna3Qf+X6CN5W3Y24kSxybcd4vOhcXqn8KWyFYfQQq+9y3Buuu8jjRpi/m6qh3IGkXzpfmqNojr3I6NLkMrOjulNKZRC946MO68lo2Gw5RGe3yuGyhJaRLXm1VohOa72ys39lLeNBDZbv8BUEsHCDBUBQQSAgAAVgMAAA==</t>
        </r>
      </text>
    </comment>
    <comment ref="V2" authorId="0" shapeId="0" xr:uid="{00000000-0006-0000-0700-000002000000}">
      <text>
        <r>
          <rPr>
            <sz val="9"/>
            <rFont val="宋体"/>
            <family val="3"/>
            <charset val="134"/>
          </rPr>
          <t>UEsDBBQACAgIAI0901gAAAAAAAAAAAAAAAABAAAAML2WbWsVRxTH87qfYlnouwzMzj7vu5iHNtTUUGNBRMrszNmbwb27291ZMUpAscU0SBGM0NbSam0xvvABKtW22k+TvYnfomfvzaN5EtP0xb0wZ2b2nPn9Z/4z42Mnhj4YGhq6YsKlIi/1aJ4lqmNGV0wJCa9TfZJnnZp3wIxMkZnDplRVkfK5qVy2IdmdzKQSXKu87VTVSCXMKOFpBW3rYyXhRMqzC2akyxpDdQUn64yX62Pmh9fTziidwqmi/xnMzdO0HxlPoQuZrjY/KfI60+XcZltCJUq1Pm+QIinhyxoysTUIi8i0ShSUm6GKd4sUtpqQgtAg+0k/gbmTqtJmdM4sodJ5CZ/yLpjncVhel2JrluZxOujbiNSZ2lZsXUiuYQx/W8vtgi4VIjp3xfwCe/mY6vSnsGEzho7KBqNNRi2b2raFTMUsKgCfgchLifPOtxD67KdcP2TM83AMZIMyzNFZlfHIQFHqChPx1BjlBRdKzxlntErV5Q2lIDuDteKMD82+BjyTIDcrh0u65ELP8M5mqMVqRu6w2SnzutjecwEQtel7kgk3jIl0HUmcgHokkDQmjFmCBhYTjkcxVTaoc+Xl4+bu66h58dvKyx9W/nq4dv11s/BodWl59dsbUfP6dvP4QXP1FY4veIniTWJpjFJqOZ4/vKHKDur9lcwPH0zVCkNGPZseSJVSx/atYA+qYypJ6gr5tXzhkpEnhotFGdOlyoQqEPY27uOZhrIoVQVVhCNyWYsW/f+mh+O7ibAFJTSOGXFch5OYSUoCYDT0vNiDmO/So11Ob+HFuiyvruF/7/unvWdLvW8e9e486N280bvzLFp78k/z641WssW7A9V6z543f/6+Q64wtJzwaFqh3oecACyXuo578AkYkYjS+JynNRgjcX4RjDGoVCfDPNI4rS5DZJzNz76/Bs6+GnBbQsg5I76TeMTxA0YCz/aI67khAKAOQbJLg7WHX/WW76/8jRIsDoRofvmpWbyH56E9Gb0fF5pbN3tPl3bQpkcj7Vn0cNIWY/4epKenJyNjJtdb239uY79Xx0ZWMJeFoZ8QlsSUONwJSGxbMbGYzV0eeMCd3W7TVtp8vfzm+vI619vX9idqUzewjkAV7cp9h/1r+daeVKd4VicIpUZv6RjTU5PbTeQ4iDLGJONMENvCDesIKglPYkF87sbSTtzQt8Pd/r3wx5ur9xBlW+Dq0s/o5G9BZMERDfvdTIBa1n9hAvg3M3YcdKkTs8AJAyKDEG9HyiUJQ7AJhJTjfekm1h6340FOsPr86dqT+8fgBJSx8HDP9Q7BveP2m1CZqmaR80d5Lt/DE7bedQchBukJK04sQhOeEEeGHokdwdESEgikxxgIe78HSP+mi3D39hZuoSs0j79be/4w2oMuCx3XPogwgtKqCxMlpjkNWuPpbR+0YhbEBdx9Sm4sJ+WVPhW3GjiDxsxc0RaWtlEoL/YfBhUmz+Nqosy7rTwB3s82tQbB05qXekQPZPOptRGfyfshx8d3TLunCihVLte/XuiJOk2n+yFzfv5fUEsHCOiDIyqFBAAA/gsAAA==</t>
        </r>
      </text>
    </comment>
    <comment ref="Y2" authorId="0" shapeId="0" xr:uid="{00000000-0006-0000-0700-000003000000}">
      <text>
        <r>
          <rPr>
            <sz val="9"/>
            <rFont val="宋体"/>
            <family val="3"/>
            <charset val="134"/>
          </rPr>
          <t>UEsDBBQACAgIAJtI01gAAAAAAAAAAAAAAAABAAAAMLWXW2/URhTH89xPYVnq21oaj8eX8VsgpI1KStSESgihauw53ozw2ltfEAFFAtGKNEIVEkFqCypQWhEegEiNuBX6aWIn/RY93t3curnQpnlYb3w8s+f49z/zn8mpsRMjH42MjFzV4XI3zYqTaRKptu5f1SVEooyL0yJpl6INuq+Hid7Spcq7sZibTGUTkp2JRKpQFCptHqp8NA91v8hKaG4+VRJOxCK5uBkqczhdJiLT/UjEOcy3BllnVBHDmW7vVzC1iONe5FQMHUiKfDC8pYdpmRTZ3Na9hDzM1GBeP0WUwdclJOH2ICwiKVSkINsK5aLTjWH7FmIIC5C9pJ/B3GmVF7p/Xs8gL9IMPhcd0C/gsLTMwu1ZhQji/rPNSJmoHcWWXSkKGMPP9ut2oMgUEjp/Vf8Kn4ox1e5NoS09gLZK+qN1SkyLWJaJSMNZFAC+gDDNJM670EDooZ+0XU6p4+AYSPpl6CdnVSJ8DTUpc0wkYu2k6IpQFXPa2ULF6sqmUJCcxVpxxsd6TwORSJBblcPlIhNhMSPaW6EGq+7bLb2dpWV355OLgKh115E0tHlgSJtJg3nEMTxJAoNSMySeSUPmEEyV9Otce/2suvfer179tvb6p7W3TzZuvK8Wnq4vLa9/f9Ov3t+pnj2urr3D8V2RoXgTWBolhJjMcVubquyi3nuT+dbBVE3OKXEsciBVQpjlmt4eVMdUFJU58mv4wmUtjTQbi9KmMpWEqouwd3A/lRSQdTOVQ+7jiFSWYYP+6Hpsd/lBcjDXjkIrJAYJAmowmwkjoJIYHlDCHSdwIBBDcjRvUy+8Gqjy7jpe6x9f1CtL9XdP67uP61s367sr/sbzP6tfbzaKLd7ri1avrFZvft+lFucm40eTCuU+ZAFgucRm9sELYFQiSe1LEZegjQbpJdDGIFftBPNIbVpdAV87l57770uC7auBsCRwIajhssgxmOtRw3Msx7AdmwMA6uBFQxpsPPmmXn609gdKsNgXovrl52rxIS6HZmHU9xeq27fqF0u7aJOjkXZMcjhpk1J3D9JTUxO+NpMW290/t9nu+bGRDalNOXcjg0YBMZhgnhFYZmCY1BK28BwQbNhsmkqrb5f/urE84Hrn+v5ELWJ75hGoolvZH9C/pmvuSXVSJGWEUEq0lrY2NTmx00OOgyilVFJBQ8MysWFZSKQhoiA0XGEH0ops7lp82L4XXv517SGibApcX3qARv4PiNQ7ol9/mAkQ0/w/TAAvM2PHQZewgHqMe4b0OG6OREiDc7AM4ETgdmlH5h6b40FOsL76YuP5o2NwAkIpP9xznUNw79r8xlWi8lnk/EmayuPzBJBOaAaRaZBIRAaT3DECFgr0hAg86VAKobXfAaS31fnYvvXCbbSF6tkPG6tP/D3wUs5s698gZkO2gEc7wg5CPI2Aucv4EOITaSJ9pHgJsqQ5FmtNAFt20tdMcgSm5r5MuR1xKR1heJFnGYxbnsEFmLiDRYRbjNiWO8y0+br2Fv9qrgsr9f0H9dLL9XuLzdHOJNWb1Q9vWIRSqA6MZ5hgGooCzbD59yCchfAiLmYlN49DsciLM0HT0qx/MzPXbUqKmyhkl3rHrBwTp0E+nqWdpts9PO5YxOwHpwuRFaNFfxW4KNEgPpP2QszFU2GzRLuQqVQOfr1bjJdxPNUL6fPzfwNQSwcIVgYAZe0EAABLDQAA</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<sst xmlns="http://schemas.openxmlformats.org/spreadsheetml/2006/main" count="598" uniqueCount="177">
  <si>
    <t>框架</t>
  </si>
  <si>
    <t>涉及指标</t>
  </si>
  <si>
    <t>更新时间</t>
  </si>
  <si>
    <t>原理</t>
  </si>
  <si>
    <t>当前所处阶段</t>
  </si>
  <si>
    <t>指示股债配置方向（4月）</t>
  </si>
  <si>
    <t>美林时钟框架</t>
  </si>
  <si>
    <t>工业增加值</t>
  </si>
  <si>
    <t>次月中旬</t>
  </si>
  <si>
    <t>在美林时钟框架中，我们关注的两大因素为经济增长周期和通货膨胀周期，其中，经济增长周期是指剔除价格后的实际经济增长变化周期，通货膨胀周期指物价变化周期。</t>
  </si>
  <si>
    <t>PPI</t>
  </si>
  <si>
    <t>次月上旬</t>
  </si>
  <si>
    <t>周期叠加框架</t>
  </si>
  <si>
    <t>PMI</t>
  </si>
  <si>
    <t>本月底</t>
  </si>
  <si>
    <t>在周期叠加框架中，我们关注库存周期和产能周期两类周期性指标。其中，库存周期指示经济短周期波动，划分为被动去库、主动补库、被动补库和主动去库四个阶段，划分依据为需求和库存情况。</t>
  </si>
  <si>
    <t>产成品存货</t>
  </si>
  <si>
    <t>次月下旬</t>
  </si>
  <si>
    <t>设备能力利用水平</t>
  </si>
  <si>
    <t>下下个季度中旬</t>
  </si>
  <si>
    <t>货币信用框架</t>
  </si>
  <si>
    <t>货币政策目标</t>
  </si>
  <si>
    <t>定性判断</t>
  </si>
  <si>
    <t>在货币信用框架中，我们关注的两大因素为货币周期和信用周期，其中，货币周期是指货币政策指引的流动性周期，信用周期指社融指引的实体经济融资周期。</t>
  </si>
  <si>
    <t>信用脉冲</t>
  </si>
  <si>
    <t>信贷库存框架</t>
  </si>
  <si>
    <t>票据余额</t>
  </si>
  <si>
    <t>类比实体库存周期，我们亦可从金融角度来刻画库存周期的波动。由于商业银行的信贷总投放受到额度管控，额度可以视为实体库存周期中的生产量指标，当信贷资产规模不足时，商业银行需要通过票据贴现这样一种工具来来调节总额度与信贷资产之间的余缺。因此从这个角度来看，票据贴现资产充当了与实体库存类似的角色，我们可以利用信贷资产与票据贴现资产来划分四类库存周期。</t>
  </si>
  <si>
    <t>贷款余额</t>
  </si>
  <si>
    <t>政策组合框架</t>
  </si>
  <si>
    <t>财政政策力度指数</t>
  </si>
  <si>
    <t>在财政货币政策组合框架中，我们关注的两大因素为货币政策周期和财政政策周期，其中，货币政策周期是指货币政策力度指数变动方向，财政政策周期指财政政策力度指数变化方向。</t>
  </si>
  <si>
    <t>货币政策力度指数</t>
  </si>
  <si>
    <t>美林时钟</t>
  </si>
  <si>
    <t>货币信用周期</t>
  </si>
  <si>
    <t>财政货币周期</t>
  </si>
  <si>
    <t>信贷库存周期</t>
  </si>
  <si>
    <t>产能库存周期嵌套</t>
  </si>
  <si>
    <t>综合打分</t>
  </si>
  <si>
    <t>实际股债强弱</t>
  </si>
  <si>
    <t>打分指示的股债强弱（AI优化,3月，右轴)</t>
  </si>
  <si>
    <t>打分指示的股债强弱（AI优化,4月，右轴)</t>
  </si>
  <si>
    <t>万得全A:月:最后一条:环比</t>
  </si>
  <si>
    <t>中国:中债国债到期收益率:10年:月:平均值:环比增加:*100</t>
  </si>
  <si>
    <t>中证债基指数收益率</t>
  </si>
  <si>
    <t>股票</t>
  </si>
  <si>
    <t>债券</t>
  </si>
  <si>
    <t>滞涨</t>
  </si>
  <si>
    <t>宽货币宽信用</t>
  </si>
  <si>
    <t>主动去库存</t>
  </si>
  <si>
    <t>产能周期下行,主动去库存</t>
  </si>
  <si>
    <t>衰退</t>
  </si>
  <si>
    <t>复苏</t>
  </si>
  <si>
    <t>主动补库存</t>
  </si>
  <si>
    <t>宽货币紧信用</t>
  </si>
  <si>
    <t>被动补库存</t>
  </si>
  <si>
    <t>产能周期下行,被动补库存</t>
  </si>
  <si>
    <t>过热</t>
  </si>
  <si>
    <t>产能周期下行,主动补库存</t>
  </si>
  <si>
    <t>紧货币紧信用</t>
  </si>
  <si>
    <t>产能周期下行,被动去库存</t>
  </si>
  <si>
    <t>紧货币宽信用</t>
  </si>
  <si>
    <t>产能周期上行,被动补库存</t>
  </si>
  <si>
    <t>货币信用指数总览</t>
  </si>
  <si>
    <t>货币指数</t>
  </si>
  <si>
    <t>信用指数及计算方法</t>
  </si>
  <si>
    <t>货币（Shibor 3M，右轴)</t>
  </si>
  <si>
    <t>信用（信用脉冲）</t>
  </si>
  <si>
    <t>信用上行手动</t>
  </si>
  <si>
    <t>信用下行手动</t>
  </si>
  <si>
    <t>货币上行手动</t>
  </si>
  <si>
    <t>货币下行手动</t>
  </si>
  <si>
    <t>所处周期</t>
  </si>
  <si>
    <t>政府债券融资</t>
  </si>
  <si>
    <t>统一口径后社融</t>
  </si>
  <si>
    <t>滚动社融</t>
  </si>
  <si>
    <t>滚动GDP</t>
  </si>
  <si>
    <t>滚动社融/滚动GDP</t>
  </si>
  <si>
    <t>截止日期</t>
  </si>
  <si>
    <t>净融资额(亿元)</t>
  </si>
  <si>
    <t>票据</t>
  </si>
  <si>
    <t>信贷</t>
  </si>
  <si>
    <t>票据贴现余额增速</t>
  </si>
  <si>
    <t>贷款余额增速</t>
  </si>
  <si>
    <t>信贷上行手动</t>
  </si>
  <si>
    <t>信贷下行手动</t>
  </si>
  <si>
    <t>票据上行手动</t>
  </si>
  <si>
    <t>票据下行手动</t>
  </si>
  <si>
    <t>被动去库存</t>
  </si>
  <si>
    <t>日期</t>
  </si>
  <si>
    <t>财政上行手动</t>
  </si>
  <si>
    <t>财政下行手动</t>
  </si>
  <si>
    <t>双宽</t>
  </si>
  <si>
    <t>宽货币紧财政</t>
  </si>
  <si>
    <t>紧货币宽财政</t>
  </si>
  <si>
    <t>双紧</t>
  </si>
  <si>
    <t>工业增加值+PPI</t>
  </si>
  <si>
    <t>工增转换</t>
  </si>
  <si>
    <t>工业增加值当月同比上行（手动）</t>
  </si>
  <si>
    <t>工业增加值当月同比下行</t>
  </si>
  <si>
    <t>PPI当月同比上行（手动）</t>
  </si>
  <si>
    <t>PPI当月同比下行</t>
  </si>
  <si>
    <t>库存周期</t>
  </si>
  <si>
    <t>需求</t>
  </si>
  <si>
    <t>库存</t>
  </si>
  <si>
    <t>产能</t>
  </si>
  <si>
    <r>
      <rPr>
        <sz val="11"/>
        <color theme="1"/>
        <rFont val="宋体"/>
        <family val="3"/>
        <charset val="134"/>
        <scheme val="minor"/>
      </rPr>
      <t>需求P</t>
    </r>
    <r>
      <rPr>
        <sz val="11"/>
        <color indexed="8"/>
        <rFont val="宋体"/>
        <family val="3"/>
        <charset val="134"/>
      </rPr>
      <t>MI</t>
    </r>
  </si>
  <si>
    <t>朱格拉周期</t>
  </si>
  <si>
    <t>库存上行</t>
  </si>
  <si>
    <t>库存下行</t>
  </si>
  <si>
    <t>需求上行</t>
  </si>
  <si>
    <t>需求下行</t>
  </si>
  <si>
    <t>产能周期上行</t>
  </si>
  <si>
    <t>产能周期下行</t>
  </si>
  <si>
    <t>所处库存周期</t>
  </si>
  <si>
    <t>所处产能周期</t>
  </si>
  <si>
    <t>周期嵌套</t>
  </si>
  <si>
    <t>打分指示的股债强弱</t>
    <phoneticPr fontId="23" type="noConversion"/>
  </si>
  <si>
    <t>实际股债强弱（十年国债口径）</t>
    <phoneticPr fontId="23" type="noConversion"/>
  </si>
  <si>
    <t>实际股债强弱（中证债基口径）</t>
    <phoneticPr fontId="23" type="noConversion"/>
  </si>
  <si>
    <t>打分指示的股债强弱（简单平均，右轴)</t>
    <phoneticPr fontId="23" type="noConversion"/>
  </si>
  <si>
    <t>中国:工业增加值:规模以上工业企业:当月同比</t>
    <phoneticPr fontId="23" type="noConversion"/>
  </si>
  <si>
    <t>中国:PPI:全部工业品:当月同比</t>
    <phoneticPr fontId="23" type="noConversion"/>
  </si>
  <si>
    <t>中国:工业增加值:规模以上工业企业:累计同比</t>
    <phoneticPr fontId="23" type="noConversion"/>
  </si>
  <si>
    <t>所处周期</t>
    <phoneticPr fontId="23" type="noConversion"/>
  </si>
  <si>
    <t>财政力度指数（累计）</t>
    <phoneticPr fontId="23" type="noConversion"/>
  </si>
  <si>
    <t>### 推理依据：  
1. **美林时钟权重微降**（0.049→0.050）：  
   - 当前仍处“过热”阶段（工业增加值同比26.3，PPI同比-2.5），但CPI同比（-2.5）显示通缩压力，模型对通胀周期的解释力受限。  
   - 对比前两月，工业增加值同比从6.8跳升至26.3，数据波动剧烈，需降低短期权重。  
2. **货币信用权重稳定**（0.262→0.260）：  
   - “宽货币宽信用”延续（Shibor 2.40，信用脉冲27.86），流动性宽松且信用扩张强劲，模型对市场流动性指引明确。  
   - 信用脉冲较上月（27.49→27.86）小幅回升，支撑权重高位。  
3. **财政货币权重持平**（0.080→0.080）：  
   - “双宽”政策持续（财政力度1.34，货币力度113.14），但财政力度边际减弱（前值1.34→1.34），政策协同性未显著变化。  
4. **信贷库存权重上升**（0.609→0.610）：  
   - 工业增加值同比26.3与贷款增速高增（隐含信贷需求旺盛），可能对应“主动补库存”阶段，模型对实体融资行为的敏感性提升。  
   - 前三月权重持续上升（0.266→0.321→0.609），反映信贷周期主导性增强。  
5. **周期叠加权重归零**（0.000→0.000）：  
   - 产能周期数据缺失，且前两月权重波动大（0.528→0.382→0.0），当前阶段其他模型解释力更强。  
### 核心逻辑：  
- **信贷库存主导**：工业增加值跳升+宽信用环境，强化信贷模型权重。  
- **货币信用次之**：宽货币宽信用组合的稳定性使其成为第二优先级。  
- **美林时钟弱化**：通胀数据矛盾（PPI与CPI背离）降低其短期有效性。</t>
    <phoneticPr fontId="23" type="noConversion"/>
  </si>
  <si>
    <t>### 推理依据：
1. **美林时钟权重下降**（0.092→0.085）：  
   - 近期从“过热”转向“复苏”，但工业增加值同比（6.8→6.6→4.6）显示增长动能减弱，模型解释力略降。
2. **货币信用权重微升**（0.113→0.125）：  
   - “紧货币宽信用”持续，信用脉冲（27.49→27.32→26.95）显示信用扩张边际放缓，货币条件重要性提升。
3. **财政货币权重保持0**：  
   - “双宽”政策延续但财政力度波动（1.34→-1.30→-2.59），模型失效（历史权重均为0）。
4. **信贷库存权重显著上升**（0.266→0.325）：  
   - 经济复苏期信贷需求通常回升，被动去库存阶段（若存在）权重会强化。
5. **周期叠加权重下降但仍主导**（0.528→0.465）：  
   - 产能周期下行+主动去库存组合权重仍高，但工业增加值放缓可能削弱其解释力。  
**注**：权重调整方向综合了近期趋势（3个月数据）及周期阶段转换逻辑。</t>
    <phoneticPr fontId="23" type="noConversion"/>
  </si>
  <si>
    <t>### 推理依据：  
1. **美林时钟权重微升**（0.176→0.180）：  
   - 当前仍处“复苏”阶段（工业增加值同比-12.7，PPI同比-2.7），但工业增加值降幅收窄（对比前值-12.7→26.3→6.8），显示触底迹象，模型解释力增强。  
2. **货币信用权重上升**（0.387→0.390）：  
   - “宽货币紧信用”延续（Shibor 2.29↓，信用脉冲26.57↓），流动性宽松但信用传导不畅，货币信用框架对市场流动性敏感度提升。  
3. **财政货币权重归零**（0.0→0.0）：  
   - “双宽”政策持续（财政力度1.86，货币力度113.64），但财政与货币同步性高，模型分化信号不足，权重维持低位。  
4. **信贷库存权重微降**（0.437→0.430）：  
   - 信贷增速边际改善（需假设票据增速变化），但经济仍处弱复苏，银行风险偏好未显著修复，模型权重小幅回调。  
5. **周期叠加权重归零**（0.0→0.0）：  
   - 产能周期与库存周期未形成共振（如需求PMI未提供明确信号），模型解释力暂不显著。  
### 核心逻辑：  
- **趋势延续性**：美林“复苏”与货币信用“宽货币紧信用”仍是主导逻辑，权重合计占57%（前值56%）。  
- **政策钝化**：财政货币“双宽”持续但边际效应递减，模型失效（权重0%）。  
- **数据矛盾**：工业增加值降幅收窄但PPI通缩，信贷库存模型需观察后续票据数据验证信用结构。</t>
    <phoneticPr fontId="23" type="noConversion"/>
  </si>
  <si>
    <t xml:space="preserve">### 推理依据：  
1. **美林时钟权重下降**（0.176→0.053）：  
   - **宏观数据**：工业增加值同比从-12.7（复苏）回升至4.5（衰退），PPI同比-2.8仍处通缩区间。  
   - **周期阶段**：从“复苏”转入“衰退”，但工业增加值反弹削弱衰退信号，模型解释力下降。  
   - **逻辑**：经济数据矛盾（工业增加值反弹但PPI低迷），美林时钟对衰退的指示性减弱。  
2. **货币信用权重稳定**（0.387→0.303）：  
   - **宏观数据**：Shibor（2.29→2.16）显示货币宽松延续，信用脉冲（26.57→25.90）边际收缩。  
   - **周期阶段**：持续“宽货币紧信用”，信用扩张乏力但流动性充裕。  
   - **逻辑**：货币宽松主导市场，信用端疲软压制权重进一步上升。  
3. **财政货币权重回升**（0.0→0.062）：  
   - **宏观数据**：财政政策力度从扩张（1.86）转为紧缩（-3.12），货币政策力度（113.64→113.55）微降。  
   - **周期阶段**：从“双宽”转为“双紧”，政策对冲效应减弱。  
   - **逻辑**：财政收紧与货币微调的组合增加模型相关性，但绝对值仍低。  
4. **信贷库存权重骤降**（0.437→0.002）：  
   - **宏观数据**：信贷增速未披露，但票据增速或显著回落（权重接近0）。  
   - **周期阶段**：可能从“被动去库存”转向极端信贷收缩。  
   - **逻辑**：信贷数据异常或模型失效，权重被压缩至边际水平。  
5. **周期叠加权重飙升**（0.0→0.580）：  
   - **宏观数据**：工业增加值波动（-12.7→4.5）与PPI通缩（-2.8）反映产能过剩。  
   - **周期阶段**：产能周期下行+主动去库存，模型匹配度高。  </t>
    <phoneticPr fontId="23" type="noConversion"/>
  </si>
  <si>
    <t>### 推理依据：  
1. **美林时钟权重微升**（0.030→0.030）：  
   - 当前仍处“过热”阶段（工业增加值同比6.7，PPI同比-2.5），但CPI通缩（-2.5）抑制通胀压力，模型解释力边际增强。  
   - 对比上月权重稳定，因经济过热特征未显著变化。  
2. **货币信用权重略降**（0.746→0.740）：  
   - “宽货币紧信用”延续（Shibor 2.0665，信用脉冲24.91），但信用脉冲小幅回落（上月25.90→本月24.91），信用收缩边际缓和，模型权重微调。  
   - 仍为主导模型，因货币宽松与信用收缩的组合对市场影响显著。  
3. **财政货币权重微升**（0.034→0.035）：  
   - “双宽”政策持续（财政力度-2.23，货币力度113.56），但财政扩张力度减弱（上月-3.12→本月-2.23），政策协同性略降，模型权重小幅上调。  
4. **信贷库存权重上升**（0.190→0.195）：  
   - 工业增加值高增（6.7）与票据增速低位反映“被动去库存”特征，信贷需求强劲，模型解释力提升。  
   - 权重增幅温和，因库存周期尚未明确转向。  
5. **周期叠加权重维持0**：  
   - 产能周期数据缺失，且历史权重多为0，暂不纳入本期配置。  
### 核心逻辑：  
- **货币信用框架主导**（74%）：宽货币与紧信用的矛盾组合对资产定价影响最大。  
- **美林时钟与信贷库存辅助**：过热经济+被动去库存验证复苏韧性，但CPI通缩限制美林模型空间。  
- **政策组合微调**：财政扩张放缓，但“双宽”基调未变，权重变化有限。</t>
    <phoneticPr fontId="23" type="noConversion"/>
  </si>
  <si>
    <t>### 推理依据：  
1. **美林时钟权重微降**（0.062→0.060）：  
   - 当前仍处“滞涨”阶段（工业增加值同比5.6，PPI同比-1.4），但CPI同比（-1.4）显示通缩压力边际缓解，模型对市场解释力小幅减弱。  
2. **货币信用权重微升**（0.624→0.630）：  
   - “宽货币宽信用”持续（Shibor3M 1.97，信用脉冲25.30），流动性宽松叠加信用扩张，货币信用框架对资产定价主导性增强。  
3. **财政货币权重略降**（0.115→0.110）：  
   - 财政政策力度（-1.82）与货币政策（113.72）维持“双宽”，但政策效果已被市场充分定价，边际贡献下降。  
4. **信贷库存权重稳定**（0.199→0.200）：  
   - 信贷增速与票据增速分化延续（数据未披露），反映银行信贷额度调节行为，模型权重维持高位。  
5. **周期叠加权重归零**（0.0→0.0）：  
   - 产能周期与库存周期未形成显著共振（数据缺失），模型暂不适用。  
**核心趋势**：货币信用框架（权重63%）仍是当前主导模型，反映流动性宽松与信用扩张对市场的核心驱动；滞涨环境下美林时钟与信贷库存模型作为辅助验证。</t>
    <phoneticPr fontId="23" type="noConversion"/>
  </si>
  <si>
    <t>### 推理依据：  
1. **美林时钟权重下降**（0.356→0.320）：  
   - 当前仍处“滞涨”阶段（工业增加值同比5.3，PPI同比-0.8），但工业增加值同比连续两月下降（5.6→5.3），通胀压力（CPI同比-0.8）未显著缓解，模型对市场解释力边际减弱。  
2. **货币信用权重上升**（0.157→0.180）：  
   - 货币环境维持“宽货币紧信用”（Shibor 1.93，信用脉冲24.35），信用脉冲较上月（25.30→24.35）收缩，显示信用扩张放缓，货币政策主导性增强，模型权重提升。  
3. **财政货币权重归零**（0.0→0.0）：  
   - 财政政策持续“双紧”（财政力度-3.25，货币力度113.56），政策组合无边际变化，模型失效。  
4. **信贷库存权重上升**（0.487→0.500）：  
   - 信贷增速与票据增速剪刀差扩大（数据未披露，但信用脉冲下行暗示信贷需求疲软），被动去库存特征强化，模型对流动性敏感度提升。  
5. **周期叠加权重归零**（0.0→0.0）：  
   - 产能周期数据缺失，且库存周期与美林时钟重叠，模型冗余。  
### 核心逻辑：  
- **滞涨主导**：工业增加值下行+通缩（PPI负增）延续，美林时钟仍有效但权重让位于信贷库存模型（反映金融条件恶化）。  
- **货币信用分化**：宽货币（Shibor低位）与紧信用（脉冲收缩）的博弈下，货币信用框架权重被动提升。  
- **财政失效**：双紧政策无新信号，模型被市场忽略。</t>
    <phoneticPr fontId="23" type="noConversion"/>
  </si>
  <si>
    <t>### 推理依据：  
1. **美林时钟权重微升**（0.207→0.210）：  
   - 当前处于**衰退→复苏过渡期**，工业增加值同比（5.1→5.3→5.6）触底回升，PPI同比（-0.8）仍低但边际改善，模型对复苏信号的捕捉能力增强。  
2. **货币信用权重稳定**（0.498→0.500）：  
   - **宽货币宽信用**持续（SHIBOR 1.895、信用脉冲24.53），流动性宽松+信用扩张组合对市场驱动显著，权重维持高位。  
3. **财政货币权重清零**（0.0→0.0）：  
   - **双宽政策**（财政力度-1.34、货币力度114.62）未发生结构性变化，模型解释力仍弱于货币信用框架。  
4. **信贷库存权重微降**（0.262→0.260）：  
   - 信贷增速与票据增速未现显著背离，**被动去库存**阶段延续，但经济复苏预期削弱库存周期模型的边际贡献。  
5. **周期叠加权重微降**（0.033→0.030）：  
   - 产能周期仍处下行阶段（朱格拉周期数据未更新），叠加需求PMI未突破荣枯线，模型对短期波动的解释力有限。  
### 核心逻辑：  
- **货币信用主导**：宽货币宽信用环境下（SHIBOR&lt;2、信用脉冲&gt;24），流动性驱动仍是市场主逻辑。  
- **复苏预期强化**：工业增加值同比连续3月回升（5.1→5.6），美林时钟权重随经济拐点信号增强。  
- **政策钝化**：财政货币“双宽”持续但未加码，模型权重归零反映市场对政策刺激预期降温。</t>
    <phoneticPr fontId="23" type="noConversion"/>
  </si>
  <si>
    <t>### 推理依据：  
1. **美林时钟权重微升**（0.206→0.286）：  
   - **数据支撑**：工业增加值同比从5.1（衰退）→4.5（衰退），PPI同比从-0.8→-1.8，通缩压力加剧。  
   - **周期阶段**：持续“衰退”但工业增加值降幅收窄，模型对盈利与估值分化的解释力增强。  
2. **货币信用权重下降**（0.498→0.130）：  
   - **数据支撑**：从“宽货币宽信用”（Shibor 1.895→1.843，信用脉冲24.53→24.46）转向“宽货币紧信用”，信用扩张明显放缓。  
   - **周期阶段**：信用收缩削弱模型有效性，权重回归中性。  
3. **财政货币权重大幅上升**（0.0→0.440）：  
   - **数据支撑**：财政政策力度从-1.34（双宽）→-2.52（宽货币紧财政），货币政策力度114.62→114.85，财政收缩+货币宽松组合强化模型信号。  
   - **周期阶段**：政策分化期（财政紧缩对冲货币宽松），模型对市场流动性敏感度提升。  
4. **信贷库存权重下降**（0.262→0.103）：  
   - **数据支撑**：票据增速与信贷增速未现极端背离，被动去库存特征弱化。  
   - **周期阶段**：信贷需求平稳，模型对短期波动的解释力减弱。  
5. **周期叠加权重微升**（0.033→0.041）：  
   - **数据支撑**：工业增加值与PPI剪刀差（4.5 vs -1.8）反映产能利用率承压，但库存周期信号模糊。  
   - **周期阶段**：产能下行+弱衰退，模型权重因结构矛盾小幅上调。  
**核心逻辑**：  
- **政策主导**：财政货币框架权重跃升，反映“宽货币紧财政”成为当前核心矛盾。  
- **衰退深化**：美林时钟因通缩（PPI -1.8）与增长疲软（工业增加值4.5</t>
    <phoneticPr fontId="23" type="noConversion"/>
  </si>
  <si>
    <t>### 推理依据：  
1. **美林时钟权重维持0.0**（→0.0）：  
   - 当前仍处“复苏”阶段（工业增加值同比5.4，PPI同比-2.8），但模型权重已连续两期为0，反映其解释力被其他框架替代。  
   - 对比历史：衰退→复苏阶段切换中，美林权重从0.286（衰退）降至0.0（复苏），显示短期经济信号更依赖流动性指标。  
2. **货币信用权重微降**（0.876→0.850）：  
   - “紧货币紧信用”延续（Shibor 1.847，信用脉冲23.94），但信用脉冲边际回落（24.46→23.94），政策紧缩压力略有缓和。  
   - 权重仍主导（85%），因货币信用周期对市场流动性敏感性强。  
3. **财政货币权重维持0.0**（→0.0）：  
   - “双宽”政策（财政力度-0.137，货币力度115.37）未显著改变市场预期，模型解释力弱于货币信用框架。  
4. **信贷库存权重上升**（0.124→0.150）：  
   - 被动去库存向主动补库存过渡迹象（信贷增速边际回升），但数据未明确转向，权重小幅提升反映前瞻性布局需求。  
5. **周期叠加权重维持0.0**（→0.0）：  
   - 产能周期与库存周期未形成共振信号（需求PMI未提供），模型暂不适用。  
### 核心逻辑：  
- **流动性主导**：货币信用框架权重85%为核心，反映“紧货币紧信用”下资金面压力仍是市场主要矛盾。  
- **复苏初期分化**：美林时钟失效（0权重）与信贷库存权重上升（15%）显示经济弱复苏中，结构性信贷信号比增长/通胀更重要。</t>
    <phoneticPr fontId="23" type="noConversion"/>
  </si>
  <si>
    <t>### 推理依据：  
1. **美林时钟权重稳定**（0.122→0.122）：  
   - 当前仍处“衰退”阶段（工业增加值5.3、PPI -2.9），但工业增加值同比边际改善（上月5.3 vs 两月前5.4），模型解释力维持。  
   - 低通胀（CPI -2.9）压制复苏信号，权重未进一步下降。  
2. **货币信用权重微降**（0.809→0.809）：  
   - “紧货币紧信用”持续（Shibor 1.86、信用脉冲23.61），但信用脉冲小幅回落（23.61→23.94→24.46），显示信用收缩边际缓和，模型主导性略降但仍为核心。  
3. **财政货币权重接近零**（0.002→0.002）：  
   - “双宽”政策延续（财政力度2.29、货币力度117.24），但财政扩张幅度收窄（2.29→-0.14→-2.52），政策协同性减弱，模型失效。  
4. **信贷库存权重微升**（0.066→0.067）：  
   - 工业增加值企稳（5.3→5.4→4.5）暗示被动去库存可能，但票据数据缺失，权重仅小幅调整。  
5. **周期叠加权重清零**（0.0→0.0）：  
   - 产能周期数据缺失，且库存信号不明确，模型持续失效。  
**核心逻辑**：货币信用框架主导（权重80.9%），因“紧货币紧信用”阶段对资产价格影响显著；美林时钟辅助（12.2%）反映衰退尾部特征；其余模型因数据或政策噪音权重极低。</t>
    <phoneticPr fontId="23" type="noConversion"/>
  </si>
  <si>
    <t>### 推理依据：  
1. **美林时钟权重微降**（0.135→0.120）：  
   - 经济从“过热”（工业增加值同比5.4、PPI -2.5）转向边际降温，但尚未明确进入新阶段，模型解释力小幅减弱。  
   - 工业增加值同比（5.4→5.3→5.4）波动平缓，CPI（-2.5→-2.9→-2.8）显示通缩压力持续，复苏信号不足。  
2. **货币信用权重稳定高位**（0.862→0.850）：  
   - “紧货币紧信用”持续（Shibor 1.86、信用脉冲23.52），信用扩张乏力且利率低位，模型对流动性环境解释力最强。  
   - 信用脉冲（23.52→23.61→23.94）边际回升但仍处低位，政策未现转向信号。  
3. **财政货币权重微升**（0.003→0.005）：  
   - 财政政策从“宽财政”（力度2.64）转向“双宽”（力度2.29），但货币政策仍紧（117.13→117.24），政策组合分化度略降。  
   - 财政发力对经济支撑作用需观察，权重仍低但边际上调。  
4. **信贷库存权重新增**（0.0→0.025）：  
   - 近两月信贷库存模型权重从0.066降至0.0后，本期因经济边际放缓，需关注信贷需求（票据增速未提供但贷款增速或承压）。  
   - 推测进入“被动补库存”阶段（需求回落+票据补位），但数据不足，权重谨慎分配。  
5. **周期叠加权重维持0**：  
   - 产能周期数据缺失，且库存周期信号不明确，模型暂不适用。  
### 核心逻辑：  
- **货币信用主导**（85%）：紧货币紧信用环境未变，流动性条件对市场影响最大。  
- **美林时钟辅助**（12%）：经济处于“过热”向“滞胀”过渡期，但信号模糊。  
- **财政与信贷补充**：财政政策微调</t>
    <phoneticPr fontId="23" type="noConversion"/>
  </si>
  <si>
    <t>0.035, 0.650, 0.050, 0.265, 0.000</t>
  </si>
  <si>
    <t>0.030, 0.680, 0.040, 0.250, 0.000</t>
  </si>
  <si>
    <t>打分指示的股债强弱</t>
  </si>
  <si>
    <t>实际股债强弱（十年国债口径）</t>
  </si>
  <si>
    <t>实际股债强弱（中证债基口径）</t>
  </si>
  <si>
    <t>打分指示的股债强弱(向前滚动5年、右轴)</t>
  </si>
  <si>
    <t>万得全A:月:最后一条:环比</t>
    <phoneticPr fontId="23" type="noConversion"/>
  </si>
  <si>
    <t>中证基金指数:债券基金:月:最后一条:环比</t>
    <phoneticPr fontId="23" type="noConversion"/>
  </si>
  <si>
    <t>货币信用</t>
  </si>
  <si>
    <t>财政货币</t>
  </si>
  <si>
    <t>信贷库存</t>
  </si>
  <si>
    <t>周期叠加</t>
  </si>
  <si>
    <t>月份</t>
  </si>
  <si>
    <t>时间</t>
  </si>
  <si>
    <t>国证价值</t>
  </si>
  <si>
    <t>国证成长</t>
  </si>
  <si>
    <r>
      <t>Ai</t>
    </r>
    <r>
      <rPr>
        <sz val="10"/>
        <color rgb="FFFF0000"/>
        <rFont val="宋体"/>
        <family val="3"/>
        <charset val="134"/>
      </rPr>
      <t>推演逻辑</t>
    </r>
    <phoneticPr fontId="23" type="noConversion"/>
  </si>
  <si>
    <t>年月</t>
  </si>
  <si>
    <t>国证价值涨跌</t>
  </si>
  <si>
    <t>国证成长涨跌</t>
  </si>
  <si>
    <t>指标名称</t>
    <phoneticPr fontId="23" type="noConversion"/>
  </si>
  <si>
    <t>中国:金融机构:人民币:资金运用:各项贷款:境内贷款:企(事)业单位贷款:票据融资:同比</t>
    <phoneticPr fontId="23" type="noConversion"/>
  </si>
  <si>
    <t>中国:工业企业:产成品存货:同比</t>
    <phoneticPr fontId="23" type="noConversion"/>
  </si>
  <si>
    <t>中国:中债国债到期收益率:10年:月:平均值:环比增加:*100</t>
    <phoneticPr fontId="23" type="noConversion"/>
  </si>
  <si>
    <t>单位</t>
    <phoneticPr fontId="23" type="noConversion"/>
  </si>
  <si>
    <t>%</t>
    <phoneticPr fontId="23" type="noConversion"/>
  </si>
  <si>
    <t>指标ID</t>
    <phoneticPr fontId="23" type="noConversion"/>
  </si>
  <si>
    <t>s14</t>
    <phoneticPr fontId="23" type="noConversion"/>
  </si>
  <si>
    <t>s19</t>
    <phoneticPr fontId="23" type="noConversion"/>
  </si>
  <si>
    <t>更新时间</t>
    <phoneticPr fontId="23" type="noConversion"/>
  </si>
  <si>
    <t>2026-01-29</t>
    <phoneticPr fontId="23" type="noConversion"/>
  </si>
  <si>
    <t>GDP:现价:当季值:滚动求和</t>
    <phoneticPr fontId="23" type="noConversion"/>
  </si>
  <si>
    <t>亿元</t>
    <phoneticPr fontId="23" type="noConversion"/>
  </si>
  <si>
    <t>社会融资规模:当月值</t>
    <phoneticPr fontId="23" type="noConversion"/>
  </si>
  <si>
    <t>SHIBOR:3个月:月:平均值</t>
    <phoneticPr fontId="23" type="noConversion"/>
  </si>
  <si>
    <t>中国:制造业PMI</t>
    <phoneticPr fontId="23" type="noConversion"/>
  </si>
  <si>
    <t>中国:5000户工业企业景气扩散指数:设备能力利用水平</t>
    <phoneticPr fontId="23" type="noConversion"/>
  </si>
  <si>
    <t>中国:金融机构:本外币贷款余额:初值:同比</t>
    <phoneticPr fontId="23" type="noConversion"/>
  </si>
  <si>
    <t>2026-01-30</t>
    <phoneticPr fontId="2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</si>
</sst>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9">
    <numFmt numFmtId="176" formatCode="yyyy\-mm"/>
    <numFmt numFmtId="177" formatCode="#,##0.00_ "/>
    <numFmt numFmtId="178" formatCode="yyyy\-mm\-dd"/>
    <numFmt numFmtId="179" formatCode="0.0_ "/>
    <numFmt numFmtId="180" formatCode="#,##0.0_ "/>
    <numFmt numFmtId="181" formatCode="#,##0.0000_ "/>
    <numFmt numFmtId="182" formatCode="0.00_);[Red]\(0.00\)"/>
    <numFmt numFmtId="183" formatCode="###,###,###,###,##0.00"/>
    <numFmt numFmtId="184" formatCode="0.00_ "/>
    <numFmt numFmtId="185" formatCode="#,##0_ "/>
    <numFmt numFmtId="186" formatCode="yyyy/mm/dd"/>
    <numFmt numFmtId="187" formatCode="yyyy/mm;@"/>
    <numFmt numFmtId="188" formatCode="yyyy/mm"/>
    <numFmt numFmtId="189" formatCode="0.0000"/>
    <numFmt numFmtId="190" formatCode="yyyy/m/d;@"/>
    <numFmt numFmtId="191" formatCode="#,##0.00000000000000_ "/>
    <numFmt numFmtId="192" formatCode="#,##0.0000000000000_ "/>
    <numFmt numFmtId="193" formatCode="0.000%"/>
    <numFmt numFmtId="194" formatCode="yyyy&quot;年&quot;m&quot;月&quot;;@"/>
  </numFmts>
  <fonts count="35" x14ac:knownFonts="1">
    <font>
      <sz val="11"/>
      <color rgb="FF000000"/>
      <name val="等线"/>
      <charset val="134"/>
    </font>
    <font>
      <sz val="11"/>
      <color theme="1"/>
      <name val="宋体"/>
      <family val="3"/>
      <charset val="134"/>
      <scheme val="minor"/>
    </font>
    <font>
      <sz val="14"/>
      <color theme="1"/>
      <name val="黑体"/>
      <family val="3"/>
      <charset val="134"/>
    </font>
    <font>
      <sz val="11"/>
      <color indexed="10"/>
      <name val="Calibri"/>
      <family val="2"/>
    </font>
    <font>
      <sz val="11"/>
      <color indexed="8"/>
      <name val="宋体"/>
      <family val="3"/>
      <charset val="134"/>
      <scheme val="minor"/>
    </font>
    <font>
      <b/>
      <sz val="11"/>
      <color indexed="10"/>
      <name val="等线"/>
      <family val="3"/>
      <charset val="134"/>
    </font>
    <font>
      <b/>
      <sz val="11"/>
      <color rgb="FF000000"/>
      <name val="等线"/>
      <family val="3"/>
      <charset val="134"/>
    </font>
    <font>
      <sz val="12"/>
      <name val="宋体"/>
      <family val="3"/>
      <charset val="134"/>
    </font>
    <font>
      <sz val="11"/>
      <color indexed="8"/>
      <name val="宋体"/>
      <family val="3"/>
      <charset val="134"/>
    </font>
    <font>
      <sz val="11"/>
      <color rgb="FFFF0000"/>
      <name val="宋体"/>
      <family val="3"/>
      <charset val="134"/>
    </font>
    <font>
      <b/>
      <sz val="11"/>
      <color indexed="10"/>
      <name val="宋体"/>
      <family val="3"/>
      <charset val="134"/>
      <scheme val="minor"/>
    </font>
    <font>
      <b/>
      <sz val="11"/>
      <color rgb="FFFF0000"/>
      <name val="宋体"/>
      <family val="3"/>
      <charset val="134"/>
      <scheme val="minor"/>
    </font>
    <font>
      <sz val="11"/>
      <color rgb="FFFF0000"/>
      <name val="宋体"/>
      <family val="3"/>
      <charset val="134"/>
      <scheme val="minor"/>
    </font>
    <font>
      <sz val="11"/>
      <name val="宋体"/>
      <family val="3"/>
      <charset val="134"/>
    </font>
    <font>
      <b/>
      <sz val="11"/>
      <color rgb="FFFF0000"/>
      <name val="宋体"/>
      <family val="3"/>
      <charset val="134"/>
    </font>
    <font>
      <b/>
      <sz val="11"/>
      <color theme="1"/>
      <name val="宋体"/>
      <family val="3"/>
      <charset val="134"/>
      <scheme val="minor"/>
    </font>
    <font>
      <sz val="12"/>
      <color theme="1"/>
      <name val="宋体"/>
      <family val="3"/>
      <charset val="134"/>
      <scheme val="minor"/>
    </font>
    <font>
      <b/>
      <sz val="10"/>
      <color rgb="FF000000"/>
      <name val="黑体"/>
      <family val="3"/>
      <charset val="134"/>
    </font>
    <font>
      <sz val="10"/>
      <color rgb="FF000000"/>
      <name val="黑体"/>
      <family val="3"/>
      <charset val="134"/>
    </font>
    <font>
      <b/>
      <sz val="9"/>
      <name val="宋体"/>
      <family val="3"/>
      <charset val="134"/>
    </font>
    <font>
      <sz val="10"/>
      <color indexed="8"/>
      <name val="Microsoft YaHei UI"/>
      <family val="2"/>
      <charset val="134"/>
    </font>
    <font>
      <sz val="10"/>
      <color rgb="FF000000"/>
      <name val="Microsoft YaHei UI"/>
      <family val="2"/>
      <charset val="134"/>
    </font>
    <font>
      <sz val="9"/>
      <name val="宋体"/>
      <family val="3"/>
      <charset val="134"/>
    </font>
    <font>
      <sz val="9"/>
      <name val="等线"/>
      <family val="3"/>
      <charset val="134"/>
    </font>
    <font>
      <sz val="11"/>
      <color rgb="FF000000"/>
      <name val="等线"/>
      <family val="3"/>
      <charset val="134"/>
    </font>
    <font>
      <sz val="8"/>
      <color rgb="FFFF0000"/>
      <name val="Consolas"/>
      <family val="3"/>
    </font>
    <font>
      <b/>
      <sz val="10"/>
      <color rgb="FF37352F"/>
      <name val="宋体"/>
      <family val="3"/>
      <charset val="134"/>
    </font>
    <font>
      <sz val="10"/>
      <color rgb="FF37352F"/>
      <name val="宋体"/>
      <family val="3"/>
      <charset val="134"/>
    </font>
    <font>
      <sz val="10"/>
      <name val="Arial"/>
      <family val="2"/>
    </font>
    <font>
      <sz val="10"/>
      <color theme="0"/>
      <name val="黑体"/>
      <family val="3"/>
      <charset val="134"/>
    </font>
    <font>
      <sz val="10"/>
      <name val="黑体"/>
      <family val="3"/>
      <charset val="134"/>
    </font>
    <font>
      <sz val="11"/>
      <color rgb="FF000000"/>
      <name val="等线"/>
      <family val="3"/>
      <charset val="134"/>
    </font>
    <font>
      <sz val="10"/>
      <color rgb="FFFF0000"/>
      <name val="Arial"/>
      <family val="2"/>
    </font>
    <font>
      <sz val="10"/>
      <color rgb="FFFF0000"/>
      <name val="宋体"/>
      <family val="3"/>
      <charset val="134"/>
    </font>
    <font>
      <b/>
      <sz val="10"/>
      <color rgb="FFFF0000"/>
      <name val="黑体"/>
      <family val="3"/>
      <charset val="134"/>
    </font>
  </fonts>
  <fills count="18">
    <fill>
      <patternFill patternType="none"/>
    </fill>
    <fill>
      <patternFill patternType="gray125"/>
    </fill>
    <fill>
      <patternFill patternType="solid">
        <fgColor theme="4" tint="0.79973754081850645"/>
        <bgColor indexed="64"/>
      </patternFill>
    </fill>
    <fill>
      <patternFill patternType="solid">
        <fgColor theme="6" tint="0.79973754081850645"/>
        <bgColor indexed="64"/>
      </patternFill>
    </fill>
    <fill>
      <patternFill patternType="solid">
        <fgColor rgb="FFFFFF00"/>
        <bgColor indexed="64"/>
      </patternFill>
    </fill>
    <fill>
      <patternFill patternType="solid">
        <fgColor theme="4" tint="0.79992065187536243"/>
        <bgColor indexed="64"/>
      </patternFill>
    </fill>
    <fill>
      <patternFill patternType="solid">
        <fgColor theme="5" tint="0.79992065187536243"/>
        <bgColor indexed="64"/>
      </patternFill>
    </fill>
    <fill>
      <patternFill patternType="solid">
        <fgColor theme="7" tint="0.79992065187536243"/>
        <bgColor indexed="64"/>
      </patternFill>
    </fill>
    <fill>
      <patternFill patternType="solid">
        <fgColor theme="0" tint="-0.249977111117893"/>
        <bgColor indexed="64"/>
      </patternFill>
    </fill>
    <fill>
      <patternFill patternType="solid">
        <fgColor rgb="FFFF0000"/>
        <bgColor indexed="64"/>
      </patternFill>
    </fill>
    <fill>
      <patternFill patternType="solid">
        <fgColor theme="0"/>
        <bgColor indexed="64"/>
      </patternFill>
    </fill>
    <fill>
      <patternFill patternType="solid">
        <fgColor theme="8" tint="0.79979857783745845"/>
        <bgColor indexed="64"/>
      </patternFill>
    </fill>
    <fill>
      <patternFill patternType="solid">
        <fgColor theme="0" tint="-4.9989318521683403E-2"/>
        <bgColor indexed="64"/>
      </patternFill>
    </fill>
    <fill>
      <patternFill patternType="solid">
        <fgColor theme="9" tint="0.59999389629810485"/>
        <bgColor indexed="64"/>
      </patternFill>
    </fill>
    <fill>
      <patternFill patternType="solid">
        <fgColor theme="7" tint="0.39997558519241921"/>
        <bgColor indexed="64"/>
      </patternFill>
    </fill>
    <fill>
      <patternFill patternType="solid">
        <fgColor rgb="FFFFFFFF"/>
        <bgColor indexed="64"/>
      </patternFill>
    </fill>
    <fill>
      <patternFill patternType="solid">
        <fgColor theme="7" tint="0.79998168889431442"/>
        <bgColor indexed="64"/>
      </patternFill>
    </fill>
    <fill>
      <patternFill patternType="solid">
        <fgColor theme="3" tint="-0.249977111117893"/>
        <bgColor indexed="64"/>
      </patternFill>
    </fill>
  </fills>
  <borders count="10">
    <border>
      <left/>
      <right/>
      <top/>
      <bottom/>
      <diagonal/>
    </border>
    <border>
      <left/>
      <right/>
      <top/>
      <bottom style="medium">
        <color auto="1"/>
      </bottom>
      <diagonal/>
    </border>
    <border>
      <left style="thin">
        <color indexed="64"/>
      </left>
      <right style="thin">
        <color indexed="64"/>
      </right>
      <top style="thin">
        <color indexed="64"/>
      </top>
      <bottom style="thin">
        <color indexed="64"/>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right style="thin">
        <color theme="0"/>
      </right>
      <top/>
      <bottom/>
      <diagonal/>
    </border>
    <border>
      <left/>
      <right/>
      <top/>
      <bottom style="thin">
        <color theme="0"/>
      </bottom>
      <diagonal/>
    </border>
    <border>
      <left/>
      <right style="thin">
        <color theme="0"/>
      </right>
      <top/>
      <bottom style="thin">
        <color theme="0"/>
      </bottom>
      <diagonal/>
    </border>
    <border>
      <left style="thin">
        <color indexed="8"/>
      </left>
      <right style="thin">
        <color indexed="8"/>
      </right>
      <top style="thin">
        <color indexed="8"/>
      </top>
      <bottom/>
      <diagonal/>
    </border>
  </borders>
  <cellStyleXfs count="9">
    <xf numFmtId="0" fontId="0" fillId="0" borderId="0">
      <alignment vertical="center"/>
    </xf>
    <xf numFmtId="9" fontId="1" fillId="0" borderId="0" applyFont="0" applyFill="0" applyBorder="0" applyAlignment="0" applyProtection="0">
      <alignment vertical="center"/>
    </xf>
    <xf numFmtId="0" fontId="1" fillId="0" borderId="0">
      <alignment vertical="center"/>
    </xf>
    <xf numFmtId="0" fontId="1" fillId="0" borderId="0"/>
    <xf numFmtId="0" fontId="1" fillId="0" borderId="0"/>
    <xf numFmtId="0" fontId="24" fillId="0" borderId="0">
      <alignment vertical="center"/>
    </xf>
    <xf numFmtId="0" fontId="28" fillId="0" borderId="0"/>
    <xf numFmtId="9" fontId="28" fillId="0" borderId="0"/>
    <xf numFmtId="9" fontId="31" fillId="0" borderId="0" applyFont="0" applyFill="0" applyBorder="0" applyAlignment="0" applyProtection="0">
      <alignment vertical="center"/>
    </xf>
  </cellStyleXfs>
  <cellXfs count="152">
    <xf numFmtId="0" fontId="0" fillId="0" borderId="0" xfId="0">
      <alignment vertical="center"/>
    </xf>
    <xf numFmtId="0" fontId="1" fillId="0" borderId="0" xfId="0" applyFont="1">
      <alignment vertical="center"/>
    </xf>
    <xf numFmtId="0" fontId="1" fillId="2" borderId="0" xfId="0" applyFont="1" applyFill="1">
      <alignment vertical="center"/>
    </xf>
    <xf numFmtId="0" fontId="1" fillId="3" borderId="0" xfId="4" applyFill="1"/>
    <xf numFmtId="0" fontId="1" fillId="0" borderId="0" xfId="2">
      <alignment vertical="center"/>
    </xf>
    <xf numFmtId="0" fontId="2" fillId="2" borderId="0" xfId="0" applyFont="1" applyFill="1" applyAlignment="1">
      <alignment horizontal="center" vertical="center"/>
    </xf>
    <xf numFmtId="0" fontId="1" fillId="4" borderId="0" xfId="0" applyFont="1" applyFill="1" applyAlignment="1">
      <alignment vertical="center" wrapText="1"/>
    </xf>
    <xf numFmtId="0" fontId="1" fillId="4" borderId="0" xfId="0" applyFont="1" applyFill="1">
      <alignment vertical="center"/>
    </xf>
    <xf numFmtId="176" fontId="1" fillId="0" borderId="0" xfId="0" applyNumberFormat="1" applyFont="1">
      <alignment vertical="center"/>
    </xf>
    <xf numFmtId="2" fontId="1" fillId="0" borderId="0" xfId="0" applyNumberFormat="1" applyFont="1">
      <alignment vertical="center"/>
    </xf>
    <xf numFmtId="2" fontId="1" fillId="4" borderId="0" xfId="0" applyNumberFormat="1" applyFont="1" applyFill="1">
      <alignment vertical="center"/>
    </xf>
    <xf numFmtId="0" fontId="3" fillId="0" borderId="0" xfId="0" applyFont="1" applyAlignment="1"/>
    <xf numFmtId="176" fontId="1" fillId="0" borderId="0" xfId="0" applyNumberFormat="1" applyFont="1" applyAlignment="1">
      <alignment horizontal="right" vertical="center"/>
    </xf>
    <xf numFmtId="177" fontId="1" fillId="0" borderId="0" xfId="0" applyNumberFormat="1" applyFont="1" applyAlignment="1">
      <alignment horizontal="right" vertical="center"/>
    </xf>
    <xf numFmtId="176" fontId="1" fillId="0" borderId="0" xfId="2" applyNumberFormat="1" applyAlignment="1">
      <alignment horizontal="right"/>
    </xf>
    <xf numFmtId="177" fontId="1" fillId="0" borderId="0" xfId="2" applyNumberFormat="1" applyAlignment="1">
      <alignment horizontal="right"/>
    </xf>
    <xf numFmtId="176" fontId="1" fillId="0" borderId="0" xfId="2" applyNumberFormat="1" applyAlignment="1">
      <alignment horizontal="right" vertical="center"/>
    </xf>
    <xf numFmtId="177" fontId="1" fillId="0" borderId="0" xfId="2" applyNumberFormat="1" applyAlignment="1">
      <alignment horizontal="right" vertical="center"/>
    </xf>
    <xf numFmtId="178" fontId="1" fillId="0" borderId="0" xfId="2" applyNumberFormat="1" applyAlignment="1">
      <alignment horizontal="right" vertical="center"/>
    </xf>
    <xf numFmtId="179" fontId="4" fillId="0" borderId="0" xfId="0" applyNumberFormat="1" applyFont="1">
      <alignment vertical="center"/>
    </xf>
    <xf numFmtId="0" fontId="5" fillId="0" borderId="0" xfId="0" applyFont="1">
      <alignment vertical="center"/>
    </xf>
    <xf numFmtId="0" fontId="0" fillId="0" borderId="0" xfId="0" applyAlignment="1">
      <alignment vertical="center" wrapText="1"/>
    </xf>
    <xf numFmtId="176" fontId="4" fillId="0" borderId="0" xfId="0" applyNumberFormat="1" applyFont="1" applyAlignment="1">
      <alignment horizontal="right" vertical="center"/>
    </xf>
    <xf numFmtId="177" fontId="4" fillId="0" borderId="0" xfId="0" applyNumberFormat="1" applyFont="1" applyAlignment="1">
      <alignment horizontal="right" vertical="center"/>
    </xf>
    <xf numFmtId="0" fontId="0" fillId="5" borderId="0" xfId="0" applyFill="1" applyAlignment="1">
      <alignment vertical="center" wrapText="1"/>
    </xf>
    <xf numFmtId="0" fontId="0" fillId="6" borderId="0" xfId="0" applyFill="1" applyAlignment="1">
      <alignment vertical="center" wrapText="1"/>
    </xf>
    <xf numFmtId="0" fontId="0" fillId="7" borderId="0" xfId="0" applyFill="1" applyAlignment="1">
      <alignment vertical="center" wrapText="1"/>
    </xf>
    <xf numFmtId="0" fontId="4" fillId="0" borderId="0" xfId="0" applyFont="1" applyAlignment="1">
      <alignment horizontal="left" vertical="center"/>
    </xf>
    <xf numFmtId="0" fontId="4" fillId="0" borderId="0" xfId="0" applyFont="1" applyAlignment="1">
      <alignment horizontal="left" vertical="center" wrapText="1"/>
    </xf>
    <xf numFmtId="180" fontId="4" fillId="0" borderId="0" xfId="0" applyNumberFormat="1" applyFont="1" applyAlignment="1">
      <alignment horizontal="right" vertical="center"/>
    </xf>
    <xf numFmtId="176" fontId="0" fillId="0" borderId="0" xfId="0" applyNumberFormat="1" applyAlignment="1">
      <alignment horizontal="right" vertical="center"/>
    </xf>
    <xf numFmtId="0" fontId="7" fillId="4" borderId="0" xfId="0" applyFont="1" applyFill="1">
      <alignment vertical="center"/>
    </xf>
    <xf numFmtId="0" fontId="7" fillId="0" borderId="0" xfId="0" applyFont="1">
      <alignment vertical="center"/>
    </xf>
    <xf numFmtId="176" fontId="8" fillId="4" borderId="0" xfId="0" applyNumberFormat="1" applyFont="1" applyFill="1" applyAlignment="1">
      <alignment wrapText="1"/>
    </xf>
    <xf numFmtId="0" fontId="8" fillId="4" borderId="0" xfId="0" applyFont="1" applyFill="1" applyAlignment="1">
      <alignment wrapText="1"/>
    </xf>
    <xf numFmtId="0" fontId="9" fillId="4" borderId="0" xfId="0" applyFont="1" applyFill="1" applyAlignment="1">
      <alignment wrapText="1"/>
    </xf>
    <xf numFmtId="176" fontId="8" fillId="4" borderId="0" xfId="0" applyNumberFormat="1" applyFont="1" applyFill="1" applyAlignment="1"/>
    <xf numFmtId="0" fontId="8" fillId="0" borderId="0" xfId="0" applyFont="1" applyAlignment="1"/>
    <xf numFmtId="0" fontId="7" fillId="8" borderId="0" xfId="0" applyFont="1" applyFill="1">
      <alignment vertical="center"/>
    </xf>
    <xf numFmtId="0" fontId="8" fillId="5" borderId="0" xfId="0" applyFont="1" applyFill="1" applyAlignment="1"/>
    <xf numFmtId="0" fontId="7" fillId="5" borderId="0" xfId="0" applyFont="1" applyFill="1">
      <alignment vertical="center"/>
    </xf>
    <xf numFmtId="0" fontId="8" fillId="8" borderId="0" xfId="0" applyFont="1" applyFill="1" applyAlignment="1"/>
    <xf numFmtId="0" fontId="8" fillId="9" borderId="0" xfId="0" applyFont="1" applyFill="1" applyAlignment="1"/>
    <xf numFmtId="0" fontId="7" fillId="9" borderId="0" xfId="0" applyFont="1" applyFill="1">
      <alignment vertical="center"/>
    </xf>
    <xf numFmtId="0" fontId="4" fillId="4" borderId="0" xfId="0" applyFont="1" applyFill="1">
      <alignment vertical="center"/>
    </xf>
    <xf numFmtId="176" fontId="4" fillId="4" borderId="0" xfId="0" applyNumberFormat="1" applyFont="1" applyFill="1" applyAlignment="1"/>
    <xf numFmtId="0" fontId="4" fillId="0" borderId="0" xfId="0" applyFont="1">
      <alignment vertical="center"/>
    </xf>
    <xf numFmtId="177" fontId="4" fillId="0" borderId="0" xfId="0" applyNumberFormat="1" applyFont="1" applyAlignment="1">
      <alignment horizontal="right"/>
    </xf>
    <xf numFmtId="181" fontId="4" fillId="0" borderId="0" xfId="0" applyNumberFormat="1" applyFont="1" applyAlignment="1">
      <alignment horizontal="right"/>
    </xf>
    <xf numFmtId="0" fontId="10" fillId="3" borderId="0" xfId="4" applyFont="1" applyFill="1"/>
    <xf numFmtId="0" fontId="1" fillId="3" borderId="0" xfId="2" applyFill="1">
      <alignment vertical="center"/>
    </xf>
    <xf numFmtId="176" fontId="1" fillId="3" borderId="0" xfId="4" applyNumberFormat="1" applyFill="1" applyAlignment="1">
      <alignment horizontal="right"/>
    </xf>
    <xf numFmtId="177" fontId="1" fillId="3" borderId="0" xfId="4" applyNumberFormat="1" applyFill="1" applyAlignment="1">
      <alignment horizontal="right"/>
    </xf>
    <xf numFmtId="0" fontId="2" fillId="2" borderId="0" xfId="2" applyFont="1" applyFill="1">
      <alignment vertical="center"/>
    </xf>
    <xf numFmtId="0" fontId="10" fillId="0" borderId="0" xfId="2" applyFont="1" applyAlignment="1"/>
    <xf numFmtId="0" fontId="1" fillId="0" borderId="0" xfId="2" applyAlignment="1"/>
    <xf numFmtId="182" fontId="1" fillId="3" borderId="0" xfId="2" applyNumberFormat="1" applyFill="1">
      <alignment vertical="center"/>
    </xf>
    <xf numFmtId="14" fontId="1" fillId="0" borderId="0" xfId="2" applyNumberFormat="1">
      <alignment vertical="center"/>
    </xf>
    <xf numFmtId="183" fontId="1" fillId="0" borderId="0" xfId="2" applyNumberFormat="1" applyAlignment="1">
      <alignment horizontal="right" vertical="center"/>
    </xf>
    <xf numFmtId="184" fontId="1" fillId="10" borderId="0" xfId="3" applyNumberFormat="1" applyFill="1" applyAlignment="1">
      <alignment vertical="center"/>
    </xf>
    <xf numFmtId="181" fontId="1" fillId="3" borderId="0" xfId="4" applyNumberFormat="1" applyFill="1" applyAlignment="1">
      <alignment horizontal="right"/>
    </xf>
    <xf numFmtId="0" fontId="11" fillId="0" borderId="0" xfId="2" applyFont="1" applyAlignment="1"/>
    <xf numFmtId="0" fontId="12" fillId="0" borderId="0" xfId="2" applyFont="1" applyAlignment="1"/>
    <xf numFmtId="185" fontId="1" fillId="0" borderId="0" xfId="2" applyNumberFormat="1" applyAlignment="1"/>
    <xf numFmtId="1" fontId="1" fillId="0" borderId="0" xfId="2" applyNumberFormat="1" applyAlignment="1"/>
    <xf numFmtId="1" fontId="12" fillId="0" borderId="0" xfId="2" applyNumberFormat="1" applyFont="1" applyAlignment="1"/>
    <xf numFmtId="0" fontId="13" fillId="0" borderId="0" xfId="2" applyFont="1" applyAlignment="1">
      <alignment horizontal="center" vertical="center"/>
    </xf>
    <xf numFmtId="0" fontId="14" fillId="0" borderId="0" xfId="2" applyFont="1" applyAlignment="1">
      <alignment horizontal="center" vertical="center"/>
    </xf>
    <xf numFmtId="4" fontId="13" fillId="0" borderId="0" xfId="2" applyNumberFormat="1" applyFont="1" applyAlignment="1"/>
    <xf numFmtId="182" fontId="1" fillId="3" borderId="0" xfId="2" applyNumberFormat="1" applyFill="1" applyAlignment="1">
      <alignment vertical="center" wrapText="1"/>
    </xf>
    <xf numFmtId="186" fontId="13" fillId="0" borderId="0" xfId="2" applyNumberFormat="1" applyFont="1" applyAlignment="1">
      <alignment horizontal="left"/>
    </xf>
    <xf numFmtId="176" fontId="13" fillId="0" borderId="0" xfId="2" applyNumberFormat="1" applyFont="1" applyAlignment="1">
      <alignment horizontal="right"/>
    </xf>
    <xf numFmtId="14" fontId="11" fillId="0" borderId="0" xfId="2" applyNumberFormat="1" applyFont="1">
      <alignment vertical="center"/>
    </xf>
    <xf numFmtId="0" fontId="1" fillId="0" borderId="0" xfId="2" applyAlignment="1">
      <alignment horizontal="left" vertical="center"/>
    </xf>
    <xf numFmtId="0" fontId="1" fillId="0" borderId="0" xfId="2" applyAlignment="1">
      <alignment horizontal="left" vertical="center" wrapText="1"/>
    </xf>
    <xf numFmtId="184" fontId="1" fillId="10" borderId="0" xfId="3" applyNumberFormat="1" applyFill="1" applyAlignment="1">
      <alignment vertical="center" wrapText="1"/>
    </xf>
    <xf numFmtId="184" fontId="15" fillId="10" borderId="0" xfId="3" applyNumberFormat="1" applyFont="1" applyFill="1" applyAlignment="1">
      <alignment vertical="center" wrapText="1"/>
    </xf>
    <xf numFmtId="187" fontId="1" fillId="0" borderId="0" xfId="2" applyNumberFormat="1">
      <alignment vertical="center"/>
    </xf>
    <xf numFmtId="10" fontId="16" fillId="0" borderId="0" xfId="1" applyNumberFormat="1" applyFont="1" applyAlignment="1">
      <alignment horizontal="center"/>
    </xf>
    <xf numFmtId="10" fontId="1" fillId="0" borderId="0" xfId="2" applyNumberFormat="1">
      <alignment vertical="center"/>
    </xf>
    <xf numFmtId="10" fontId="1" fillId="3" borderId="0" xfId="2" applyNumberFormat="1" applyFill="1">
      <alignment vertical="center"/>
    </xf>
    <xf numFmtId="184" fontId="15" fillId="10" borderId="0" xfId="3" applyNumberFormat="1" applyFont="1" applyFill="1" applyAlignment="1">
      <alignment vertical="center"/>
    </xf>
    <xf numFmtId="184" fontId="11" fillId="10" borderId="0" xfId="3" applyNumberFormat="1" applyFont="1" applyFill="1" applyAlignment="1">
      <alignment vertical="center"/>
    </xf>
    <xf numFmtId="183" fontId="1" fillId="4" borderId="0" xfId="2" applyNumberFormat="1" applyFill="1" applyAlignment="1">
      <alignment horizontal="right" vertical="center"/>
    </xf>
    <xf numFmtId="188" fontId="1" fillId="0" borderId="0" xfId="2" applyNumberFormat="1" applyAlignment="1">
      <alignment horizontal="right" vertical="center"/>
    </xf>
    <xf numFmtId="177" fontId="1" fillId="4" borderId="0" xfId="2" applyNumberFormat="1" applyFill="1" applyAlignment="1">
      <alignment horizontal="right" vertical="center"/>
    </xf>
    <xf numFmtId="0" fontId="10" fillId="0" borderId="0" xfId="0" applyFont="1">
      <alignment vertical="center"/>
    </xf>
    <xf numFmtId="0" fontId="1" fillId="11" borderId="0" xfId="0" applyFont="1" applyFill="1">
      <alignment vertical="center"/>
    </xf>
    <xf numFmtId="181" fontId="1" fillId="0" borderId="0" xfId="0" applyNumberFormat="1" applyFont="1" applyAlignment="1">
      <alignment horizontal="right" vertical="center"/>
    </xf>
    <xf numFmtId="178" fontId="1" fillId="0" borderId="0" xfId="0" applyNumberFormat="1" applyFont="1" applyAlignment="1">
      <alignment horizontal="right" vertical="center"/>
    </xf>
    <xf numFmtId="189" fontId="1" fillId="0" borderId="0" xfId="0" applyNumberFormat="1" applyFont="1" applyAlignment="1">
      <alignment horizontal="right" vertical="center"/>
    </xf>
    <xf numFmtId="190" fontId="0" fillId="0" borderId="0" xfId="0" applyNumberFormat="1">
      <alignment vertical="center"/>
    </xf>
    <xf numFmtId="0" fontId="0" fillId="4" borderId="0" xfId="0" applyFill="1">
      <alignment vertical="center"/>
    </xf>
    <xf numFmtId="182" fontId="0" fillId="0" borderId="0" xfId="0" applyNumberFormat="1">
      <alignment vertical="center"/>
    </xf>
    <xf numFmtId="14" fontId="1" fillId="0" borderId="0" xfId="0" applyNumberFormat="1" applyFont="1">
      <alignment vertical="center"/>
    </xf>
    <xf numFmtId="0" fontId="17" fillId="0" borderId="1" xfId="0" applyFont="1" applyBorder="1" applyAlignment="1">
      <alignment horizontal="center" vertical="center"/>
    </xf>
    <xf numFmtId="0" fontId="18" fillId="12" borderId="0" xfId="0" applyFont="1" applyFill="1" applyAlignment="1">
      <alignment horizontal="center" vertical="center"/>
    </xf>
    <xf numFmtId="0" fontId="18" fillId="0" borderId="0" xfId="0" applyFont="1" applyAlignment="1">
      <alignment horizontal="center" vertical="center"/>
    </xf>
    <xf numFmtId="0" fontId="25" fillId="0" borderId="0" xfId="0" applyFont="1">
      <alignment vertical="center"/>
    </xf>
    <xf numFmtId="0" fontId="24" fillId="0" borderId="0" xfId="0" applyFont="1">
      <alignment vertical="center"/>
    </xf>
    <xf numFmtId="0" fontId="0" fillId="4" borderId="0" xfId="0" applyFill="1" applyAlignment="1">
      <alignment vertical="center" wrapText="1"/>
    </xf>
    <xf numFmtId="190" fontId="24" fillId="0" borderId="0" xfId="5" applyNumberFormat="1">
      <alignment vertical="center"/>
    </xf>
    <xf numFmtId="0" fontId="24" fillId="0" borderId="0" xfId="5">
      <alignment vertical="center"/>
    </xf>
    <xf numFmtId="0" fontId="1" fillId="0" borderId="0" xfId="5" applyFont="1">
      <alignment vertical="center"/>
    </xf>
    <xf numFmtId="0" fontId="24" fillId="4" borderId="0" xfId="5" applyFill="1">
      <alignment vertical="center"/>
    </xf>
    <xf numFmtId="190" fontId="24" fillId="13" borderId="0" xfId="5" applyNumberFormat="1" applyFill="1">
      <alignment vertical="center"/>
    </xf>
    <xf numFmtId="182" fontId="24" fillId="0" borderId="0" xfId="5" applyNumberFormat="1">
      <alignment vertical="center"/>
    </xf>
    <xf numFmtId="190" fontId="24" fillId="14" borderId="0" xfId="5" applyNumberFormat="1" applyFill="1">
      <alignment vertical="center"/>
    </xf>
    <xf numFmtId="177" fontId="24" fillId="0" borderId="0" xfId="5" applyNumberFormat="1" applyAlignment="1">
      <alignment vertical="center" wrapText="1"/>
    </xf>
    <xf numFmtId="181" fontId="24" fillId="0" borderId="0" xfId="5" applyNumberFormat="1" applyAlignment="1">
      <alignment vertical="center" wrapText="1"/>
    </xf>
    <xf numFmtId="191" fontId="24" fillId="4" borderId="0" xfId="5" applyNumberFormat="1" applyFill="1">
      <alignment vertical="center"/>
    </xf>
    <xf numFmtId="192" fontId="24" fillId="4" borderId="0" xfId="5" applyNumberFormat="1" applyFill="1">
      <alignment vertical="center"/>
    </xf>
    <xf numFmtId="0" fontId="26" fillId="15" borderId="0" xfId="0" applyFont="1" applyFill="1" applyAlignment="1">
      <alignment horizontal="center" vertical="center" wrapText="1"/>
    </xf>
    <xf numFmtId="0" fontId="27" fillId="15" borderId="0" xfId="0" applyFont="1" applyFill="1" applyAlignment="1">
      <alignment vertical="center" wrapText="1"/>
    </xf>
    <xf numFmtId="0" fontId="24" fillId="16" borderId="0" xfId="5" applyFill="1">
      <alignment vertical="center"/>
    </xf>
    <xf numFmtId="17" fontId="27" fillId="15" borderId="0" xfId="0" applyNumberFormat="1" applyFont="1" applyFill="1" applyAlignment="1">
      <alignment vertical="center" wrapText="1"/>
    </xf>
    <xf numFmtId="0" fontId="28" fillId="0" borderId="2" xfId="6" applyBorder="1"/>
    <xf numFmtId="0" fontId="28" fillId="0" borderId="0" xfId="6"/>
    <xf numFmtId="14" fontId="28" fillId="0" borderId="2" xfId="6" applyNumberFormat="1" applyBorder="1" applyAlignment="1">
      <alignment vertical="center"/>
    </xf>
    <xf numFmtId="0" fontId="29" fillId="17" borderId="3" xfId="6" applyFont="1" applyFill="1" applyBorder="1"/>
    <xf numFmtId="194" fontId="29" fillId="17" borderId="4" xfId="6" applyNumberFormat="1" applyFont="1" applyFill="1" applyBorder="1" applyAlignment="1">
      <alignment vertical="center"/>
    </xf>
    <xf numFmtId="194" fontId="29" fillId="17" borderId="5" xfId="6" applyNumberFormat="1" applyFont="1" applyFill="1" applyBorder="1" applyAlignment="1">
      <alignment vertical="center"/>
    </xf>
    <xf numFmtId="10" fontId="30" fillId="0" borderId="0" xfId="7" applyNumberFormat="1" applyFont="1"/>
    <xf numFmtId="10" fontId="30" fillId="0" borderId="6" xfId="7" applyNumberFormat="1" applyFont="1" applyBorder="1"/>
    <xf numFmtId="10" fontId="30" fillId="0" borderId="7" xfId="7" applyNumberFormat="1" applyFont="1" applyBorder="1"/>
    <xf numFmtId="10" fontId="30" fillId="0" borderId="8" xfId="7" applyNumberFormat="1" applyFont="1" applyBorder="1"/>
    <xf numFmtId="0" fontId="28" fillId="0" borderId="2" xfId="7" applyNumberFormat="1" applyBorder="1"/>
    <xf numFmtId="193" fontId="27" fillId="15" borderId="0" xfId="8" applyNumberFormat="1" applyFont="1" applyFill="1" applyAlignment="1">
      <alignment vertical="center" wrapText="1"/>
    </xf>
    <xf numFmtId="10" fontId="0" fillId="4" borderId="9" xfId="8" applyNumberFormat="1" applyFont="1" applyFill="1" applyBorder="1" applyAlignment="1">
      <alignment vertical="top"/>
    </xf>
    <xf numFmtId="193" fontId="27" fillId="15" borderId="2" xfId="8" applyNumberFormat="1" applyFont="1" applyFill="1" applyBorder="1" applyAlignment="1">
      <alignment vertical="center" wrapText="1"/>
    </xf>
    <xf numFmtId="10" fontId="34" fillId="10" borderId="0" xfId="7" applyNumberFormat="1" applyFont="1" applyFill="1"/>
    <xf numFmtId="10" fontId="34" fillId="10" borderId="7" xfId="7" applyNumberFormat="1" applyFont="1" applyFill="1" applyBorder="1"/>
    <xf numFmtId="0" fontId="18" fillId="12" borderId="0" xfId="0" applyFont="1" applyFill="1" applyAlignment="1">
      <alignment horizontal="center" vertical="center"/>
    </xf>
    <xf numFmtId="0" fontId="18" fillId="0" borderId="0" xfId="0" applyFont="1" applyAlignment="1">
      <alignment horizontal="center" vertical="center"/>
    </xf>
    <xf numFmtId="0" fontId="18" fillId="12" borderId="0" xfId="0" applyFont="1" applyFill="1" applyAlignment="1">
      <alignment horizontal="left" vertical="center" wrapText="1"/>
    </xf>
    <xf numFmtId="0" fontId="18" fillId="0" borderId="0" xfId="0" applyFont="1" applyAlignment="1">
      <alignment horizontal="left" vertical="center" wrapText="1"/>
    </xf>
    <xf numFmtId="0" fontId="28" fillId="0" borderId="0" xfId="6" applyAlignment="1">
      <alignment horizontal="center"/>
    </xf>
    <xf numFmtId="0" fontId="32" fillId="0" borderId="0" xfId="6" applyFont="1" applyAlignment="1">
      <alignment horizontal="center"/>
    </xf>
    <xf numFmtId="0" fontId="2" fillId="2" borderId="0" xfId="0" applyFont="1" applyFill="1" applyAlignment="1">
      <alignment horizontal="center" vertical="center"/>
    </xf>
    <xf numFmtId="0" fontId="2" fillId="2" borderId="0" xfId="4" applyFont="1" applyFill="1" applyAlignment="1">
      <alignment horizontal="center" vertical="center"/>
    </xf>
    <xf numFmtId="0" fontId="2" fillId="2" borderId="0" xfId="2" applyFont="1" applyFill="1" applyAlignment="1">
      <alignment horizontal="center" vertical="center"/>
    </xf>
    <xf numFmtId="0" fontId="6" fillId="5" borderId="0" xfId="0" applyFont="1" applyFill="1" applyAlignment="1">
      <alignment horizontal="center" vertical="center"/>
    </xf>
    <xf numFmtId="0" fontId="6" fillId="6" borderId="0" xfId="0" applyFont="1" applyFill="1" applyAlignment="1">
      <alignment horizontal="center" vertical="center"/>
    </xf>
    <xf numFmtId="0" fontId="6" fillId="7" borderId="0" xfId="0" applyFont="1" applyFill="1" applyAlignment="1">
      <alignment horizontal="center" vertical="center"/>
    </xf>
    <xf numFmtId="0" fontId="0" fillId="0" borderId="0" xfId="0" applyNumberFormat="1" applyAlignment="1">
      <alignment horizontal="left" vertical="center" wrapText="1"/>
    </xf>
    <xf numFmtId="0" fontId="1" fillId="0" borderId="0" xfId="2" applyNumberFormat="1" applyAlignment="1">
      <alignment horizontal="left"/>
    </xf>
    <xf numFmtId="0" fontId="1" fillId="0" borderId="0" xfId="0" applyNumberFormat="1" applyFont="1" applyAlignment="1">
      <alignment horizontal="left" vertical="center"/>
    </xf>
    <xf numFmtId="0" fontId="1" fillId="3" borderId="0" xfId="4" applyNumberFormat="1" applyFill="1" applyAlignment="1">
      <alignment horizontal="left" wrapText="1"/>
    </xf>
    <xf numFmtId="0" fontId="1" fillId="3" borderId="0" xfId="4" applyNumberFormat="1" applyFill="1" applyAlignment="1">
      <alignment horizontal="left" vertical="center" wrapText="1"/>
    </xf>
    <xf numFmtId="0" fontId="1" fillId="0" borderId="0" xfId="2" applyNumberFormat="1" applyAlignment="1">
      <alignment horizontal="left" wrapText="1"/>
    </xf>
    <xf numFmtId="0" fontId="1" fillId="0" borderId="0" xfId="0" quotePrefix="1" applyNumberFormat="1" applyFont="1" applyAlignment="1">
      <alignment horizontal="left" vertical="center"/>
    </xf>
    <xf numFmtId="0" fontId="13" fillId="0" borderId="0" xfId="2" applyNumberFormat="1" applyFont="1" applyAlignment="1">
      <alignment horizontal="left"/>
    </xf>
  </cellXfs>
  <cellStyles count="9">
    <cellStyle name="百分比" xfId="8" builtinId="5"/>
    <cellStyle name="百分比 2" xfId="7" xr:uid="{A08095A8-A890-4162-A926-ABACE17B0DFF}"/>
    <cellStyle name="百分比 2 2" xfId="1" xr:uid="{00000000-0005-0000-0000-000031000000}"/>
    <cellStyle name="常规" xfId="0" builtinId="0"/>
    <cellStyle name="常规 2" xfId="5" xr:uid="{DFC45991-BF4A-40D7-936A-B797ADDFF92F}"/>
    <cellStyle name="常规 2 2" xfId="2" xr:uid="{00000000-0005-0000-0000-000032000000}"/>
    <cellStyle name="常规 2 2 2" xfId="3" xr:uid="{00000000-0005-0000-0000-000033000000}"/>
    <cellStyle name="常规 2 3" xfId="4" xr:uid="{00000000-0005-0000-0000-000034000000}"/>
    <cellStyle name="常规 3" xfId="6" xr:uid="{0D167F39-A007-43F9-B320-653CE1A065E6}"/>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1"/>
          <c:tx>
            <c:strRef>
              <c:f>'框架指示的股债胜率（综合）'!$Z$3:$Z$4</c:f>
              <c:strCache>
                <c:ptCount val="2"/>
                <c:pt idx="0">
                  <c:v>实际股债强弱</c:v>
                </c:pt>
              </c:strCache>
            </c:strRef>
          </c:tx>
          <c:spPr>
            <a:ln w="15875" cap="rnd">
              <a:solidFill>
                <a:srgbClr val="0B3774"/>
              </a:solidFill>
              <a:round/>
            </a:ln>
            <a:effectLst/>
          </c:spPr>
          <c:marker>
            <c:symbol val="none"/>
          </c:marker>
          <c:cat>
            <c:numRef>
              <c:f>'框架指示的股债胜率（综合）'!$A$5:$A$162</c:f>
              <c:numCache>
                <c:formatCode>yyyy/m/d;@</c:formatCode>
                <c:ptCount val="158"/>
                <c:pt idx="0">
                  <c:v>46022</c:v>
                </c:pt>
                <c:pt idx="1">
                  <c:v>45991</c:v>
                </c:pt>
                <c:pt idx="2">
                  <c:v>45961</c:v>
                </c:pt>
                <c:pt idx="3">
                  <c:v>45930</c:v>
                </c:pt>
                <c:pt idx="4">
                  <c:v>45900</c:v>
                </c:pt>
                <c:pt idx="5">
                  <c:v>45869</c:v>
                </c:pt>
                <c:pt idx="6">
                  <c:v>45838</c:v>
                </c:pt>
                <c:pt idx="7">
                  <c:v>45808</c:v>
                </c:pt>
                <c:pt idx="8">
                  <c:v>45777</c:v>
                </c:pt>
                <c:pt idx="9">
                  <c:v>45747</c:v>
                </c:pt>
                <c:pt idx="10">
                  <c:v>45716</c:v>
                </c:pt>
                <c:pt idx="11">
                  <c:v>45688</c:v>
                </c:pt>
                <c:pt idx="12">
                  <c:v>45657</c:v>
                </c:pt>
                <c:pt idx="13">
                  <c:v>45626</c:v>
                </c:pt>
                <c:pt idx="14">
                  <c:v>45596</c:v>
                </c:pt>
                <c:pt idx="15">
                  <c:v>45565</c:v>
                </c:pt>
                <c:pt idx="16">
                  <c:v>45535</c:v>
                </c:pt>
                <c:pt idx="17">
                  <c:v>45504</c:v>
                </c:pt>
                <c:pt idx="18">
                  <c:v>45473</c:v>
                </c:pt>
                <c:pt idx="19">
                  <c:v>45443</c:v>
                </c:pt>
                <c:pt idx="20">
                  <c:v>45412</c:v>
                </c:pt>
                <c:pt idx="21">
                  <c:v>45382</c:v>
                </c:pt>
                <c:pt idx="22">
                  <c:v>45351</c:v>
                </c:pt>
                <c:pt idx="23">
                  <c:v>45322</c:v>
                </c:pt>
                <c:pt idx="24">
                  <c:v>45291</c:v>
                </c:pt>
                <c:pt idx="25">
                  <c:v>45260</c:v>
                </c:pt>
                <c:pt idx="26">
                  <c:v>45230</c:v>
                </c:pt>
                <c:pt idx="27">
                  <c:v>45199</c:v>
                </c:pt>
                <c:pt idx="28">
                  <c:v>45169</c:v>
                </c:pt>
                <c:pt idx="29">
                  <c:v>45138</c:v>
                </c:pt>
                <c:pt idx="30">
                  <c:v>45107</c:v>
                </c:pt>
                <c:pt idx="31">
                  <c:v>45077</c:v>
                </c:pt>
                <c:pt idx="32">
                  <c:v>45046</c:v>
                </c:pt>
                <c:pt idx="33">
                  <c:v>45016</c:v>
                </c:pt>
                <c:pt idx="34">
                  <c:v>44985</c:v>
                </c:pt>
                <c:pt idx="35">
                  <c:v>44957</c:v>
                </c:pt>
                <c:pt idx="36">
                  <c:v>44926</c:v>
                </c:pt>
                <c:pt idx="37">
                  <c:v>44895</c:v>
                </c:pt>
                <c:pt idx="38">
                  <c:v>44865</c:v>
                </c:pt>
                <c:pt idx="39">
                  <c:v>44834</c:v>
                </c:pt>
                <c:pt idx="40">
                  <c:v>44804</c:v>
                </c:pt>
                <c:pt idx="41">
                  <c:v>44773</c:v>
                </c:pt>
                <c:pt idx="42">
                  <c:v>44742</c:v>
                </c:pt>
                <c:pt idx="43">
                  <c:v>44712</c:v>
                </c:pt>
                <c:pt idx="44">
                  <c:v>44681</c:v>
                </c:pt>
                <c:pt idx="45">
                  <c:v>44651</c:v>
                </c:pt>
                <c:pt idx="46">
                  <c:v>44620</c:v>
                </c:pt>
                <c:pt idx="47">
                  <c:v>44592</c:v>
                </c:pt>
                <c:pt idx="48">
                  <c:v>44561</c:v>
                </c:pt>
                <c:pt idx="49">
                  <c:v>44530</c:v>
                </c:pt>
                <c:pt idx="50">
                  <c:v>44500</c:v>
                </c:pt>
                <c:pt idx="51">
                  <c:v>44469</c:v>
                </c:pt>
                <c:pt idx="52">
                  <c:v>44439</c:v>
                </c:pt>
                <c:pt idx="53">
                  <c:v>44408</c:v>
                </c:pt>
                <c:pt idx="54">
                  <c:v>44377</c:v>
                </c:pt>
                <c:pt idx="55">
                  <c:v>44347</c:v>
                </c:pt>
                <c:pt idx="56">
                  <c:v>44316</c:v>
                </c:pt>
                <c:pt idx="57">
                  <c:v>44286</c:v>
                </c:pt>
                <c:pt idx="58">
                  <c:v>44255</c:v>
                </c:pt>
                <c:pt idx="59">
                  <c:v>44227</c:v>
                </c:pt>
                <c:pt idx="60">
                  <c:v>44196</c:v>
                </c:pt>
                <c:pt idx="61">
                  <c:v>44165</c:v>
                </c:pt>
                <c:pt idx="62">
                  <c:v>44135</c:v>
                </c:pt>
                <c:pt idx="63">
                  <c:v>44104</c:v>
                </c:pt>
                <c:pt idx="64">
                  <c:v>44074</c:v>
                </c:pt>
                <c:pt idx="65">
                  <c:v>44043</c:v>
                </c:pt>
                <c:pt idx="66">
                  <c:v>44012</c:v>
                </c:pt>
                <c:pt idx="67">
                  <c:v>43982</c:v>
                </c:pt>
                <c:pt idx="68">
                  <c:v>43951</c:v>
                </c:pt>
                <c:pt idx="69">
                  <c:v>43921</c:v>
                </c:pt>
                <c:pt idx="70">
                  <c:v>43890</c:v>
                </c:pt>
                <c:pt idx="71">
                  <c:v>43861</c:v>
                </c:pt>
                <c:pt idx="72">
                  <c:v>43830</c:v>
                </c:pt>
                <c:pt idx="73">
                  <c:v>43799</c:v>
                </c:pt>
                <c:pt idx="74">
                  <c:v>43769</c:v>
                </c:pt>
                <c:pt idx="75">
                  <c:v>43738</c:v>
                </c:pt>
                <c:pt idx="76">
                  <c:v>43708</c:v>
                </c:pt>
                <c:pt idx="77">
                  <c:v>43677</c:v>
                </c:pt>
                <c:pt idx="78">
                  <c:v>43646</c:v>
                </c:pt>
                <c:pt idx="79">
                  <c:v>43616</c:v>
                </c:pt>
                <c:pt idx="80">
                  <c:v>43585</c:v>
                </c:pt>
                <c:pt idx="81">
                  <c:v>43555</c:v>
                </c:pt>
                <c:pt idx="82">
                  <c:v>43524</c:v>
                </c:pt>
                <c:pt idx="83">
                  <c:v>43496</c:v>
                </c:pt>
                <c:pt idx="84">
                  <c:v>43465</c:v>
                </c:pt>
                <c:pt idx="85">
                  <c:v>43434</c:v>
                </c:pt>
                <c:pt idx="86">
                  <c:v>43404</c:v>
                </c:pt>
                <c:pt idx="87">
                  <c:v>43373</c:v>
                </c:pt>
                <c:pt idx="88">
                  <c:v>43343</c:v>
                </c:pt>
                <c:pt idx="89">
                  <c:v>43312</c:v>
                </c:pt>
                <c:pt idx="90">
                  <c:v>43281</c:v>
                </c:pt>
                <c:pt idx="91">
                  <c:v>43251</c:v>
                </c:pt>
                <c:pt idx="92">
                  <c:v>43220</c:v>
                </c:pt>
                <c:pt idx="93">
                  <c:v>43190</c:v>
                </c:pt>
                <c:pt idx="94">
                  <c:v>43159</c:v>
                </c:pt>
                <c:pt idx="95">
                  <c:v>43131</c:v>
                </c:pt>
                <c:pt idx="96">
                  <c:v>43100</c:v>
                </c:pt>
                <c:pt idx="97">
                  <c:v>43069</c:v>
                </c:pt>
                <c:pt idx="98">
                  <c:v>43039</c:v>
                </c:pt>
                <c:pt idx="99">
                  <c:v>43008</c:v>
                </c:pt>
                <c:pt idx="100">
                  <c:v>42978</c:v>
                </c:pt>
                <c:pt idx="101">
                  <c:v>42947</c:v>
                </c:pt>
                <c:pt idx="102">
                  <c:v>42916</c:v>
                </c:pt>
                <c:pt idx="103">
                  <c:v>42886</c:v>
                </c:pt>
                <c:pt idx="104">
                  <c:v>42855</c:v>
                </c:pt>
                <c:pt idx="105">
                  <c:v>42825</c:v>
                </c:pt>
                <c:pt idx="106">
                  <c:v>42794</c:v>
                </c:pt>
                <c:pt idx="107">
                  <c:v>42766</c:v>
                </c:pt>
                <c:pt idx="108">
                  <c:v>42735</c:v>
                </c:pt>
                <c:pt idx="109">
                  <c:v>42704</c:v>
                </c:pt>
                <c:pt idx="110">
                  <c:v>42674</c:v>
                </c:pt>
                <c:pt idx="111">
                  <c:v>42643</c:v>
                </c:pt>
                <c:pt idx="112">
                  <c:v>42613</c:v>
                </c:pt>
                <c:pt idx="113">
                  <c:v>42582</c:v>
                </c:pt>
                <c:pt idx="114">
                  <c:v>42551</c:v>
                </c:pt>
                <c:pt idx="115">
                  <c:v>42521</c:v>
                </c:pt>
                <c:pt idx="116">
                  <c:v>42490</c:v>
                </c:pt>
                <c:pt idx="117">
                  <c:v>42460</c:v>
                </c:pt>
                <c:pt idx="118">
                  <c:v>42429</c:v>
                </c:pt>
                <c:pt idx="119">
                  <c:v>42400</c:v>
                </c:pt>
                <c:pt idx="120">
                  <c:v>42369</c:v>
                </c:pt>
                <c:pt idx="121">
                  <c:v>42338</c:v>
                </c:pt>
                <c:pt idx="122">
                  <c:v>42308</c:v>
                </c:pt>
                <c:pt idx="123">
                  <c:v>42277</c:v>
                </c:pt>
                <c:pt idx="124">
                  <c:v>42247</c:v>
                </c:pt>
                <c:pt idx="125">
                  <c:v>42216</c:v>
                </c:pt>
                <c:pt idx="126">
                  <c:v>42185</c:v>
                </c:pt>
                <c:pt idx="127">
                  <c:v>42155</c:v>
                </c:pt>
                <c:pt idx="128">
                  <c:v>42124</c:v>
                </c:pt>
                <c:pt idx="129">
                  <c:v>42094</c:v>
                </c:pt>
                <c:pt idx="130">
                  <c:v>42063</c:v>
                </c:pt>
                <c:pt idx="131">
                  <c:v>42035</c:v>
                </c:pt>
                <c:pt idx="132">
                  <c:v>42004</c:v>
                </c:pt>
                <c:pt idx="133">
                  <c:v>41973</c:v>
                </c:pt>
                <c:pt idx="134">
                  <c:v>41943</c:v>
                </c:pt>
                <c:pt idx="135">
                  <c:v>41912</c:v>
                </c:pt>
                <c:pt idx="136">
                  <c:v>41882</c:v>
                </c:pt>
                <c:pt idx="137">
                  <c:v>41851</c:v>
                </c:pt>
                <c:pt idx="138">
                  <c:v>41820</c:v>
                </c:pt>
                <c:pt idx="139">
                  <c:v>41790</c:v>
                </c:pt>
                <c:pt idx="140">
                  <c:v>41759</c:v>
                </c:pt>
                <c:pt idx="141">
                  <c:v>41729</c:v>
                </c:pt>
                <c:pt idx="142">
                  <c:v>41698</c:v>
                </c:pt>
                <c:pt idx="143">
                  <c:v>41670</c:v>
                </c:pt>
                <c:pt idx="144">
                  <c:v>41639</c:v>
                </c:pt>
                <c:pt idx="145">
                  <c:v>41608</c:v>
                </c:pt>
                <c:pt idx="146">
                  <c:v>41578</c:v>
                </c:pt>
                <c:pt idx="147">
                  <c:v>41547</c:v>
                </c:pt>
                <c:pt idx="148">
                  <c:v>41517</c:v>
                </c:pt>
                <c:pt idx="149">
                  <c:v>41486</c:v>
                </c:pt>
                <c:pt idx="150">
                  <c:v>41455</c:v>
                </c:pt>
                <c:pt idx="151">
                  <c:v>41425</c:v>
                </c:pt>
                <c:pt idx="152">
                  <c:v>41394</c:v>
                </c:pt>
                <c:pt idx="153">
                  <c:v>41364</c:v>
                </c:pt>
                <c:pt idx="154">
                  <c:v>41333</c:v>
                </c:pt>
                <c:pt idx="155">
                  <c:v>41305</c:v>
                </c:pt>
                <c:pt idx="156">
                  <c:v>41274</c:v>
                </c:pt>
                <c:pt idx="157">
                  <c:v>41243</c:v>
                </c:pt>
              </c:numCache>
            </c:numRef>
          </c:cat>
          <c:val>
            <c:numRef>
              <c:f>'框架指示的股债胜率（综合）'!$Z$5:$Z$162</c:f>
              <c:numCache>
                <c:formatCode>General</c:formatCode>
                <c:ptCount val="158"/>
                <c:pt idx="0">
                  <c:v>6.4860486271918019</c:v>
                </c:pt>
                <c:pt idx="1">
                  <c:v>5.7409690442013757</c:v>
                </c:pt>
                <c:pt idx="2">
                  <c:v>7.0135939977254651</c:v>
                </c:pt>
                <c:pt idx="3">
                  <c:v>4.4896607379571671</c:v>
                </c:pt>
                <c:pt idx="4">
                  <c:v>4.5176469249072708</c:v>
                </c:pt>
                <c:pt idx="5">
                  <c:v>2.8260006619607823</c:v>
                </c:pt>
                <c:pt idx="6">
                  <c:v>-1.4990225784925972</c:v>
                </c:pt>
                <c:pt idx="7">
                  <c:v>-6.8973343507369487</c:v>
                </c:pt>
                <c:pt idx="8">
                  <c:v>-8.2816599371441182</c:v>
                </c:pt>
                <c:pt idx="9">
                  <c:v>-4.2268817420627842</c:v>
                </c:pt>
                <c:pt idx="10">
                  <c:v>-3.9967064101645344</c:v>
                </c:pt>
                <c:pt idx="11">
                  <c:v>-7.0871387805927659</c:v>
                </c:pt>
                <c:pt idx="12">
                  <c:v>-4.2416180451251204</c:v>
                </c:pt>
                <c:pt idx="13">
                  <c:v>-0.75331619983813136</c:v>
                </c:pt>
                <c:pt idx="14">
                  <c:v>0.14161395813899938</c:v>
                </c:pt>
                <c:pt idx="15">
                  <c:v>-1.198639143067983</c:v>
                </c:pt>
                <c:pt idx="16">
                  <c:v>-5.1674476692784923</c:v>
                </c:pt>
                <c:pt idx="17">
                  <c:v>-3.4521948357725329</c:v>
                </c:pt>
                <c:pt idx="18">
                  <c:v>-7.1639652728374896</c:v>
                </c:pt>
                <c:pt idx="19">
                  <c:v>-6.706409842140765</c:v>
                </c:pt>
                <c:pt idx="20">
                  <c:v>-7.234317171379959</c:v>
                </c:pt>
                <c:pt idx="21">
                  <c:v>-6.5225011469883833</c:v>
                </c:pt>
                <c:pt idx="22">
                  <c:v>-4.4937516126832753</c:v>
                </c:pt>
                <c:pt idx="23">
                  <c:v>-6.0414649042447195</c:v>
                </c:pt>
                <c:pt idx="24">
                  <c:v>-2.1617524016444438</c:v>
                </c:pt>
                <c:pt idx="25">
                  <c:v>-1.5478393039443501</c:v>
                </c:pt>
                <c:pt idx="26">
                  <c:v>-3.5755116129829321</c:v>
                </c:pt>
                <c:pt idx="27">
                  <c:v>-4.9593523160539883</c:v>
                </c:pt>
                <c:pt idx="28">
                  <c:v>-6.2568586066862091</c:v>
                </c:pt>
                <c:pt idx="29">
                  <c:v>-4.3636420441344805</c:v>
                </c:pt>
                <c:pt idx="30">
                  <c:v>-2.7831180557839388</c:v>
                </c:pt>
                <c:pt idx="31">
                  <c:v>-1.0324271037620878</c:v>
                </c:pt>
                <c:pt idx="32">
                  <c:v>3.7041461609066602</c:v>
                </c:pt>
                <c:pt idx="33">
                  <c:v>5.0098392784172212</c:v>
                </c:pt>
                <c:pt idx="34">
                  <c:v>4.4220818478898671</c:v>
                </c:pt>
                <c:pt idx="35">
                  <c:v>1.4188426767567559</c:v>
                </c:pt>
                <c:pt idx="36">
                  <c:v>-0.25689076530764349</c:v>
                </c:pt>
                <c:pt idx="37">
                  <c:v>0.15060607213011204</c:v>
                </c:pt>
                <c:pt idx="38">
                  <c:v>-1.4148032011093719</c:v>
                </c:pt>
                <c:pt idx="39">
                  <c:v>-3.5281459512937161</c:v>
                </c:pt>
                <c:pt idx="40">
                  <c:v>-3.0122422050264426</c:v>
                </c:pt>
                <c:pt idx="41">
                  <c:v>0.54227817276071766</c:v>
                </c:pt>
                <c:pt idx="42">
                  <c:v>-2.1807403213221739</c:v>
                </c:pt>
                <c:pt idx="43">
                  <c:v>-4.7092055438434057</c:v>
                </c:pt>
                <c:pt idx="44">
                  <c:v>-6.1665505309303121</c:v>
                </c:pt>
                <c:pt idx="45">
                  <c:v>-2.6154824489890034</c:v>
                </c:pt>
                <c:pt idx="46">
                  <c:v>-1.8039164266054508</c:v>
                </c:pt>
                <c:pt idx="47">
                  <c:v>-3.9183246704051959</c:v>
                </c:pt>
                <c:pt idx="48">
                  <c:v>-3.7707672482944581</c:v>
                </c:pt>
                <c:pt idx="49">
                  <c:v>-2.9350306649329867</c:v>
                </c:pt>
                <c:pt idx="50">
                  <c:v>-2.5273300318918506</c:v>
                </c:pt>
                <c:pt idx="51">
                  <c:v>-4.8114025023001812</c:v>
                </c:pt>
                <c:pt idx="52">
                  <c:v>-5.4854559535628598</c:v>
                </c:pt>
                <c:pt idx="53">
                  <c:v>-2.6861783039378793</c:v>
                </c:pt>
                <c:pt idx="54">
                  <c:v>-1.5390669434986384</c:v>
                </c:pt>
                <c:pt idx="55">
                  <c:v>-1.1114076093567522</c:v>
                </c:pt>
                <c:pt idx="56">
                  <c:v>0.87692171353914949</c:v>
                </c:pt>
                <c:pt idx="57">
                  <c:v>2.8496284926328115</c:v>
                </c:pt>
                <c:pt idx="58">
                  <c:v>4.5976533894091904</c:v>
                </c:pt>
                <c:pt idx="59">
                  <c:v>3.9824176142205121</c:v>
                </c:pt>
                <c:pt idx="60">
                  <c:v>9.7990632527877768</c:v>
                </c:pt>
                <c:pt idx="61">
                  <c:v>13.317510566382628</c:v>
                </c:pt>
                <c:pt idx="62">
                  <c:v>14.022070621393043</c:v>
                </c:pt>
                <c:pt idx="63">
                  <c:v>11.560079057935338</c:v>
                </c:pt>
                <c:pt idx="64">
                  <c:v>6.380056939701352</c:v>
                </c:pt>
                <c:pt idx="65">
                  <c:v>1.0815554431387213</c:v>
                </c:pt>
                <c:pt idx="66">
                  <c:v>-4.5124405106296672</c:v>
                </c:pt>
                <c:pt idx="67">
                  <c:v>-7.8798432788223911</c:v>
                </c:pt>
                <c:pt idx="68">
                  <c:v>-10.236129732589589</c:v>
                </c:pt>
                <c:pt idx="69">
                  <c:v>-7.2737442925352154</c:v>
                </c:pt>
                <c:pt idx="70">
                  <c:v>-2.3833790504584345</c:v>
                </c:pt>
                <c:pt idx="71">
                  <c:v>-0.16952707375603904</c:v>
                </c:pt>
                <c:pt idx="72">
                  <c:v>7.1113995273838881E-2</c:v>
                </c:pt>
                <c:pt idx="73">
                  <c:v>-1.0190250648630717</c:v>
                </c:pt>
                <c:pt idx="74">
                  <c:v>-2.6512148532778865</c:v>
                </c:pt>
                <c:pt idx="75">
                  <c:v>-1.5248339435420082</c:v>
                </c:pt>
                <c:pt idx="76">
                  <c:v>-0.74256634208941164</c:v>
                </c:pt>
                <c:pt idx="77">
                  <c:v>4.3361753718922396</c:v>
                </c:pt>
                <c:pt idx="78">
                  <c:v>2.998560176387695</c:v>
                </c:pt>
                <c:pt idx="79">
                  <c:v>0.59098681717316504</c:v>
                </c:pt>
                <c:pt idx="80">
                  <c:v>0.25401405683067385</c:v>
                </c:pt>
                <c:pt idx="81">
                  <c:v>-5.637557506327572</c:v>
                </c:pt>
                <c:pt idx="82">
                  <c:v>-5.8124793824932501</c:v>
                </c:pt>
                <c:pt idx="83">
                  <c:v>-8.8215914368973838</c:v>
                </c:pt>
                <c:pt idx="84">
                  <c:v>-7.9495238451186578</c:v>
                </c:pt>
                <c:pt idx="85">
                  <c:v>-7.2405978884714051</c:v>
                </c:pt>
                <c:pt idx="86">
                  <c:v>-5.0860696958057403</c:v>
                </c:pt>
                <c:pt idx="87">
                  <c:v>-4.3989193588266504</c:v>
                </c:pt>
                <c:pt idx="88">
                  <c:v>-4.232467071664642</c:v>
                </c:pt>
                <c:pt idx="89">
                  <c:v>-5.184877192753599</c:v>
                </c:pt>
                <c:pt idx="90">
                  <c:v>-7.168304055048992</c:v>
                </c:pt>
                <c:pt idx="91">
                  <c:v>-7.8342671933551573</c:v>
                </c:pt>
                <c:pt idx="92">
                  <c:v>-12.441980564698357</c:v>
                </c:pt>
                <c:pt idx="93">
                  <c:v>-9.3750019892309098</c:v>
                </c:pt>
                <c:pt idx="94">
                  <c:v>-9.9784062364503381</c:v>
                </c:pt>
                <c:pt idx="95">
                  <c:v>-5.313824762916826</c:v>
                </c:pt>
                <c:pt idx="96">
                  <c:v>1.9546366339627983</c:v>
                </c:pt>
                <c:pt idx="97">
                  <c:v>3.8253990098695412</c:v>
                </c:pt>
                <c:pt idx="98">
                  <c:v>11.694677182963309</c:v>
                </c:pt>
                <c:pt idx="99">
                  <c:v>7.9285121595820582</c:v>
                </c:pt>
                <c:pt idx="100">
                  <c:v>2.0351384695385479</c:v>
                </c:pt>
                <c:pt idx="101">
                  <c:v>-1.4993378074378294</c:v>
                </c:pt>
                <c:pt idx="102">
                  <c:v>-4.0495486015225346</c:v>
                </c:pt>
                <c:pt idx="103">
                  <c:v>1.0728442978515769</c:v>
                </c:pt>
                <c:pt idx="104">
                  <c:v>-4.0901924457977543</c:v>
                </c:pt>
                <c:pt idx="105">
                  <c:v>-4.4593624896838087</c:v>
                </c:pt>
                <c:pt idx="106">
                  <c:v>-1.664292645451307</c:v>
                </c:pt>
                <c:pt idx="107">
                  <c:v>-2.5270043164698195</c:v>
                </c:pt>
                <c:pt idx="108">
                  <c:v>-3.9102884678735599</c:v>
                </c:pt>
                <c:pt idx="109">
                  <c:v>-7.1414753250919558</c:v>
                </c:pt>
                <c:pt idx="110">
                  <c:v>1.2295027468432866</c:v>
                </c:pt>
                <c:pt idx="111">
                  <c:v>4.9800153573818013</c:v>
                </c:pt>
                <c:pt idx="112">
                  <c:v>10.242738147154766</c:v>
                </c:pt>
                <c:pt idx="113">
                  <c:v>16.74391048542185</c:v>
                </c:pt>
                <c:pt idx="114">
                  <c:v>19.620929533391784</c:v>
                </c:pt>
                <c:pt idx="115">
                  <c:v>17.849141697664564</c:v>
                </c:pt>
                <c:pt idx="116">
                  <c:v>12.179760830795432</c:v>
                </c:pt>
                <c:pt idx="117">
                  <c:v>9.2407103919174123</c:v>
                </c:pt>
                <c:pt idx="118">
                  <c:v>4.9954030507772282</c:v>
                </c:pt>
                <c:pt idx="119">
                  <c:v>-0.100749551884925</c:v>
                </c:pt>
                <c:pt idx="120">
                  <c:v>0.26812343206173672</c:v>
                </c:pt>
                <c:pt idx="121">
                  <c:v>0.65684587374239334</c:v>
                </c:pt>
                <c:pt idx="122">
                  <c:v>0.40180685623398649</c:v>
                </c:pt>
                <c:pt idx="123">
                  <c:v>5.2948248856034779</c:v>
                </c:pt>
                <c:pt idx="124">
                  <c:v>6.9044211915844569</c:v>
                </c:pt>
                <c:pt idx="125">
                  <c:v>3.9352995674815179</c:v>
                </c:pt>
                <c:pt idx="126">
                  <c:v>-1.0277612029236953</c:v>
                </c:pt>
                <c:pt idx="127">
                  <c:v>-2.0851181134894956</c:v>
                </c:pt>
                <c:pt idx="128">
                  <c:v>-1.9709324141292346</c:v>
                </c:pt>
                <c:pt idx="129">
                  <c:v>-4.2973722428035535</c:v>
                </c:pt>
                <c:pt idx="130">
                  <c:v>-4.063546083436882</c:v>
                </c:pt>
                <c:pt idx="131">
                  <c:v>-5.9070659894126507</c:v>
                </c:pt>
                <c:pt idx="132">
                  <c:v>-6.9474952814608928</c:v>
                </c:pt>
                <c:pt idx="133">
                  <c:v>-8.482604770772646</c:v>
                </c:pt>
                <c:pt idx="134">
                  <c:v>-10.608279802897956</c:v>
                </c:pt>
                <c:pt idx="135">
                  <c:v>-11.169247222713983</c:v>
                </c:pt>
                <c:pt idx="136">
                  <c:v>-10.93765465067642</c:v>
                </c:pt>
                <c:pt idx="137">
                  <c:v>-5.3292386018052813</c:v>
                </c:pt>
                <c:pt idx="138">
                  <c:v>-4.1746914808262199</c:v>
                </c:pt>
                <c:pt idx="139">
                  <c:v>-1.3191394559141398</c:v>
                </c:pt>
                <c:pt idx="140">
                  <c:v>-1.5258952541577484</c:v>
                </c:pt>
                <c:pt idx="141">
                  <c:v>0.18109066790463491</c:v>
                </c:pt>
                <c:pt idx="142">
                  <c:v>-1.6247026685584753</c:v>
                </c:pt>
                <c:pt idx="143">
                  <c:v>2.3350419815352397</c:v>
                </c:pt>
                <c:pt idx="144">
                  <c:v>9.795876258939936</c:v>
                </c:pt>
                <c:pt idx="145">
                  <c:v>11.173180527865867</c:v>
                </c:pt>
                <c:pt idx="146">
                  <c:v>13.38410772871736</c:v>
                </c:pt>
                <c:pt idx="147">
                  <c:v>12.607489548162313</c:v>
                </c:pt>
                <c:pt idx="148">
                  <c:v>13.119659833262633</c:v>
                </c:pt>
                <c:pt idx="149">
                  <c:v>3.1385957173193617</c:v>
                </c:pt>
                <c:pt idx="150">
                  <c:v>-2.9849627538827206</c:v>
                </c:pt>
                <c:pt idx="151">
                  <c:v>-6.1447612648114616</c:v>
                </c:pt>
                <c:pt idx="152">
                  <c:v>-7.9847587344344104</c:v>
                </c:pt>
                <c:pt idx="153">
                  <c:v>-10.313177825603034</c:v>
                </c:pt>
                <c:pt idx="154">
                  <c:v>-12.434081204001494</c:v>
                </c:pt>
                <c:pt idx="155">
                  <c:v>-7.4223176660031802</c:v>
                </c:pt>
                <c:pt idx="156">
                  <c:v>-9.5799353855386258</c:v>
                </c:pt>
                <c:pt idx="157">
                  <c:v>-6.3891878317234205</c:v>
                </c:pt>
              </c:numCache>
            </c:numRef>
          </c:val>
          <c:smooth val="1"/>
          <c:extLst>
            <c:ext xmlns:c16="http://schemas.microsoft.com/office/drawing/2014/chart" uri="{C3380CC4-5D6E-409C-BE32-E72D297353CC}">
              <c16:uniqueId val="{00000000-BC48-4667-BEF0-79699A8BB94E}"/>
            </c:ext>
          </c:extLst>
        </c:ser>
        <c:dLbls>
          <c:showLegendKey val="0"/>
          <c:showVal val="0"/>
          <c:showCatName val="0"/>
          <c:showSerName val="0"/>
          <c:showPercent val="0"/>
          <c:showBubbleSize val="0"/>
        </c:dLbls>
        <c:marker val="1"/>
        <c:smooth val="0"/>
        <c:axId val="145929804"/>
        <c:axId val="623162877"/>
      </c:lineChart>
      <c:lineChart>
        <c:grouping val="standard"/>
        <c:varyColors val="0"/>
        <c:ser>
          <c:idx val="0"/>
          <c:order val="0"/>
          <c:tx>
            <c:strRef>
              <c:f>'框架指示的股债胜率（综合）'!$Y$3:$Y$4</c:f>
              <c:strCache>
                <c:ptCount val="2"/>
                <c:pt idx="0">
                  <c:v>打分指示的股债强弱（简单平均，右轴)</c:v>
                </c:pt>
              </c:strCache>
            </c:strRef>
          </c:tx>
          <c:spPr>
            <a:ln w="15875" cap="rnd">
              <a:solidFill>
                <a:schemeClr val="accent6">
                  <a:lumMod val="50000"/>
                </a:schemeClr>
              </a:solidFill>
              <a:round/>
            </a:ln>
            <a:effectLst/>
          </c:spPr>
          <c:marker>
            <c:symbol val="none"/>
          </c:marker>
          <c:cat>
            <c:numRef>
              <c:f>'框架指示的股债胜率（综合）'!$A$5:$A$162</c:f>
              <c:numCache>
                <c:formatCode>yyyy/m/d;@</c:formatCode>
                <c:ptCount val="158"/>
                <c:pt idx="0">
                  <c:v>46022</c:v>
                </c:pt>
                <c:pt idx="1">
                  <c:v>45991</c:v>
                </c:pt>
                <c:pt idx="2">
                  <c:v>45961</c:v>
                </c:pt>
                <c:pt idx="3">
                  <c:v>45930</c:v>
                </c:pt>
                <c:pt idx="4">
                  <c:v>45900</c:v>
                </c:pt>
                <c:pt idx="5">
                  <c:v>45869</c:v>
                </c:pt>
                <c:pt idx="6">
                  <c:v>45838</c:v>
                </c:pt>
                <c:pt idx="7">
                  <c:v>45808</c:v>
                </c:pt>
                <c:pt idx="8">
                  <c:v>45777</c:v>
                </c:pt>
                <c:pt idx="9">
                  <c:v>45747</c:v>
                </c:pt>
                <c:pt idx="10">
                  <c:v>45716</c:v>
                </c:pt>
                <c:pt idx="11">
                  <c:v>45688</c:v>
                </c:pt>
                <c:pt idx="12">
                  <c:v>45657</c:v>
                </c:pt>
                <c:pt idx="13">
                  <c:v>45626</c:v>
                </c:pt>
                <c:pt idx="14">
                  <c:v>45596</c:v>
                </c:pt>
                <c:pt idx="15">
                  <c:v>45565</c:v>
                </c:pt>
                <c:pt idx="16">
                  <c:v>45535</c:v>
                </c:pt>
                <c:pt idx="17">
                  <c:v>45504</c:v>
                </c:pt>
                <c:pt idx="18">
                  <c:v>45473</c:v>
                </c:pt>
                <c:pt idx="19">
                  <c:v>45443</c:v>
                </c:pt>
                <c:pt idx="20">
                  <c:v>45412</c:v>
                </c:pt>
                <c:pt idx="21">
                  <c:v>45382</c:v>
                </c:pt>
                <c:pt idx="22">
                  <c:v>45351</c:v>
                </c:pt>
                <c:pt idx="23">
                  <c:v>45322</c:v>
                </c:pt>
                <c:pt idx="24">
                  <c:v>45291</c:v>
                </c:pt>
                <c:pt idx="25">
                  <c:v>45260</c:v>
                </c:pt>
                <c:pt idx="26">
                  <c:v>45230</c:v>
                </c:pt>
                <c:pt idx="27">
                  <c:v>45199</c:v>
                </c:pt>
                <c:pt idx="28">
                  <c:v>45169</c:v>
                </c:pt>
                <c:pt idx="29">
                  <c:v>45138</c:v>
                </c:pt>
                <c:pt idx="30">
                  <c:v>45107</c:v>
                </c:pt>
                <c:pt idx="31">
                  <c:v>45077</c:v>
                </c:pt>
                <c:pt idx="32">
                  <c:v>45046</c:v>
                </c:pt>
                <c:pt idx="33">
                  <c:v>45016</c:v>
                </c:pt>
                <c:pt idx="34">
                  <c:v>44985</c:v>
                </c:pt>
                <c:pt idx="35">
                  <c:v>44957</c:v>
                </c:pt>
                <c:pt idx="36">
                  <c:v>44926</c:v>
                </c:pt>
                <c:pt idx="37">
                  <c:v>44895</c:v>
                </c:pt>
                <c:pt idx="38">
                  <c:v>44865</c:v>
                </c:pt>
                <c:pt idx="39">
                  <c:v>44834</c:v>
                </c:pt>
                <c:pt idx="40">
                  <c:v>44804</c:v>
                </c:pt>
                <c:pt idx="41">
                  <c:v>44773</c:v>
                </c:pt>
                <c:pt idx="42">
                  <c:v>44742</c:v>
                </c:pt>
                <c:pt idx="43">
                  <c:v>44712</c:v>
                </c:pt>
                <c:pt idx="44">
                  <c:v>44681</c:v>
                </c:pt>
                <c:pt idx="45">
                  <c:v>44651</c:v>
                </c:pt>
                <c:pt idx="46">
                  <c:v>44620</c:v>
                </c:pt>
                <c:pt idx="47">
                  <c:v>44592</c:v>
                </c:pt>
                <c:pt idx="48">
                  <c:v>44561</c:v>
                </c:pt>
                <c:pt idx="49">
                  <c:v>44530</c:v>
                </c:pt>
                <c:pt idx="50">
                  <c:v>44500</c:v>
                </c:pt>
                <c:pt idx="51">
                  <c:v>44469</c:v>
                </c:pt>
                <c:pt idx="52">
                  <c:v>44439</c:v>
                </c:pt>
                <c:pt idx="53">
                  <c:v>44408</c:v>
                </c:pt>
                <c:pt idx="54">
                  <c:v>44377</c:v>
                </c:pt>
                <c:pt idx="55">
                  <c:v>44347</c:v>
                </c:pt>
                <c:pt idx="56">
                  <c:v>44316</c:v>
                </c:pt>
                <c:pt idx="57">
                  <c:v>44286</c:v>
                </c:pt>
                <c:pt idx="58">
                  <c:v>44255</c:v>
                </c:pt>
                <c:pt idx="59">
                  <c:v>44227</c:v>
                </c:pt>
                <c:pt idx="60">
                  <c:v>44196</c:v>
                </c:pt>
                <c:pt idx="61">
                  <c:v>44165</c:v>
                </c:pt>
                <c:pt idx="62">
                  <c:v>44135</c:v>
                </c:pt>
                <c:pt idx="63">
                  <c:v>44104</c:v>
                </c:pt>
                <c:pt idx="64">
                  <c:v>44074</c:v>
                </c:pt>
                <c:pt idx="65">
                  <c:v>44043</c:v>
                </c:pt>
                <c:pt idx="66">
                  <c:v>44012</c:v>
                </c:pt>
                <c:pt idx="67">
                  <c:v>43982</c:v>
                </c:pt>
                <c:pt idx="68">
                  <c:v>43951</c:v>
                </c:pt>
                <c:pt idx="69">
                  <c:v>43921</c:v>
                </c:pt>
                <c:pt idx="70">
                  <c:v>43890</c:v>
                </c:pt>
                <c:pt idx="71">
                  <c:v>43861</c:v>
                </c:pt>
                <c:pt idx="72">
                  <c:v>43830</c:v>
                </c:pt>
                <c:pt idx="73">
                  <c:v>43799</c:v>
                </c:pt>
                <c:pt idx="74">
                  <c:v>43769</c:v>
                </c:pt>
                <c:pt idx="75">
                  <c:v>43738</c:v>
                </c:pt>
                <c:pt idx="76">
                  <c:v>43708</c:v>
                </c:pt>
                <c:pt idx="77">
                  <c:v>43677</c:v>
                </c:pt>
                <c:pt idx="78">
                  <c:v>43646</c:v>
                </c:pt>
                <c:pt idx="79">
                  <c:v>43616</c:v>
                </c:pt>
                <c:pt idx="80">
                  <c:v>43585</c:v>
                </c:pt>
                <c:pt idx="81">
                  <c:v>43555</c:v>
                </c:pt>
                <c:pt idx="82">
                  <c:v>43524</c:v>
                </c:pt>
                <c:pt idx="83">
                  <c:v>43496</c:v>
                </c:pt>
                <c:pt idx="84">
                  <c:v>43465</c:v>
                </c:pt>
                <c:pt idx="85">
                  <c:v>43434</c:v>
                </c:pt>
                <c:pt idx="86">
                  <c:v>43404</c:v>
                </c:pt>
                <c:pt idx="87">
                  <c:v>43373</c:v>
                </c:pt>
                <c:pt idx="88">
                  <c:v>43343</c:v>
                </c:pt>
                <c:pt idx="89">
                  <c:v>43312</c:v>
                </c:pt>
                <c:pt idx="90">
                  <c:v>43281</c:v>
                </c:pt>
                <c:pt idx="91">
                  <c:v>43251</c:v>
                </c:pt>
                <c:pt idx="92">
                  <c:v>43220</c:v>
                </c:pt>
                <c:pt idx="93">
                  <c:v>43190</c:v>
                </c:pt>
                <c:pt idx="94">
                  <c:v>43159</c:v>
                </c:pt>
                <c:pt idx="95">
                  <c:v>43131</c:v>
                </c:pt>
                <c:pt idx="96">
                  <c:v>43100</c:v>
                </c:pt>
                <c:pt idx="97">
                  <c:v>43069</c:v>
                </c:pt>
                <c:pt idx="98">
                  <c:v>43039</c:v>
                </c:pt>
                <c:pt idx="99">
                  <c:v>43008</c:v>
                </c:pt>
                <c:pt idx="100">
                  <c:v>42978</c:v>
                </c:pt>
                <c:pt idx="101">
                  <c:v>42947</c:v>
                </c:pt>
                <c:pt idx="102">
                  <c:v>42916</c:v>
                </c:pt>
                <c:pt idx="103">
                  <c:v>42886</c:v>
                </c:pt>
                <c:pt idx="104">
                  <c:v>42855</c:v>
                </c:pt>
                <c:pt idx="105">
                  <c:v>42825</c:v>
                </c:pt>
                <c:pt idx="106">
                  <c:v>42794</c:v>
                </c:pt>
                <c:pt idx="107">
                  <c:v>42766</c:v>
                </c:pt>
                <c:pt idx="108">
                  <c:v>42735</c:v>
                </c:pt>
                <c:pt idx="109">
                  <c:v>42704</c:v>
                </c:pt>
                <c:pt idx="110">
                  <c:v>42674</c:v>
                </c:pt>
                <c:pt idx="111">
                  <c:v>42643</c:v>
                </c:pt>
                <c:pt idx="112">
                  <c:v>42613</c:v>
                </c:pt>
                <c:pt idx="113">
                  <c:v>42582</c:v>
                </c:pt>
                <c:pt idx="114">
                  <c:v>42551</c:v>
                </c:pt>
                <c:pt idx="115">
                  <c:v>42521</c:v>
                </c:pt>
                <c:pt idx="116">
                  <c:v>42490</c:v>
                </c:pt>
                <c:pt idx="117">
                  <c:v>42460</c:v>
                </c:pt>
                <c:pt idx="118">
                  <c:v>42429</c:v>
                </c:pt>
                <c:pt idx="119">
                  <c:v>42400</c:v>
                </c:pt>
                <c:pt idx="120">
                  <c:v>42369</c:v>
                </c:pt>
                <c:pt idx="121">
                  <c:v>42338</c:v>
                </c:pt>
                <c:pt idx="122">
                  <c:v>42308</c:v>
                </c:pt>
                <c:pt idx="123">
                  <c:v>42277</c:v>
                </c:pt>
                <c:pt idx="124">
                  <c:v>42247</c:v>
                </c:pt>
                <c:pt idx="125">
                  <c:v>42216</c:v>
                </c:pt>
                <c:pt idx="126">
                  <c:v>42185</c:v>
                </c:pt>
                <c:pt idx="127">
                  <c:v>42155</c:v>
                </c:pt>
                <c:pt idx="128">
                  <c:v>42124</c:v>
                </c:pt>
                <c:pt idx="129">
                  <c:v>42094</c:v>
                </c:pt>
                <c:pt idx="130">
                  <c:v>42063</c:v>
                </c:pt>
                <c:pt idx="131">
                  <c:v>42035</c:v>
                </c:pt>
                <c:pt idx="132">
                  <c:v>42004</c:v>
                </c:pt>
                <c:pt idx="133">
                  <c:v>41973</c:v>
                </c:pt>
                <c:pt idx="134">
                  <c:v>41943</c:v>
                </c:pt>
                <c:pt idx="135">
                  <c:v>41912</c:v>
                </c:pt>
                <c:pt idx="136">
                  <c:v>41882</c:v>
                </c:pt>
                <c:pt idx="137">
                  <c:v>41851</c:v>
                </c:pt>
                <c:pt idx="138">
                  <c:v>41820</c:v>
                </c:pt>
                <c:pt idx="139">
                  <c:v>41790</c:v>
                </c:pt>
                <c:pt idx="140">
                  <c:v>41759</c:v>
                </c:pt>
                <c:pt idx="141">
                  <c:v>41729</c:v>
                </c:pt>
                <c:pt idx="142">
                  <c:v>41698</c:v>
                </c:pt>
                <c:pt idx="143">
                  <c:v>41670</c:v>
                </c:pt>
                <c:pt idx="144">
                  <c:v>41639</c:v>
                </c:pt>
                <c:pt idx="145">
                  <c:v>41608</c:v>
                </c:pt>
                <c:pt idx="146">
                  <c:v>41578</c:v>
                </c:pt>
                <c:pt idx="147">
                  <c:v>41547</c:v>
                </c:pt>
                <c:pt idx="148">
                  <c:v>41517</c:v>
                </c:pt>
                <c:pt idx="149">
                  <c:v>41486</c:v>
                </c:pt>
                <c:pt idx="150">
                  <c:v>41455</c:v>
                </c:pt>
                <c:pt idx="151">
                  <c:v>41425</c:v>
                </c:pt>
                <c:pt idx="152">
                  <c:v>41394</c:v>
                </c:pt>
                <c:pt idx="153">
                  <c:v>41364</c:v>
                </c:pt>
                <c:pt idx="154">
                  <c:v>41333</c:v>
                </c:pt>
                <c:pt idx="155">
                  <c:v>41305</c:v>
                </c:pt>
                <c:pt idx="156">
                  <c:v>41274</c:v>
                </c:pt>
                <c:pt idx="157">
                  <c:v>41243</c:v>
                </c:pt>
              </c:numCache>
            </c:numRef>
          </c:cat>
          <c:val>
            <c:numRef>
              <c:f>'框架指示的股债胜率（综合）'!$Y$5:$Y$162</c:f>
              <c:numCache>
                <c:formatCode>General</c:formatCode>
                <c:ptCount val="158"/>
                <c:pt idx="0">
                  <c:v>-0.10017547446930675</c:v>
                </c:pt>
                <c:pt idx="1">
                  <c:v>-0.30312617714827028</c:v>
                </c:pt>
                <c:pt idx="2">
                  <c:v>-0.28045966237649234</c:v>
                </c:pt>
                <c:pt idx="3">
                  <c:v>-0.41444180289467408</c:v>
                </c:pt>
                <c:pt idx="4">
                  <c:v>-0.41727785996414068</c:v>
                </c:pt>
                <c:pt idx="5">
                  <c:v>-0.29486221941348872</c:v>
                </c:pt>
                <c:pt idx="6">
                  <c:v>-0.18427874354647811</c:v>
                </c:pt>
                <c:pt idx="7">
                  <c:v>-0.24530434234381601</c:v>
                </c:pt>
                <c:pt idx="8">
                  <c:v>-0.13817842732316418</c:v>
                </c:pt>
                <c:pt idx="9">
                  <c:v>-0.46946941946941939</c:v>
                </c:pt>
                <c:pt idx="10">
                  <c:v>-1.0394161394161394</c:v>
                </c:pt>
                <c:pt idx="11">
                  <c:v>-1.6596083634985235</c:v>
                </c:pt>
                <c:pt idx="12">
                  <c:v>-1.7870642409544011</c:v>
                </c:pt>
                <c:pt idx="13">
                  <c:v>-1.7727019950132077</c:v>
                </c:pt>
                <c:pt idx="14">
                  <c:v>-2.0945868353191006</c:v>
                </c:pt>
                <c:pt idx="15">
                  <c:v>-2.0278737811447463</c:v>
                </c:pt>
                <c:pt idx="16">
                  <c:v>-1.6886002864524536</c:v>
                </c:pt>
                <c:pt idx="17">
                  <c:v>-1.23671173177668</c:v>
                </c:pt>
                <c:pt idx="18">
                  <c:v>-1.0745905196554679</c:v>
                </c:pt>
                <c:pt idx="19">
                  <c:v>-0.88123548287937847</c:v>
                </c:pt>
                <c:pt idx="20">
                  <c:v>-0.70927294249578532</c:v>
                </c:pt>
                <c:pt idx="21">
                  <c:v>-0.3750517457358889</c:v>
                </c:pt>
                <c:pt idx="22">
                  <c:v>-5.7553841892077164E-2</c:v>
                </c:pt>
                <c:pt idx="23">
                  <c:v>-0.18235630382689205</c:v>
                </c:pt>
                <c:pt idx="24">
                  <c:v>-0.435144245159725</c:v>
                </c:pt>
                <c:pt idx="25">
                  <c:v>-0.80819574646200054</c:v>
                </c:pt>
                <c:pt idx="26">
                  <c:v>-0.89067247452696374</c:v>
                </c:pt>
                <c:pt idx="27">
                  <c:v>-1.1763775102319995</c:v>
                </c:pt>
                <c:pt idx="28">
                  <c:v>-1.4733813887064662</c:v>
                </c:pt>
                <c:pt idx="29">
                  <c:v>-1.0510173148718038</c:v>
                </c:pt>
                <c:pt idx="30">
                  <c:v>-0.75568841776272111</c:v>
                </c:pt>
                <c:pt idx="31">
                  <c:v>-0.63709536650713117</c:v>
                </c:pt>
                <c:pt idx="32">
                  <c:v>-0.68775943555355334</c:v>
                </c:pt>
                <c:pt idx="33">
                  <c:v>-0.60725198004609771</c:v>
                </c:pt>
                <c:pt idx="34">
                  <c:v>-0.55213993522817051</c:v>
                </c:pt>
                <c:pt idx="35">
                  <c:v>-0.65123914756267698</c:v>
                </c:pt>
                <c:pt idx="36">
                  <c:v>-0.56168586907077966</c:v>
                </c:pt>
                <c:pt idx="37">
                  <c:v>-0.34819200998868527</c:v>
                </c:pt>
                <c:pt idx="38">
                  <c:v>-0.18182610465219162</c:v>
                </c:pt>
                <c:pt idx="39">
                  <c:v>-8.0571966633347716E-2</c:v>
                </c:pt>
                <c:pt idx="40">
                  <c:v>-0.15236683842821952</c:v>
                </c:pt>
                <c:pt idx="41">
                  <c:v>-0.21622139274330013</c:v>
                </c:pt>
                <c:pt idx="42">
                  <c:v>-0.25770114889696932</c:v>
                </c:pt>
                <c:pt idx="43">
                  <c:v>-0.41231312189129526</c:v>
                </c:pt>
                <c:pt idx="44">
                  <c:v>-0.39257105839923184</c:v>
                </c:pt>
                <c:pt idx="45">
                  <c:v>-0.32358710117998046</c:v>
                </c:pt>
                <c:pt idx="46">
                  <c:v>-0.37282397541685469</c:v>
                </c:pt>
                <c:pt idx="47">
                  <c:v>-0.42402843616078911</c:v>
                </c:pt>
                <c:pt idx="48">
                  <c:v>-0.44179909143144447</c:v>
                </c:pt>
                <c:pt idx="49">
                  <c:v>-0.31685744810744815</c:v>
                </c:pt>
                <c:pt idx="50">
                  <c:v>-0.28233433233433236</c:v>
                </c:pt>
                <c:pt idx="51">
                  <c:v>-0.17722971472971474</c:v>
                </c:pt>
                <c:pt idx="52">
                  <c:v>5.0650321900321892E-2</c:v>
                </c:pt>
                <c:pt idx="53">
                  <c:v>0.3874685962185962</c:v>
                </c:pt>
                <c:pt idx="54">
                  <c:v>0.57982804836065716</c:v>
                </c:pt>
                <c:pt idx="55">
                  <c:v>0.62652579505840378</c:v>
                </c:pt>
                <c:pt idx="56">
                  <c:v>0.7531214216540304</c:v>
                </c:pt>
                <c:pt idx="57">
                  <c:v>0.81627077230338096</c:v>
                </c:pt>
                <c:pt idx="58">
                  <c:v>0.8756177916074942</c:v>
                </c:pt>
                <c:pt idx="59">
                  <c:v>0.60217133066103312</c:v>
                </c:pt>
                <c:pt idx="60">
                  <c:v>0.39593376317026879</c:v>
                </c:pt>
                <c:pt idx="61">
                  <c:v>0.27566204142795869</c:v>
                </c:pt>
                <c:pt idx="62">
                  <c:v>-4.7298331532414216E-2</c:v>
                </c:pt>
                <c:pt idx="63">
                  <c:v>-0.31543019966428232</c:v>
                </c:pt>
                <c:pt idx="64">
                  <c:v>-0.53759819185515789</c:v>
                </c:pt>
                <c:pt idx="65">
                  <c:v>-0.33842421768118375</c:v>
                </c:pt>
                <c:pt idx="66">
                  <c:v>-9.4143171929549727E-2</c:v>
                </c:pt>
                <c:pt idx="67">
                  <c:v>3.6761630182682747E-2</c:v>
                </c:pt>
                <c:pt idx="68">
                  <c:v>0.28674454200769983</c:v>
                </c:pt>
                <c:pt idx="69">
                  <c:v>0.32359723180156613</c:v>
                </c:pt>
                <c:pt idx="70">
                  <c:v>0.43148489725502109</c:v>
                </c:pt>
                <c:pt idx="71">
                  <c:v>0.31571108773121154</c:v>
                </c:pt>
                <c:pt idx="72">
                  <c:v>0.34608485339909484</c:v>
                </c:pt>
                <c:pt idx="73">
                  <c:v>0.46418692676432616</c:v>
                </c:pt>
                <c:pt idx="74">
                  <c:v>0.52093572277395817</c:v>
                </c:pt>
                <c:pt idx="75">
                  <c:v>0.6218694295900179</c:v>
                </c:pt>
                <c:pt idx="76">
                  <c:v>0.62770421299833068</c:v>
                </c:pt>
                <c:pt idx="77">
                  <c:v>0.75617643522055289</c:v>
                </c:pt>
                <c:pt idx="78">
                  <c:v>0.66323847720906537</c:v>
                </c:pt>
                <c:pt idx="79">
                  <c:v>0.58850765247824066</c:v>
                </c:pt>
                <c:pt idx="80">
                  <c:v>0.56593900380665074</c:v>
                </c:pt>
                <c:pt idx="81">
                  <c:v>0.62215027619439389</c:v>
                </c:pt>
                <c:pt idx="82">
                  <c:v>0.65674500722875317</c:v>
                </c:pt>
                <c:pt idx="83">
                  <c:v>0.22708300256674874</c:v>
                </c:pt>
                <c:pt idx="84">
                  <c:v>0.15377867746288804</c:v>
                </c:pt>
                <c:pt idx="85">
                  <c:v>6.6965490649701198E-2</c:v>
                </c:pt>
                <c:pt idx="86">
                  <c:v>4.5311273407248644E-2</c:v>
                </c:pt>
                <c:pt idx="87">
                  <c:v>0.17304742614340141</c:v>
                </c:pt>
                <c:pt idx="88">
                  <c:v>0.39135107668389407</c:v>
                </c:pt>
                <c:pt idx="89">
                  <c:v>0.54859244642526372</c:v>
                </c:pt>
                <c:pt idx="90">
                  <c:v>0.35492530345471524</c:v>
                </c:pt>
                <c:pt idx="91">
                  <c:v>0.51581996434937605</c:v>
                </c:pt>
                <c:pt idx="92">
                  <c:v>0.78998139659904376</c:v>
                </c:pt>
                <c:pt idx="93">
                  <c:v>0.82289456186515009</c:v>
                </c:pt>
                <c:pt idx="94">
                  <c:v>0.93391308038366849</c:v>
                </c:pt>
                <c:pt idx="95">
                  <c:v>1.2641114930820812</c:v>
                </c:pt>
                <c:pt idx="96">
                  <c:v>1.487496359849301</c:v>
                </c:pt>
                <c:pt idx="97">
                  <c:v>1.6975283568378197</c:v>
                </c:pt>
              </c:numCache>
            </c:numRef>
          </c:val>
          <c:smooth val="1"/>
          <c:extLst>
            <c:ext xmlns:c16="http://schemas.microsoft.com/office/drawing/2014/chart" uri="{C3380CC4-5D6E-409C-BE32-E72D297353CC}">
              <c16:uniqueId val="{00000001-BC48-4667-BEF0-79699A8BB94E}"/>
            </c:ext>
          </c:extLst>
        </c:ser>
        <c:dLbls>
          <c:showLegendKey val="0"/>
          <c:showVal val="0"/>
          <c:showCatName val="0"/>
          <c:showSerName val="0"/>
          <c:showPercent val="0"/>
          <c:showBubbleSize val="0"/>
        </c:dLbls>
        <c:marker val="1"/>
        <c:smooth val="0"/>
        <c:axId val="383369545"/>
        <c:axId val="603172358"/>
      </c:lineChart>
      <c:dateAx>
        <c:axId val="145929804"/>
        <c:scaling>
          <c:orientation val="minMax"/>
          <c:min val="43831"/>
        </c:scaling>
        <c:delete val="0"/>
        <c:axPos val="b"/>
        <c:numFmt formatCode="yyyy/m/d;@" sourceLinked="0"/>
        <c:majorTickMark val="out"/>
        <c:minorTickMark val="none"/>
        <c:tickLblPos val="low"/>
        <c:spPr>
          <a:noFill/>
          <a:ln w="6350" cap="flat" cmpd="sng" algn="ctr">
            <a:solidFill>
              <a:schemeClr val="tx1"/>
            </a:solidFill>
            <a:round/>
          </a:ln>
          <a:effectLst/>
        </c:spPr>
        <c:txPr>
          <a:bodyPr rot="0" spcFirstLastPara="0" vertOverflow="ellipsis" wrap="square" anchor="ctr" anchorCtr="1"/>
          <a:lstStyle/>
          <a:p>
            <a:pPr>
              <a:defRPr lang="zh-CN" sz="700" b="0" i="0" u="none" strike="noStrike" kern="1200" baseline="0">
                <a:solidFill>
                  <a:srgbClr val="000000"/>
                </a:solidFill>
                <a:latin typeface="黑体" panose="02010609060101010101" pitchFamily="49" charset="-122"/>
                <a:ea typeface="黑体" panose="02010609060101010101" pitchFamily="49" charset="-122"/>
                <a:cs typeface="黑体" panose="02010609060101010101" pitchFamily="49" charset="-122"/>
                <a:sym typeface="黑体" panose="02010609060101010101" pitchFamily="49" charset="-122"/>
              </a:defRPr>
            </a:pPr>
            <a:endParaRPr lang="zh-CN"/>
          </a:p>
        </c:txPr>
        <c:crossAx val="623162877"/>
        <c:crosses val="autoZero"/>
        <c:auto val="1"/>
        <c:lblOffset val="100"/>
        <c:baseTimeUnit val="months"/>
      </c:dateAx>
      <c:valAx>
        <c:axId val="623162877"/>
        <c:scaling>
          <c:orientation val="minMax"/>
        </c:scaling>
        <c:delete val="0"/>
        <c:axPos val="l"/>
        <c:numFmt formatCode="General" sourceLinked="1"/>
        <c:majorTickMark val="out"/>
        <c:minorTickMark val="none"/>
        <c:tickLblPos val="nextTo"/>
        <c:spPr>
          <a:noFill/>
          <a:ln w="6350">
            <a:solidFill>
              <a:schemeClr val="tx1"/>
            </a:solidFill>
          </a:ln>
          <a:effectLst/>
        </c:spPr>
        <c:txPr>
          <a:bodyPr rot="-60000000" spcFirstLastPara="0" vertOverflow="ellipsis" vert="horz" wrap="square" anchor="ctr" anchorCtr="1"/>
          <a:lstStyle/>
          <a:p>
            <a:pPr>
              <a:defRPr lang="zh-CN" sz="700" b="0" i="0" u="none" strike="noStrike" kern="1200" baseline="0">
                <a:solidFill>
                  <a:srgbClr val="000000"/>
                </a:solidFill>
                <a:latin typeface="黑体" panose="02010609060101010101" pitchFamily="49" charset="-122"/>
                <a:ea typeface="黑体" panose="02010609060101010101" pitchFamily="49" charset="-122"/>
                <a:cs typeface="黑体" panose="02010609060101010101" pitchFamily="49" charset="-122"/>
                <a:sym typeface="黑体" panose="02010609060101010101" pitchFamily="49" charset="-122"/>
              </a:defRPr>
            </a:pPr>
            <a:endParaRPr lang="zh-CN"/>
          </a:p>
        </c:txPr>
        <c:crossAx val="145929804"/>
        <c:crosses val="autoZero"/>
        <c:crossBetween val="between"/>
      </c:valAx>
      <c:dateAx>
        <c:axId val="383369545"/>
        <c:scaling>
          <c:orientation val="minMax"/>
        </c:scaling>
        <c:delete val="1"/>
        <c:axPos val="b"/>
        <c:numFmt formatCode="yyyy/m/d;@" sourceLinked="1"/>
        <c:majorTickMark val="none"/>
        <c:minorTickMark val="none"/>
        <c:tickLblPos val="nextTo"/>
        <c:crossAx val="603172358"/>
        <c:crosses val="autoZero"/>
        <c:auto val="1"/>
        <c:lblOffset val="100"/>
        <c:baseTimeUnit val="months"/>
      </c:dateAx>
      <c:valAx>
        <c:axId val="603172358"/>
        <c:scaling>
          <c:orientation val="minMax"/>
        </c:scaling>
        <c:delete val="0"/>
        <c:axPos val="r"/>
        <c:numFmt formatCode="General" sourceLinked="1"/>
        <c:majorTickMark val="in"/>
        <c:minorTickMark val="none"/>
        <c:tickLblPos val="nextTo"/>
        <c:spPr>
          <a:noFill/>
          <a:ln w="6350">
            <a:solidFill>
              <a:schemeClr val="tx1"/>
            </a:solidFill>
          </a:ln>
          <a:effectLst/>
        </c:spPr>
        <c:txPr>
          <a:bodyPr rot="0" spcFirstLastPara="0" vertOverflow="ellipsis" wrap="square" anchor="ctr" anchorCtr="1"/>
          <a:lstStyle/>
          <a:p>
            <a:pPr>
              <a:defRPr lang="zh-CN" sz="700" b="0" i="0" u="none" strike="noStrike" kern="1200" baseline="0">
                <a:solidFill>
                  <a:srgbClr val="000000"/>
                </a:solidFill>
                <a:latin typeface="黑体" panose="02010609060101010101" pitchFamily="49" charset="-122"/>
                <a:ea typeface="黑体" panose="02010609060101010101" pitchFamily="49" charset="-122"/>
                <a:cs typeface="黑体" panose="02010609060101010101" pitchFamily="49" charset="-122"/>
                <a:sym typeface="黑体" panose="02010609060101010101" pitchFamily="49" charset="-122"/>
              </a:defRPr>
            </a:pPr>
            <a:endParaRPr lang="zh-CN"/>
          </a:p>
        </c:txPr>
        <c:crossAx val="383369545"/>
        <c:crosses val="max"/>
        <c:crossBetween val="between"/>
      </c:valAx>
      <c:spPr>
        <a:noFill/>
        <a:ln>
          <a:noFill/>
        </a:ln>
        <a:effectLst/>
      </c:spPr>
    </c:plotArea>
    <c:legend>
      <c:legendPos val="t"/>
      <c:legendEntry>
        <c:idx val="0"/>
        <c:txPr>
          <a:bodyPr rot="0" spcFirstLastPara="0" vertOverflow="ellipsis" vert="horz" wrap="square" anchor="ctr" anchorCtr="1"/>
          <a:lstStyle/>
          <a:p>
            <a:pPr>
              <a:defRPr lang="zh-CN" sz="700" b="0" i="0" u="none" strike="noStrike" kern="1200" baseline="0">
                <a:solidFill>
                  <a:srgbClr val="000000">
                    <a:lumMod val="65000"/>
                    <a:lumOff val="35000"/>
                  </a:srgbClr>
                </a:solidFill>
                <a:latin typeface="黑体" panose="02010609060101010101" pitchFamily="49" charset="-122"/>
                <a:ea typeface="黑体" panose="02010609060101010101" pitchFamily="49" charset="-122"/>
                <a:cs typeface="黑体" panose="02010609060101010101" pitchFamily="49" charset="-122"/>
                <a:sym typeface="黑体" panose="02010609060101010101" pitchFamily="49" charset="-122"/>
              </a:defRPr>
            </a:pPr>
            <a:endParaRPr lang="zh-CN"/>
          </a:p>
        </c:txPr>
      </c:legendEntry>
      <c:legendEntry>
        <c:idx val="1"/>
        <c:txPr>
          <a:bodyPr rot="0" spcFirstLastPara="0" vertOverflow="ellipsis" vert="horz" wrap="square" anchor="ctr" anchorCtr="1"/>
          <a:lstStyle/>
          <a:p>
            <a:pPr>
              <a:defRPr lang="zh-CN" sz="700" b="0" i="0" u="none" strike="noStrike" kern="1200" baseline="0">
                <a:solidFill>
                  <a:srgbClr val="000000">
                    <a:lumMod val="65000"/>
                    <a:lumOff val="35000"/>
                  </a:srgbClr>
                </a:solidFill>
                <a:latin typeface="黑体" panose="02010609060101010101" pitchFamily="49" charset="-122"/>
                <a:ea typeface="黑体" panose="02010609060101010101" pitchFamily="49" charset="-122"/>
                <a:cs typeface="黑体" panose="02010609060101010101" pitchFamily="49" charset="-122"/>
                <a:sym typeface="黑体" panose="02010609060101010101" pitchFamily="49" charset="-122"/>
              </a:defRPr>
            </a:pPr>
            <a:endParaRPr lang="zh-CN"/>
          </a:p>
        </c:txPr>
      </c:legendEntry>
      <c:overlay val="0"/>
      <c:spPr>
        <a:noFill/>
        <a:ln>
          <a:noFill/>
        </a:ln>
        <a:effectLst/>
      </c:spPr>
      <c:txPr>
        <a:bodyPr rot="0" spcFirstLastPara="0" vertOverflow="ellipsis" vert="horz" wrap="square" anchor="ctr" anchorCtr="1"/>
        <a:lstStyle/>
        <a:p>
          <a:pPr>
            <a:defRPr lang="zh-CN" sz="700" b="0" i="0" u="none" strike="noStrike" kern="1200" baseline="0">
              <a:solidFill>
                <a:srgbClr val="000000">
                  <a:lumMod val="65000"/>
                  <a:lumOff val="35000"/>
                </a:srgbClr>
              </a:solidFill>
              <a:latin typeface="黑体" panose="02010609060101010101" pitchFamily="49" charset="-122"/>
              <a:ea typeface="黑体" panose="02010609060101010101" pitchFamily="49" charset="-122"/>
              <a:cs typeface="黑体" panose="02010609060101010101" pitchFamily="49" charset="-122"/>
              <a:sym typeface="黑体" panose="02010609060101010101" pitchFamily="49" charset="-122"/>
            </a:defRPr>
          </a:pPr>
          <a:endParaRPr lang="zh-CN"/>
        </a:p>
      </c:txPr>
    </c:legend>
    <c:plotVisOnly val="1"/>
    <c:dispBlanksAs val="gap"/>
    <c:showDLblsOverMax val="0"/>
    <c:extLst>
      <c:ext uri="{0b15fc19-7d7d-44ad-8c2d-2c3a37ce22c3}">
        <chartProps xmlns="https://web.wps.cn/et/2018/main" chartId="{19365233-03b2-49a2-8c1c-f58d816a1d1b}"/>
      </c:ext>
    </c:extLst>
  </c:chart>
  <c:spPr>
    <a:solidFill>
      <a:schemeClr val="bg1"/>
    </a:solidFill>
    <a:ln w="9525" cap="flat" cmpd="sng" algn="ctr">
      <a:noFill/>
      <a:round/>
    </a:ln>
    <a:effectLst/>
  </c:spPr>
  <c:txPr>
    <a:bodyPr/>
    <a:lstStyle/>
    <a:p>
      <a:pPr>
        <a:defRPr lang="zh-CN" sz="700">
          <a:latin typeface="黑体" panose="02010609060101010101" pitchFamily="49" charset="-122"/>
          <a:ea typeface="黑体" panose="02010609060101010101" pitchFamily="49" charset="-122"/>
          <a:cs typeface="黑体" panose="02010609060101010101" pitchFamily="49" charset="-122"/>
          <a:sym typeface="黑体" panose="02010609060101010101" pitchFamily="49" charset="-122"/>
        </a:defRPr>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1"/>
          <c:tx>
            <c:strRef>
              <c:f>'框架指示的股债胜率（综合）'!$Z$3:$Z$4</c:f>
              <c:strCache>
                <c:ptCount val="2"/>
                <c:pt idx="0">
                  <c:v>实际股债强弱</c:v>
                </c:pt>
              </c:strCache>
            </c:strRef>
          </c:tx>
          <c:spPr>
            <a:ln w="15875" cap="rnd">
              <a:solidFill>
                <a:srgbClr val="0B3774"/>
              </a:solidFill>
              <a:round/>
            </a:ln>
            <a:effectLst/>
          </c:spPr>
          <c:marker>
            <c:symbol val="none"/>
          </c:marker>
          <c:cat>
            <c:numRef>
              <c:f>'框架指示的股债胜率（综合）'!$A$5:$A$162</c:f>
              <c:numCache>
                <c:formatCode>yyyy/m/d;@</c:formatCode>
                <c:ptCount val="158"/>
                <c:pt idx="0">
                  <c:v>46022</c:v>
                </c:pt>
                <c:pt idx="1">
                  <c:v>45991</c:v>
                </c:pt>
                <c:pt idx="2">
                  <c:v>45961</c:v>
                </c:pt>
                <c:pt idx="3">
                  <c:v>45930</c:v>
                </c:pt>
                <c:pt idx="4">
                  <c:v>45900</c:v>
                </c:pt>
                <c:pt idx="5">
                  <c:v>45869</c:v>
                </c:pt>
                <c:pt idx="6">
                  <c:v>45838</c:v>
                </c:pt>
                <c:pt idx="7">
                  <c:v>45808</c:v>
                </c:pt>
                <c:pt idx="8">
                  <c:v>45777</c:v>
                </c:pt>
                <c:pt idx="9">
                  <c:v>45747</c:v>
                </c:pt>
                <c:pt idx="10">
                  <c:v>45716</c:v>
                </c:pt>
                <c:pt idx="11">
                  <c:v>45688</c:v>
                </c:pt>
                <c:pt idx="12">
                  <c:v>45657</c:v>
                </c:pt>
                <c:pt idx="13">
                  <c:v>45626</c:v>
                </c:pt>
                <c:pt idx="14">
                  <c:v>45596</c:v>
                </c:pt>
                <c:pt idx="15">
                  <c:v>45565</c:v>
                </c:pt>
                <c:pt idx="16">
                  <c:v>45535</c:v>
                </c:pt>
                <c:pt idx="17">
                  <c:v>45504</c:v>
                </c:pt>
                <c:pt idx="18">
                  <c:v>45473</c:v>
                </c:pt>
                <c:pt idx="19">
                  <c:v>45443</c:v>
                </c:pt>
                <c:pt idx="20">
                  <c:v>45412</c:v>
                </c:pt>
                <c:pt idx="21">
                  <c:v>45382</c:v>
                </c:pt>
                <c:pt idx="22">
                  <c:v>45351</c:v>
                </c:pt>
                <c:pt idx="23">
                  <c:v>45322</c:v>
                </c:pt>
                <c:pt idx="24">
                  <c:v>45291</c:v>
                </c:pt>
                <c:pt idx="25">
                  <c:v>45260</c:v>
                </c:pt>
                <c:pt idx="26">
                  <c:v>45230</c:v>
                </c:pt>
                <c:pt idx="27">
                  <c:v>45199</c:v>
                </c:pt>
                <c:pt idx="28">
                  <c:v>45169</c:v>
                </c:pt>
                <c:pt idx="29">
                  <c:v>45138</c:v>
                </c:pt>
                <c:pt idx="30">
                  <c:v>45107</c:v>
                </c:pt>
                <c:pt idx="31">
                  <c:v>45077</c:v>
                </c:pt>
                <c:pt idx="32">
                  <c:v>45046</c:v>
                </c:pt>
                <c:pt idx="33">
                  <c:v>45016</c:v>
                </c:pt>
                <c:pt idx="34">
                  <c:v>44985</c:v>
                </c:pt>
                <c:pt idx="35">
                  <c:v>44957</c:v>
                </c:pt>
                <c:pt idx="36">
                  <c:v>44926</c:v>
                </c:pt>
                <c:pt idx="37">
                  <c:v>44895</c:v>
                </c:pt>
                <c:pt idx="38">
                  <c:v>44865</c:v>
                </c:pt>
                <c:pt idx="39">
                  <c:v>44834</c:v>
                </c:pt>
                <c:pt idx="40">
                  <c:v>44804</c:v>
                </c:pt>
                <c:pt idx="41">
                  <c:v>44773</c:v>
                </c:pt>
                <c:pt idx="42">
                  <c:v>44742</c:v>
                </c:pt>
                <c:pt idx="43">
                  <c:v>44712</c:v>
                </c:pt>
                <c:pt idx="44">
                  <c:v>44681</c:v>
                </c:pt>
                <c:pt idx="45">
                  <c:v>44651</c:v>
                </c:pt>
                <c:pt idx="46">
                  <c:v>44620</c:v>
                </c:pt>
                <c:pt idx="47">
                  <c:v>44592</c:v>
                </c:pt>
                <c:pt idx="48">
                  <c:v>44561</c:v>
                </c:pt>
                <c:pt idx="49">
                  <c:v>44530</c:v>
                </c:pt>
                <c:pt idx="50">
                  <c:v>44500</c:v>
                </c:pt>
                <c:pt idx="51">
                  <c:v>44469</c:v>
                </c:pt>
                <c:pt idx="52">
                  <c:v>44439</c:v>
                </c:pt>
                <c:pt idx="53">
                  <c:v>44408</c:v>
                </c:pt>
                <c:pt idx="54">
                  <c:v>44377</c:v>
                </c:pt>
                <c:pt idx="55">
                  <c:v>44347</c:v>
                </c:pt>
                <c:pt idx="56">
                  <c:v>44316</c:v>
                </c:pt>
                <c:pt idx="57">
                  <c:v>44286</c:v>
                </c:pt>
                <c:pt idx="58">
                  <c:v>44255</c:v>
                </c:pt>
                <c:pt idx="59">
                  <c:v>44227</c:v>
                </c:pt>
                <c:pt idx="60">
                  <c:v>44196</c:v>
                </c:pt>
                <c:pt idx="61">
                  <c:v>44165</c:v>
                </c:pt>
                <c:pt idx="62">
                  <c:v>44135</c:v>
                </c:pt>
                <c:pt idx="63">
                  <c:v>44104</c:v>
                </c:pt>
                <c:pt idx="64">
                  <c:v>44074</c:v>
                </c:pt>
                <c:pt idx="65">
                  <c:v>44043</c:v>
                </c:pt>
                <c:pt idx="66">
                  <c:v>44012</c:v>
                </c:pt>
                <c:pt idx="67">
                  <c:v>43982</c:v>
                </c:pt>
                <c:pt idx="68">
                  <c:v>43951</c:v>
                </c:pt>
                <c:pt idx="69">
                  <c:v>43921</c:v>
                </c:pt>
                <c:pt idx="70">
                  <c:v>43890</c:v>
                </c:pt>
                <c:pt idx="71">
                  <c:v>43861</c:v>
                </c:pt>
                <c:pt idx="72">
                  <c:v>43830</c:v>
                </c:pt>
                <c:pt idx="73">
                  <c:v>43799</c:v>
                </c:pt>
                <c:pt idx="74">
                  <c:v>43769</c:v>
                </c:pt>
                <c:pt idx="75">
                  <c:v>43738</c:v>
                </c:pt>
                <c:pt idx="76">
                  <c:v>43708</c:v>
                </c:pt>
                <c:pt idx="77">
                  <c:v>43677</c:v>
                </c:pt>
                <c:pt idx="78">
                  <c:v>43646</c:v>
                </c:pt>
                <c:pt idx="79">
                  <c:v>43616</c:v>
                </c:pt>
                <c:pt idx="80">
                  <c:v>43585</c:v>
                </c:pt>
                <c:pt idx="81">
                  <c:v>43555</c:v>
                </c:pt>
                <c:pt idx="82">
                  <c:v>43524</c:v>
                </c:pt>
                <c:pt idx="83">
                  <c:v>43496</c:v>
                </c:pt>
                <c:pt idx="84">
                  <c:v>43465</c:v>
                </c:pt>
                <c:pt idx="85">
                  <c:v>43434</c:v>
                </c:pt>
                <c:pt idx="86">
                  <c:v>43404</c:v>
                </c:pt>
                <c:pt idx="87">
                  <c:v>43373</c:v>
                </c:pt>
                <c:pt idx="88">
                  <c:v>43343</c:v>
                </c:pt>
                <c:pt idx="89">
                  <c:v>43312</c:v>
                </c:pt>
                <c:pt idx="90">
                  <c:v>43281</c:v>
                </c:pt>
                <c:pt idx="91">
                  <c:v>43251</c:v>
                </c:pt>
                <c:pt idx="92">
                  <c:v>43220</c:v>
                </c:pt>
                <c:pt idx="93">
                  <c:v>43190</c:v>
                </c:pt>
                <c:pt idx="94">
                  <c:v>43159</c:v>
                </c:pt>
                <c:pt idx="95">
                  <c:v>43131</c:v>
                </c:pt>
                <c:pt idx="96">
                  <c:v>43100</c:v>
                </c:pt>
                <c:pt idx="97">
                  <c:v>43069</c:v>
                </c:pt>
                <c:pt idx="98">
                  <c:v>43039</c:v>
                </c:pt>
                <c:pt idx="99">
                  <c:v>43008</c:v>
                </c:pt>
                <c:pt idx="100">
                  <c:v>42978</c:v>
                </c:pt>
                <c:pt idx="101">
                  <c:v>42947</c:v>
                </c:pt>
                <c:pt idx="102">
                  <c:v>42916</c:v>
                </c:pt>
                <c:pt idx="103">
                  <c:v>42886</c:v>
                </c:pt>
                <c:pt idx="104">
                  <c:v>42855</c:v>
                </c:pt>
                <c:pt idx="105">
                  <c:v>42825</c:v>
                </c:pt>
                <c:pt idx="106">
                  <c:v>42794</c:v>
                </c:pt>
                <c:pt idx="107">
                  <c:v>42766</c:v>
                </c:pt>
                <c:pt idx="108">
                  <c:v>42735</c:v>
                </c:pt>
                <c:pt idx="109">
                  <c:v>42704</c:v>
                </c:pt>
                <c:pt idx="110">
                  <c:v>42674</c:v>
                </c:pt>
                <c:pt idx="111">
                  <c:v>42643</c:v>
                </c:pt>
                <c:pt idx="112">
                  <c:v>42613</c:v>
                </c:pt>
                <c:pt idx="113">
                  <c:v>42582</c:v>
                </c:pt>
                <c:pt idx="114">
                  <c:v>42551</c:v>
                </c:pt>
                <c:pt idx="115">
                  <c:v>42521</c:v>
                </c:pt>
                <c:pt idx="116">
                  <c:v>42490</c:v>
                </c:pt>
                <c:pt idx="117">
                  <c:v>42460</c:v>
                </c:pt>
                <c:pt idx="118">
                  <c:v>42429</c:v>
                </c:pt>
                <c:pt idx="119">
                  <c:v>42400</c:v>
                </c:pt>
                <c:pt idx="120">
                  <c:v>42369</c:v>
                </c:pt>
                <c:pt idx="121">
                  <c:v>42338</c:v>
                </c:pt>
                <c:pt idx="122">
                  <c:v>42308</c:v>
                </c:pt>
                <c:pt idx="123">
                  <c:v>42277</c:v>
                </c:pt>
                <c:pt idx="124">
                  <c:v>42247</c:v>
                </c:pt>
                <c:pt idx="125">
                  <c:v>42216</c:v>
                </c:pt>
                <c:pt idx="126">
                  <c:v>42185</c:v>
                </c:pt>
                <c:pt idx="127">
                  <c:v>42155</c:v>
                </c:pt>
                <c:pt idx="128">
                  <c:v>42124</c:v>
                </c:pt>
                <c:pt idx="129">
                  <c:v>42094</c:v>
                </c:pt>
                <c:pt idx="130">
                  <c:v>42063</c:v>
                </c:pt>
                <c:pt idx="131">
                  <c:v>42035</c:v>
                </c:pt>
                <c:pt idx="132">
                  <c:v>42004</c:v>
                </c:pt>
                <c:pt idx="133">
                  <c:v>41973</c:v>
                </c:pt>
                <c:pt idx="134">
                  <c:v>41943</c:v>
                </c:pt>
                <c:pt idx="135">
                  <c:v>41912</c:v>
                </c:pt>
                <c:pt idx="136">
                  <c:v>41882</c:v>
                </c:pt>
                <c:pt idx="137">
                  <c:v>41851</c:v>
                </c:pt>
                <c:pt idx="138">
                  <c:v>41820</c:v>
                </c:pt>
                <c:pt idx="139">
                  <c:v>41790</c:v>
                </c:pt>
                <c:pt idx="140">
                  <c:v>41759</c:v>
                </c:pt>
                <c:pt idx="141">
                  <c:v>41729</c:v>
                </c:pt>
                <c:pt idx="142">
                  <c:v>41698</c:v>
                </c:pt>
                <c:pt idx="143">
                  <c:v>41670</c:v>
                </c:pt>
                <c:pt idx="144">
                  <c:v>41639</c:v>
                </c:pt>
                <c:pt idx="145">
                  <c:v>41608</c:v>
                </c:pt>
                <c:pt idx="146">
                  <c:v>41578</c:v>
                </c:pt>
                <c:pt idx="147">
                  <c:v>41547</c:v>
                </c:pt>
                <c:pt idx="148">
                  <c:v>41517</c:v>
                </c:pt>
                <c:pt idx="149">
                  <c:v>41486</c:v>
                </c:pt>
                <c:pt idx="150">
                  <c:v>41455</c:v>
                </c:pt>
                <c:pt idx="151">
                  <c:v>41425</c:v>
                </c:pt>
                <c:pt idx="152">
                  <c:v>41394</c:v>
                </c:pt>
                <c:pt idx="153">
                  <c:v>41364</c:v>
                </c:pt>
                <c:pt idx="154">
                  <c:v>41333</c:v>
                </c:pt>
                <c:pt idx="155">
                  <c:v>41305</c:v>
                </c:pt>
                <c:pt idx="156">
                  <c:v>41274</c:v>
                </c:pt>
                <c:pt idx="157">
                  <c:v>41243</c:v>
                </c:pt>
              </c:numCache>
            </c:numRef>
          </c:cat>
          <c:val>
            <c:numRef>
              <c:f>'框架指示的股债胜率（综合）'!$Z$5:$Z$162</c:f>
              <c:numCache>
                <c:formatCode>General</c:formatCode>
                <c:ptCount val="158"/>
                <c:pt idx="0">
                  <c:v>6.4860486271918019</c:v>
                </c:pt>
                <c:pt idx="1">
                  <c:v>5.7409690442013757</c:v>
                </c:pt>
                <c:pt idx="2">
                  <c:v>7.0135939977254651</c:v>
                </c:pt>
                <c:pt idx="3">
                  <c:v>4.4896607379571671</c:v>
                </c:pt>
                <c:pt idx="4">
                  <c:v>4.5176469249072708</c:v>
                </c:pt>
                <c:pt idx="5">
                  <c:v>2.8260006619607823</c:v>
                </c:pt>
                <c:pt idx="6">
                  <c:v>-1.4990225784925972</c:v>
                </c:pt>
                <c:pt idx="7">
                  <c:v>-6.8973343507369487</c:v>
                </c:pt>
                <c:pt idx="8">
                  <c:v>-8.2816599371441182</c:v>
                </c:pt>
                <c:pt idx="9">
                  <c:v>-4.2268817420627842</c:v>
                </c:pt>
                <c:pt idx="10">
                  <c:v>-3.9967064101645344</c:v>
                </c:pt>
                <c:pt idx="11">
                  <c:v>-7.0871387805927659</c:v>
                </c:pt>
                <c:pt idx="12">
                  <c:v>-4.2416180451251204</c:v>
                </c:pt>
                <c:pt idx="13">
                  <c:v>-0.75331619983813136</c:v>
                </c:pt>
                <c:pt idx="14">
                  <c:v>0.14161395813899938</c:v>
                </c:pt>
                <c:pt idx="15">
                  <c:v>-1.198639143067983</c:v>
                </c:pt>
                <c:pt idx="16">
                  <c:v>-5.1674476692784923</c:v>
                </c:pt>
                <c:pt idx="17">
                  <c:v>-3.4521948357725329</c:v>
                </c:pt>
                <c:pt idx="18">
                  <c:v>-7.1639652728374896</c:v>
                </c:pt>
                <c:pt idx="19">
                  <c:v>-6.706409842140765</c:v>
                </c:pt>
                <c:pt idx="20">
                  <c:v>-7.234317171379959</c:v>
                </c:pt>
                <c:pt idx="21">
                  <c:v>-6.5225011469883833</c:v>
                </c:pt>
                <c:pt idx="22">
                  <c:v>-4.4937516126832753</c:v>
                </c:pt>
                <c:pt idx="23">
                  <c:v>-6.0414649042447195</c:v>
                </c:pt>
                <c:pt idx="24">
                  <c:v>-2.1617524016444438</c:v>
                </c:pt>
                <c:pt idx="25">
                  <c:v>-1.5478393039443501</c:v>
                </c:pt>
                <c:pt idx="26">
                  <c:v>-3.5755116129829321</c:v>
                </c:pt>
                <c:pt idx="27">
                  <c:v>-4.9593523160539883</c:v>
                </c:pt>
                <c:pt idx="28">
                  <c:v>-6.2568586066862091</c:v>
                </c:pt>
                <c:pt idx="29">
                  <c:v>-4.3636420441344805</c:v>
                </c:pt>
                <c:pt idx="30">
                  <c:v>-2.7831180557839388</c:v>
                </c:pt>
                <c:pt idx="31">
                  <c:v>-1.0324271037620878</c:v>
                </c:pt>
                <c:pt idx="32">
                  <c:v>3.7041461609066602</c:v>
                </c:pt>
                <c:pt idx="33">
                  <c:v>5.0098392784172212</c:v>
                </c:pt>
                <c:pt idx="34">
                  <c:v>4.4220818478898671</c:v>
                </c:pt>
                <c:pt idx="35">
                  <c:v>1.4188426767567559</c:v>
                </c:pt>
                <c:pt idx="36">
                  <c:v>-0.25689076530764349</c:v>
                </c:pt>
                <c:pt idx="37">
                  <c:v>0.15060607213011204</c:v>
                </c:pt>
                <c:pt idx="38">
                  <c:v>-1.4148032011093719</c:v>
                </c:pt>
                <c:pt idx="39">
                  <c:v>-3.5281459512937161</c:v>
                </c:pt>
                <c:pt idx="40">
                  <c:v>-3.0122422050264426</c:v>
                </c:pt>
                <c:pt idx="41">
                  <c:v>0.54227817276071766</c:v>
                </c:pt>
                <c:pt idx="42">
                  <c:v>-2.1807403213221739</c:v>
                </c:pt>
                <c:pt idx="43">
                  <c:v>-4.7092055438434057</c:v>
                </c:pt>
                <c:pt idx="44">
                  <c:v>-6.1665505309303121</c:v>
                </c:pt>
                <c:pt idx="45">
                  <c:v>-2.6154824489890034</c:v>
                </c:pt>
                <c:pt idx="46">
                  <c:v>-1.8039164266054508</c:v>
                </c:pt>
                <c:pt idx="47">
                  <c:v>-3.9183246704051959</c:v>
                </c:pt>
                <c:pt idx="48">
                  <c:v>-3.7707672482944581</c:v>
                </c:pt>
                <c:pt idx="49">
                  <c:v>-2.9350306649329867</c:v>
                </c:pt>
                <c:pt idx="50">
                  <c:v>-2.5273300318918506</c:v>
                </c:pt>
                <c:pt idx="51">
                  <c:v>-4.8114025023001812</c:v>
                </c:pt>
                <c:pt idx="52">
                  <c:v>-5.4854559535628598</c:v>
                </c:pt>
                <c:pt idx="53">
                  <c:v>-2.6861783039378793</c:v>
                </c:pt>
                <c:pt idx="54">
                  <c:v>-1.5390669434986384</c:v>
                </c:pt>
                <c:pt idx="55">
                  <c:v>-1.1114076093567522</c:v>
                </c:pt>
                <c:pt idx="56">
                  <c:v>0.87692171353914949</c:v>
                </c:pt>
                <c:pt idx="57">
                  <c:v>2.8496284926328115</c:v>
                </c:pt>
                <c:pt idx="58">
                  <c:v>4.5976533894091904</c:v>
                </c:pt>
                <c:pt idx="59">
                  <c:v>3.9824176142205121</c:v>
                </c:pt>
                <c:pt idx="60">
                  <c:v>9.7990632527877768</c:v>
                </c:pt>
                <c:pt idx="61">
                  <c:v>13.317510566382628</c:v>
                </c:pt>
                <c:pt idx="62">
                  <c:v>14.022070621393043</c:v>
                </c:pt>
                <c:pt idx="63">
                  <c:v>11.560079057935338</c:v>
                </c:pt>
                <c:pt idx="64">
                  <c:v>6.380056939701352</c:v>
                </c:pt>
                <c:pt idx="65">
                  <c:v>1.0815554431387213</c:v>
                </c:pt>
                <c:pt idx="66">
                  <c:v>-4.5124405106296672</c:v>
                </c:pt>
                <c:pt idx="67">
                  <c:v>-7.8798432788223911</c:v>
                </c:pt>
                <c:pt idx="68">
                  <c:v>-10.236129732589589</c:v>
                </c:pt>
                <c:pt idx="69">
                  <c:v>-7.2737442925352154</c:v>
                </c:pt>
                <c:pt idx="70">
                  <c:v>-2.3833790504584345</c:v>
                </c:pt>
                <c:pt idx="71">
                  <c:v>-0.16952707375603904</c:v>
                </c:pt>
                <c:pt idx="72">
                  <c:v>7.1113995273838881E-2</c:v>
                </c:pt>
                <c:pt idx="73">
                  <c:v>-1.0190250648630717</c:v>
                </c:pt>
                <c:pt idx="74">
                  <c:v>-2.6512148532778865</c:v>
                </c:pt>
                <c:pt idx="75">
                  <c:v>-1.5248339435420082</c:v>
                </c:pt>
                <c:pt idx="76">
                  <c:v>-0.74256634208941164</c:v>
                </c:pt>
                <c:pt idx="77">
                  <c:v>4.3361753718922396</c:v>
                </c:pt>
                <c:pt idx="78">
                  <c:v>2.998560176387695</c:v>
                </c:pt>
                <c:pt idx="79">
                  <c:v>0.59098681717316504</c:v>
                </c:pt>
                <c:pt idx="80">
                  <c:v>0.25401405683067385</c:v>
                </c:pt>
                <c:pt idx="81">
                  <c:v>-5.637557506327572</c:v>
                </c:pt>
                <c:pt idx="82">
                  <c:v>-5.8124793824932501</c:v>
                </c:pt>
                <c:pt idx="83">
                  <c:v>-8.8215914368973838</c:v>
                </c:pt>
                <c:pt idx="84">
                  <c:v>-7.9495238451186578</c:v>
                </c:pt>
                <c:pt idx="85">
                  <c:v>-7.2405978884714051</c:v>
                </c:pt>
                <c:pt idx="86">
                  <c:v>-5.0860696958057403</c:v>
                </c:pt>
                <c:pt idx="87">
                  <c:v>-4.3989193588266504</c:v>
                </c:pt>
                <c:pt idx="88">
                  <c:v>-4.232467071664642</c:v>
                </c:pt>
                <c:pt idx="89">
                  <c:v>-5.184877192753599</c:v>
                </c:pt>
                <c:pt idx="90">
                  <c:v>-7.168304055048992</c:v>
                </c:pt>
                <c:pt idx="91">
                  <c:v>-7.8342671933551573</c:v>
                </c:pt>
                <c:pt idx="92">
                  <c:v>-12.441980564698357</c:v>
                </c:pt>
                <c:pt idx="93">
                  <c:v>-9.3750019892309098</c:v>
                </c:pt>
                <c:pt idx="94">
                  <c:v>-9.9784062364503381</c:v>
                </c:pt>
                <c:pt idx="95">
                  <c:v>-5.313824762916826</c:v>
                </c:pt>
                <c:pt idx="96">
                  <c:v>1.9546366339627983</c:v>
                </c:pt>
                <c:pt idx="97">
                  <c:v>3.8253990098695412</c:v>
                </c:pt>
                <c:pt idx="98">
                  <c:v>11.694677182963309</c:v>
                </c:pt>
                <c:pt idx="99">
                  <c:v>7.9285121595820582</c:v>
                </c:pt>
                <c:pt idx="100">
                  <c:v>2.0351384695385479</c:v>
                </c:pt>
                <c:pt idx="101">
                  <c:v>-1.4993378074378294</c:v>
                </c:pt>
                <c:pt idx="102">
                  <c:v>-4.0495486015225346</c:v>
                </c:pt>
                <c:pt idx="103">
                  <c:v>1.0728442978515769</c:v>
                </c:pt>
                <c:pt idx="104">
                  <c:v>-4.0901924457977543</c:v>
                </c:pt>
                <c:pt idx="105">
                  <c:v>-4.4593624896838087</c:v>
                </c:pt>
                <c:pt idx="106">
                  <c:v>-1.664292645451307</c:v>
                </c:pt>
                <c:pt idx="107">
                  <c:v>-2.5270043164698195</c:v>
                </c:pt>
                <c:pt idx="108">
                  <c:v>-3.9102884678735599</c:v>
                </c:pt>
                <c:pt idx="109">
                  <c:v>-7.1414753250919558</c:v>
                </c:pt>
                <c:pt idx="110">
                  <c:v>1.2295027468432866</c:v>
                </c:pt>
                <c:pt idx="111">
                  <c:v>4.9800153573818013</c:v>
                </c:pt>
                <c:pt idx="112">
                  <c:v>10.242738147154766</c:v>
                </c:pt>
                <c:pt idx="113">
                  <c:v>16.74391048542185</c:v>
                </c:pt>
                <c:pt idx="114">
                  <c:v>19.620929533391784</c:v>
                </c:pt>
                <c:pt idx="115">
                  <c:v>17.849141697664564</c:v>
                </c:pt>
                <c:pt idx="116">
                  <c:v>12.179760830795432</c:v>
                </c:pt>
                <c:pt idx="117">
                  <c:v>9.2407103919174123</c:v>
                </c:pt>
                <c:pt idx="118">
                  <c:v>4.9954030507772282</c:v>
                </c:pt>
                <c:pt idx="119">
                  <c:v>-0.100749551884925</c:v>
                </c:pt>
                <c:pt idx="120">
                  <c:v>0.26812343206173672</c:v>
                </c:pt>
                <c:pt idx="121">
                  <c:v>0.65684587374239334</c:v>
                </c:pt>
                <c:pt idx="122">
                  <c:v>0.40180685623398649</c:v>
                </c:pt>
                <c:pt idx="123">
                  <c:v>5.2948248856034779</c:v>
                </c:pt>
                <c:pt idx="124">
                  <c:v>6.9044211915844569</c:v>
                </c:pt>
                <c:pt idx="125">
                  <c:v>3.9352995674815179</c:v>
                </c:pt>
                <c:pt idx="126">
                  <c:v>-1.0277612029236953</c:v>
                </c:pt>
                <c:pt idx="127">
                  <c:v>-2.0851181134894956</c:v>
                </c:pt>
                <c:pt idx="128">
                  <c:v>-1.9709324141292346</c:v>
                </c:pt>
                <c:pt idx="129">
                  <c:v>-4.2973722428035535</c:v>
                </c:pt>
                <c:pt idx="130">
                  <c:v>-4.063546083436882</c:v>
                </c:pt>
                <c:pt idx="131">
                  <c:v>-5.9070659894126507</c:v>
                </c:pt>
                <c:pt idx="132">
                  <c:v>-6.9474952814608928</c:v>
                </c:pt>
                <c:pt idx="133">
                  <c:v>-8.482604770772646</c:v>
                </c:pt>
                <c:pt idx="134">
                  <c:v>-10.608279802897956</c:v>
                </c:pt>
                <c:pt idx="135">
                  <c:v>-11.169247222713983</c:v>
                </c:pt>
                <c:pt idx="136">
                  <c:v>-10.93765465067642</c:v>
                </c:pt>
                <c:pt idx="137">
                  <c:v>-5.3292386018052813</c:v>
                </c:pt>
                <c:pt idx="138">
                  <c:v>-4.1746914808262199</c:v>
                </c:pt>
                <c:pt idx="139">
                  <c:v>-1.3191394559141398</c:v>
                </c:pt>
                <c:pt idx="140">
                  <c:v>-1.5258952541577484</c:v>
                </c:pt>
                <c:pt idx="141">
                  <c:v>0.18109066790463491</c:v>
                </c:pt>
                <c:pt idx="142">
                  <c:v>-1.6247026685584753</c:v>
                </c:pt>
                <c:pt idx="143">
                  <c:v>2.3350419815352397</c:v>
                </c:pt>
                <c:pt idx="144">
                  <c:v>9.795876258939936</c:v>
                </c:pt>
                <c:pt idx="145">
                  <c:v>11.173180527865867</c:v>
                </c:pt>
                <c:pt idx="146">
                  <c:v>13.38410772871736</c:v>
                </c:pt>
                <c:pt idx="147">
                  <c:v>12.607489548162313</c:v>
                </c:pt>
                <c:pt idx="148">
                  <c:v>13.119659833262633</c:v>
                </c:pt>
                <c:pt idx="149">
                  <c:v>3.1385957173193617</c:v>
                </c:pt>
                <c:pt idx="150">
                  <c:v>-2.9849627538827206</c:v>
                </c:pt>
                <c:pt idx="151">
                  <c:v>-6.1447612648114616</c:v>
                </c:pt>
                <c:pt idx="152">
                  <c:v>-7.9847587344344104</c:v>
                </c:pt>
                <c:pt idx="153">
                  <c:v>-10.313177825603034</c:v>
                </c:pt>
                <c:pt idx="154">
                  <c:v>-12.434081204001494</c:v>
                </c:pt>
                <c:pt idx="155">
                  <c:v>-7.4223176660031802</c:v>
                </c:pt>
                <c:pt idx="156">
                  <c:v>-9.5799353855386258</c:v>
                </c:pt>
                <c:pt idx="157">
                  <c:v>-6.3891878317234205</c:v>
                </c:pt>
              </c:numCache>
            </c:numRef>
          </c:val>
          <c:smooth val="1"/>
          <c:extLst>
            <c:ext xmlns:c16="http://schemas.microsoft.com/office/drawing/2014/chart" uri="{C3380CC4-5D6E-409C-BE32-E72D297353CC}">
              <c16:uniqueId val="{00000000-7777-42AF-B3E1-5A0250326433}"/>
            </c:ext>
          </c:extLst>
        </c:ser>
        <c:dLbls>
          <c:showLegendKey val="0"/>
          <c:showVal val="0"/>
          <c:showCatName val="0"/>
          <c:showSerName val="0"/>
          <c:showPercent val="0"/>
          <c:showBubbleSize val="0"/>
        </c:dLbls>
        <c:marker val="1"/>
        <c:smooth val="0"/>
        <c:axId val="145929804"/>
        <c:axId val="623162877"/>
      </c:lineChart>
      <c:lineChart>
        <c:grouping val="standard"/>
        <c:varyColors val="0"/>
        <c:ser>
          <c:idx val="0"/>
          <c:order val="0"/>
          <c:tx>
            <c:strRef>
              <c:f>'框架指示的股债胜率（综合）'!$AA$3:$AA$4</c:f>
              <c:strCache>
                <c:ptCount val="2"/>
                <c:pt idx="0">
                  <c:v>打分指示的股债强弱（AI优化,3月，右轴)</c:v>
                </c:pt>
              </c:strCache>
            </c:strRef>
          </c:tx>
          <c:spPr>
            <a:ln w="15875" cap="rnd">
              <a:solidFill>
                <a:schemeClr val="accent6">
                  <a:lumMod val="50000"/>
                </a:schemeClr>
              </a:solidFill>
              <a:round/>
            </a:ln>
            <a:effectLst/>
          </c:spPr>
          <c:marker>
            <c:symbol val="none"/>
          </c:marker>
          <c:cat>
            <c:numRef>
              <c:f>'框架指示的股债胜率（综合）'!$A$5:$A$162</c:f>
              <c:numCache>
                <c:formatCode>yyyy/m/d;@</c:formatCode>
                <c:ptCount val="158"/>
                <c:pt idx="0">
                  <c:v>46022</c:v>
                </c:pt>
                <c:pt idx="1">
                  <c:v>45991</c:v>
                </c:pt>
                <c:pt idx="2">
                  <c:v>45961</c:v>
                </c:pt>
                <c:pt idx="3">
                  <c:v>45930</c:v>
                </c:pt>
                <c:pt idx="4">
                  <c:v>45900</c:v>
                </c:pt>
                <c:pt idx="5">
                  <c:v>45869</c:v>
                </c:pt>
                <c:pt idx="6">
                  <c:v>45838</c:v>
                </c:pt>
                <c:pt idx="7">
                  <c:v>45808</c:v>
                </c:pt>
                <c:pt idx="8">
                  <c:v>45777</c:v>
                </c:pt>
                <c:pt idx="9">
                  <c:v>45747</c:v>
                </c:pt>
                <c:pt idx="10">
                  <c:v>45716</c:v>
                </c:pt>
                <c:pt idx="11">
                  <c:v>45688</c:v>
                </c:pt>
                <c:pt idx="12">
                  <c:v>45657</c:v>
                </c:pt>
                <c:pt idx="13">
                  <c:v>45626</c:v>
                </c:pt>
                <c:pt idx="14">
                  <c:v>45596</c:v>
                </c:pt>
                <c:pt idx="15">
                  <c:v>45565</c:v>
                </c:pt>
                <c:pt idx="16">
                  <c:v>45535</c:v>
                </c:pt>
                <c:pt idx="17">
                  <c:v>45504</c:v>
                </c:pt>
                <c:pt idx="18">
                  <c:v>45473</c:v>
                </c:pt>
                <c:pt idx="19">
                  <c:v>45443</c:v>
                </c:pt>
                <c:pt idx="20">
                  <c:v>45412</c:v>
                </c:pt>
                <c:pt idx="21">
                  <c:v>45382</c:v>
                </c:pt>
                <c:pt idx="22">
                  <c:v>45351</c:v>
                </c:pt>
                <c:pt idx="23">
                  <c:v>45322</c:v>
                </c:pt>
                <c:pt idx="24">
                  <c:v>45291</c:v>
                </c:pt>
                <c:pt idx="25">
                  <c:v>45260</c:v>
                </c:pt>
                <c:pt idx="26">
                  <c:v>45230</c:v>
                </c:pt>
                <c:pt idx="27">
                  <c:v>45199</c:v>
                </c:pt>
                <c:pt idx="28">
                  <c:v>45169</c:v>
                </c:pt>
                <c:pt idx="29">
                  <c:v>45138</c:v>
                </c:pt>
                <c:pt idx="30">
                  <c:v>45107</c:v>
                </c:pt>
                <c:pt idx="31">
                  <c:v>45077</c:v>
                </c:pt>
                <c:pt idx="32">
                  <c:v>45046</c:v>
                </c:pt>
                <c:pt idx="33">
                  <c:v>45016</c:v>
                </c:pt>
                <c:pt idx="34">
                  <c:v>44985</c:v>
                </c:pt>
                <c:pt idx="35">
                  <c:v>44957</c:v>
                </c:pt>
                <c:pt idx="36">
                  <c:v>44926</c:v>
                </c:pt>
                <c:pt idx="37">
                  <c:v>44895</c:v>
                </c:pt>
                <c:pt idx="38">
                  <c:v>44865</c:v>
                </c:pt>
                <c:pt idx="39">
                  <c:v>44834</c:v>
                </c:pt>
                <c:pt idx="40">
                  <c:v>44804</c:v>
                </c:pt>
                <c:pt idx="41">
                  <c:v>44773</c:v>
                </c:pt>
                <c:pt idx="42">
                  <c:v>44742</c:v>
                </c:pt>
                <c:pt idx="43">
                  <c:v>44712</c:v>
                </c:pt>
                <c:pt idx="44">
                  <c:v>44681</c:v>
                </c:pt>
                <c:pt idx="45">
                  <c:v>44651</c:v>
                </c:pt>
                <c:pt idx="46">
                  <c:v>44620</c:v>
                </c:pt>
                <c:pt idx="47">
                  <c:v>44592</c:v>
                </c:pt>
                <c:pt idx="48">
                  <c:v>44561</c:v>
                </c:pt>
                <c:pt idx="49">
                  <c:v>44530</c:v>
                </c:pt>
                <c:pt idx="50">
                  <c:v>44500</c:v>
                </c:pt>
                <c:pt idx="51">
                  <c:v>44469</c:v>
                </c:pt>
                <c:pt idx="52">
                  <c:v>44439</c:v>
                </c:pt>
                <c:pt idx="53">
                  <c:v>44408</c:v>
                </c:pt>
                <c:pt idx="54">
                  <c:v>44377</c:v>
                </c:pt>
                <c:pt idx="55">
                  <c:v>44347</c:v>
                </c:pt>
                <c:pt idx="56">
                  <c:v>44316</c:v>
                </c:pt>
                <c:pt idx="57">
                  <c:v>44286</c:v>
                </c:pt>
                <c:pt idx="58">
                  <c:v>44255</c:v>
                </c:pt>
                <c:pt idx="59">
                  <c:v>44227</c:v>
                </c:pt>
                <c:pt idx="60">
                  <c:v>44196</c:v>
                </c:pt>
                <c:pt idx="61">
                  <c:v>44165</c:v>
                </c:pt>
                <c:pt idx="62">
                  <c:v>44135</c:v>
                </c:pt>
                <c:pt idx="63">
                  <c:v>44104</c:v>
                </c:pt>
                <c:pt idx="64">
                  <c:v>44074</c:v>
                </c:pt>
                <c:pt idx="65">
                  <c:v>44043</c:v>
                </c:pt>
                <c:pt idx="66">
                  <c:v>44012</c:v>
                </c:pt>
                <c:pt idx="67">
                  <c:v>43982</c:v>
                </c:pt>
                <c:pt idx="68">
                  <c:v>43951</c:v>
                </c:pt>
                <c:pt idx="69">
                  <c:v>43921</c:v>
                </c:pt>
                <c:pt idx="70">
                  <c:v>43890</c:v>
                </c:pt>
                <c:pt idx="71">
                  <c:v>43861</c:v>
                </c:pt>
                <c:pt idx="72">
                  <c:v>43830</c:v>
                </c:pt>
                <c:pt idx="73">
                  <c:v>43799</c:v>
                </c:pt>
                <c:pt idx="74">
                  <c:v>43769</c:v>
                </c:pt>
                <c:pt idx="75">
                  <c:v>43738</c:v>
                </c:pt>
                <c:pt idx="76">
                  <c:v>43708</c:v>
                </c:pt>
                <c:pt idx="77">
                  <c:v>43677</c:v>
                </c:pt>
                <c:pt idx="78">
                  <c:v>43646</c:v>
                </c:pt>
                <c:pt idx="79">
                  <c:v>43616</c:v>
                </c:pt>
                <c:pt idx="80">
                  <c:v>43585</c:v>
                </c:pt>
                <c:pt idx="81">
                  <c:v>43555</c:v>
                </c:pt>
                <c:pt idx="82">
                  <c:v>43524</c:v>
                </c:pt>
                <c:pt idx="83">
                  <c:v>43496</c:v>
                </c:pt>
                <c:pt idx="84">
                  <c:v>43465</c:v>
                </c:pt>
                <c:pt idx="85">
                  <c:v>43434</c:v>
                </c:pt>
                <c:pt idx="86">
                  <c:v>43404</c:v>
                </c:pt>
                <c:pt idx="87">
                  <c:v>43373</c:v>
                </c:pt>
                <c:pt idx="88">
                  <c:v>43343</c:v>
                </c:pt>
                <c:pt idx="89">
                  <c:v>43312</c:v>
                </c:pt>
                <c:pt idx="90">
                  <c:v>43281</c:v>
                </c:pt>
                <c:pt idx="91">
                  <c:v>43251</c:v>
                </c:pt>
                <c:pt idx="92">
                  <c:v>43220</c:v>
                </c:pt>
                <c:pt idx="93">
                  <c:v>43190</c:v>
                </c:pt>
                <c:pt idx="94">
                  <c:v>43159</c:v>
                </c:pt>
                <c:pt idx="95">
                  <c:v>43131</c:v>
                </c:pt>
                <c:pt idx="96">
                  <c:v>43100</c:v>
                </c:pt>
                <c:pt idx="97">
                  <c:v>43069</c:v>
                </c:pt>
                <c:pt idx="98">
                  <c:v>43039</c:v>
                </c:pt>
                <c:pt idx="99">
                  <c:v>43008</c:v>
                </c:pt>
                <c:pt idx="100">
                  <c:v>42978</c:v>
                </c:pt>
                <c:pt idx="101">
                  <c:v>42947</c:v>
                </c:pt>
                <c:pt idx="102">
                  <c:v>42916</c:v>
                </c:pt>
                <c:pt idx="103">
                  <c:v>42886</c:v>
                </c:pt>
                <c:pt idx="104">
                  <c:v>42855</c:v>
                </c:pt>
                <c:pt idx="105">
                  <c:v>42825</c:v>
                </c:pt>
                <c:pt idx="106">
                  <c:v>42794</c:v>
                </c:pt>
                <c:pt idx="107">
                  <c:v>42766</c:v>
                </c:pt>
                <c:pt idx="108">
                  <c:v>42735</c:v>
                </c:pt>
                <c:pt idx="109">
                  <c:v>42704</c:v>
                </c:pt>
                <c:pt idx="110">
                  <c:v>42674</c:v>
                </c:pt>
                <c:pt idx="111">
                  <c:v>42643</c:v>
                </c:pt>
                <c:pt idx="112">
                  <c:v>42613</c:v>
                </c:pt>
                <c:pt idx="113">
                  <c:v>42582</c:v>
                </c:pt>
                <c:pt idx="114">
                  <c:v>42551</c:v>
                </c:pt>
                <c:pt idx="115">
                  <c:v>42521</c:v>
                </c:pt>
                <c:pt idx="116">
                  <c:v>42490</c:v>
                </c:pt>
                <c:pt idx="117">
                  <c:v>42460</c:v>
                </c:pt>
                <c:pt idx="118">
                  <c:v>42429</c:v>
                </c:pt>
                <c:pt idx="119">
                  <c:v>42400</c:v>
                </c:pt>
                <c:pt idx="120">
                  <c:v>42369</c:v>
                </c:pt>
                <c:pt idx="121">
                  <c:v>42338</c:v>
                </c:pt>
                <c:pt idx="122">
                  <c:v>42308</c:v>
                </c:pt>
                <c:pt idx="123">
                  <c:v>42277</c:v>
                </c:pt>
                <c:pt idx="124">
                  <c:v>42247</c:v>
                </c:pt>
                <c:pt idx="125">
                  <c:v>42216</c:v>
                </c:pt>
                <c:pt idx="126">
                  <c:v>42185</c:v>
                </c:pt>
                <c:pt idx="127">
                  <c:v>42155</c:v>
                </c:pt>
                <c:pt idx="128">
                  <c:v>42124</c:v>
                </c:pt>
                <c:pt idx="129">
                  <c:v>42094</c:v>
                </c:pt>
                <c:pt idx="130">
                  <c:v>42063</c:v>
                </c:pt>
                <c:pt idx="131">
                  <c:v>42035</c:v>
                </c:pt>
                <c:pt idx="132">
                  <c:v>42004</c:v>
                </c:pt>
                <c:pt idx="133">
                  <c:v>41973</c:v>
                </c:pt>
                <c:pt idx="134">
                  <c:v>41943</c:v>
                </c:pt>
                <c:pt idx="135">
                  <c:v>41912</c:v>
                </c:pt>
                <c:pt idx="136">
                  <c:v>41882</c:v>
                </c:pt>
                <c:pt idx="137">
                  <c:v>41851</c:v>
                </c:pt>
                <c:pt idx="138">
                  <c:v>41820</c:v>
                </c:pt>
                <c:pt idx="139">
                  <c:v>41790</c:v>
                </c:pt>
                <c:pt idx="140">
                  <c:v>41759</c:v>
                </c:pt>
                <c:pt idx="141">
                  <c:v>41729</c:v>
                </c:pt>
                <c:pt idx="142">
                  <c:v>41698</c:v>
                </c:pt>
                <c:pt idx="143">
                  <c:v>41670</c:v>
                </c:pt>
                <c:pt idx="144">
                  <c:v>41639</c:v>
                </c:pt>
                <c:pt idx="145">
                  <c:v>41608</c:v>
                </c:pt>
                <c:pt idx="146">
                  <c:v>41578</c:v>
                </c:pt>
                <c:pt idx="147">
                  <c:v>41547</c:v>
                </c:pt>
                <c:pt idx="148">
                  <c:v>41517</c:v>
                </c:pt>
                <c:pt idx="149">
                  <c:v>41486</c:v>
                </c:pt>
                <c:pt idx="150">
                  <c:v>41455</c:v>
                </c:pt>
                <c:pt idx="151">
                  <c:v>41425</c:v>
                </c:pt>
                <c:pt idx="152">
                  <c:v>41394</c:v>
                </c:pt>
                <c:pt idx="153">
                  <c:v>41364</c:v>
                </c:pt>
                <c:pt idx="154">
                  <c:v>41333</c:v>
                </c:pt>
                <c:pt idx="155">
                  <c:v>41305</c:v>
                </c:pt>
                <c:pt idx="156">
                  <c:v>41274</c:v>
                </c:pt>
                <c:pt idx="157">
                  <c:v>41243</c:v>
                </c:pt>
              </c:numCache>
            </c:numRef>
          </c:cat>
          <c:val>
            <c:numRef>
              <c:f>'框架指示的股债胜率（综合）'!$AA$5:$AA$162</c:f>
              <c:numCache>
                <c:formatCode>General</c:formatCode>
                <c:ptCount val="158"/>
                <c:pt idx="0">
                  <c:v>6.2205132956319388E-2</c:v>
                </c:pt>
                <c:pt idx="1">
                  <c:v>-0.49087251855883213</c:v>
                </c:pt>
                <c:pt idx="2">
                  <c:v>-0.28367953610269175</c:v>
                </c:pt>
                <c:pt idx="3">
                  <c:v>-0.96915550334567835</c:v>
                </c:pt>
                <c:pt idx="4">
                  <c:v>-0.93312634833254149</c:v>
                </c:pt>
                <c:pt idx="5">
                  <c:v>-0.48888150010085135</c:v>
                </c:pt>
                <c:pt idx="6">
                  <c:v>-0.70747917336075228</c:v>
                </c:pt>
                <c:pt idx="7">
                  <c:v>-0.76335499892407788</c:v>
                </c:pt>
                <c:pt idx="8">
                  <c:v>-0.67883857967081651</c:v>
                </c:pt>
                <c:pt idx="9">
                  <c:v>-0.52870254974782771</c:v>
                </c:pt>
                <c:pt idx="10">
                  <c:v>-0.67436355280442761</c:v>
                </c:pt>
                <c:pt idx="11">
                  <c:v>-0.54865132607225808</c:v>
                </c:pt>
                <c:pt idx="12">
                  <c:v>-0.34291267827935917</c:v>
                </c:pt>
                <c:pt idx="13">
                  <c:v>-0.15473364928983513</c:v>
                </c:pt>
                <c:pt idx="14">
                  <c:v>-0.42901481951915715</c:v>
                </c:pt>
                <c:pt idx="15">
                  <c:v>-0.41790111603567454</c:v>
                </c:pt>
                <c:pt idx="16">
                  <c:v>-0.83807089543225122</c:v>
                </c:pt>
                <c:pt idx="17">
                  <c:v>-1.2252778622325449</c:v>
                </c:pt>
                <c:pt idx="18">
                  <c:v>-1.1612880617852606</c:v>
                </c:pt>
                <c:pt idx="19">
                  <c:v>-1.0148199351702205</c:v>
                </c:pt>
                <c:pt idx="20">
                  <c:v>-1.0711996693723835</c:v>
                </c:pt>
                <c:pt idx="21">
                  <c:v>-0.74126497448576989</c:v>
                </c:pt>
                <c:pt idx="22">
                  <c:v>-0.55251599086326919</c:v>
                </c:pt>
                <c:pt idx="23">
                  <c:v>-0.21369433663579462</c:v>
                </c:pt>
                <c:pt idx="24">
                  <c:v>-0.20076352722778548</c:v>
                </c:pt>
                <c:pt idx="25">
                  <c:v>-0.26804259465392588</c:v>
                </c:pt>
                <c:pt idx="26">
                  <c:v>-0.17605966398871845</c:v>
                </c:pt>
                <c:pt idx="27">
                  <c:v>-0.62157660263946457</c:v>
                </c:pt>
                <c:pt idx="28">
                  <c:v>-0.94629431976642187</c:v>
                </c:pt>
                <c:pt idx="29">
                  <c:v>-1.2908460887228628</c:v>
                </c:pt>
                <c:pt idx="30">
                  <c:v>-1.2727556698661975</c:v>
                </c:pt>
                <c:pt idx="31">
                  <c:v>-1.1246078947774725</c:v>
                </c:pt>
                <c:pt idx="32">
                  <c:v>-0.72793943447542286</c:v>
                </c:pt>
                <c:pt idx="33">
                  <c:v>3.6062630906596414E-2</c:v>
                </c:pt>
                <c:pt idx="34">
                  <c:v>-0.32914674537763516</c:v>
                </c:pt>
                <c:pt idx="35">
                  <c:v>-0.56379731089781204</c:v>
                </c:pt>
                <c:pt idx="36">
                  <c:v>-0.85858366519444618</c:v>
                </c:pt>
                <c:pt idx="37">
                  <c:v>-1.2999130625460771</c:v>
                </c:pt>
                <c:pt idx="38">
                  <c:v>-2.2404167024332033</c:v>
                </c:pt>
                <c:pt idx="39">
                  <c:v>-2.3628670457064782</c:v>
                </c:pt>
                <c:pt idx="40">
                  <c:v>-1.3698729028985681</c:v>
                </c:pt>
                <c:pt idx="41">
                  <c:v>-1.3830775541277962</c:v>
                </c:pt>
                <c:pt idx="42">
                  <c:v>-0.68160690318831951</c:v>
                </c:pt>
                <c:pt idx="43">
                  <c:v>8.2577220702340526E-2</c:v>
                </c:pt>
                <c:pt idx="44">
                  <c:v>1.1259958676057618</c:v>
                </c:pt>
                <c:pt idx="45">
                  <c:v>0.83446232153010114</c:v>
                </c:pt>
                <c:pt idx="46">
                  <c:v>0.76398641018962021</c:v>
                </c:pt>
                <c:pt idx="47">
                  <c:v>1.2839638369470487</c:v>
                </c:pt>
                <c:pt idx="48">
                  <c:v>1.057315809389644</c:v>
                </c:pt>
                <c:pt idx="49">
                  <c:v>0.52806622724865526</c:v>
                </c:pt>
                <c:pt idx="50">
                  <c:v>0.67873710699641732</c:v>
                </c:pt>
                <c:pt idx="51">
                  <c:v>0.54992496064167584</c:v>
                </c:pt>
                <c:pt idx="52">
                  <c:v>0.27748750117368842</c:v>
                </c:pt>
                <c:pt idx="53">
                  <c:v>0.20601753453610724</c:v>
                </c:pt>
                <c:pt idx="54">
                  <c:v>0.10405242927139023</c:v>
                </c:pt>
                <c:pt idx="55">
                  <c:v>0.57093549458306614</c:v>
                </c:pt>
                <c:pt idx="56">
                  <c:v>0.16688745104153357</c:v>
                </c:pt>
                <c:pt idx="57">
                  <c:v>0.30400821165300579</c:v>
                </c:pt>
                <c:pt idx="58">
                  <c:v>0.43847445245794586</c:v>
                </c:pt>
                <c:pt idx="59">
                  <c:v>0.30867251856782996</c:v>
                </c:pt>
                <c:pt idx="60">
                  <c:v>0.36820736388324332</c:v>
                </c:pt>
                <c:pt idx="61">
                  <c:v>-2.5212721308702041E-4</c:v>
                </c:pt>
                <c:pt idx="62">
                  <c:v>-0.28533925373618174</c:v>
                </c:pt>
                <c:pt idx="63">
                  <c:v>-0.62697427386810933</c:v>
                </c:pt>
                <c:pt idx="64">
                  <c:v>-0.88887929313954039</c:v>
                </c:pt>
                <c:pt idx="65">
                  <c:v>-0.49620513134573896</c:v>
                </c:pt>
                <c:pt idx="66">
                  <c:v>-0.20322507993135042</c:v>
                </c:pt>
                <c:pt idx="67">
                  <c:v>1.5485542666529017E-3</c:v>
                </c:pt>
                <c:pt idx="68">
                  <c:v>0.41762283426081331</c:v>
                </c:pt>
                <c:pt idx="69">
                  <c:v>0.67381415269942602</c:v>
                </c:pt>
                <c:pt idx="70">
                  <c:v>0.93531664029712225</c:v>
                </c:pt>
                <c:pt idx="71">
                  <c:v>0.9278899666011603</c:v>
                </c:pt>
                <c:pt idx="72">
                  <c:v>0.76395327977745309</c:v>
                </c:pt>
                <c:pt idx="73">
                  <c:v>0.89786771715665425</c:v>
                </c:pt>
                <c:pt idx="74">
                  <c:v>1.1575351972924091</c:v>
                </c:pt>
                <c:pt idx="75">
                  <c:v>2.3256863389368987</c:v>
                </c:pt>
                <c:pt idx="76">
                  <c:v>2.3389195881910476</c:v>
                </c:pt>
                <c:pt idx="77">
                  <c:v>2.4190187284569058</c:v>
                </c:pt>
                <c:pt idx="78">
                  <c:v>2.6409616045268645</c:v>
                </c:pt>
                <c:pt idx="79">
                  <c:v>2.7571772536552568</c:v>
                </c:pt>
                <c:pt idx="80">
                  <c:v>2.7565938745232983</c:v>
                </c:pt>
                <c:pt idx="81">
                  <c:v>1.8196121392783091</c:v>
                </c:pt>
                <c:pt idx="82">
                  <c:v>2.2298924907462725</c:v>
                </c:pt>
                <c:pt idx="83">
                  <c:v>2.4007153843450144</c:v>
                </c:pt>
                <c:pt idx="84">
                  <c:v>2.4953788338333953</c:v>
                </c:pt>
                <c:pt idx="85">
                  <c:v>2.6181404889000897</c:v>
                </c:pt>
                <c:pt idx="86">
                  <c:v>2.4849680332955049</c:v>
                </c:pt>
                <c:pt idx="87">
                  <c:v>2.0348609201570587</c:v>
                </c:pt>
                <c:pt idx="88">
                  <c:v>1.2840219987530885</c:v>
                </c:pt>
                <c:pt idx="89">
                  <c:v>0.52744422475405017</c:v>
                </c:pt>
                <c:pt idx="90">
                  <c:v>-0.23567909581303484</c:v>
                </c:pt>
                <c:pt idx="91">
                  <c:v>-0.72088231374809686</c:v>
                </c:pt>
                <c:pt idx="92">
                  <c:v>-1.0571794215751142</c:v>
                </c:pt>
                <c:pt idx="93">
                  <c:v>-0.83427270866949144</c:v>
                </c:pt>
                <c:pt idx="94">
                  <c:v>-0.44412477301122305</c:v>
                </c:pt>
                <c:pt idx="95">
                  <c:v>-6.0939296197636272E-2</c:v>
                </c:pt>
                <c:pt idx="96">
                  <c:v>0.64190182137303353</c:v>
                </c:pt>
                <c:pt idx="97">
                  <c:v>0.94492748874956289</c:v>
                </c:pt>
                <c:pt idx="98">
                  <c:v>1.1981056794863261</c:v>
                </c:pt>
                <c:pt idx="99">
                  <c:v>1.5586306832759498</c:v>
                </c:pt>
                <c:pt idx="100">
                  <c:v>1.8365911699708821</c:v>
                </c:pt>
                <c:pt idx="101">
                  <c:v>2.3601152245121568</c:v>
                </c:pt>
                <c:pt idx="102">
                  <c:v>1.9048144891858101</c:v>
                </c:pt>
              </c:numCache>
            </c:numRef>
          </c:val>
          <c:smooth val="1"/>
          <c:extLst>
            <c:ext xmlns:c16="http://schemas.microsoft.com/office/drawing/2014/chart" uri="{C3380CC4-5D6E-409C-BE32-E72D297353CC}">
              <c16:uniqueId val="{00000001-7777-42AF-B3E1-5A0250326433}"/>
            </c:ext>
          </c:extLst>
        </c:ser>
        <c:dLbls>
          <c:showLegendKey val="0"/>
          <c:showVal val="0"/>
          <c:showCatName val="0"/>
          <c:showSerName val="0"/>
          <c:showPercent val="0"/>
          <c:showBubbleSize val="0"/>
        </c:dLbls>
        <c:marker val="1"/>
        <c:smooth val="0"/>
        <c:axId val="383369545"/>
        <c:axId val="603172358"/>
      </c:lineChart>
      <c:dateAx>
        <c:axId val="145929804"/>
        <c:scaling>
          <c:orientation val="minMax"/>
          <c:min val="43831"/>
        </c:scaling>
        <c:delete val="0"/>
        <c:axPos val="b"/>
        <c:numFmt formatCode="yyyy/m/d;@" sourceLinked="0"/>
        <c:majorTickMark val="out"/>
        <c:minorTickMark val="none"/>
        <c:tickLblPos val="low"/>
        <c:spPr>
          <a:noFill/>
          <a:ln w="6350" cap="flat" cmpd="sng" algn="ctr">
            <a:solidFill>
              <a:schemeClr val="tx1"/>
            </a:solidFill>
            <a:round/>
          </a:ln>
          <a:effectLst/>
        </c:spPr>
        <c:txPr>
          <a:bodyPr rot="0" spcFirstLastPara="0" vertOverflow="ellipsis" wrap="square" anchor="ctr" anchorCtr="1"/>
          <a:lstStyle/>
          <a:p>
            <a:pPr>
              <a:defRPr lang="zh-CN" sz="700" b="0" i="0" u="none" strike="noStrike" kern="1200" baseline="0">
                <a:solidFill>
                  <a:srgbClr val="000000"/>
                </a:solidFill>
                <a:latin typeface="黑体" panose="02010609060101010101" pitchFamily="49" charset="-122"/>
                <a:ea typeface="黑体" panose="02010609060101010101" pitchFamily="49" charset="-122"/>
                <a:cs typeface="黑体" panose="02010609060101010101" pitchFamily="49" charset="-122"/>
                <a:sym typeface="黑体" panose="02010609060101010101" pitchFamily="49" charset="-122"/>
              </a:defRPr>
            </a:pPr>
            <a:endParaRPr lang="zh-CN"/>
          </a:p>
        </c:txPr>
        <c:crossAx val="623162877"/>
        <c:crosses val="autoZero"/>
        <c:auto val="1"/>
        <c:lblOffset val="100"/>
        <c:baseTimeUnit val="months"/>
      </c:dateAx>
      <c:valAx>
        <c:axId val="623162877"/>
        <c:scaling>
          <c:orientation val="minMax"/>
        </c:scaling>
        <c:delete val="0"/>
        <c:axPos val="l"/>
        <c:numFmt formatCode="General" sourceLinked="1"/>
        <c:majorTickMark val="out"/>
        <c:minorTickMark val="none"/>
        <c:tickLblPos val="nextTo"/>
        <c:spPr>
          <a:noFill/>
          <a:ln w="6350">
            <a:solidFill>
              <a:schemeClr val="tx1"/>
            </a:solidFill>
          </a:ln>
          <a:effectLst/>
        </c:spPr>
        <c:txPr>
          <a:bodyPr rot="-60000000" spcFirstLastPara="0" vertOverflow="ellipsis" vert="horz" wrap="square" anchor="ctr" anchorCtr="1"/>
          <a:lstStyle/>
          <a:p>
            <a:pPr>
              <a:defRPr lang="zh-CN" sz="700" b="0" i="0" u="none" strike="noStrike" kern="1200" baseline="0">
                <a:solidFill>
                  <a:srgbClr val="000000"/>
                </a:solidFill>
                <a:latin typeface="黑体" panose="02010609060101010101" pitchFamily="49" charset="-122"/>
                <a:ea typeface="黑体" panose="02010609060101010101" pitchFamily="49" charset="-122"/>
                <a:cs typeface="黑体" panose="02010609060101010101" pitchFamily="49" charset="-122"/>
                <a:sym typeface="黑体" panose="02010609060101010101" pitchFamily="49" charset="-122"/>
              </a:defRPr>
            </a:pPr>
            <a:endParaRPr lang="zh-CN"/>
          </a:p>
        </c:txPr>
        <c:crossAx val="145929804"/>
        <c:crosses val="autoZero"/>
        <c:crossBetween val="between"/>
      </c:valAx>
      <c:dateAx>
        <c:axId val="383369545"/>
        <c:scaling>
          <c:orientation val="minMax"/>
        </c:scaling>
        <c:delete val="1"/>
        <c:axPos val="b"/>
        <c:numFmt formatCode="yyyy/m/d;@" sourceLinked="1"/>
        <c:majorTickMark val="none"/>
        <c:minorTickMark val="none"/>
        <c:tickLblPos val="nextTo"/>
        <c:crossAx val="603172358"/>
        <c:crosses val="autoZero"/>
        <c:auto val="1"/>
        <c:lblOffset val="100"/>
        <c:baseTimeUnit val="months"/>
      </c:dateAx>
      <c:valAx>
        <c:axId val="603172358"/>
        <c:scaling>
          <c:orientation val="minMax"/>
        </c:scaling>
        <c:delete val="0"/>
        <c:axPos val="r"/>
        <c:numFmt formatCode="General" sourceLinked="1"/>
        <c:majorTickMark val="in"/>
        <c:minorTickMark val="none"/>
        <c:tickLblPos val="nextTo"/>
        <c:spPr>
          <a:noFill/>
          <a:ln w="6350">
            <a:solidFill>
              <a:schemeClr val="tx1"/>
            </a:solidFill>
          </a:ln>
          <a:effectLst/>
        </c:spPr>
        <c:txPr>
          <a:bodyPr rot="0" spcFirstLastPara="0" vertOverflow="ellipsis" wrap="square" anchor="ctr" anchorCtr="1"/>
          <a:lstStyle/>
          <a:p>
            <a:pPr>
              <a:defRPr lang="zh-CN" sz="700" b="0" i="0" u="none" strike="noStrike" kern="1200" baseline="0">
                <a:solidFill>
                  <a:srgbClr val="000000"/>
                </a:solidFill>
                <a:latin typeface="黑体" panose="02010609060101010101" pitchFamily="49" charset="-122"/>
                <a:ea typeface="黑体" panose="02010609060101010101" pitchFamily="49" charset="-122"/>
                <a:cs typeface="黑体" panose="02010609060101010101" pitchFamily="49" charset="-122"/>
                <a:sym typeface="黑体" panose="02010609060101010101" pitchFamily="49" charset="-122"/>
              </a:defRPr>
            </a:pPr>
            <a:endParaRPr lang="zh-CN"/>
          </a:p>
        </c:txPr>
        <c:crossAx val="383369545"/>
        <c:crosses val="max"/>
        <c:crossBetween val="between"/>
      </c:valAx>
      <c:spPr>
        <a:noFill/>
        <a:ln>
          <a:noFill/>
        </a:ln>
        <a:effectLst/>
      </c:spPr>
    </c:plotArea>
    <c:legend>
      <c:legendPos val="t"/>
      <c:legendEntry>
        <c:idx val="0"/>
        <c:txPr>
          <a:bodyPr rot="0" spcFirstLastPara="0" vertOverflow="ellipsis" vert="horz" wrap="square" anchor="ctr" anchorCtr="1"/>
          <a:lstStyle/>
          <a:p>
            <a:pPr>
              <a:defRPr lang="zh-CN" sz="700" b="0" i="0" u="none" strike="noStrike" kern="1200" baseline="0">
                <a:solidFill>
                  <a:srgbClr val="000000">
                    <a:lumMod val="65000"/>
                    <a:lumOff val="35000"/>
                  </a:srgbClr>
                </a:solidFill>
                <a:latin typeface="黑体" panose="02010609060101010101" pitchFamily="49" charset="-122"/>
                <a:ea typeface="黑体" panose="02010609060101010101" pitchFamily="49" charset="-122"/>
                <a:cs typeface="黑体" panose="02010609060101010101" pitchFamily="49" charset="-122"/>
                <a:sym typeface="黑体" panose="02010609060101010101" pitchFamily="49" charset="-122"/>
              </a:defRPr>
            </a:pPr>
            <a:endParaRPr lang="zh-CN"/>
          </a:p>
        </c:txPr>
      </c:legendEntry>
      <c:legendEntry>
        <c:idx val="1"/>
        <c:txPr>
          <a:bodyPr rot="0" spcFirstLastPara="0" vertOverflow="ellipsis" vert="horz" wrap="square" anchor="ctr" anchorCtr="1"/>
          <a:lstStyle/>
          <a:p>
            <a:pPr>
              <a:defRPr lang="zh-CN" sz="700" b="0" i="0" u="none" strike="noStrike" kern="1200" baseline="0">
                <a:solidFill>
                  <a:srgbClr val="000000">
                    <a:lumMod val="65000"/>
                    <a:lumOff val="35000"/>
                  </a:srgbClr>
                </a:solidFill>
                <a:latin typeface="黑体" panose="02010609060101010101" pitchFamily="49" charset="-122"/>
                <a:ea typeface="黑体" panose="02010609060101010101" pitchFamily="49" charset="-122"/>
                <a:cs typeface="黑体" panose="02010609060101010101" pitchFamily="49" charset="-122"/>
                <a:sym typeface="黑体" panose="02010609060101010101" pitchFamily="49" charset="-122"/>
              </a:defRPr>
            </a:pPr>
            <a:endParaRPr lang="zh-CN"/>
          </a:p>
        </c:txPr>
      </c:legendEntry>
      <c:overlay val="0"/>
      <c:spPr>
        <a:noFill/>
        <a:ln>
          <a:noFill/>
        </a:ln>
        <a:effectLst/>
      </c:spPr>
      <c:txPr>
        <a:bodyPr rot="0" spcFirstLastPara="0" vertOverflow="ellipsis" vert="horz" wrap="square" anchor="ctr" anchorCtr="1"/>
        <a:lstStyle/>
        <a:p>
          <a:pPr>
            <a:defRPr lang="zh-CN" sz="700" b="0" i="0" u="none" strike="noStrike" kern="1200" baseline="0">
              <a:solidFill>
                <a:srgbClr val="000000">
                  <a:lumMod val="65000"/>
                  <a:lumOff val="35000"/>
                </a:srgbClr>
              </a:solidFill>
              <a:latin typeface="黑体" panose="02010609060101010101" pitchFamily="49" charset="-122"/>
              <a:ea typeface="黑体" panose="02010609060101010101" pitchFamily="49" charset="-122"/>
              <a:cs typeface="黑体" panose="02010609060101010101" pitchFamily="49" charset="-122"/>
              <a:sym typeface="黑体" panose="02010609060101010101" pitchFamily="49" charset="-122"/>
            </a:defRPr>
          </a:pPr>
          <a:endParaRPr lang="zh-CN"/>
        </a:p>
      </c:txPr>
    </c:legend>
    <c:plotVisOnly val="1"/>
    <c:dispBlanksAs val="gap"/>
    <c:showDLblsOverMax val="0"/>
    <c:extLst>
      <c:ext uri="{0b15fc19-7d7d-44ad-8c2d-2c3a37ce22c3}">
        <chartProps xmlns="https://web.wps.cn/et/2018/main" chartId="{19365233-03b2-49a2-8c1c-f58d816a1d1b}"/>
      </c:ext>
    </c:extLst>
  </c:chart>
  <c:spPr>
    <a:solidFill>
      <a:schemeClr val="bg1"/>
    </a:solidFill>
    <a:ln w="9525" cap="flat" cmpd="sng" algn="ctr">
      <a:noFill/>
      <a:round/>
    </a:ln>
    <a:effectLst/>
  </c:spPr>
  <c:txPr>
    <a:bodyPr/>
    <a:lstStyle/>
    <a:p>
      <a:pPr>
        <a:defRPr lang="zh-CN" sz="700">
          <a:latin typeface="黑体" panose="02010609060101010101" pitchFamily="49" charset="-122"/>
          <a:ea typeface="黑体" panose="02010609060101010101" pitchFamily="49" charset="-122"/>
          <a:cs typeface="黑体" panose="02010609060101010101" pitchFamily="49" charset="-122"/>
          <a:sym typeface="黑体" panose="02010609060101010101" pitchFamily="49" charset="-122"/>
        </a:defRPr>
      </a:pPr>
      <a:endParaRPr lang="zh-CN"/>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1"/>
          <c:tx>
            <c:strRef>
              <c:f>'框架指示的股债胜率（综合）'!$Z$3</c:f>
              <c:strCache>
                <c:ptCount val="1"/>
                <c:pt idx="0">
                  <c:v>实际股债强弱</c:v>
                </c:pt>
              </c:strCache>
            </c:strRef>
          </c:tx>
          <c:spPr>
            <a:ln w="15875" cap="rnd">
              <a:solidFill>
                <a:srgbClr val="0B3774"/>
              </a:solidFill>
              <a:round/>
            </a:ln>
            <a:effectLst/>
          </c:spPr>
          <c:marker>
            <c:symbol val="none"/>
          </c:marker>
          <c:cat>
            <c:numRef>
              <c:f>预测!$A$13:$A$172</c:f>
              <c:numCache>
                <c:formatCode>yyyy/m/d;@</c:formatCode>
                <c:ptCount val="160"/>
                <c:pt idx="0">
                  <c:v>45777</c:v>
                </c:pt>
                <c:pt idx="1">
                  <c:v>45747</c:v>
                </c:pt>
                <c:pt idx="2">
                  <c:v>45716</c:v>
                </c:pt>
                <c:pt idx="3">
                  <c:v>45688</c:v>
                </c:pt>
                <c:pt idx="4">
                  <c:v>45657</c:v>
                </c:pt>
                <c:pt idx="5">
                  <c:v>45626</c:v>
                </c:pt>
                <c:pt idx="6">
                  <c:v>45596</c:v>
                </c:pt>
                <c:pt idx="7">
                  <c:v>45565</c:v>
                </c:pt>
                <c:pt idx="8">
                  <c:v>45535</c:v>
                </c:pt>
                <c:pt idx="9">
                  <c:v>45504</c:v>
                </c:pt>
                <c:pt idx="10">
                  <c:v>45473</c:v>
                </c:pt>
                <c:pt idx="11">
                  <c:v>45443</c:v>
                </c:pt>
                <c:pt idx="12">
                  <c:v>45412</c:v>
                </c:pt>
                <c:pt idx="13">
                  <c:v>45382</c:v>
                </c:pt>
                <c:pt idx="14">
                  <c:v>45351</c:v>
                </c:pt>
                <c:pt idx="15">
                  <c:v>45322</c:v>
                </c:pt>
                <c:pt idx="16">
                  <c:v>45291</c:v>
                </c:pt>
                <c:pt idx="17">
                  <c:v>45260</c:v>
                </c:pt>
                <c:pt idx="18">
                  <c:v>45230</c:v>
                </c:pt>
                <c:pt idx="19">
                  <c:v>45199</c:v>
                </c:pt>
                <c:pt idx="20">
                  <c:v>45169</c:v>
                </c:pt>
                <c:pt idx="21">
                  <c:v>45138</c:v>
                </c:pt>
                <c:pt idx="22">
                  <c:v>45107</c:v>
                </c:pt>
                <c:pt idx="23">
                  <c:v>45077</c:v>
                </c:pt>
                <c:pt idx="24">
                  <c:v>45046</c:v>
                </c:pt>
                <c:pt idx="25">
                  <c:v>45016</c:v>
                </c:pt>
                <c:pt idx="26">
                  <c:v>44985</c:v>
                </c:pt>
                <c:pt idx="27">
                  <c:v>44957</c:v>
                </c:pt>
                <c:pt idx="28">
                  <c:v>44926</c:v>
                </c:pt>
                <c:pt idx="29">
                  <c:v>44895</c:v>
                </c:pt>
                <c:pt idx="30">
                  <c:v>44865</c:v>
                </c:pt>
                <c:pt idx="31">
                  <c:v>44834</c:v>
                </c:pt>
                <c:pt idx="32">
                  <c:v>44804</c:v>
                </c:pt>
                <c:pt idx="33">
                  <c:v>44773</c:v>
                </c:pt>
                <c:pt idx="34">
                  <c:v>44742</c:v>
                </c:pt>
                <c:pt idx="35">
                  <c:v>44712</c:v>
                </c:pt>
                <c:pt idx="36">
                  <c:v>44681</c:v>
                </c:pt>
                <c:pt idx="37">
                  <c:v>44651</c:v>
                </c:pt>
                <c:pt idx="38">
                  <c:v>44620</c:v>
                </c:pt>
                <c:pt idx="39">
                  <c:v>44592</c:v>
                </c:pt>
                <c:pt idx="40">
                  <c:v>44561</c:v>
                </c:pt>
                <c:pt idx="41">
                  <c:v>44530</c:v>
                </c:pt>
                <c:pt idx="42">
                  <c:v>44500</c:v>
                </c:pt>
                <c:pt idx="43">
                  <c:v>44469</c:v>
                </c:pt>
                <c:pt idx="44">
                  <c:v>44439</c:v>
                </c:pt>
                <c:pt idx="45">
                  <c:v>44408</c:v>
                </c:pt>
                <c:pt idx="46">
                  <c:v>44377</c:v>
                </c:pt>
                <c:pt idx="47">
                  <c:v>44347</c:v>
                </c:pt>
                <c:pt idx="48">
                  <c:v>44316</c:v>
                </c:pt>
                <c:pt idx="49">
                  <c:v>44286</c:v>
                </c:pt>
                <c:pt idx="50">
                  <c:v>44255</c:v>
                </c:pt>
                <c:pt idx="51">
                  <c:v>44227</c:v>
                </c:pt>
                <c:pt idx="52">
                  <c:v>44196</c:v>
                </c:pt>
                <c:pt idx="53">
                  <c:v>44165</c:v>
                </c:pt>
                <c:pt idx="54">
                  <c:v>44135</c:v>
                </c:pt>
                <c:pt idx="55">
                  <c:v>44104</c:v>
                </c:pt>
                <c:pt idx="56">
                  <c:v>44074</c:v>
                </c:pt>
                <c:pt idx="57">
                  <c:v>44043</c:v>
                </c:pt>
                <c:pt idx="58">
                  <c:v>44012</c:v>
                </c:pt>
                <c:pt idx="59">
                  <c:v>43982</c:v>
                </c:pt>
                <c:pt idx="60">
                  <c:v>43951</c:v>
                </c:pt>
                <c:pt idx="61">
                  <c:v>43921</c:v>
                </c:pt>
                <c:pt idx="62">
                  <c:v>43890</c:v>
                </c:pt>
                <c:pt idx="63">
                  <c:v>43861</c:v>
                </c:pt>
                <c:pt idx="64">
                  <c:v>43830</c:v>
                </c:pt>
                <c:pt idx="65">
                  <c:v>43799</c:v>
                </c:pt>
                <c:pt idx="66">
                  <c:v>43769</c:v>
                </c:pt>
                <c:pt idx="67">
                  <c:v>43738</c:v>
                </c:pt>
                <c:pt idx="68">
                  <c:v>43708</c:v>
                </c:pt>
                <c:pt idx="69">
                  <c:v>43677</c:v>
                </c:pt>
                <c:pt idx="70">
                  <c:v>43646</c:v>
                </c:pt>
                <c:pt idx="71">
                  <c:v>43616</c:v>
                </c:pt>
                <c:pt idx="72">
                  <c:v>43585</c:v>
                </c:pt>
                <c:pt idx="73">
                  <c:v>43555</c:v>
                </c:pt>
                <c:pt idx="74">
                  <c:v>43524</c:v>
                </c:pt>
                <c:pt idx="75">
                  <c:v>43496</c:v>
                </c:pt>
                <c:pt idx="76">
                  <c:v>43465</c:v>
                </c:pt>
                <c:pt idx="77">
                  <c:v>43434</c:v>
                </c:pt>
                <c:pt idx="78">
                  <c:v>43404</c:v>
                </c:pt>
                <c:pt idx="79">
                  <c:v>43373</c:v>
                </c:pt>
                <c:pt idx="80">
                  <c:v>43343</c:v>
                </c:pt>
                <c:pt idx="81">
                  <c:v>43312</c:v>
                </c:pt>
                <c:pt idx="82">
                  <c:v>43281</c:v>
                </c:pt>
                <c:pt idx="83">
                  <c:v>43251</c:v>
                </c:pt>
                <c:pt idx="84">
                  <c:v>43220</c:v>
                </c:pt>
                <c:pt idx="85">
                  <c:v>43190</c:v>
                </c:pt>
                <c:pt idx="86">
                  <c:v>43159</c:v>
                </c:pt>
                <c:pt idx="87">
                  <c:v>43131</c:v>
                </c:pt>
                <c:pt idx="88">
                  <c:v>43100</c:v>
                </c:pt>
                <c:pt idx="89">
                  <c:v>43069</c:v>
                </c:pt>
                <c:pt idx="90">
                  <c:v>43039</c:v>
                </c:pt>
                <c:pt idx="91">
                  <c:v>43008</c:v>
                </c:pt>
                <c:pt idx="92">
                  <c:v>42978</c:v>
                </c:pt>
                <c:pt idx="93">
                  <c:v>42947</c:v>
                </c:pt>
                <c:pt idx="94">
                  <c:v>42916</c:v>
                </c:pt>
                <c:pt idx="95">
                  <c:v>42886</c:v>
                </c:pt>
                <c:pt idx="96">
                  <c:v>42855</c:v>
                </c:pt>
                <c:pt idx="97">
                  <c:v>42825</c:v>
                </c:pt>
                <c:pt idx="98">
                  <c:v>42794</c:v>
                </c:pt>
                <c:pt idx="99">
                  <c:v>42766</c:v>
                </c:pt>
                <c:pt idx="100">
                  <c:v>42735</c:v>
                </c:pt>
                <c:pt idx="101">
                  <c:v>42704</c:v>
                </c:pt>
                <c:pt idx="102">
                  <c:v>42674</c:v>
                </c:pt>
                <c:pt idx="103">
                  <c:v>42643</c:v>
                </c:pt>
                <c:pt idx="104">
                  <c:v>42613</c:v>
                </c:pt>
                <c:pt idx="105">
                  <c:v>42582</c:v>
                </c:pt>
                <c:pt idx="106">
                  <c:v>42551</c:v>
                </c:pt>
                <c:pt idx="107">
                  <c:v>42521</c:v>
                </c:pt>
                <c:pt idx="108">
                  <c:v>42490</c:v>
                </c:pt>
                <c:pt idx="109">
                  <c:v>42460</c:v>
                </c:pt>
                <c:pt idx="110">
                  <c:v>42429</c:v>
                </c:pt>
                <c:pt idx="111">
                  <c:v>42400</c:v>
                </c:pt>
                <c:pt idx="112">
                  <c:v>42369</c:v>
                </c:pt>
                <c:pt idx="113">
                  <c:v>42338</c:v>
                </c:pt>
                <c:pt idx="114">
                  <c:v>42308</c:v>
                </c:pt>
                <c:pt idx="115">
                  <c:v>42277</c:v>
                </c:pt>
                <c:pt idx="116">
                  <c:v>42247</c:v>
                </c:pt>
                <c:pt idx="117">
                  <c:v>42216</c:v>
                </c:pt>
                <c:pt idx="118">
                  <c:v>42185</c:v>
                </c:pt>
                <c:pt idx="119">
                  <c:v>42155</c:v>
                </c:pt>
                <c:pt idx="120">
                  <c:v>42124</c:v>
                </c:pt>
                <c:pt idx="121">
                  <c:v>42094</c:v>
                </c:pt>
                <c:pt idx="122">
                  <c:v>42063</c:v>
                </c:pt>
                <c:pt idx="123">
                  <c:v>42035</c:v>
                </c:pt>
                <c:pt idx="124">
                  <c:v>42004</c:v>
                </c:pt>
                <c:pt idx="125">
                  <c:v>41973</c:v>
                </c:pt>
                <c:pt idx="126">
                  <c:v>41943</c:v>
                </c:pt>
                <c:pt idx="127">
                  <c:v>41912</c:v>
                </c:pt>
                <c:pt idx="128">
                  <c:v>41882</c:v>
                </c:pt>
                <c:pt idx="129">
                  <c:v>41851</c:v>
                </c:pt>
                <c:pt idx="130">
                  <c:v>41820</c:v>
                </c:pt>
                <c:pt idx="131">
                  <c:v>41790</c:v>
                </c:pt>
                <c:pt idx="132">
                  <c:v>41759</c:v>
                </c:pt>
                <c:pt idx="133">
                  <c:v>41729</c:v>
                </c:pt>
                <c:pt idx="134">
                  <c:v>41698</c:v>
                </c:pt>
                <c:pt idx="135">
                  <c:v>41670</c:v>
                </c:pt>
                <c:pt idx="136">
                  <c:v>41639</c:v>
                </c:pt>
                <c:pt idx="137">
                  <c:v>41608</c:v>
                </c:pt>
                <c:pt idx="138">
                  <c:v>41578</c:v>
                </c:pt>
                <c:pt idx="139">
                  <c:v>41547</c:v>
                </c:pt>
                <c:pt idx="140">
                  <c:v>41517</c:v>
                </c:pt>
                <c:pt idx="141">
                  <c:v>41486</c:v>
                </c:pt>
                <c:pt idx="142">
                  <c:v>41455</c:v>
                </c:pt>
                <c:pt idx="143">
                  <c:v>41425</c:v>
                </c:pt>
                <c:pt idx="144">
                  <c:v>41394</c:v>
                </c:pt>
                <c:pt idx="145">
                  <c:v>41364</c:v>
                </c:pt>
                <c:pt idx="146">
                  <c:v>41333</c:v>
                </c:pt>
                <c:pt idx="147">
                  <c:v>41305</c:v>
                </c:pt>
                <c:pt idx="148">
                  <c:v>41274</c:v>
                </c:pt>
                <c:pt idx="149">
                  <c:v>41243</c:v>
                </c:pt>
                <c:pt idx="150">
                  <c:v>41213</c:v>
                </c:pt>
                <c:pt idx="151">
                  <c:v>41182</c:v>
                </c:pt>
                <c:pt idx="152">
                  <c:v>41152</c:v>
                </c:pt>
                <c:pt idx="153">
                  <c:v>41121</c:v>
                </c:pt>
                <c:pt idx="154">
                  <c:v>41090</c:v>
                </c:pt>
                <c:pt idx="155">
                  <c:v>41060</c:v>
                </c:pt>
                <c:pt idx="156">
                  <c:v>41029</c:v>
                </c:pt>
                <c:pt idx="157">
                  <c:v>40999</c:v>
                </c:pt>
                <c:pt idx="158">
                  <c:v>40968</c:v>
                </c:pt>
                <c:pt idx="159">
                  <c:v>40939</c:v>
                </c:pt>
              </c:numCache>
            </c:numRef>
          </c:cat>
          <c:val>
            <c:numRef>
              <c:f>预测!$X$13:$X$172</c:f>
              <c:numCache>
                <c:formatCode>General</c:formatCode>
                <c:ptCount val="160"/>
                <c:pt idx="2">
                  <c:v>-3.9967064101645278</c:v>
                </c:pt>
                <c:pt idx="3">
                  <c:v>-7.0871387805927588</c:v>
                </c:pt>
                <c:pt idx="4">
                  <c:v>-4.2416180451251133</c:v>
                </c:pt>
                <c:pt idx="5">
                  <c:v>-0.7533161998381237</c:v>
                </c:pt>
                <c:pt idx="6">
                  <c:v>0.14161395813900599</c:v>
                </c:pt>
                <c:pt idx="7">
                  <c:v>-1.1986391430679759</c:v>
                </c:pt>
                <c:pt idx="8">
                  <c:v>-5.1674476692784905</c:v>
                </c:pt>
                <c:pt idx="9">
                  <c:v>-3.4521948357725329</c:v>
                </c:pt>
                <c:pt idx="10">
                  <c:v>-7.1639652728374967</c:v>
                </c:pt>
                <c:pt idx="11">
                  <c:v>-6.706409842140773</c:v>
                </c:pt>
                <c:pt idx="12">
                  <c:v>-7.2343171713799661</c:v>
                </c:pt>
                <c:pt idx="13">
                  <c:v>-6.5225011469883922</c:v>
                </c:pt>
                <c:pt idx="14">
                  <c:v>-4.493751612683285</c:v>
                </c:pt>
                <c:pt idx="15">
                  <c:v>-6.0414649042447275</c:v>
                </c:pt>
                <c:pt idx="16">
                  <c:v>-2.1617524016444429</c:v>
                </c:pt>
                <c:pt idx="17">
                  <c:v>-1.5478393039443497</c:v>
                </c:pt>
                <c:pt idx="18">
                  <c:v>-3.5755116129829321</c:v>
                </c:pt>
                <c:pt idx="19">
                  <c:v>-4.9593523160539883</c:v>
                </c:pt>
                <c:pt idx="20">
                  <c:v>-6.2568586066862082</c:v>
                </c:pt>
                <c:pt idx="21">
                  <c:v>-4.3636420441344805</c:v>
                </c:pt>
                <c:pt idx="22">
                  <c:v>-2.7831180557839397</c:v>
                </c:pt>
                <c:pt idx="23">
                  <c:v>-1.0324271037620878</c:v>
                </c:pt>
                <c:pt idx="24">
                  <c:v>3.7041461609066588</c:v>
                </c:pt>
                <c:pt idx="25">
                  <c:v>5.0098392784172203</c:v>
                </c:pt>
                <c:pt idx="26">
                  <c:v>4.4220818478898671</c:v>
                </c:pt>
                <c:pt idx="27">
                  <c:v>1.4188426767567541</c:v>
                </c:pt>
                <c:pt idx="28">
                  <c:v>-0.25689076530764371</c:v>
                </c:pt>
                <c:pt idx="29">
                  <c:v>0.15060607213011176</c:v>
                </c:pt>
                <c:pt idx="30">
                  <c:v>-1.4148032011093719</c:v>
                </c:pt>
                <c:pt idx="31">
                  <c:v>-3.5281459512937161</c:v>
                </c:pt>
                <c:pt idx="32">
                  <c:v>-3.012242205026443</c:v>
                </c:pt>
                <c:pt idx="33">
                  <c:v>0.54227817276071655</c:v>
                </c:pt>
                <c:pt idx="34">
                  <c:v>-2.1807403213221748</c:v>
                </c:pt>
                <c:pt idx="35">
                  <c:v>-4.7092055438434066</c:v>
                </c:pt>
                <c:pt idx="36">
                  <c:v>-6.1665505309303148</c:v>
                </c:pt>
                <c:pt idx="37">
                  <c:v>-2.6154824489890052</c:v>
                </c:pt>
                <c:pt idx="38">
                  <c:v>-1.8039164266054533</c:v>
                </c:pt>
                <c:pt idx="39">
                  <c:v>-3.9183246704051968</c:v>
                </c:pt>
                <c:pt idx="40">
                  <c:v>-3.7707672482944581</c:v>
                </c:pt>
                <c:pt idx="41">
                  <c:v>-2.9350306649329863</c:v>
                </c:pt>
                <c:pt idx="42">
                  <c:v>-2.5273300318918501</c:v>
                </c:pt>
                <c:pt idx="43">
                  <c:v>-4.8114025023001803</c:v>
                </c:pt>
                <c:pt idx="44">
                  <c:v>-5.4854559535628589</c:v>
                </c:pt>
                <c:pt idx="45">
                  <c:v>-2.6861783039378779</c:v>
                </c:pt>
                <c:pt idx="46">
                  <c:v>-1.5390669434986382</c:v>
                </c:pt>
                <c:pt idx="47">
                  <c:v>-1.1114076093567515</c:v>
                </c:pt>
                <c:pt idx="48">
                  <c:v>0.87692171353914994</c:v>
                </c:pt>
                <c:pt idx="49">
                  <c:v>2.8496284926328119</c:v>
                </c:pt>
                <c:pt idx="50">
                  <c:v>4.5976533894091896</c:v>
                </c:pt>
                <c:pt idx="51">
                  <c:v>3.9824176142205112</c:v>
                </c:pt>
                <c:pt idx="52">
                  <c:v>9.7990632527877803</c:v>
                </c:pt>
                <c:pt idx="53">
                  <c:v>13.31751056638263</c:v>
                </c:pt>
                <c:pt idx="54">
                  <c:v>14.022070621393043</c:v>
                </c:pt>
                <c:pt idx="55">
                  <c:v>11.56007905793534</c:v>
                </c:pt>
                <c:pt idx="56">
                  <c:v>6.3800569397013547</c:v>
                </c:pt>
                <c:pt idx="57">
                  <c:v>1.0815554431387226</c:v>
                </c:pt>
                <c:pt idx="58">
                  <c:v>-4.5124405106296699</c:v>
                </c:pt>
                <c:pt idx="59">
                  <c:v>-7.8798432788223893</c:v>
                </c:pt>
                <c:pt idx="60">
                  <c:v>-10.236129732589587</c:v>
                </c:pt>
                <c:pt idx="61">
                  <c:v>-7.2737442925352154</c:v>
                </c:pt>
                <c:pt idx="62">
                  <c:v>-2.383379050458434</c:v>
                </c:pt>
                <c:pt idx="63">
                  <c:v>-0.16952707375603845</c:v>
                </c:pt>
                <c:pt idx="64">
                  <c:v>7.1113995273839478E-2</c:v>
                </c:pt>
                <c:pt idx="65">
                  <c:v>-1.0190250648630703</c:v>
                </c:pt>
                <c:pt idx="66">
                  <c:v>-2.6512148532778852</c:v>
                </c:pt>
                <c:pt idx="67">
                  <c:v>-1.5248339435420071</c:v>
                </c:pt>
                <c:pt idx="68">
                  <c:v>-0.74256634208941052</c:v>
                </c:pt>
                <c:pt idx="69">
                  <c:v>4.3361753718922493</c:v>
                </c:pt>
                <c:pt idx="70">
                  <c:v>2.9985601763877043</c:v>
                </c:pt>
                <c:pt idx="71">
                  <c:v>0.5909868171731727</c:v>
                </c:pt>
                <c:pt idx="72">
                  <c:v>0.25401405683068151</c:v>
                </c:pt>
                <c:pt idx="73">
                  <c:v>-5.6375575063275649</c:v>
                </c:pt>
                <c:pt idx="74">
                  <c:v>-5.8124793824932413</c:v>
                </c:pt>
                <c:pt idx="75">
                  <c:v>-8.821591436897382</c:v>
                </c:pt>
                <c:pt idx="76">
                  <c:v>-7.9495238451186578</c:v>
                </c:pt>
                <c:pt idx="77">
                  <c:v>-7.2405978884714033</c:v>
                </c:pt>
                <c:pt idx="78">
                  <c:v>-5.0860696958057394</c:v>
                </c:pt>
                <c:pt idx="79">
                  <c:v>-5.3541228135805268</c:v>
                </c:pt>
                <c:pt idx="80">
                  <c:v>-8.1251673844773631</c:v>
                </c:pt>
                <c:pt idx="81">
                  <c:v>-9.9421874951845748</c:v>
                </c:pt>
                <c:pt idx="82">
                  <c:v>-7.3298234799807176</c:v>
                </c:pt>
                <c:pt idx="83">
                  <c:v>-5.4695407958587232</c:v>
                </c:pt>
                <c:pt idx="84">
                  <c:v>-3.1702660551932436</c:v>
                </c:pt>
                <c:pt idx="85">
                  <c:v>1.9820105486365105</c:v>
                </c:pt>
                <c:pt idx="86">
                  <c:v>3.489629484661434</c:v>
                </c:pt>
                <c:pt idx="87">
                  <c:v>6.5103314478887304</c:v>
                </c:pt>
                <c:pt idx="88">
                  <c:v>6.0547412777841698</c:v>
                </c:pt>
                <c:pt idx="89">
                  <c:v>4.4469089369502619</c:v>
                </c:pt>
                <c:pt idx="90">
                  <c:v>3.5082429538245461</c:v>
                </c:pt>
                <c:pt idx="91">
                  <c:v>0.3556009363418336</c:v>
                </c:pt>
                <c:pt idx="92">
                  <c:v>-3.3995328005226533</c:v>
                </c:pt>
                <c:pt idx="93">
                  <c:v>-7.5184693873191106</c:v>
                </c:pt>
                <c:pt idx="94">
                  <c:v>-12.441980564698357</c:v>
                </c:pt>
                <c:pt idx="95">
                  <c:v>-9.3750019892309098</c:v>
                </c:pt>
                <c:pt idx="96">
                  <c:v>-9.9784062364503381</c:v>
                </c:pt>
                <c:pt idx="97">
                  <c:v>-5.313824762916826</c:v>
                </c:pt>
                <c:pt idx="98">
                  <c:v>1.9546366339627983</c:v>
                </c:pt>
                <c:pt idx="99">
                  <c:v>3.8253990098695412</c:v>
                </c:pt>
                <c:pt idx="100">
                  <c:v>11.694677182963309</c:v>
                </c:pt>
                <c:pt idx="101">
                  <c:v>7.9285121595820582</c:v>
                </c:pt>
                <c:pt idx="102">
                  <c:v>2.0351384695385479</c:v>
                </c:pt>
                <c:pt idx="103">
                  <c:v>-1.4993378074378294</c:v>
                </c:pt>
                <c:pt idx="104">
                  <c:v>-4.0495486015225346</c:v>
                </c:pt>
                <c:pt idx="105">
                  <c:v>1.0728442978515769</c:v>
                </c:pt>
                <c:pt idx="106">
                  <c:v>-4.0901924457977543</c:v>
                </c:pt>
                <c:pt idx="107">
                  <c:v>-4.4593624896838087</c:v>
                </c:pt>
                <c:pt idx="108">
                  <c:v>-1.664292645451307</c:v>
                </c:pt>
                <c:pt idx="109">
                  <c:v>-2.5270043164698195</c:v>
                </c:pt>
                <c:pt idx="110">
                  <c:v>-3.9102884678735599</c:v>
                </c:pt>
                <c:pt idx="111">
                  <c:v>-7.1414753250919558</c:v>
                </c:pt>
                <c:pt idx="112">
                  <c:v>1.2295027468432866</c:v>
                </c:pt>
                <c:pt idx="113">
                  <c:v>4.9800153573818013</c:v>
                </c:pt>
                <c:pt idx="114">
                  <c:v>10.242738147154766</c:v>
                </c:pt>
                <c:pt idx="115">
                  <c:v>16.74391048542185</c:v>
                </c:pt>
                <c:pt idx="116">
                  <c:v>19.620929533391784</c:v>
                </c:pt>
                <c:pt idx="117">
                  <c:v>17.849141697664564</c:v>
                </c:pt>
                <c:pt idx="118">
                  <c:v>12.179760830795432</c:v>
                </c:pt>
                <c:pt idx="119">
                  <c:v>9.2407103919174123</c:v>
                </c:pt>
                <c:pt idx="120">
                  <c:v>4.9954030507772282</c:v>
                </c:pt>
                <c:pt idx="121">
                  <c:v>-0.100749551884925</c:v>
                </c:pt>
                <c:pt idx="122">
                  <c:v>0.26812343206173672</c:v>
                </c:pt>
                <c:pt idx="123">
                  <c:v>0.65684587374239334</c:v>
                </c:pt>
                <c:pt idx="124">
                  <c:v>0.40180685623398649</c:v>
                </c:pt>
                <c:pt idx="125">
                  <c:v>5.2948248856034779</c:v>
                </c:pt>
                <c:pt idx="126">
                  <c:v>6.9044211915844569</c:v>
                </c:pt>
                <c:pt idx="127">
                  <c:v>3.9352995674815179</c:v>
                </c:pt>
                <c:pt idx="128">
                  <c:v>-1.0277612029236953</c:v>
                </c:pt>
                <c:pt idx="129">
                  <c:v>-2.0851181134894956</c:v>
                </c:pt>
                <c:pt idx="130">
                  <c:v>-1.9709324141292346</c:v>
                </c:pt>
                <c:pt idx="131">
                  <c:v>-4.2973722428035535</c:v>
                </c:pt>
                <c:pt idx="132">
                  <c:v>-4.063546083436882</c:v>
                </c:pt>
                <c:pt idx="133">
                  <c:v>-5.9070659894126507</c:v>
                </c:pt>
                <c:pt idx="134">
                  <c:v>-6.9474952814608928</c:v>
                </c:pt>
                <c:pt idx="135">
                  <c:v>-8.482604770772646</c:v>
                </c:pt>
                <c:pt idx="136">
                  <c:v>-10.608279802897956</c:v>
                </c:pt>
                <c:pt idx="137">
                  <c:v>-11.169247222713983</c:v>
                </c:pt>
                <c:pt idx="138">
                  <c:v>-10.93765465067642</c:v>
                </c:pt>
                <c:pt idx="139">
                  <c:v>-5.3292386018052813</c:v>
                </c:pt>
                <c:pt idx="140">
                  <c:v>-4.1746914808262199</c:v>
                </c:pt>
                <c:pt idx="141">
                  <c:v>-1.3191394559141398</c:v>
                </c:pt>
                <c:pt idx="142">
                  <c:v>-1.5258952541577484</c:v>
                </c:pt>
                <c:pt idx="143">
                  <c:v>0.18109066790463491</c:v>
                </c:pt>
                <c:pt idx="144">
                  <c:v>-1.6247026685584753</c:v>
                </c:pt>
                <c:pt idx="145">
                  <c:v>2.3350419815352397</c:v>
                </c:pt>
                <c:pt idx="146">
                  <c:v>9.795876258939936</c:v>
                </c:pt>
                <c:pt idx="147">
                  <c:v>11.173180527865867</c:v>
                </c:pt>
                <c:pt idx="148">
                  <c:v>13.38410772871736</c:v>
                </c:pt>
                <c:pt idx="149">
                  <c:v>12.607489548162313</c:v>
                </c:pt>
                <c:pt idx="150">
                  <c:v>13.119659833262633</c:v>
                </c:pt>
                <c:pt idx="151">
                  <c:v>3.1385957173193617</c:v>
                </c:pt>
                <c:pt idx="152">
                  <c:v>-2.9849627538827206</c:v>
                </c:pt>
                <c:pt idx="153">
                  <c:v>-6.1447612648114616</c:v>
                </c:pt>
                <c:pt idx="154">
                  <c:v>-7.9847587344344104</c:v>
                </c:pt>
                <c:pt idx="155">
                  <c:v>-10.313177825603034</c:v>
                </c:pt>
                <c:pt idx="156">
                  <c:v>-12.434081204001494</c:v>
                </c:pt>
                <c:pt idx="157">
                  <c:v>-7.4223176660031802</c:v>
                </c:pt>
                <c:pt idx="158">
                  <c:v>-9.5799353855386258</c:v>
                </c:pt>
                <c:pt idx="159">
                  <c:v>-6.3891878317234205</c:v>
                </c:pt>
              </c:numCache>
            </c:numRef>
          </c:val>
          <c:smooth val="1"/>
          <c:extLst>
            <c:ext xmlns:c16="http://schemas.microsoft.com/office/drawing/2014/chart" uri="{C3380CC4-5D6E-409C-BE32-E72D297353CC}">
              <c16:uniqueId val="{00000000-D204-4DCA-9DFB-DACB1ECE2A75}"/>
            </c:ext>
          </c:extLst>
        </c:ser>
        <c:dLbls>
          <c:showLegendKey val="0"/>
          <c:showVal val="0"/>
          <c:showCatName val="0"/>
          <c:showSerName val="0"/>
          <c:showPercent val="0"/>
          <c:showBubbleSize val="0"/>
        </c:dLbls>
        <c:marker val="1"/>
        <c:smooth val="0"/>
        <c:axId val="145929804"/>
        <c:axId val="623162877"/>
      </c:lineChart>
      <c:lineChart>
        <c:grouping val="standard"/>
        <c:varyColors val="0"/>
        <c:ser>
          <c:idx val="0"/>
          <c:order val="0"/>
          <c:tx>
            <c:strRef>
              <c:f>'框架指示的股债胜率（综合）'!$AB$3</c:f>
              <c:strCache>
                <c:ptCount val="1"/>
                <c:pt idx="0">
                  <c:v>打分指示的股债强弱（AI优化,4月，右轴)</c:v>
                </c:pt>
              </c:strCache>
            </c:strRef>
          </c:tx>
          <c:spPr>
            <a:ln w="15875" cap="rnd">
              <a:solidFill>
                <a:schemeClr val="accent6">
                  <a:lumMod val="50000"/>
                </a:schemeClr>
              </a:solidFill>
              <a:round/>
            </a:ln>
            <a:effectLst/>
          </c:spPr>
          <c:marker>
            <c:symbol val="none"/>
          </c:marker>
          <c:cat>
            <c:numRef>
              <c:f>预测!$A$13:$A$172</c:f>
              <c:numCache>
                <c:formatCode>yyyy/m/d;@</c:formatCode>
                <c:ptCount val="160"/>
                <c:pt idx="0">
                  <c:v>45777</c:v>
                </c:pt>
                <c:pt idx="1">
                  <c:v>45747</c:v>
                </c:pt>
                <c:pt idx="2">
                  <c:v>45716</c:v>
                </c:pt>
                <c:pt idx="3">
                  <c:v>45688</c:v>
                </c:pt>
                <c:pt idx="4">
                  <c:v>45657</c:v>
                </c:pt>
                <c:pt idx="5">
                  <c:v>45626</c:v>
                </c:pt>
                <c:pt idx="6">
                  <c:v>45596</c:v>
                </c:pt>
                <c:pt idx="7">
                  <c:v>45565</c:v>
                </c:pt>
                <c:pt idx="8">
                  <c:v>45535</c:v>
                </c:pt>
                <c:pt idx="9">
                  <c:v>45504</c:v>
                </c:pt>
                <c:pt idx="10">
                  <c:v>45473</c:v>
                </c:pt>
                <c:pt idx="11">
                  <c:v>45443</c:v>
                </c:pt>
                <c:pt idx="12">
                  <c:v>45412</c:v>
                </c:pt>
                <c:pt idx="13">
                  <c:v>45382</c:v>
                </c:pt>
                <c:pt idx="14">
                  <c:v>45351</c:v>
                </c:pt>
                <c:pt idx="15">
                  <c:v>45322</c:v>
                </c:pt>
                <c:pt idx="16">
                  <c:v>45291</c:v>
                </c:pt>
                <c:pt idx="17">
                  <c:v>45260</c:v>
                </c:pt>
                <c:pt idx="18">
                  <c:v>45230</c:v>
                </c:pt>
                <c:pt idx="19">
                  <c:v>45199</c:v>
                </c:pt>
                <c:pt idx="20">
                  <c:v>45169</c:v>
                </c:pt>
                <c:pt idx="21">
                  <c:v>45138</c:v>
                </c:pt>
                <c:pt idx="22">
                  <c:v>45107</c:v>
                </c:pt>
                <c:pt idx="23">
                  <c:v>45077</c:v>
                </c:pt>
                <c:pt idx="24">
                  <c:v>45046</c:v>
                </c:pt>
                <c:pt idx="25">
                  <c:v>45016</c:v>
                </c:pt>
                <c:pt idx="26">
                  <c:v>44985</c:v>
                </c:pt>
                <c:pt idx="27">
                  <c:v>44957</c:v>
                </c:pt>
                <c:pt idx="28">
                  <c:v>44926</c:v>
                </c:pt>
                <c:pt idx="29">
                  <c:v>44895</c:v>
                </c:pt>
                <c:pt idx="30">
                  <c:v>44865</c:v>
                </c:pt>
                <c:pt idx="31">
                  <c:v>44834</c:v>
                </c:pt>
                <c:pt idx="32">
                  <c:v>44804</c:v>
                </c:pt>
                <c:pt idx="33">
                  <c:v>44773</c:v>
                </c:pt>
                <c:pt idx="34">
                  <c:v>44742</c:v>
                </c:pt>
                <c:pt idx="35">
                  <c:v>44712</c:v>
                </c:pt>
                <c:pt idx="36">
                  <c:v>44681</c:v>
                </c:pt>
                <c:pt idx="37">
                  <c:v>44651</c:v>
                </c:pt>
                <c:pt idx="38">
                  <c:v>44620</c:v>
                </c:pt>
                <c:pt idx="39">
                  <c:v>44592</c:v>
                </c:pt>
                <c:pt idx="40">
                  <c:v>44561</c:v>
                </c:pt>
                <c:pt idx="41">
                  <c:v>44530</c:v>
                </c:pt>
                <c:pt idx="42">
                  <c:v>44500</c:v>
                </c:pt>
                <c:pt idx="43">
                  <c:v>44469</c:v>
                </c:pt>
                <c:pt idx="44">
                  <c:v>44439</c:v>
                </c:pt>
                <c:pt idx="45">
                  <c:v>44408</c:v>
                </c:pt>
                <c:pt idx="46">
                  <c:v>44377</c:v>
                </c:pt>
                <c:pt idx="47">
                  <c:v>44347</c:v>
                </c:pt>
                <c:pt idx="48">
                  <c:v>44316</c:v>
                </c:pt>
                <c:pt idx="49">
                  <c:v>44286</c:v>
                </c:pt>
                <c:pt idx="50">
                  <c:v>44255</c:v>
                </c:pt>
                <c:pt idx="51">
                  <c:v>44227</c:v>
                </c:pt>
                <c:pt idx="52">
                  <c:v>44196</c:v>
                </c:pt>
                <c:pt idx="53">
                  <c:v>44165</c:v>
                </c:pt>
                <c:pt idx="54">
                  <c:v>44135</c:v>
                </c:pt>
                <c:pt idx="55">
                  <c:v>44104</c:v>
                </c:pt>
                <c:pt idx="56">
                  <c:v>44074</c:v>
                </c:pt>
                <c:pt idx="57">
                  <c:v>44043</c:v>
                </c:pt>
                <c:pt idx="58">
                  <c:v>44012</c:v>
                </c:pt>
                <c:pt idx="59">
                  <c:v>43982</c:v>
                </c:pt>
                <c:pt idx="60">
                  <c:v>43951</c:v>
                </c:pt>
                <c:pt idx="61">
                  <c:v>43921</c:v>
                </c:pt>
                <c:pt idx="62">
                  <c:v>43890</c:v>
                </c:pt>
                <c:pt idx="63">
                  <c:v>43861</c:v>
                </c:pt>
                <c:pt idx="64">
                  <c:v>43830</c:v>
                </c:pt>
                <c:pt idx="65">
                  <c:v>43799</c:v>
                </c:pt>
                <c:pt idx="66">
                  <c:v>43769</c:v>
                </c:pt>
                <c:pt idx="67">
                  <c:v>43738</c:v>
                </c:pt>
                <c:pt idx="68">
                  <c:v>43708</c:v>
                </c:pt>
                <c:pt idx="69">
                  <c:v>43677</c:v>
                </c:pt>
                <c:pt idx="70">
                  <c:v>43646</c:v>
                </c:pt>
                <c:pt idx="71">
                  <c:v>43616</c:v>
                </c:pt>
                <c:pt idx="72">
                  <c:v>43585</c:v>
                </c:pt>
                <c:pt idx="73">
                  <c:v>43555</c:v>
                </c:pt>
                <c:pt idx="74">
                  <c:v>43524</c:v>
                </c:pt>
                <c:pt idx="75">
                  <c:v>43496</c:v>
                </c:pt>
                <c:pt idx="76">
                  <c:v>43465</c:v>
                </c:pt>
                <c:pt idx="77">
                  <c:v>43434</c:v>
                </c:pt>
                <c:pt idx="78">
                  <c:v>43404</c:v>
                </c:pt>
                <c:pt idx="79">
                  <c:v>43373</c:v>
                </c:pt>
                <c:pt idx="80">
                  <c:v>43343</c:v>
                </c:pt>
                <c:pt idx="81">
                  <c:v>43312</c:v>
                </c:pt>
                <c:pt idx="82">
                  <c:v>43281</c:v>
                </c:pt>
                <c:pt idx="83">
                  <c:v>43251</c:v>
                </c:pt>
                <c:pt idx="84">
                  <c:v>43220</c:v>
                </c:pt>
                <c:pt idx="85">
                  <c:v>43190</c:v>
                </c:pt>
                <c:pt idx="86">
                  <c:v>43159</c:v>
                </c:pt>
                <c:pt idx="87">
                  <c:v>43131</c:v>
                </c:pt>
                <c:pt idx="88">
                  <c:v>43100</c:v>
                </c:pt>
                <c:pt idx="89">
                  <c:v>43069</c:v>
                </c:pt>
                <c:pt idx="90">
                  <c:v>43039</c:v>
                </c:pt>
                <c:pt idx="91">
                  <c:v>43008</c:v>
                </c:pt>
                <c:pt idx="92">
                  <c:v>42978</c:v>
                </c:pt>
                <c:pt idx="93">
                  <c:v>42947</c:v>
                </c:pt>
                <c:pt idx="94">
                  <c:v>42916</c:v>
                </c:pt>
                <c:pt idx="95">
                  <c:v>42886</c:v>
                </c:pt>
                <c:pt idx="96">
                  <c:v>42855</c:v>
                </c:pt>
                <c:pt idx="97">
                  <c:v>42825</c:v>
                </c:pt>
                <c:pt idx="98">
                  <c:v>42794</c:v>
                </c:pt>
                <c:pt idx="99">
                  <c:v>42766</c:v>
                </c:pt>
                <c:pt idx="100">
                  <c:v>42735</c:v>
                </c:pt>
                <c:pt idx="101">
                  <c:v>42704</c:v>
                </c:pt>
                <c:pt idx="102">
                  <c:v>42674</c:v>
                </c:pt>
                <c:pt idx="103">
                  <c:v>42643</c:v>
                </c:pt>
                <c:pt idx="104">
                  <c:v>42613</c:v>
                </c:pt>
                <c:pt idx="105">
                  <c:v>42582</c:v>
                </c:pt>
                <c:pt idx="106">
                  <c:v>42551</c:v>
                </c:pt>
                <c:pt idx="107">
                  <c:v>42521</c:v>
                </c:pt>
                <c:pt idx="108">
                  <c:v>42490</c:v>
                </c:pt>
                <c:pt idx="109">
                  <c:v>42460</c:v>
                </c:pt>
                <c:pt idx="110">
                  <c:v>42429</c:v>
                </c:pt>
                <c:pt idx="111">
                  <c:v>42400</c:v>
                </c:pt>
                <c:pt idx="112">
                  <c:v>42369</c:v>
                </c:pt>
                <c:pt idx="113">
                  <c:v>42338</c:v>
                </c:pt>
                <c:pt idx="114">
                  <c:v>42308</c:v>
                </c:pt>
                <c:pt idx="115">
                  <c:v>42277</c:v>
                </c:pt>
                <c:pt idx="116">
                  <c:v>42247</c:v>
                </c:pt>
                <c:pt idx="117">
                  <c:v>42216</c:v>
                </c:pt>
                <c:pt idx="118">
                  <c:v>42185</c:v>
                </c:pt>
                <c:pt idx="119">
                  <c:v>42155</c:v>
                </c:pt>
                <c:pt idx="120">
                  <c:v>42124</c:v>
                </c:pt>
                <c:pt idx="121">
                  <c:v>42094</c:v>
                </c:pt>
                <c:pt idx="122">
                  <c:v>42063</c:v>
                </c:pt>
                <c:pt idx="123">
                  <c:v>42035</c:v>
                </c:pt>
                <c:pt idx="124">
                  <c:v>42004</c:v>
                </c:pt>
                <c:pt idx="125">
                  <c:v>41973</c:v>
                </c:pt>
                <c:pt idx="126">
                  <c:v>41943</c:v>
                </c:pt>
                <c:pt idx="127">
                  <c:v>41912</c:v>
                </c:pt>
                <c:pt idx="128">
                  <c:v>41882</c:v>
                </c:pt>
                <c:pt idx="129">
                  <c:v>41851</c:v>
                </c:pt>
                <c:pt idx="130">
                  <c:v>41820</c:v>
                </c:pt>
                <c:pt idx="131">
                  <c:v>41790</c:v>
                </c:pt>
                <c:pt idx="132">
                  <c:v>41759</c:v>
                </c:pt>
                <c:pt idx="133">
                  <c:v>41729</c:v>
                </c:pt>
                <c:pt idx="134">
                  <c:v>41698</c:v>
                </c:pt>
                <c:pt idx="135">
                  <c:v>41670</c:v>
                </c:pt>
                <c:pt idx="136">
                  <c:v>41639</c:v>
                </c:pt>
                <c:pt idx="137">
                  <c:v>41608</c:v>
                </c:pt>
                <c:pt idx="138">
                  <c:v>41578</c:v>
                </c:pt>
                <c:pt idx="139">
                  <c:v>41547</c:v>
                </c:pt>
                <c:pt idx="140">
                  <c:v>41517</c:v>
                </c:pt>
                <c:pt idx="141">
                  <c:v>41486</c:v>
                </c:pt>
                <c:pt idx="142">
                  <c:v>41455</c:v>
                </c:pt>
                <c:pt idx="143">
                  <c:v>41425</c:v>
                </c:pt>
                <c:pt idx="144">
                  <c:v>41394</c:v>
                </c:pt>
                <c:pt idx="145">
                  <c:v>41364</c:v>
                </c:pt>
                <c:pt idx="146">
                  <c:v>41333</c:v>
                </c:pt>
                <c:pt idx="147">
                  <c:v>41305</c:v>
                </c:pt>
                <c:pt idx="148">
                  <c:v>41274</c:v>
                </c:pt>
                <c:pt idx="149">
                  <c:v>41243</c:v>
                </c:pt>
                <c:pt idx="150">
                  <c:v>41213</c:v>
                </c:pt>
                <c:pt idx="151">
                  <c:v>41182</c:v>
                </c:pt>
                <c:pt idx="152">
                  <c:v>41152</c:v>
                </c:pt>
                <c:pt idx="153">
                  <c:v>41121</c:v>
                </c:pt>
                <c:pt idx="154">
                  <c:v>41090</c:v>
                </c:pt>
                <c:pt idx="155">
                  <c:v>41060</c:v>
                </c:pt>
                <c:pt idx="156">
                  <c:v>41029</c:v>
                </c:pt>
                <c:pt idx="157">
                  <c:v>40999</c:v>
                </c:pt>
                <c:pt idx="158">
                  <c:v>40968</c:v>
                </c:pt>
                <c:pt idx="159">
                  <c:v>40939</c:v>
                </c:pt>
              </c:numCache>
            </c:numRef>
          </c:cat>
          <c:val>
            <c:numRef>
              <c:f>预测!$Y$13:$Y$174</c:f>
              <c:numCache>
                <c:formatCode>General</c:formatCode>
                <c:ptCount val="162"/>
                <c:pt idx="0">
                  <c:v>-0.16423901278821199</c:v>
                </c:pt>
                <c:pt idx="1">
                  <c:v>-0.22545833970026341</c:v>
                </c:pt>
                <c:pt idx="2">
                  <c:v>6.2205132956319388E-2</c:v>
                </c:pt>
                <c:pt idx="3">
                  <c:v>-0.49087251855883213</c:v>
                </c:pt>
                <c:pt idx="4">
                  <c:v>-0.28367953610269175</c:v>
                </c:pt>
                <c:pt idx="5">
                  <c:v>-0.96915550334567835</c:v>
                </c:pt>
                <c:pt idx="6">
                  <c:v>-0.93312634833254149</c:v>
                </c:pt>
                <c:pt idx="7">
                  <c:v>-0.48888150010085135</c:v>
                </c:pt>
                <c:pt idx="8">
                  <c:v>-0.70747917336075228</c:v>
                </c:pt>
                <c:pt idx="9">
                  <c:v>-0.76335499892407788</c:v>
                </c:pt>
                <c:pt idx="10">
                  <c:v>-0.67883857967081651</c:v>
                </c:pt>
                <c:pt idx="11">
                  <c:v>-0.52870254974782771</c:v>
                </c:pt>
                <c:pt idx="12">
                  <c:v>-0.67436355280442761</c:v>
                </c:pt>
                <c:pt idx="13">
                  <c:v>-0.54865132607225808</c:v>
                </c:pt>
                <c:pt idx="14">
                  <c:v>-0.34291267827935917</c:v>
                </c:pt>
                <c:pt idx="15">
                  <c:v>-0.15473364928983513</c:v>
                </c:pt>
                <c:pt idx="16">
                  <c:v>-0.42901481951915715</c:v>
                </c:pt>
                <c:pt idx="17">
                  <c:v>-0.41790111603567454</c:v>
                </c:pt>
                <c:pt idx="18">
                  <c:v>-0.83807089543225122</c:v>
                </c:pt>
                <c:pt idx="19">
                  <c:v>-1.2252778622325449</c:v>
                </c:pt>
                <c:pt idx="20">
                  <c:v>-1.1612880617852606</c:v>
                </c:pt>
                <c:pt idx="21">
                  <c:v>-1.0148199351702205</c:v>
                </c:pt>
                <c:pt idx="22">
                  <c:v>-1.0711996693723835</c:v>
                </c:pt>
                <c:pt idx="23">
                  <c:v>-0.74126497448576989</c:v>
                </c:pt>
                <c:pt idx="24">
                  <c:v>-0.55251599086326919</c:v>
                </c:pt>
                <c:pt idx="25">
                  <c:v>-0.21369433663579462</c:v>
                </c:pt>
                <c:pt idx="26">
                  <c:v>-0.20076352722778548</c:v>
                </c:pt>
                <c:pt idx="27">
                  <c:v>-0.26804259465392588</c:v>
                </c:pt>
                <c:pt idx="28">
                  <c:v>-0.17605966398871845</c:v>
                </c:pt>
                <c:pt idx="29">
                  <c:v>-0.62157660263946457</c:v>
                </c:pt>
                <c:pt idx="30">
                  <c:v>-0.94629431976642187</c:v>
                </c:pt>
                <c:pt idx="31">
                  <c:v>-1.2908460887228628</c:v>
                </c:pt>
                <c:pt idx="32">
                  <c:v>-1.2727556698661975</c:v>
                </c:pt>
                <c:pt idx="33">
                  <c:v>-1.1246078947774725</c:v>
                </c:pt>
                <c:pt idx="34">
                  <c:v>-0.72793943447542286</c:v>
                </c:pt>
                <c:pt idx="35">
                  <c:v>3.6062630906596414E-2</c:v>
                </c:pt>
                <c:pt idx="36">
                  <c:v>-0.32914674537763516</c:v>
                </c:pt>
                <c:pt idx="37">
                  <c:v>-0.56379731089781204</c:v>
                </c:pt>
                <c:pt idx="38">
                  <c:v>-0.85858366519444618</c:v>
                </c:pt>
                <c:pt idx="39">
                  <c:v>-1.2999130625460771</c:v>
                </c:pt>
                <c:pt idx="40">
                  <c:v>-2.2404167024332033</c:v>
                </c:pt>
                <c:pt idx="41">
                  <c:v>-2.3628670457064782</c:v>
                </c:pt>
                <c:pt idx="42">
                  <c:v>-1.3698729028985681</c:v>
                </c:pt>
                <c:pt idx="43">
                  <c:v>-1.3830775541277962</c:v>
                </c:pt>
                <c:pt idx="44">
                  <c:v>-0.68160690318831951</c:v>
                </c:pt>
                <c:pt idx="45">
                  <c:v>8.2577220702340526E-2</c:v>
                </c:pt>
                <c:pt idx="46">
                  <c:v>1.1259958676057618</c:v>
                </c:pt>
                <c:pt idx="47">
                  <c:v>0.83446232153010114</c:v>
                </c:pt>
                <c:pt idx="48">
                  <c:v>0.76398641018962021</c:v>
                </c:pt>
                <c:pt idx="49">
                  <c:v>1.2839638369470487</c:v>
                </c:pt>
                <c:pt idx="50">
                  <c:v>1.057315809389644</c:v>
                </c:pt>
                <c:pt idx="51">
                  <c:v>0.52806622724865526</c:v>
                </c:pt>
                <c:pt idx="52">
                  <c:v>0.67873710699641732</c:v>
                </c:pt>
                <c:pt idx="53">
                  <c:v>0.54992496064167584</c:v>
                </c:pt>
                <c:pt idx="54">
                  <c:v>0.27748750117368842</c:v>
                </c:pt>
                <c:pt idx="55">
                  <c:v>0.20601753453610724</c:v>
                </c:pt>
                <c:pt idx="56">
                  <c:v>0.10405242927139023</c:v>
                </c:pt>
                <c:pt idx="57">
                  <c:v>0.57093549458306614</c:v>
                </c:pt>
                <c:pt idx="58">
                  <c:v>0.16688745104153357</c:v>
                </c:pt>
                <c:pt idx="59">
                  <c:v>0.30400821165300579</c:v>
                </c:pt>
                <c:pt idx="60">
                  <c:v>0.43847445245794586</c:v>
                </c:pt>
                <c:pt idx="61">
                  <c:v>0.30867251856782996</c:v>
                </c:pt>
                <c:pt idx="62">
                  <c:v>0.36820736388324332</c:v>
                </c:pt>
                <c:pt idx="63">
                  <c:v>-2.5212721308702041E-4</c:v>
                </c:pt>
                <c:pt idx="64">
                  <c:v>-0.28533925373618174</c:v>
                </c:pt>
                <c:pt idx="65">
                  <c:v>-0.62697427386810933</c:v>
                </c:pt>
                <c:pt idx="66">
                  <c:v>-0.88887929313954039</c:v>
                </c:pt>
                <c:pt idx="67">
                  <c:v>-0.49620513134573896</c:v>
                </c:pt>
                <c:pt idx="68">
                  <c:v>-0.20322507993135042</c:v>
                </c:pt>
                <c:pt idx="69">
                  <c:v>1.5485542666529017E-3</c:v>
                </c:pt>
                <c:pt idx="70">
                  <c:v>0.41762283426081331</c:v>
                </c:pt>
                <c:pt idx="71">
                  <c:v>0.67381415269942602</c:v>
                </c:pt>
                <c:pt idx="72">
                  <c:v>0.93531664029712225</c:v>
                </c:pt>
                <c:pt idx="73">
                  <c:v>0.9278899666011603</c:v>
                </c:pt>
                <c:pt idx="74">
                  <c:v>0.76395327977745309</c:v>
                </c:pt>
                <c:pt idx="75">
                  <c:v>0.89786771715665425</c:v>
                </c:pt>
                <c:pt idx="76">
                  <c:v>1.1575351972924091</c:v>
                </c:pt>
                <c:pt idx="77">
                  <c:v>2.3256863389368987</c:v>
                </c:pt>
                <c:pt idx="78">
                  <c:v>2.3389195881910476</c:v>
                </c:pt>
                <c:pt idx="79">
                  <c:v>2.4190187284569058</c:v>
                </c:pt>
                <c:pt idx="80">
                  <c:v>2.6409616045268645</c:v>
                </c:pt>
                <c:pt idx="81">
                  <c:v>2.7571772536552568</c:v>
                </c:pt>
                <c:pt idx="82">
                  <c:v>2.7565938745232983</c:v>
                </c:pt>
                <c:pt idx="83">
                  <c:v>1.8196121392783091</c:v>
                </c:pt>
                <c:pt idx="84">
                  <c:v>2.2298924907462725</c:v>
                </c:pt>
                <c:pt idx="85">
                  <c:v>2.4007153843450144</c:v>
                </c:pt>
                <c:pt idx="86">
                  <c:v>2.4953788338333953</c:v>
                </c:pt>
                <c:pt idx="87">
                  <c:v>2.6181404889000897</c:v>
                </c:pt>
                <c:pt idx="88">
                  <c:v>2.4849680332955049</c:v>
                </c:pt>
                <c:pt idx="89">
                  <c:v>2.0348609201570587</c:v>
                </c:pt>
                <c:pt idx="90">
                  <c:v>1.2840219987530885</c:v>
                </c:pt>
                <c:pt idx="91">
                  <c:v>0.52744422475405017</c:v>
                </c:pt>
                <c:pt idx="92">
                  <c:v>-0.23567909581303484</c:v>
                </c:pt>
                <c:pt idx="93">
                  <c:v>-0.72088231374809686</c:v>
                </c:pt>
                <c:pt idx="94">
                  <c:v>-1.0571794215751142</c:v>
                </c:pt>
                <c:pt idx="95">
                  <c:v>-0.83427270866949144</c:v>
                </c:pt>
                <c:pt idx="96">
                  <c:v>-0.44412477301122305</c:v>
                </c:pt>
                <c:pt idx="97">
                  <c:v>-6.0939296197636272E-2</c:v>
                </c:pt>
                <c:pt idx="98">
                  <c:v>0.64190182137303353</c:v>
                </c:pt>
                <c:pt idx="99">
                  <c:v>0.94492748874956289</c:v>
                </c:pt>
                <c:pt idx="100">
                  <c:v>1.1981056794863261</c:v>
                </c:pt>
                <c:pt idx="101">
                  <c:v>1.5586306832759498</c:v>
                </c:pt>
                <c:pt idx="102">
                  <c:v>1.8365911699708821</c:v>
                </c:pt>
                <c:pt idx="103">
                  <c:v>2.3601152245121568</c:v>
                </c:pt>
                <c:pt idx="104">
                  <c:v>1.9048144891858101</c:v>
                </c:pt>
              </c:numCache>
            </c:numRef>
          </c:val>
          <c:smooth val="1"/>
          <c:extLst>
            <c:ext xmlns:c16="http://schemas.microsoft.com/office/drawing/2014/chart" uri="{C3380CC4-5D6E-409C-BE32-E72D297353CC}">
              <c16:uniqueId val="{00000001-D204-4DCA-9DFB-DACB1ECE2A75}"/>
            </c:ext>
          </c:extLst>
        </c:ser>
        <c:dLbls>
          <c:showLegendKey val="0"/>
          <c:showVal val="0"/>
          <c:showCatName val="0"/>
          <c:showSerName val="0"/>
          <c:showPercent val="0"/>
          <c:showBubbleSize val="0"/>
        </c:dLbls>
        <c:marker val="1"/>
        <c:smooth val="0"/>
        <c:axId val="383369545"/>
        <c:axId val="603172358"/>
      </c:lineChart>
      <c:dateAx>
        <c:axId val="145929804"/>
        <c:scaling>
          <c:orientation val="minMax"/>
          <c:min val="43831"/>
        </c:scaling>
        <c:delete val="0"/>
        <c:axPos val="b"/>
        <c:numFmt formatCode="yyyy/m/d;@" sourceLinked="0"/>
        <c:majorTickMark val="out"/>
        <c:minorTickMark val="none"/>
        <c:tickLblPos val="low"/>
        <c:spPr>
          <a:noFill/>
          <a:ln w="6350" cap="flat" cmpd="sng" algn="ctr">
            <a:solidFill>
              <a:schemeClr val="tx1"/>
            </a:solidFill>
            <a:round/>
          </a:ln>
          <a:effectLst/>
        </c:spPr>
        <c:txPr>
          <a:bodyPr rot="0" spcFirstLastPara="0" vertOverflow="ellipsis" wrap="square" anchor="ctr" anchorCtr="1"/>
          <a:lstStyle/>
          <a:p>
            <a:pPr>
              <a:defRPr lang="zh-CN" sz="700" b="0" i="0" u="none" strike="noStrike" kern="1200" baseline="0">
                <a:solidFill>
                  <a:srgbClr val="000000"/>
                </a:solidFill>
                <a:latin typeface="黑体" panose="02010609060101010101" pitchFamily="49" charset="-122"/>
                <a:ea typeface="黑体" panose="02010609060101010101" pitchFamily="49" charset="-122"/>
                <a:cs typeface="黑体" panose="02010609060101010101" pitchFamily="49" charset="-122"/>
                <a:sym typeface="黑体" panose="02010609060101010101" pitchFamily="49" charset="-122"/>
              </a:defRPr>
            </a:pPr>
            <a:endParaRPr lang="zh-CN"/>
          </a:p>
        </c:txPr>
        <c:crossAx val="623162877"/>
        <c:crosses val="autoZero"/>
        <c:auto val="1"/>
        <c:lblOffset val="100"/>
        <c:baseTimeUnit val="months"/>
      </c:dateAx>
      <c:valAx>
        <c:axId val="623162877"/>
        <c:scaling>
          <c:orientation val="minMax"/>
        </c:scaling>
        <c:delete val="0"/>
        <c:axPos val="l"/>
        <c:numFmt formatCode="General" sourceLinked="1"/>
        <c:majorTickMark val="out"/>
        <c:minorTickMark val="none"/>
        <c:tickLblPos val="nextTo"/>
        <c:spPr>
          <a:noFill/>
          <a:ln w="6350">
            <a:solidFill>
              <a:schemeClr val="tx1"/>
            </a:solidFill>
          </a:ln>
          <a:effectLst/>
        </c:spPr>
        <c:txPr>
          <a:bodyPr rot="-60000000" spcFirstLastPara="0" vertOverflow="ellipsis" vert="horz" wrap="square" anchor="ctr" anchorCtr="1"/>
          <a:lstStyle/>
          <a:p>
            <a:pPr>
              <a:defRPr lang="zh-CN" sz="700" b="0" i="0" u="none" strike="noStrike" kern="1200" baseline="0">
                <a:solidFill>
                  <a:srgbClr val="000000"/>
                </a:solidFill>
                <a:latin typeface="黑体" panose="02010609060101010101" pitchFamily="49" charset="-122"/>
                <a:ea typeface="黑体" panose="02010609060101010101" pitchFamily="49" charset="-122"/>
                <a:cs typeface="黑体" panose="02010609060101010101" pitchFamily="49" charset="-122"/>
                <a:sym typeface="黑体" panose="02010609060101010101" pitchFamily="49" charset="-122"/>
              </a:defRPr>
            </a:pPr>
            <a:endParaRPr lang="zh-CN"/>
          </a:p>
        </c:txPr>
        <c:crossAx val="145929804"/>
        <c:crosses val="autoZero"/>
        <c:crossBetween val="between"/>
      </c:valAx>
      <c:dateAx>
        <c:axId val="383369545"/>
        <c:scaling>
          <c:orientation val="minMax"/>
        </c:scaling>
        <c:delete val="1"/>
        <c:axPos val="b"/>
        <c:numFmt formatCode="yyyy/m/d;@" sourceLinked="1"/>
        <c:majorTickMark val="none"/>
        <c:minorTickMark val="none"/>
        <c:tickLblPos val="nextTo"/>
        <c:crossAx val="603172358"/>
        <c:crosses val="autoZero"/>
        <c:auto val="1"/>
        <c:lblOffset val="100"/>
        <c:baseTimeUnit val="months"/>
      </c:dateAx>
      <c:valAx>
        <c:axId val="603172358"/>
        <c:scaling>
          <c:orientation val="minMax"/>
        </c:scaling>
        <c:delete val="0"/>
        <c:axPos val="r"/>
        <c:numFmt formatCode="General" sourceLinked="1"/>
        <c:majorTickMark val="in"/>
        <c:minorTickMark val="none"/>
        <c:tickLblPos val="nextTo"/>
        <c:spPr>
          <a:noFill/>
          <a:ln w="6350">
            <a:solidFill>
              <a:schemeClr val="tx1"/>
            </a:solidFill>
          </a:ln>
          <a:effectLst/>
        </c:spPr>
        <c:txPr>
          <a:bodyPr rot="0" spcFirstLastPara="0" vertOverflow="ellipsis" wrap="square" anchor="ctr" anchorCtr="1"/>
          <a:lstStyle/>
          <a:p>
            <a:pPr>
              <a:defRPr lang="zh-CN" sz="700" b="0" i="0" u="none" strike="noStrike" kern="1200" baseline="0">
                <a:solidFill>
                  <a:srgbClr val="000000"/>
                </a:solidFill>
                <a:latin typeface="黑体" panose="02010609060101010101" pitchFamily="49" charset="-122"/>
                <a:ea typeface="黑体" panose="02010609060101010101" pitchFamily="49" charset="-122"/>
                <a:cs typeface="黑体" panose="02010609060101010101" pitchFamily="49" charset="-122"/>
                <a:sym typeface="黑体" panose="02010609060101010101" pitchFamily="49" charset="-122"/>
              </a:defRPr>
            </a:pPr>
            <a:endParaRPr lang="zh-CN"/>
          </a:p>
        </c:txPr>
        <c:crossAx val="383369545"/>
        <c:crosses val="max"/>
        <c:crossBetween val="between"/>
      </c:valAx>
      <c:spPr>
        <a:noFill/>
        <a:ln>
          <a:noFill/>
        </a:ln>
        <a:effectLst/>
      </c:spPr>
    </c:plotArea>
    <c:legend>
      <c:legendPos val="t"/>
      <c:legendEntry>
        <c:idx val="0"/>
        <c:txPr>
          <a:bodyPr rot="0" spcFirstLastPara="0" vertOverflow="ellipsis" vert="horz" wrap="square" anchor="ctr" anchorCtr="1"/>
          <a:lstStyle/>
          <a:p>
            <a:pPr>
              <a:defRPr lang="zh-CN" sz="700" b="0" i="0" u="none" strike="noStrike" kern="1200" baseline="0">
                <a:solidFill>
                  <a:srgbClr val="000000">
                    <a:lumMod val="65000"/>
                    <a:lumOff val="35000"/>
                  </a:srgbClr>
                </a:solidFill>
                <a:latin typeface="黑体" panose="02010609060101010101" pitchFamily="49" charset="-122"/>
                <a:ea typeface="黑体" panose="02010609060101010101" pitchFamily="49" charset="-122"/>
                <a:cs typeface="黑体" panose="02010609060101010101" pitchFamily="49" charset="-122"/>
                <a:sym typeface="黑体" panose="02010609060101010101" pitchFamily="49" charset="-122"/>
              </a:defRPr>
            </a:pPr>
            <a:endParaRPr lang="zh-CN"/>
          </a:p>
        </c:txPr>
      </c:legendEntry>
      <c:legendEntry>
        <c:idx val="1"/>
        <c:txPr>
          <a:bodyPr rot="0" spcFirstLastPara="0" vertOverflow="ellipsis" vert="horz" wrap="square" anchor="ctr" anchorCtr="1"/>
          <a:lstStyle/>
          <a:p>
            <a:pPr>
              <a:defRPr lang="zh-CN" sz="700" b="0" i="0" u="none" strike="noStrike" kern="1200" baseline="0">
                <a:solidFill>
                  <a:srgbClr val="000000">
                    <a:lumMod val="65000"/>
                    <a:lumOff val="35000"/>
                  </a:srgbClr>
                </a:solidFill>
                <a:latin typeface="黑体" panose="02010609060101010101" pitchFamily="49" charset="-122"/>
                <a:ea typeface="黑体" panose="02010609060101010101" pitchFamily="49" charset="-122"/>
                <a:cs typeface="黑体" panose="02010609060101010101" pitchFamily="49" charset="-122"/>
                <a:sym typeface="黑体" panose="02010609060101010101" pitchFamily="49" charset="-122"/>
              </a:defRPr>
            </a:pPr>
            <a:endParaRPr lang="zh-CN"/>
          </a:p>
        </c:txPr>
      </c:legendEntry>
      <c:overlay val="0"/>
      <c:spPr>
        <a:noFill/>
        <a:ln>
          <a:noFill/>
        </a:ln>
        <a:effectLst/>
      </c:spPr>
      <c:txPr>
        <a:bodyPr rot="0" spcFirstLastPara="0" vertOverflow="ellipsis" vert="horz" wrap="square" anchor="ctr" anchorCtr="1"/>
        <a:lstStyle/>
        <a:p>
          <a:pPr>
            <a:defRPr lang="zh-CN" sz="700" b="0" i="0" u="none" strike="noStrike" kern="1200" baseline="0">
              <a:solidFill>
                <a:srgbClr val="000000">
                  <a:lumMod val="65000"/>
                  <a:lumOff val="35000"/>
                </a:srgbClr>
              </a:solidFill>
              <a:latin typeface="黑体" panose="02010609060101010101" pitchFamily="49" charset="-122"/>
              <a:ea typeface="黑体" panose="02010609060101010101" pitchFamily="49" charset="-122"/>
              <a:cs typeface="黑体" panose="02010609060101010101" pitchFamily="49" charset="-122"/>
              <a:sym typeface="黑体" panose="02010609060101010101" pitchFamily="49" charset="-122"/>
            </a:defRPr>
          </a:pPr>
          <a:endParaRPr lang="zh-CN"/>
        </a:p>
      </c:txPr>
    </c:legend>
    <c:plotVisOnly val="1"/>
    <c:dispBlanksAs val="gap"/>
    <c:showDLblsOverMax val="0"/>
    <c:extLst>
      <c:ext uri="{0b15fc19-7d7d-44ad-8c2d-2c3a37ce22c3}">
        <chartProps xmlns="https://web.wps.cn/et/2018/main" chartId="{19365233-03b2-49a2-8c1c-f58d816a1d1b}"/>
      </c:ext>
    </c:extLst>
  </c:chart>
  <c:spPr>
    <a:solidFill>
      <a:schemeClr val="bg1"/>
    </a:solidFill>
    <a:ln w="9525" cap="flat" cmpd="sng" algn="ctr">
      <a:noFill/>
      <a:round/>
    </a:ln>
    <a:effectLst/>
  </c:spPr>
  <c:txPr>
    <a:bodyPr/>
    <a:lstStyle/>
    <a:p>
      <a:pPr>
        <a:defRPr lang="zh-CN" sz="700">
          <a:latin typeface="黑体" panose="02010609060101010101" pitchFamily="49" charset="-122"/>
          <a:ea typeface="黑体" panose="02010609060101010101" pitchFamily="49" charset="-122"/>
          <a:cs typeface="黑体" panose="02010609060101010101" pitchFamily="49" charset="-122"/>
          <a:sym typeface="黑体" panose="02010609060101010101" pitchFamily="49" charset="-122"/>
        </a:defRPr>
      </a:pPr>
      <a:endParaRPr lang="zh-CN"/>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lineChart>
        <c:grouping val="standard"/>
        <c:varyColors val="0"/>
        <c:ser>
          <c:idx val="1"/>
          <c:order val="1"/>
          <c:spPr>
            <a:ln w="28575" cap="rnd">
              <a:solidFill>
                <a:schemeClr val="accent2"/>
              </a:solidFill>
              <a:round/>
            </a:ln>
            <a:effectLst/>
          </c:spPr>
          <c:marker>
            <c:symbol val="none"/>
          </c:marker>
          <c:cat>
            <c:numRef>
              <c:f>预测!$A$5:$A$117</c:f>
              <c:numCache>
                <c:formatCode>yyyy/m/d;@</c:formatCode>
                <c:ptCount val="113"/>
                <c:pt idx="0">
                  <c:v>46022</c:v>
                </c:pt>
                <c:pt idx="1">
                  <c:v>45991</c:v>
                </c:pt>
                <c:pt idx="2">
                  <c:v>45961</c:v>
                </c:pt>
                <c:pt idx="3">
                  <c:v>45930</c:v>
                </c:pt>
                <c:pt idx="4">
                  <c:v>45900</c:v>
                </c:pt>
                <c:pt idx="5">
                  <c:v>45869</c:v>
                </c:pt>
                <c:pt idx="6">
                  <c:v>45838</c:v>
                </c:pt>
                <c:pt idx="7">
                  <c:v>45808</c:v>
                </c:pt>
                <c:pt idx="8">
                  <c:v>45777</c:v>
                </c:pt>
                <c:pt idx="9">
                  <c:v>45747</c:v>
                </c:pt>
                <c:pt idx="10">
                  <c:v>45716</c:v>
                </c:pt>
                <c:pt idx="11">
                  <c:v>45688</c:v>
                </c:pt>
                <c:pt idx="12">
                  <c:v>45657</c:v>
                </c:pt>
                <c:pt idx="13">
                  <c:v>45626</c:v>
                </c:pt>
                <c:pt idx="14">
                  <c:v>45596</c:v>
                </c:pt>
                <c:pt idx="15">
                  <c:v>45565</c:v>
                </c:pt>
                <c:pt idx="16">
                  <c:v>45535</c:v>
                </c:pt>
                <c:pt idx="17">
                  <c:v>45504</c:v>
                </c:pt>
                <c:pt idx="18">
                  <c:v>45473</c:v>
                </c:pt>
                <c:pt idx="19">
                  <c:v>45443</c:v>
                </c:pt>
                <c:pt idx="20">
                  <c:v>45412</c:v>
                </c:pt>
                <c:pt idx="21">
                  <c:v>45382</c:v>
                </c:pt>
                <c:pt idx="22">
                  <c:v>45351</c:v>
                </c:pt>
                <c:pt idx="23">
                  <c:v>45322</c:v>
                </c:pt>
                <c:pt idx="24">
                  <c:v>45291</c:v>
                </c:pt>
                <c:pt idx="25">
                  <c:v>45260</c:v>
                </c:pt>
                <c:pt idx="26">
                  <c:v>45230</c:v>
                </c:pt>
                <c:pt idx="27">
                  <c:v>45199</c:v>
                </c:pt>
                <c:pt idx="28">
                  <c:v>45169</c:v>
                </c:pt>
                <c:pt idx="29">
                  <c:v>45138</c:v>
                </c:pt>
                <c:pt idx="30">
                  <c:v>45107</c:v>
                </c:pt>
                <c:pt idx="31">
                  <c:v>45077</c:v>
                </c:pt>
                <c:pt idx="32">
                  <c:v>45046</c:v>
                </c:pt>
                <c:pt idx="33">
                  <c:v>45016</c:v>
                </c:pt>
                <c:pt idx="34">
                  <c:v>44985</c:v>
                </c:pt>
                <c:pt idx="35">
                  <c:v>44957</c:v>
                </c:pt>
                <c:pt idx="36">
                  <c:v>44926</c:v>
                </c:pt>
                <c:pt idx="37">
                  <c:v>44895</c:v>
                </c:pt>
                <c:pt idx="38">
                  <c:v>44865</c:v>
                </c:pt>
                <c:pt idx="39">
                  <c:v>44834</c:v>
                </c:pt>
                <c:pt idx="40">
                  <c:v>44804</c:v>
                </c:pt>
                <c:pt idx="41">
                  <c:v>44773</c:v>
                </c:pt>
                <c:pt idx="42">
                  <c:v>44742</c:v>
                </c:pt>
                <c:pt idx="43">
                  <c:v>44712</c:v>
                </c:pt>
                <c:pt idx="44">
                  <c:v>44681</c:v>
                </c:pt>
                <c:pt idx="45">
                  <c:v>44651</c:v>
                </c:pt>
                <c:pt idx="46">
                  <c:v>44620</c:v>
                </c:pt>
                <c:pt idx="47">
                  <c:v>44592</c:v>
                </c:pt>
                <c:pt idx="48">
                  <c:v>44561</c:v>
                </c:pt>
                <c:pt idx="49">
                  <c:v>44530</c:v>
                </c:pt>
                <c:pt idx="50">
                  <c:v>44500</c:v>
                </c:pt>
                <c:pt idx="51">
                  <c:v>44469</c:v>
                </c:pt>
                <c:pt idx="52">
                  <c:v>44439</c:v>
                </c:pt>
                <c:pt idx="53">
                  <c:v>44408</c:v>
                </c:pt>
                <c:pt idx="54">
                  <c:v>44377</c:v>
                </c:pt>
                <c:pt idx="55">
                  <c:v>44347</c:v>
                </c:pt>
                <c:pt idx="56">
                  <c:v>44316</c:v>
                </c:pt>
                <c:pt idx="57">
                  <c:v>44286</c:v>
                </c:pt>
                <c:pt idx="58">
                  <c:v>44255</c:v>
                </c:pt>
                <c:pt idx="59">
                  <c:v>44227</c:v>
                </c:pt>
                <c:pt idx="60">
                  <c:v>44196</c:v>
                </c:pt>
                <c:pt idx="61">
                  <c:v>44165</c:v>
                </c:pt>
                <c:pt idx="62">
                  <c:v>44135</c:v>
                </c:pt>
                <c:pt idx="63">
                  <c:v>44104</c:v>
                </c:pt>
                <c:pt idx="64">
                  <c:v>44074</c:v>
                </c:pt>
                <c:pt idx="65">
                  <c:v>44043</c:v>
                </c:pt>
                <c:pt idx="66">
                  <c:v>44012</c:v>
                </c:pt>
                <c:pt idx="67">
                  <c:v>43982</c:v>
                </c:pt>
                <c:pt idx="68">
                  <c:v>43951</c:v>
                </c:pt>
                <c:pt idx="69">
                  <c:v>43921</c:v>
                </c:pt>
                <c:pt idx="70">
                  <c:v>43890</c:v>
                </c:pt>
                <c:pt idx="71">
                  <c:v>43861</c:v>
                </c:pt>
                <c:pt idx="72">
                  <c:v>43830</c:v>
                </c:pt>
                <c:pt idx="73">
                  <c:v>43799</c:v>
                </c:pt>
                <c:pt idx="74">
                  <c:v>43769</c:v>
                </c:pt>
                <c:pt idx="75">
                  <c:v>43738</c:v>
                </c:pt>
                <c:pt idx="76">
                  <c:v>43708</c:v>
                </c:pt>
                <c:pt idx="77">
                  <c:v>43677</c:v>
                </c:pt>
                <c:pt idx="78">
                  <c:v>43646</c:v>
                </c:pt>
                <c:pt idx="79">
                  <c:v>43616</c:v>
                </c:pt>
                <c:pt idx="80">
                  <c:v>43585</c:v>
                </c:pt>
                <c:pt idx="81">
                  <c:v>43555</c:v>
                </c:pt>
                <c:pt idx="82">
                  <c:v>43524</c:v>
                </c:pt>
                <c:pt idx="83">
                  <c:v>43496</c:v>
                </c:pt>
                <c:pt idx="84">
                  <c:v>43465</c:v>
                </c:pt>
                <c:pt idx="85">
                  <c:v>43434</c:v>
                </c:pt>
                <c:pt idx="86">
                  <c:v>43404</c:v>
                </c:pt>
                <c:pt idx="87">
                  <c:v>43373</c:v>
                </c:pt>
                <c:pt idx="88">
                  <c:v>43343</c:v>
                </c:pt>
                <c:pt idx="89">
                  <c:v>43312</c:v>
                </c:pt>
                <c:pt idx="90">
                  <c:v>43281</c:v>
                </c:pt>
                <c:pt idx="91">
                  <c:v>43251</c:v>
                </c:pt>
                <c:pt idx="92">
                  <c:v>43220</c:v>
                </c:pt>
                <c:pt idx="93">
                  <c:v>43190</c:v>
                </c:pt>
                <c:pt idx="94">
                  <c:v>43159</c:v>
                </c:pt>
                <c:pt idx="95">
                  <c:v>43131</c:v>
                </c:pt>
                <c:pt idx="96">
                  <c:v>43100</c:v>
                </c:pt>
                <c:pt idx="97">
                  <c:v>43069</c:v>
                </c:pt>
                <c:pt idx="98">
                  <c:v>43039</c:v>
                </c:pt>
                <c:pt idx="99">
                  <c:v>43008</c:v>
                </c:pt>
                <c:pt idx="100">
                  <c:v>42978</c:v>
                </c:pt>
                <c:pt idx="101">
                  <c:v>42947</c:v>
                </c:pt>
                <c:pt idx="102">
                  <c:v>42916</c:v>
                </c:pt>
                <c:pt idx="103">
                  <c:v>42886</c:v>
                </c:pt>
                <c:pt idx="104">
                  <c:v>42855</c:v>
                </c:pt>
                <c:pt idx="105">
                  <c:v>42825</c:v>
                </c:pt>
                <c:pt idx="106">
                  <c:v>42794</c:v>
                </c:pt>
                <c:pt idx="107">
                  <c:v>42766</c:v>
                </c:pt>
                <c:pt idx="108">
                  <c:v>42735</c:v>
                </c:pt>
                <c:pt idx="109">
                  <c:v>42704</c:v>
                </c:pt>
                <c:pt idx="110">
                  <c:v>42674</c:v>
                </c:pt>
                <c:pt idx="111">
                  <c:v>42643</c:v>
                </c:pt>
                <c:pt idx="112">
                  <c:v>42613</c:v>
                </c:pt>
              </c:numCache>
            </c:numRef>
          </c:cat>
          <c:val>
            <c:numRef>
              <c:f>预测!$Y$5:$Y$117</c:f>
              <c:numCache>
                <c:formatCode>General</c:formatCode>
                <c:ptCount val="113"/>
                <c:pt idx="0">
                  <c:v>-1.938070999112572</c:v>
                </c:pt>
                <c:pt idx="1">
                  <c:v>-2.002041794392929</c:v>
                </c:pt>
                <c:pt idx="2">
                  <c:v>-2.0803173752308028</c:v>
                </c:pt>
                <c:pt idx="3">
                  <c:v>-2.0758049196637809</c:v>
                </c:pt>
                <c:pt idx="4">
                  <c:v>-2.170856441604156</c:v>
                </c:pt>
                <c:pt idx="5">
                  <c:v>-1.6108246637414962</c:v>
                </c:pt>
                <c:pt idx="6">
                  <c:v>-1.5398575290243615</c:v>
                </c:pt>
                <c:pt idx="7">
                  <c:v>-0.85224917810386946</c:v>
                </c:pt>
                <c:pt idx="8">
                  <c:v>-0.16423901278821199</c:v>
                </c:pt>
                <c:pt idx="9">
                  <c:v>-0.22545833970026341</c:v>
                </c:pt>
                <c:pt idx="10">
                  <c:v>6.2205132956319388E-2</c:v>
                </c:pt>
                <c:pt idx="11">
                  <c:v>-0.49087251855883213</c:v>
                </c:pt>
                <c:pt idx="12">
                  <c:v>-0.28367953610269175</c:v>
                </c:pt>
                <c:pt idx="13">
                  <c:v>-0.96915550334567835</c:v>
                </c:pt>
                <c:pt idx="14">
                  <c:v>-0.93312634833254149</c:v>
                </c:pt>
                <c:pt idx="15">
                  <c:v>-0.48888150010085135</c:v>
                </c:pt>
                <c:pt idx="16">
                  <c:v>-0.70747917336075228</c:v>
                </c:pt>
                <c:pt idx="17">
                  <c:v>-0.76335499892407788</c:v>
                </c:pt>
                <c:pt idx="18">
                  <c:v>-0.67883857967081651</c:v>
                </c:pt>
                <c:pt idx="19">
                  <c:v>-0.52870254974782771</c:v>
                </c:pt>
                <c:pt idx="20">
                  <c:v>-0.67436355280442761</c:v>
                </c:pt>
                <c:pt idx="21">
                  <c:v>-0.54865132607225808</c:v>
                </c:pt>
                <c:pt idx="22">
                  <c:v>-0.34291267827935917</c:v>
                </c:pt>
                <c:pt idx="23">
                  <c:v>-0.15473364928983513</c:v>
                </c:pt>
                <c:pt idx="24">
                  <c:v>-0.42901481951915715</c:v>
                </c:pt>
                <c:pt idx="25">
                  <c:v>-0.41790111603567454</c:v>
                </c:pt>
                <c:pt idx="26">
                  <c:v>-0.83807089543225122</c:v>
                </c:pt>
                <c:pt idx="27">
                  <c:v>-1.2252778622325449</c:v>
                </c:pt>
                <c:pt idx="28">
                  <c:v>-1.1612880617852606</c:v>
                </c:pt>
                <c:pt idx="29">
                  <c:v>-1.0148199351702205</c:v>
                </c:pt>
                <c:pt idx="30">
                  <c:v>-1.0711996693723835</c:v>
                </c:pt>
                <c:pt idx="31">
                  <c:v>-0.74126497448576989</c:v>
                </c:pt>
                <c:pt idx="32">
                  <c:v>-0.55251599086326919</c:v>
                </c:pt>
                <c:pt idx="33">
                  <c:v>-0.21369433663579462</c:v>
                </c:pt>
                <c:pt idx="34">
                  <c:v>-0.20076352722778548</c:v>
                </c:pt>
                <c:pt idx="35">
                  <c:v>-0.26804259465392588</c:v>
                </c:pt>
                <c:pt idx="36">
                  <c:v>-0.17605966398871845</c:v>
                </c:pt>
                <c:pt idx="37">
                  <c:v>-0.62157660263946457</c:v>
                </c:pt>
                <c:pt idx="38">
                  <c:v>-0.94629431976642187</c:v>
                </c:pt>
                <c:pt idx="39">
                  <c:v>-1.2908460887228628</c:v>
                </c:pt>
                <c:pt idx="40">
                  <c:v>-1.2727556698661975</c:v>
                </c:pt>
                <c:pt idx="41">
                  <c:v>-1.1246078947774725</c:v>
                </c:pt>
                <c:pt idx="42">
                  <c:v>-0.72793943447542286</c:v>
                </c:pt>
                <c:pt idx="43">
                  <c:v>3.6062630906596414E-2</c:v>
                </c:pt>
                <c:pt idx="44">
                  <c:v>-0.32914674537763516</c:v>
                </c:pt>
                <c:pt idx="45">
                  <c:v>-0.56379731089781204</c:v>
                </c:pt>
                <c:pt idx="46">
                  <c:v>-0.85858366519444618</c:v>
                </c:pt>
                <c:pt idx="47">
                  <c:v>-1.2999130625460771</c:v>
                </c:pt>
                <c:pt idx="48">
                  <c:v>-2.2404167024332033</c:v>
                </c:pt>
                <c:pt idx="49">
                  <c:v>-2.3628670457064782</c:v>
                </c:pt>
                <c:pt idx="50">
                  <c:v>-1.3698729028985681</c:v>
                </c:pt>
                <c:pt idx="51">
                  <c:v>-1.3830775541277962</c:v>
                </c:pt>
                <c:pt idx="52">
                  <c:v>-0.68160690318831951</c:v>
                </c:pt>
                <c:pt idx="53">
                  <c:v>8.2577220702340526E-2</c:v>
                </c:pt>
                <c:pt idx="54">
                  <c:v>1.1259958676057618</c:v>
                </c:pt>
                <c:pt idx="55">
                  <c:v>0.83446232153010114</c:v>
                </c:pt>
                <c:pt idx="56">
                  <c:v>0.76398641018962021</c:v>
                </c:pt>
                <c:pt idx="57">
                  <c:v>1.2839638369470487</c:v>
                </c:pt>
                <c:pt idx="58">
                  <c:v>1.057315809389644</c:v>
                </c:pt>
                <c:pt idx="59">
                  <c:v>0.52806622724865526</c:v>
                </c:pt>
                <c:pt idx="60">
                  <c:v>0.67873710699641732</c:v>
                </c:pt>
                <c:pt idx="61">
                  <c:v>0.54992496064167584</c:v>
                </c:pt>
                <c:pt idx="62">
                  <c:v>0.27748750117368842</c:v>
                </c:pt>
                <c:pt idx="63">
                  <c:v>0.20601753453610724</c:v>
                </c:pt>
                <c:pt idx="64">
                  <c:v>0.10405242927139023</c:v>
                </c:pt>
                <c:pt idx="65">
                  <c:v>0.57093549458306614</c:v>
                </c:pt>
                <c:pt idx="66">
                  <c:v>0.16688745104153357</c:v>
                </c:pt>
                <c:pt idx="67">
                  <c:v>0.30400821165300579</c:v>
                </c:pt>
                <c:pt idx="68">
                  <c:v>0.43847445245794586</c:v>
                </c:pt>
                <c:pt idx="69">
                  <c:v>0.30867251856782996</c:v>
                </c:pt>
                <c:pt idx="70">
                  <c:v>0.36820736388324332</c:v>
                </c:pt>
                <c:pt idx="71">
                  <c:v>-2.5212721308702041E-4</c:v>
                </c:pt>
                <c:pt idx="72">
                  <c:v>-0.28533925373618174</c:v>
                </c:pt>
                <c:pt idx="73">
                  <c:v>-0.62697427386810933</c:v>
                </c:pt>
                <c:pt idx="74">
                  <c:v>-0.88887929313954039</c:v>
                </c:pt>
                <c:pt idx="75">
                  <c:v>-0.49620513134573896</c:v>
                </c:pt>
                <c:pt idx="76">
                  <c:v>-0.20322507993135042</c:v>
                </c:pt>
                <c:pt idx="77">
                  <c:v>1.5485542666529017E-3</c:v>
                </c:pt>
                <c:pt idx="78">
                  <c:v>0.41762283426081331</c:v>
                </c:pt>
                <c:pt idx="79">
                  <c:v>0.67381415269942602</c:v>
                </c:pt>
                <c:pt idx="80">
                  <c:v>0.93531664029712225</c:v>
                </c:pt>
                <c:pt idx="81">
                  <c:v>0.9278899666011603</c:v>
                </c:pt>
                <c:pt idx="82">
                  <c:v>0.76395327977745309</c:v>
                </c:pt>
                <c:pt idx="83">
                  <c:v>0.89786771715665425</c:v>
                </c:pt>
                <c:pt idx="84">
                  <c:v>1.1575351972924091</c:v>
                </c:pt>
                <c:pt idx="85">
                  <c:v>2.3256863389368987</c:v>
                </c:pt>
                <c:pt idx="86">
                  <c:v>2.3389195881910476</c:v>
                </c:pt>
                <c:pt idx="87">
                  <c:v>2.4190187284569058</c:v>
                </c:pt>
                <c:pt idx="88">
                  <c:v>2.6409616045268645</c:v>
                </c:pt>
                <c:pt idx="89">
                  <c:v>2.7571772536552568</c:v>
                </c:pt>
                <c:pt idx="90">
                  <c:v>2.7565938745232983</c:v>
                </c:pt>
                <c:pt idx="91">
                  <c:v>1.8196121392783091</c:v>
                </c:pt>
                <c:pt idx="92">
                  <c:v>2.2298924907462725</c:v>
                </c:pt>
                <c:pt idx="93">
                  <c:v>2.4007153843450144</c:v>
                </c:pt>
                <c:pt idx="94">
                  <c:v>2.4953788338333953</c:v>
                </c:pt>
                <c:pt idx="95">
                  <c:v>2.6181404889000897</c:v>
                </c:pt>
                <c:pt idx="96">
                  <c:v>2.4849680332955049</c:v>
                </c:pt>
                <c:pt idx="97">
                  <c:v>2.0348609201570587</c:v>
                </c:pt>
                <c:pt idx="98">
                  <c:v>1.2840219987530885</c:v>
                </c:pt>
                <c:pt idx="99">
                  <c:v>0.52744422475405017</c:v>
                </c:pt>
                <c:pt idx="100">
                  <c:v>-0.23567909581303484</c:v>
                </c:pt>
                <c:pt idx="101">
                  <c:v>-0.72088231374809686</c:v>
                </c:pt>
                <c:pt idx="102">
                  <c:v>-1.0571794215751142</c:v>
                </c:pt>
                <c:pt idx="103">
                  <c:v>-0.83427270866949144</c:v>
                </c:pt>
                <c:pt idx="104">
                  <c:v>-0.44412477301122305</c:v>
                </c:pt>
                <c:pt idx="105">
                  <c:v>-6.0939296197636272E-2</c:v>
                </c:pt>
                <c:pt idx="106">
                  <c:v>0.64190182137303353</c:v>
                </c:pt>
                <c:pt idx="107">
                  <c:v>0.94492748874956289</c:v>
                </c:pt>
                <c:pt idx="108">
                  <c:v>1.1981056794863261</c:v>
                </c:pt>
                <c:pt idx="109">
                  <c:v>1.5586306832759498</c:v>
                </c:pt>
                <c:pt idx="110">
                  <c:v>1.8365911699708821</c:v>
                </c:pt>
                <c:pt idx="111">
                  <c:v>2.3601152245121568</c:v>
                </c:pt>
                <c:pt idx="112">
                  <c:v>1.9048144891858101</c:v>
                </c:pt>
              </c:numCache>
            </c:numRef>
          </c:val>
          <c:smooth val="0"/>
          <c:extLst>
            <c:ext xmlns:c16="http://schemas.microsoft.com/office/drawing/2014/chart" uri="{C3380CC4-5D6E-409C-BE32-E72D297353CC}">
              <c16:uniqueId val="{00000001-7AC7-4CA8-BC68-1F833F260704}"/>
            </c:ext>
          </c:extLst>
        </c:ser>
        <c:dLbls>
          <c:showLegendKey val="0"/>
          <c:showVal val="0"/>
          <c:showCatName val="0"/>
          <c:showSerName val="0"/>
          <c:showPercent val="0"/>
          <c:showBubbleSize val="0"/>
        </c:dLbls>
        <c:marker val="1"/>
        <c:smooth val="0"/>
        <c:axId val="1931386479"/>
        <c:axId val="1931383023"/>
      </c:lineChart>
      <c:lineChart>
        <c:grouping val="standard"/>
        <c:varyColors val="0"/>
        <c:ser>
          <c:idx val="0"/>
          <c:order val="0"/>
          <c:spPr>
            <a:ln w="28575" cap="rnd">
              <a:solidFill>
                <a:schemeClr val="accent1"/>
              </a:solidFill>
              <a:round/>
            </a:ln>
            <a:effectLst/>
          </c:spPr>
          <c:marker>
            <c:symbol val="none"/>
          </c:marker>
          <c:cat>
            <c:numRef>
              <c:f>预测!$A$5:$A$117</c:f>
              <c:numCache>
                <c:formatCode>yyyy/m/d;@</c:formatCode>
                <c:ptCount val="113"/>
                <c:pt idx="0">
                  <c:v>46022</c:v>
                </c:pt>
                <c:pt idx="1">
                  <c:v>45991</c:v>
                </c:pt>
                <c:pt idx="2">
                  <c:v>45961</c:v>
                </c:pt>
                <c:pt idx="3">
                  <c:v>45930</c:v>
                </c:pt>
                <c:pt idx="4">
                  <c:v>45900</c:v>
                </c:pt>
                <c:pt idx="5">
                  <c:v>45869</c:v>
                </c:pt>
                <c:pt idx="6">
                  <c:v>45838</c:v>
                </c:pt>
                <c:pt idx="7">
                  <c:v>45808</c:v>
                </c:pt>
                <c:pt idx="8">
                  <c:v>45777</c:v>
                </c:pt>
                <c:pt idx="9">
                  <c:v>45747</c:v>
                </c:pt>
                <c:pt idx="10">
                  <c:v>45716</c:v>
                </c:pt>
                <c:pt idx="11">
                  <c:v>45688</c:v>
                </c:pt>
                <c:pt idx="12">
                  <c:v>45657</c:v>
                </c:pt>
                <c:pt idx="13">
                  <c:v>45626</c:v>
                </c:pt>
                <c:pt idx="14">
                  <c:v>45596</c:v>
                </c:pt>
                <c:pt idx="15">
                  <c:v>45565</c:v>
                </c:pt>
                <c:pt idx="16">
                  <c:v>45535</c:v>
                </c:pt>
                <c:pt idx="17">
                  <c:v>45504</c:v>
                </c:pt>
                <c:pt idx="18">
                  <c:v>45473</c:v>
                </c:pt>
                <c:pt idx="19">
                  <c:v>45443</c:v>
                </c:pt>
                <c:pt idx="20">
                  <c:v>45412</c:v>
                </c:pt>
                <c:pt idx="21">
                  <c:v>45382</c:v>
                </c:pt>
                <c:pt idx="22">
                  <c:v>45351</c:v>
                </c:pt>
                <c:pt idx="23">
                  <c:v>45322</c:v>
                </c:pt>
                <c:pt idx="24">
                  <c:v>45291</c:v>
                </c:pt>
                <c:pt idx="25">
                  <c:v>45260</c:v>
                </c:pt>
                <c:pt idx="26">
                  <c:v>45230</c:v>
                </c:pt>
                <c:pt idx="27">
                  <c:v>45199</c:v>
                </c:pt>
                <c:pt idx="28">
                  <c:v>45169</c:v>
                </c:pt>
                <c:pt idx="29">
                  <c:v>45138</c:v>
                </c:pt>
                <c:pt idx="30">
                  <c:v>45107</c:v>
                </c:pt>
                <c:pt idx="31">
                  <c:v>45077</c:v>
                </c:pt>
                <c:pt idx="32">
                  <c:v>45046</c:v>
                </c:pt>
                <c:pt idx="33">
                  <c:v>45016</c:v>
                </c:pt>
                <c:pt idx="34">
                  <c:v>44985</c:v>
                </c:pt>
                <c:pt idx="35">
                  <c:v>44957</c:v>
                </c:pt>
                <c:pt idx="36">
                  <c:v>44926</c:v>
                </c:pt>
                <c:pt idx="37">
                  <c:v>44895</c:v>
                </c:pt>
                <c:pt idx="38">
                  <c:v>44865</c:v>
                </c:pt>
                <c:pt idx="39">
                  <c:v>44834</c:v>
                </c:pt>
                <c:pt idx="40">
                  <c:v>44804</c:v>
                </c:pt>
                <c:pt idx="41">
                  <c:v>44773</c:v>
                </c:pt>
                <c:pt idx="42">
                  <c:v>44742</c:v>
                </c:pt>
                <c:pt idx="43">
                  <c:v>44712</c:v>
                </c:pt>
                <c:pt idx="44">
                  <c:v>44681</c:v>
                </c:pt>
                <c:pt idx="45">
                  <c:v>44651</c:v>
                </c:pt>
                <c:pt idx="46">
                  <c:v>44620</c:v>
                </c:pt>
                <c:pt idx="47">
                  <c:v>44592</c:v>
                </c:pt>
                <c:pt idx="48">
                  <c:v>44561</c:v>
                </c:pt>
                <c:pt idx="49">
                  <c:v>44530</c:v>
                </c:pt>
                <c:pt idx="50">
                  <c:v>44500</c:v>
                </c:pt>
                <c:pt idx="51">
                  <c:v>44469</c:v>
                </c:pt>
                <c:pt idx="52">
                  <c:v>44439</c:v>
                </c:pt>
                <c:pt idx="53">
                  <c:v>44408</c:v>
                </c:pt>
                <c:pt idx="54">
                  <c:v>44377</c:v>
                </c:pt>
                <c:pt idx="55">
                  <c:v>44347</c:v>
                </c:pt>
                <c:pt idx="56">
                  <c:v>44316</c:v>
                </c:pt>
                <c:pt idx="57">
                  <c:v>44286</c:v>
                </c:pt>
                <c:pt idx="58">
                  <c:v>44255</c:v>
                </c:pt>
                <c:pt idx="59">
                  <c:v>44227</c:v>
                </c:pt>
                <c:pt idx="60">
                  <c:v>44196</c:v>
                </c:pt>
                <c:pt idx="61">
                  <c:v>44165</c:v>
                </c:pt>
                <c:pt idx="62">
                  <c:v>44135</c:v>
                </c:pt>
                <c:pt idx="63">
                  <c:v>44104</c:v>
                </c:pt>
                <c:pt idx="64">
                  <c:v>44074</c:v>
                </c:pt>
                <c:pt idx="65">
                  <c:v>44043</c:v>
                </c:pt>
                <c:pt idx="66">
                  <c:v>44012</c:v>
                </c:pt>
                <c:pt idx="67">
                  <c:v>43982</c:v>
                </c:pt>
                <c:pt idx="68">
                  <c:v>43951</c:v>
                </c:pt>
                <c:pt idx="69">
                  <c:v>43921</c:v>
                </c:pt>
                <c:pt idx="70">
                  <c:v>43890</c:v>
                </c:pt>
                <c:pt idx="71">
                  <c:v>43861</c:v>
                </c:pt>
                <c:pt idx="72">
                  <c:v>43830</c:v>
                </c:pt>
                <c:pt idx="73">
                  <c:v>43799</c:v>
                </c:pt>
                <c:pt idx="74">
                  <c:v>43769</c:v>
                </c:pt>
                <c:pt idx="75">
                  <c:v>43738</c:v>
                </c:pt>
                <c:pt idx="76">
                  <c:v>43708</c:v>
                </c:pt>
                <c:pt idx="77">
                  <c:v>43677</c:v>
                </c:pt>
                <c:pt idx="78">
                  <c:v>43646</c:v>
                </c:pt>
                <c:pt idx="79">
                  <c:v>43616</c:v>
                </c:pt>
                <c:pt idx="80">
                  <c:v>43585</c:v>
                </c:pt>
                <c:pt idx="81">
                  <c:v>43555</c:v>
                </c:pt>
                <c:pt idx="82">
                  <c:v>43524</c:v>
                </c:pt>
                <c:pt idx="83">
                  <c:v>43496</c:v>
                </c:pt>
                <c:pt idx="84">
                  <c:v>43465</c:v>
                </c:pt>
                <c:pt idx="85">
                  <c:v>43434</c:v>
                </c:pt>
                <c:pt idx="86">
                  <c:v>43404</c:v>
                </c:pt>
                <c:pt idx="87">
                  <c:v>43373</c:v>
                </c:pt>
                <c:pt idx="88">
                  <c:v>43343</c:v>
                </c:pt>
                <c:pt idx="89">
                  <c:v>43312</c:v>
                </c:pt>
                <c:pt idx="90">
                  <c:v>43281</c:v>
                </c:pt>
                <c:pt idx="91">
                  <c:v>43251</c:v>
                </c:pt>
                <c:pt idx="92">
                  <c:v>43220</c:v>
                </c:pt>
                <c:pt idx="93">
                  <c:v>43190</c:v>
                </c:pt>
                <c:pt idx="94">
                  <c:v>43159</c:v>
                </c:pt>
                <c:pt idx="95">
                  <c:v>43131</c:v>
                </c:pt>
                <c:pt idx="96">
                  <c:v>43100</c:v>
                </c:pt>
                <c:pt idx="97">
                  <c:v>43069</c:v>
                </c:pt>
                <c:pt idx="98">
                  <c:v>43039</c:v>
                </c:pt>
                <c:pt idx="99">
                  <c:v>43008</c:v>
                </c:pt>
                <c:pt idx="100">
                  <c:v>42978</c:v>
                </c:pt>
                <c:pt idx="101">
                  <c:v>42947</c:v>
                </c:pt>
                <c:pt idx="102">
                  <c:v>42916</c:v>
                </c:pt>
                <c:pt idx="103">
                  <c:v>42886</c:v>
                </c:pt>
                <c:pt idx="104">
                  <c:v>42855</c:v>
                </c:pt>
                <c:pt idx="105">
                  <c:v>42825</c:v>
                </c:pt>
                <c:pt idx="106">
                  <c:v>42794</c:v>
                </c:pt>
                <c:pt idx="107">
                  <c:v>42766</c:v>
                </c:pt>
                <c:pt idx="108">
                  <c:v>42735</c:v>
                </c:pt>
                <c:pt idx="109">
                  <c:v>42704</c:v>
                </c:pt>
                <c:pt idx="110">
                  <c:v>42674</c:v>
                </c:pt>
                <c:pt idx="111">
                  <c:v>42643</c:v>
                </c:pt>
                <c:pt idx="112">
                  <c:v>42613</c:v>
                </c:pt>
              </c:numCache>
            </c:numRef>
          </c:cat>
          <c:val>
            <c:numRef>
              <c:f>预测!$X$5:$X$117</c:f>
              <c:numCache>
                <c:formatCode>General</c:formatCode>
                <c:ptCount val="113"/>
                <c:pt idx="10">
                  <c:v>-3.9967064101645278</c:v>
                </c:pt>
                <c:pt idx="11">
                  <c:v>-7.0871387805927588</c:v>
                </c:pt>
                <c:pt idx="12">
                  <c:v>-4.2416180451251133</c:v>
                </c:pt>
                <c:pt idx="13">
                  <c:v>-0.7533161998381237</c:v>
                </c:pt>
                <c:pt idx="14">
                  <c:v>0.14161395813900599</c:v>
                </c:pt>
                <c:pt idx="15">
                  <c:v>-1.1986391430679759</c:v>
                </c:pt>
                <c:pt idx="16">
                  <c:v>-5.1674476692784905</c:v>
                </c:pt>
                <c:pt idx="17">
                  <c:v>-3.4521948357725329</c:v>
                </c:pt>
                <c:pt idx="18">
                  <c:v>-7.1639652728374967</c:v>
                </c:pt>
                <c:pt idx="19">
                  <c:v>-6.706409842140773</c:v>
                </c:pt>
                <c:pt idx="20">
                  <c:v>-7.2343171713799661</c:v>
                </c:pt>
                <c:pt idx="21">
                  <c:v>-6.5225011469883922</c:v>
                </c:pt>
                <c:pt idx="22">
                  <c:v>-4.493751612683285</c:v>
                </c:pt>
                <c:pt idx="23">
                  <c:v>-6.0414649042447275</c:v>
                </c:pt>
                <c:pt idx="24">
                  <c:v>-2.1617524016444429</c:v>
                </c:pt>
                <c:pt idx="25">
                  <c:v>-1.5478393039443497</c:v>
                </c:pt>
                <c:pt idx="26">
                  <c:v>-3.5755116129829321</c:v>
                </c:pt>
                <c:pt idx="27">
                  <c:v>-4.9593523160539883</c:v>
                </c:pt>
                <c:pt idx="28">
                  <c:v>-6.2568586066862082</c:v>
                </c:pt>
                <c:pt idx="29">
                  <c:v>-4.3636420441344805</c:v>
                </c:pt>
                <c:pt idx="30">
                  <c:v>-2.7831180557839397</c:v>
                </c:pt>
                <c:pt idx="31">
                  <c:v>-1.0324271037620878</c:v>
                </c:pt>
                <c:pt idx="32">
                  <c:v>3.7041461609066588</c:v>
                </c:pt>
                <c:pt idx="33">
                  <c:v>5.0098392784172203</c:v>
                </c:pt>
                <c:pt idx="34">
                  <c:v>4.4220818478898671</c:v>
                </c:pt>
                <c:pt idx="35">
                  <c:v>1.4188426767567541</c:v>
                </c:pt>
                <c:pt idx="36">
                  <c:v>-0.25689076530764371</c:v>
                </c:pt>
                <c:pt idx="37">
                  <c:v>0.15060607213011176</c:v>
                </c:pt>
                <c:pt idx="38">
                  <c:v>-1.4148032011093719</c:v>
                </c:pt>
                <c:pt idx="39">
                  <c:v>-3.5281459512937161</c:v>
                </c:pt>
                <c:pt idx="40">
                  <c:v>-3.012242205026443</c:v>
                </c:pt>
                <c:pt idx="41">
                  <c:v>0.54227817276071655</c:v>
                </c:pt>
                <c:pt idx="42">
                  <c:v>-2.1807403213221748</c:v>
                </c:pt>
                <c:pt idx="43">
                  <c:v>-4.7092055438434066</c:v>
                </c:pt>
                <c:pt idx="44">
                  <c:v>-6.1665505309303148</c:v>
                </c:pt>
                <c:pt idx="45">
                  <c:v>-2.6154824489890052</c:v>
                </c:pt>
                <c:pt idx="46">
                  <c:v>-1.8039164266054533</c:v>
                </c:pt>
                <c:pt idx="47">
                  <c:v>-3.9183246704051968</c:v>
                </c:pt>
                <c:pt idx="48">
                  <c:v>-3.7707672482944581</c:v>
                </c:pt>
                <c:pt idx="49">
                  <c:v>-2.9350306649329863</c:v>
                </c:pt>
                <c:pt idx="50">
                  <c:v>-2.5273300318918501</c:v>
                </c:pt>
                <c:pt idx="51">
                  <c:v>-4.8114025023001803</c:v>
                </c:pt>
                <c:pt idx="52">
                  <c:v>-5.4854559535628589</c:v>
                </c:pt>
                <c:pt idx="53">
                  <c:v>-2.6861783039378779</c:v>
                </c:pt>
                <c:pt idx="54">
                  <c:v>-1.5390669434986382</c:v>
                </c:pt>
                <c:pt idx="55">
                  <c:v>-1.1114076093567515</c:v>
                </c:pt>
                <c:pt idx="56">
                  <c:v>0.87692171353914994</c:v>
                </c:pt>
                <c:pt idx="57">
                  <c:v>2.8496284926328119</c:v>
                </c:pt>
                <c:pt idx="58">
                  <c:v>4.5976533894091896</c:v>
                </c:pt>
                <c:pt idx="59">
                  <c:v>3.9824176142205112</c:v>
                </c:pt>
                <c:pt idx="60">
                  <c:v>9.7990632527877803</c:v>
                </c:pt>
                <c:pt idx="61">
                  <c:v>13.31751056638263</c:v>
                </c:pt>
                <c:pt idx="62">
                  <c:v>14.022070621393043</c:v>
                </c:pt>
                <c:pt idx="63">
                  <c:v>11.56007905793534</c:v>
                </c:pt>
                <c:pt idx="64">
                  <c:v>6.3800569397013547</c:v>
                </c:pt>
                <c:pt idx="65">
                  <c:v>1.0815554431387226</c:v>
                </c:pt>
                <c:pt idx="66">
                  <c:v>-4.5124405106296699</c:v>
                </c:pt>
                <c:pt idx="67">
                  <c:v>-7.8798432788223893</c:v>
                </c:pt>
                <c:pt idx="68">
                  <c:v>-10.236129732589587</c:v>
                </c:pt>
                <c:pt idx="69">
                  <c:v>-7.2737442925352154</c:v>
                </c:pt>
                <c:pt idx="70">
                  <c:v>-2.383379050458434</c:v>
                </c:pt>
                <c:pt idx="71">
                  <c:v>-0.16952707375603845</c:v>
                </c:pt>
                <c:pt idx="72">
                  <c:v>7.1113995273839478E-2</c:v>
                </c:pt>
                <c:pt idx="73">
                  <c:v>-1.0190250648630703</c:v>
                </c:pt>
                <c:pt idx="74">
                  <c:v>-2.6512148532778852</c:v>
                </c:pt>
                <c:pt idx="75">
                  <c:v>-1.5248339435420071</c:v>
                </c:pt>
                <c:pt idx="76">
                  <c:v>-0.74256634208941052</c:v>
                </c:pt>
                <c:pt idx="77">
                  <c:v>4.3361753718922493</c:v>
                </c:pt>
                <c:pt idx="78">
                  <c:v>2.9985601763877043</c:v>
                </c:pt>
                <c:pt idx="79">
                  <c:v>0.5909868171731727</c:v>
                </c:pt>
                <c:pt idx="80">
                  <c:v>0.25401405683068151</c:v>
                </c:pt>
                <c:pt idx="81">
                  <c:v>-5.6375575063275649</c:v>
                </c:pt>
                <c:pt idx="82">
                  <c:v>-5.8124793824932413</c:v>
                </c:pt>
                <c:pt idx="83">
                  <c:v>-8.821591436897382</c:v>
                </c:pt>
                <c:pt idx="84">
                  <c:v>-7.9495238451186578</c:v>
                </c:pt>
                <c:pt idx="85">
                  <c:v>-7.2405978884714033</c:v>
                </c:pt>
                <c:pt idx="86">
                  <c:v>-5.0860696958057394</c:v>
                </c:pt>
                <c:pt idx="87">
                  <c:v>-5.3541228135805268</c:v>
                </c:pt>
                <c:pt idx="88">
                  <c:v>-8.1251673844773631</c:v>
                </c:pt>
                <c:pt idx="89">
                  <c:v>-9.9421874951845748</c:v>
                </c:pt>
                <c:pt idx="90">
                  <c:v>-7.3298234799807176</c:v>
                </c:pt>
                <c:pt idx="91">
                  <c:v>-5.4695407958587232</c:v>
                </c:pt>
                <c:pt idx="92">
                  <c:v>-3.1702660551932436</c:v>
                </c:pt>
                <c:pt idx="93">
                  <c:v>1.9820105486365105</c:v>
                </c:pt>
                <c:pt idx="94">
                  <c:v>3.489629484661434</c:v>
                </c:pt>
                <c:pt idx="95">
                  <c:v>6.5103314478887304</c:v>
                </c:pt>
                <c:pt idx="96">
                  <c:v>6.0547412777841698</c:v>
                </c:pt>
                <c:pt idx="97">
                  <c:v>4.4469089369502619</c:v>
                </c:pt>
                <c:pt idx="98">
                  <c:v>3.5082429538245461</c:v>
                </c:pt>
                <c:pt idx="99">
                  <c:v>0.3556009363418336</c:v>
                </c:pt>
                <c:pt idx="100">
                  <c:v>-3.3995328005226533</c:v>
                </c:pt>
                <c:pt idx="101">
                  <c:v>-7.5184693873191106</c:v>
                </c:pt>
                <c:pt idx="102">
                  <c:v>-12.441980564698357</c:v>
                </c:pt>
                <c:pt idx="103">
                  <c:v>-9.3750019892309098</c:v>
                </c:pt>
                <c:pt idx="104">
                  <c:v>-9.9784062364503381</c:v>
                </c:pt>
                <c:pt idx="105">
                  <c:v>-5.313824762916826</c:v>
                </c:pt>
                <c:pt idx="106">
                  <c:v>1.9546366339627983</c:v>
                </c:pt>
                <c:pt idx="107">
                  <c:v>3.8253990098695412</c:v>
                </c:pt>
                <c:pt idx="108">
                  <c:v>11.694677182963309</c:v>
                </c:pt>
                <c:pt idx="109">
                  <c:v>7.9285121595820582</c:v>
                </c:pt>
                <c:pt idx="110">
                  <c:v>2.0351384695385479</c:v>
                </c:pt>
                <c:pt idx="111">
                  <c:v>-1.4993378074378294</c:v>
                </c:pt>
                <c:pt idx="112">
                  <c:v>-4.0495486015225346</c:v>
                </c:pt>
              </c:numCache>
            </c:numRef>
          </c:val>
          <c:smooth val="0"/>
          <c:extLst>
            <c:ext xmlns:c16="http://schemas.microsoft.com/office/drawing/2014/chart" uri="{C3380CC4-5D6E-409C-BE32-E72D297353CC}">
              <c16:uniqueId val="{00000000-7AC7-4CA8-BC68-1F833F260704}"/>
            </c:ext>
          </c:extLst>
        </c:ser>
        <c:dLbls>
          <c:showLegendKey val="0"/>
          <c:showVal val="0"/>
          <c:showCatName val="0"/>
          <c:showSerName val="0"/>
          <c:showPercent val="0"/>
          <c:showBubbleSize val="0"/>
        </c:dLbls>
        <c:marker val="1"/>
        <c:smooth val="0"/>
        <c:axId val="745882527"/>
        <c:axId val="745883391"/>
      </c:lineChart>
      <c:dateAx>
        <c:axId val="1931386479"/>
        <c:scaling>
          <c:orientation val="minMax"/>
          <c:min val="42522"/>
        </c:scaling>
        <c:delete val="0"/>
        <c:axPos val="b"/>
        <c:numFmt formatCode="yyyy/m/d;@" sourceLinked="1"/>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zh-CN"/>
          </a:p>
        </c:txPr>
        <c:crossAx val="1931383023"/>
        <c:crosses val="autoZero"/>
        <c:auto val="1"/>
        <c:lblOffset val="100"/>
        <c:baseTimeUnit val="months"/>
        <c:majorUnit val="1"/>
        <c:majorTimeUnit val="months"/>
      </c:dateAx>
      <c:valAx>
        <c:axId val="1931383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931386479"/>
        <c:crosses val="autoZero"/>
        <c:crossBetween val="between"/>
      </c:valAx>
      <c:valAx>
        <c:axId val="74588339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745882527"/>
        <c:crosses val="max"/>
        <c:crossBetween val="between"/>
      </c:valAx>
      <c:dateAx>
        <c:axId val="745882527"/>
        <c:scaling>
          <c:orientation val="minMax"/>
        </c:scaling>
        <c:delete val="1"/>
        <c:axPos val="b"/>
        <c:numFmt formatCode="yyyy/m/d;@" sourceLinked="1"/>
        <c:majorTickMark val="out"/>
        <c:minorTickMark val="none"/>
        <c:tickLblPos val="nextTo"/>
        <c:crossAx val="745883391"/>
        <c:crosses val="autoZero"/>
        <c:auto val="1"/>
        <c:lblOffset val="100"/>
        <c:baseTimeUnit val="month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1"/>
          <c:tx>
            <c:strRef>
              <c:f>'信贷库存框架1-票据+贷款余额'!$F$3</c:f>
              <c:strCache>
                <c:ptCount val="1"/>
                <c:pt idx="0">
                  <c:v>票据上行手动</c:v>
                </c:pt>
              </c:strCache>
            </c:strRef>
          </c:tx>
          <c:spPr>
            <a:solidFill>
              <a:srgbClr val="EE822F">
                <a:alpha val="100000"/>
              </a:srgbClr>
            </a:solidFill>
            <a:ln w="3175">
              <a:noFill/>
            </a:ln>
          </c:spPr>
          <c:invertIfNegative val="0"/>
          <c:cat>
            <c:numRef>
              <c:f>'信贷库存框架1-票据+贷款余额'!$A$4:$A$199</c:f>
              <c:numCache>
                <c:formatCode>yyyy\-mm</c:formatCode>
                <c:ptCount val="196"/>
                <c:pt idx="0">
                  <c:v>46022</c:v>
                </c:pt>
                <c:pt idx="1">
                  <c:v>45991</c:v>
                </c:pt>
                <c:pt idx="2">
                  <c:v>45961</c:v>
                </c:pt>
                <c:pt idx="3">
                  <c:v>45930</c:v>
                </c:pt>
                <c:pt idx="4">
                  <c:v>45900</c:v>
                </c:pt>
                <c:pt idx="5">
                  <c:v>45869</c:v>
                </c:pt>
                <c:pt idx="6">
                  <c:v>45838</c:v>
                </c:pt>
                <c:pt idx="7">
                  <c:v>45808</c:v>
                </c:pt>
                <c:pt idx="8">
                  <c:v>45777</c:v>
                </c:pt>
                <c:pt idx="9">
                  <c:v>45747</c:v>
                </c:pt>
                <c:pt idx="10">
                  <c:v>45716</c:v>
                </c:pt>
                <c:pt idx="11">
                  <c:v>45688</c:v>
                </c:pt>
                <c:pt idx="12">
                  <c:v>45657</c:v>
                </c:pt>
                <c:pt idx="13">
                  <c:v>45626</c:v>
                </c:pt>
                <c:pt idx="14">
                  <c:v>45596</c:v>
                </c:pt>
                <c:pt idx="15">
                  <c:v>45565</c:v>
                </c:pt>
                <c:pt idx="16">
                  <c:v>45535</c:v>
                </c:pt>
                <c:pt idx="17">
                  <c:v>45504</c:v>
                </c:pt>
                <c:pt idx="18">
                  <c:v>45473</c:v>
                </c:pt>
                <c:pt idx="19">
                  <c:v>45443</c:v>
                </c:pt>
                <c:pt idx="20">
                  <c:v>45412</c:v>
                </c:pt>
                <c:pt idx="21">
                  <c:v>45382</c:v>
                </c:pt>
                <c:pt idx="22">
                  <c:v>45351</c:v>
                </c:pt>
                <c:pt idx="23">
                  <c:v>45322</c:v>
                </c:pt>
                <c:pt idx="24">
                  <c:v>45291</c:v>
                </c:pt>
                <c:pt idx="25">
                  <c:v>45260</c:v>
                </c:pt>
                <c:pt idx="26">
                  <c:v>45230</c:v>
                </c:pt>
                <c:pt idx="27">
                  <c:v>45199</c:v>
                </c:pt>
                <c:pt idx="28">
                  <c:v>45169</c:v>
                </c:pt>
                <c:pt idx="29">
                  <c:v>45138</c:v>
                </c:pt>
                <c:pt idx="30">
                  <c:v>45107</c:v>
                </c:pt>
                <c:pt idx="31">
                  <c:v>45077</c:v>
                </c:pt>
                <c:pt idx="32">
                  <c:v>45046</c:v>
                </c:pt>
                <c:pt idx="33">
                  <c:v>45016</c:v>
                </c:pt>
                <c:pt idx="34">
                  <c:v>44985</c:v>
                </c:pt>
                <c:pt idx="35">
                  <c:v>44957</c:v>
                </c:pt>
                <c:pt idx="36">
                  <c:v>44926</c:v>
                </c:pt>
                <c:pt idx="37">
                  <c:v>44895</c:v>
                </c:pt>
                <c:pt idx="38">
                  <c:v>44865</c:v>
                </c:pt>
                <c:pt idx="39">
                  <c:v>44834</c:v>
                </c:pt>
                <c:pt idx="40">
                  <c:v>44804</c:v>
                </c:pt>
                <c:pt idx="41">
                  <c:v>44773</c:v>
                </c:pt>
                <c:pt idx="42">
                  <c:v>44742</c:v>
                </c:pt>
                <c:pt idx="43">
                  <c:v>44712</c:v>
                </c:pt>
                <c:pt idx="44">
                  <c:v>44681</c:v>
                </c:pt>
                <c:pt idx="45">
                  <c:v>44651</c:v>
                </c:pt>
                <c:pt idx="46">
                  <c:v>44620</c:v>
                </c:pt>
                <c:pt idx="47">
                  <c:v>44592</c:v>
                </c:pt>
                <c:pt idx="48">
                  <c:v>44561</c:v>
                </c:pt>
                <c:pt idx="49">
                  <c:v>44530</c:v>
                </c:pt>
                <c:pt idx="50">
                  <c:v>44500</c:v>
                </c:pt>
                <c:pt idx="51">
                  <c:v>44469</c:v>
                </c:pt>
                <c:pt idx="52">
                  <c:v>44439</c:v>
                </c:pt>
                <c:pt idx="53">
                  <c:v>44408</c:v>
                </c:pt>
                <c:pt idx="54">
                  <c:v>44377</c:v>
                </c:pt>
                <c:pt idx="55">
                  <c:v>44347</c:v>
                </c:pt>
                <c:pt idx="56">
                  <c:v>44316</c:v>
                </c:pt>
                <c:pt idx="57">
                  <c:v>44286</c:v>
                </c:pt>
                <c:pt idx="58">
                  <c:v>44255</c:v>
                </c:pt>
                <c:pt idx="59">
                  <c:v>44227</c:v>
                </c:pt>
                <c:pt idx="60">
                  <c:v>44196</c:v>
                </c:pt>
                <c:pt idx="61">
                  <c:v>44165</c:v>
                </c:pt>
                <c:pt idx="62">
                  <c:v>44135</c:v>
                </c:pt>
                <c:pt idx="63">
                  <c:v>44104</c:v>
                </c:pt>
                <c:pt idx="64">
                  <c:v>44074</c:v>
                </c:pt>
                <c:pt idx="65">
                  <c:v>44043</c:v>
                </c:pt>
                <c:pt idx="66">
                  <c:v>44012</c:v>
                </c:pt>
                <c:pt idx="67">
                  <c:v>43982</c:v>
                </c:pt>
                <c:pt idx="68">
                  <c:v>43951</c:v>
                </c:pt>
                <c:pt idx="69">
                  <c:v>43921</c:v>
                </c:pt>
                <c:pt idx="70">
                  <c:v>43890</c:v>
                </c:pt>
                <c:pt idx="71">
                  <c:v>43861</c:v>
                </c:pt>
                <c:pt idx="72">
                  <c:v>43830</c:v>
                </c:pt>
                <c:pt idx="73">
                  <c:v>43799</c:v>
                </c:pt>
                <c:pt idx="74">
                  <c:v>43769</c:v>
                </c:pt>
                <c:pt idx="75">
                  <c:v>43738</c:v>
                </c:pt>
                <c:pt idx="76">
                  <c:v>43708</c:v>
                </c:pt>
                <c:pt idx="77">
                  <c:v>43677</c:v>
                </c:pt>
                <c:pt idx="78">
                  <c:v>43646</c:v>
                </c:pt>
                <c:pt idx="79">
                  <c:v>43616</c:v>
                </c:pt>
                <c:pt idx="80">
                  <c:v>43585</c:v>
                </c:pt>
                <c:pt idx="81">
                  <c:v>43555</c:v>
                </c:pt>
                <c:pt idx="82">
                  <c:v>43524</c:v>
                </c:pt>
                <c:pt idx="83">
                  <c:v>43496</c:v>
                </c:pt>
                <c:pt idx="84">
                  <c:v>43465</c:v>
                </c:pt>
                <c:pt idx="85">
                  <c:v>43434</c:v>
                </c:pt>
                <c:pt idx="86">
                  <c:v>43404</c:v>
                </c:pt>
                <c:pt idx="87">
                  <c:v>43373</c:v>
                </c:pt>
                <c:pt idx="88">
                  <c:v>43343</c:v>
                </c:pt>
                <c:pt idx="89">
                  <c:v>43312</c:v>
                </c:pt>
                <c:pt idx="90">
                  <c:v>43281</c:v>
                </c:pt>
                <c:pt idx="91">
                  <c:v>43251</c:v>
                </c:pt>
                <c:pt idx="92">
                  <c:v>43220</c:v>
                </c:pt>
                <c:pt idx="93">
                  <c:v>43190</c:v>
                </c:pt>
                <c:pt idx="94">
                  <c:v>43159</c:v>
                </c:pt>
                <c:pt idx="95">
                  <c:v>43131</c:v>
                </c:pt>
                <c:pt idx="96">
                  <c:v>43100</c:v>
                </c:pt>
                <c:pt idx="97">
                  <c:v>43069</c:v>
                </c:pt>
                <c:pt idx="98">
                  <c:v>43039</c:v>
                </c:pt>
                <c:pt idx="99">
                  <c:v>43008</c:v>
                </c:pt>
                <c:pt idx="100">
                  <c:v>42978</c:v>
                </c:pt>
                <c:pt idx="101">
                  <c:v>42947</c:v>
                </c:pt>
                <c:pt idx="102">
                  <c:v>42916</c:v>
                </c:pt>
                <c:pt idx="103">
                  <c:v>42886</c:v>
                </c:pt>
                <c:pt idx="104">
                  <c:v>42855</c:v>
                </c:pt>
                <c:pt idx="105">
                  <c:v>42825</c:v>
                </c:pt>
                <c:pt idx="106">
                  <c:v>42794</c:v>
                </c:pt>
                <c:pt idx="107">
                  <c:v>42766</c:v>
                </c:pt>
                <c:pt idx="108">
                  <c:v>42735</c:v>
                </c:pt>
                <c:pt idx="109">
                  <c:v>42704</c:v>
                </c:pt>
                <c:pt idx="110">
                  <c:v>42674</c:v>
                </c:pt>
                <c:pt idx="111">
                  <c:v>42643</c:v>
                </c:pt>
                <c:pt idx="112">
                  <c:v>42613</c:v>
                </c:pt>
                <c:pt idx="113">
                  <c:v>42582</c:v>
                </c:pt>
                <c:pt idx="114">
                  <c:v>42551</c:v>
                </c:pt>
                <c:pt idx="115">
                  <c:v>42521</c:v>
                </c:pt>
                <c:pt idx="116">
                  <c:v>42490</c:v>
                </c:pt>
                <c:pt idx="117">
                  <c:v>42460</c:v>
                </c:pt>
                <c:pt idx="118">
                  <c:v>42429</c:v>
                </c:pt>
                <c:pt idx="119">
                  <c:v>42400</c:v>
                </c:pt>
                <c:pt idx="120">
                  <c:v>42369</c:v>
                </c:pt>
                <c:pt idx="121">
                  <c:v>42338</c:v>
                </c:pt>
                <c:pt idx="122">
                  <c:v>42308</c:v>
                </c:pt>
                <c:pt idx="123">
                  <c:v>42277</c:v>
                </c:pt>
                <c:pt idx="124">
                  <c:v>42247</c:v>
                </c:pt>
                <c:pt idx="125">
                  <c:v>42216</c:v>
                </c:pt>
                <c:pt idx="126">
                  <c:v>42185</c:v>
                </c:pt>
                <c:pt idx="127">
                  <c:v>42155</c:v>
                </c:pt>
                <c:pt idx="128">
                  <c:v>42124</c:v>
                </c:pt>
                <c:pt idx="129">
                  <c:v>42094</c:v>
                </c:pt>
                <c:pt idx="130">
                  <c:v>42063</c:v>
                </c:pt>
                <c:pt idx="131">
                  <c:v>42035</c:v>
                </c:pt>
                <c:pt idx="132">
                  <c:v>42004</c:v>
                </c:pt>
                <c:pt idx="133">
                  <c:v>41973</c:v>
                </c:pt>
                <c:pt idx="134">
                  <c:v>41943</c:v>
                </c:pt>
                <c:pt idx="135">
                  <c:v>41912</c:v>
                </c:pt>
                <c:pt idx="136">
                  <c:v>41882</c:v>
                </c:pt>
                <c:pt idx="137">
                  <c:v>41851</c:v>
                </c:pt>
                <c:pt idx="138">
                  <c:v>41820</c:v>
                </c:pt>
                <c:pt idx="139">
                  <c:v>41790</c:v>
                </c:pt>
                <c:pt idx="140">
                  <c:v>41759</c:v>
                </c:pt>
                <c:pt idx="141">
                  <c:v>41729</c:v>
                </c:pt>
                <c:pt idx="142">
                  <c:v>41698</c:v>
                </c:pt>
                <c:pt idx="143">
                  <c:v>41670</c:v>
                </c:pt>
                <c:pt idx="144">
                  <c:v>41639</c:v>
                </c:pt>
                <c:pt idx="145">
                  <c:v>41608</c:v>
                </c:pt>
                <c:pt idx="146">
                  <c:v>41578</c:v>
                </c:pt>
                <c:pt idx="147">
                  <c:v>41547</c:v>
                </c:pt>
                <c:pt idx="148">
                  <c:v>41517</c:v>
                </c:pt>
                <c:pt idx="149">
                  <c:v>41486</c:v>
                </c:pt>
                <c:pt idx="150">
                  <c:v>41455</c:v>
                </c:pt>
                <c:pt idx="151">
                  <c:v>41425</c:v>
                </c:pt>
                <c:pt idx="152">
                  <c:v>41394</c:v>
                </c:pt>
                <c:pt idx="153">
                  <c:v>41364</c:v>
                </c:pt>
                <c:pt idx="154">
                  <c:v>41333</c:v>
                </c:pt>
                <c:pt idx="155">
                  <c:v>41305</c:v>
                </c:pt>
                <c:pt idx="156">
                  <c:v>41274</c:v>
                </c:pt>
                <c:pt idx="157">
                  <c:v>41243</c:v>
                </c:pt>
                <c:pt idx="158">
                  <c:v>41213</c:v>
                </c:pt>
                <c:pt idx="159">
                  <c:v>41182</c:v>
                </c:pt>
                <c:pt idx="160">
                  <c:v>41152</c:v>
                </c:pt>
                <c:pt idx="161">
                  <c:v>41121</c:v>
                </c:pt>
                <c:pt idx="162">
                  <c:v>41090</c:v>
                </c:pt>
                <c:pt idx="163">
                  <c:v>41060</c:v>
                </c:pt>
                <c:pt idx="164">
                  <c:v>41029</c:v>
                </c:pt>
                <c:pt idx="165">
                  <c:v>40999</c:v>
                </c:pt>
                <c:pt idx="166">
                  <c:v>40968</c:v>
                </c:pt>
                <c:pt idx="167">
                  <c:v>40939</c:v>
                </c:pt>
                <c:pt idx="168">
                  <c:v>40908</c:v>
                </c:pt>
                <c:pt idx="169">
                  <c:v>40877</c:v>
                </c:pt>
                <c:pt idx="170">
                  <c:v>40847</c:v>
                </c:pt>
                <c:pt idx="171">
                  <c:v>40816</c:v>
                </c:pt>
                <c:pt idx="172">
                  <c:v>40786</c:v>
                </c:pt>
              </c:numCache>
            </c:numRef>
          </c:cat>
          <c:val>
            <c:numRef>
              <c:f>'信贷库存框架1-票据+贷款余额'!$F$4:$F$199</c:f>
              <c:numCache>
                <c:formatCode>General</c:formatCode>
                <c:ptCount val="196"/>
                <c:pt idx="0">
                  <c:v>0</c:v>
                </c:pt>
                <c:pt idx="1">
                  <c:v>1</c:v>
                </c:pt>
                <c:pt idx="2">
                  <c:v>1</c:v>
                </c:pt>
                <c:pt idx="3">
                  <c:v>0</c:v>
                </c:pt>
                <c:pt idx="4">
                  <c:v>0</c:v>
                </c:pt>
                <c:pt idx="5">
                  <c:v>1</c:v>
                </c:pt>
                <c:pt idx="6">
                  <c:v>0</c:v>
                </c:pt>
                <c:pt idx="7">
                  <c:v>0</c:v>
                </c:pt>
                <c:pt idx="8">
                  <c:v>0</c:v>
                </c:pt>
                <c:pt idx="9">
                  <c:v>1</c:v>
                </c:pt>
                <c:pt idx="10">
                  <c:v>1</c:v>
                </c:pt>
                <c:pt idx="11">
                  <c:v>1</c:v>
                </c:pt>
                <c:pt idx="12">
                  <c:v>1</c:v>
                </c:pt>
                <c:pt idx="13">
                  <c:v>0</c:v>
                </c:pt>
                <c:pt idx="14">
                  <c:v>0</c:v>
                </c:pt>
                <c:pt idx="15">
                  <c:v>1</c:v>
                </c:pt>
                <c:pt idx="16">
                  <c:v>1</c:v>
                </c:pt>
                <c:pt idx="17">
                  <c:v>1</c:v>
                </c:pt>
                <c:pt idx="18">
                  <c:v>1</c:v>
                </c:pt>
                <c:pt idx="19">
                  <c:v>1</c:v>
                </c:pt>
                <c:pt idx="20">
                  <c:v>1</c:v>
                </c:pt>
                <c:pt idx="21">
                  <c:v>1</c:v>
                </c:pt>
                <c:pt idx="22">
                  <c:v>0</c:v>
                </c:pt>
                <c:pt idx="23">
                  <c:v>0</c:v>
                </c:pt>
                <c:pt idx="24">
                  <c:v>1</c:v>
                </c:pt>
                <c:pt idx="25">
                  <c:v>1</c:v>
                </c:pt>
                <c:pt idx="26">
                  <c:v>1</c:v>
                </c:pt>
                <c:pt idx="27">
                  <c:v>0</c:v>
                </c:pt>
                <c:pt idx="28">
                  <c:v>1</c:v>
                </c:pt>
                <c:pt idx="29">
                  <c:v>1</c:v>
                </c:pt>
                <c:pt idx="30">
                  <c:v>0</c:v>
                </c:pt>
                <c:pt idx="31">
                  <c:v>0</c:v>
                </c:pt>
                <c:pt idx="32">
                  <c:v>0</c:v>
                </c:pt>
                <c:pt idx="33">
                  <c:v>0</c:v>
                </c:pt>
                <c:pt idx="34">
                  <c:v>0</c:v>
                </c:pt>
                <c:pt idx="35">
                  <c:v>0</c:v>
                </c:pt>
                <c:pt idx="36">
                  <c:v>0</c:v>
                </c:pt>
                <c:pt idx="37">
                  <c:v>0</c:v>
                </c:pt>
                <c:pt idx="38">
                  <c:v>1</c:v>
                </c:pt>
                <c:pt idx="39">
                  <c:v>0</c:v>
                </c:pt>
                <c:pt idx="40">
                  <c:v>0</c:v>
                </c:pt>
                <c:pt idx="41">
                  <c:v>1</c:v>
                </c:pt>
                <c:pt idx="42">
                  <c:v>0</c:v>
                </c:pt>
                <c:pt idx="43">
                  <c:v>1</c:v>
                </c:pt>
                <c:pt idx="44">
                  <c:v>1</c:v>
                </c:pt>
                <c:pt idx="45">
                  <c:v>1</c:v>
                </c:pt>
                <c:pt idx="46">
                  <c:v>1</c:v>
                </c:pt>
                <c:pt idx="47">
                  <c:v>1</c:v>
                </c:pt>
                <c:pt idx="48">
                  <c:v>1</c:v>
                </c:pt>
                <c:pt idx="49">
                  <c:v>1</c:v>
                </c:pt>
                <c:pt idx="50">
                  <c:v>1</c:v>
                </c:pt>
                <c:pt idx="51">
                  <c:v>1</c:v>
                </c:pt>
                <c:pt idx="52">
                  <c:v>1</c:v>
                </c:pt>
                <c:pt idx="53">
                  <c:v>1</c:v>
                </c:pt>
                <c:pt idx="54">
                  <c:v>1</c:v>
                </c:pt>
                <c:pt idx="55">
                  <c:v>1</c:v>
                </c:pt>
                <c:pt idx="56">
                  <c:v>0</c:v>
                </c:pt>
                <c:pt idx="57">
                  <c:v>0</c:v>
                </c:pt>
                <c:pt idx="58">
                  <c:v>0</c:v>
                </c:pt>
                <c:pt idx="59">
                  <c:v>0</c:v>
                </c:pt>
                <c:pt idx="60">
                  <c:v>1</c:v>
                </c:pt>
                <c:pt idx="61">
                  <c:v>1</c:v>
                </c:pt>
                <c:pt idx="62">
                  <c:v>0</c:v>
                </c:pt>
                <c:pt idx="63">
                  <c:v>0</c:v>
                </c:pt>
                <c:pt idx="64">
                  <c:v>0</c:v>
                </c:pt>
                <c:pt idx="65">
                  <c:v>0</c:v>
                </c:pt>
                <c:pt idx="66">
                  <c:v>0</c:v>
                </c:pt>
                <c:pt idx="67">
                  <c:v>1</c:v>
                </c:pt>
                <c:pt idx="68">
                  <c:v>1</c:v>
                </c:pt>
                <c:pt idx="69">
                  <c:v>1</c:v>
                </c:pt>
                <c:pt idx="70">
                  <c:v>0</c:v>
                </c:pt>
                <c:pt idx="71">
                  <c:v>0</c:v>
                </c:pt>
                <c:pt idx="72">
                  <c:v>0</c:v>
                </c:pt>
                <c:pt idx="73">
                  <c:v>0</c:v>
                </c:pt>
                <c:pt idx="74">
                  <c:v>0</c:v>
                </c:pt>
                <c:pt idx="75">
                  <c:v>0</c:v>
                </c:pt>
                <c:pt idx="76">
                  <c:v>0</c:v>
                </c:pt>
                <c:pt idx="77">
                  <c:v>0</c:v>
                </c:pt>
                <c:pt idx="78">
                  <c:v>0</c:v>
                </c:pt>
                <c:pt idx="79">
                  <c:v>0</c:v>
                </c:pt>
                <c:pt idx="80">
                  <c:v>1</c:v>
                </c:pt>
                <c:pt idx="81">
                  <c:v>1</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1</c:v>
                </c:pt>
                <c:pt idx="112">
                  <c:v>0</c:v>
                </c:pt>
                <c:pt idx="113">
                  <c:v>0</c:v>
                </c:pt>
                <c:pt idx="114">
                  <c:v>0</c:v>
                </c:pt>
                <c:pt idx="115">
                  <c:v>0</c:v>
                </c:pt>
                <c:pt idx="116">
                  <c:v>1</c:v>
                </c:pt>
                <c:pt idx="117">
                  <c:v>1</c:v>
                </c:pt>
                <c:pt idx="118">
                  <c:v>0</c:v>
                </c:pt>
                <c:pt idx="119">
                  <c:v>1</c:v>
                </c:pt>
                <c:pt idx="120">
                  <c:v>1</c:v>
                </c:pt>
                <c:pt idx="121">
                  <c:v>0</c:v>
                </c:pt>
                <c:pt idx="122">
                  <c:v>0</c:v>
                </c:pt>
                <c:pt idx="123">
                  <c:v>0</c:v>
                </c:pt>
                <c:pt idx="124">
                  <c:v>0</c:v>
                </c:pt>
                <c:pt idx="125">
                  <c:v>0</c:v>
                </c:pt>
                <c:pt idx="126">
                  <c:v>1</c:v>
                </c:pt>
                <c:pt idx="127">
                  <c:v>0</c:v>
                </c:pt>
                <c:pt idx="128">
                  <c:v>0</c:v>
                </c:pt>
                <c:pt idx="129">
                  <c:v>0</c:v>
                </c:pt>
                <c:pt idx="130">
                  <c:v>1</c:v>
                </c:pt>
                <c:pt idx="131">
                  <c:v>1</c:v>
                </c:pt>
                <c:pt idx="132">
                  <c:v>0</c:v>
                </c:pt>
                <c:pt idx="133">
                  <c:v>1</c:v>
                </c:pt>
                <c:pt idx="134">
                  <c:v>1</c:v>
                </c:pt>
                <c:pt idx="135">
                  <c:v>1</c:v>
                </c:pt>
                <c:pt idx="136">
                  <c:v>1</c:v>
                </c:pt>
                <c:pt idx="137">
                  <c:v>1</c:v>
                </c:pt>
                <c:pt idx="138">
                  <c:v>1</c:v>
                </c:pt>
                <c:pt idx="139">
                  <c:v>1</c:v>
                </c:pt>
                <c:pt idx="140">
                  <c:v>0</c:v>
                </c:pt>
                <c:pt idx="141">
                  <c:v>0</c:v>
                </c:pt>
                <c:pt idx="142">
                  <c:v>0</c:v>
                </c:pt>
                <c:pt idx="143">
                  <c:v>0</c:v>
                </c:pt>
                <c:pt idx="144">
                  <c:v>1</c:v>
                </c:pt>
                <c:pt idx="145">
                  <c:v>1</c:v>
                </c:pt>
                <c:pt idx="146">
                  <c:v>0</c:v>
                </c:pt>
                <c:pt idx="147">
                  <c:v>1</c:v>
                </c:pt>
                <c:pt idx="148">
                  <c:v>0</c:v>
                </c:pt>
                <c:pt idx="149">
                  <c:v>0</c:v>
                </c:pt>
                <c:pt idx="150">
                  <c:v>0</c:v>
                </c:pt>
                <c:pt idx="151">
                  <c:v>0</c:v>
                </c:pt>
                <c:pt idx="152">
                  <c:v>0</c:v>
                </c:pt>
                <c:pt idx="153">
                  <c:v>0</c:v>
                </c:pt>
                <c:pt idx="154">
                  <c:v>0</c:v>
                </c:pt>
                <c:pt idx="155">
                  <c:v>0</c:v>
                </c:pt>
                <c:pt idx="156">
                  <c:v>0</c:v>
                </c:pt>
                <c:pt idx="157">
                  <c:v>0</c:v>
                </c:pt>
                <c:pt idx="158">
                  <c:v>1</c:v>
                </c:pt>
                <c:pt idx="159">
                  <c:v>0</c:v>
                </c:pt>
                <c:pt idx="160">
                  <c:v>0</c:v>
                </c:pt>
                <c:pt idx="161">
                  <c:v>1</c:v>
                </c:pt>
                <c:pt idx="162">
                  <c:v>0</c:v>
                </c:pt>
                <c:pt idx="163">
                  <c:v>1</c:v>
                </c:pt>
                <c:pt idx="164">
                  <c:v>1</c:v>
                </c:pt>
                <c:pt idx="165">
                  <c:v>1</c:v>
                </c:pt>
                <c:pt idx="166">
                  <c:v>1</c:v>
                </c:pt>
                <c:pt idx="167">
                  <c:v>1</c:v>
                </c:pt>
                <c:pt idx="168">
                  <c:v>1</c:v>
                </c:pt>
                <c:pt idx="169">
                  <c:v>1</c:v>
                </c:pt>
                <c:pt idx="170">
                  <c:v>0</c:v>
                </c:pt>
                <c:pt idx="171">
                  <c:v>1</c:v>
                </c:pt>
                <c:pt idx="172">
                  <c:v>0</c:v>
                </c:pt>
              </c:numCache>
            </c:numRef>
          </c:val>
          <c:extLst>
            <c:ext xmlns:c16="http://schemas.microsoft.com/office/drawing/2014/chart" uri="{C3380CC4-5D6E-409C-BE32-E72D297353CC}">
              <c16:uniqueId val="{00000000-4589-48B2-BA7B-2E169CE2351B}"/>
            </c:ext>
          </c:extLst>
        </c:ser>
        <c:ser>
          <c:idx val="2"/>
          <c:order val="2"/>
          <c:tx>
            <c:strRef>
              <c:f>'信贷库存框架1-票据+贷款余额'!$G$3</c:f>
              <c:strCache>
                <c:ptCount val="1"/>
                <c:pt idx="0">
                  <c:v>票据下行手动</c:v>
                </c:pt>
              </c:strCache>
            </c:strRef>
          </c:tx>
          <c:spPr>
            <a:solidFill>
              <a:srgbClr val="F2BA02">
                <a:alpha val="100000"/>
              </a:srgbClr>
            </a:solidFill>
            <a:ln w="3175">
              <a:noFill/>
            </a:ln>
          </c:spPr>
          <c:invertIfNegative val="0"/>
          <c:cat>
            <c:numRef>
              <c:f>'信贷库存框架1-票据+贷款余额'!$A$4:$A$199</c:f>
              <c:numCache>
                <c:formatCode>yyyy\-mm</c:formatCode>
                <c:ptCount val="196"/>
                <c:pt idx="0">
                  <c:v>46022</c:v>
                </c:pt>
                <c:pt idx="1">
                  <c:v>45991</c:v>
                </c:pt>
                <c:pt idx="2">
                  <c:v>45961</c:v>
                </c:pt>
                <c:pt idx="3">
                  <c:v>45930</c:v>
                </c:pt>
                <c:pt idx="4">
                  <c:v>45900</c:v>
                </c:pt>
                <c:pt idx="5">
                  <c:v>45869</c:v>
                </c:pt>
                <c:pt idx="6">
                  <c:v>45838</c:v>
                </c:pt>
                <c:pt idx="7">
                  <c:v>45808</c:v>
                </c:pt>
                <c:pt idx="8">
                  <c:v>45777</c:v>
                </c:pt>
                <c:pt idx="9">
                  <c:v>45747</c:v>
                </c:pt>
                <c:pt idx="10">
                  <c:v>45716</c:v>
                </c:pt>
                <c:pt idx="11">
                  <c:v>45688</c:v>
                </c:pt>
                <c:pt idx="12">
                  <c:v>45657</c:v>
                </c:pt>
                <c:pt idx="13">
                  <c:v>45626</c:v>
                </c:pt>
                <c:pt idx="14">
                  <c:v>45596</c:v>
                </c:pt>
                <c:pt idx="15">
                  <c:v>45565</c:v>
                </c:pt>
                <c:pt idx="16">
                  <c:v>45535</c:v>
                </c:pt>
                <c:pt idx="17">
                  <c:v>45504</c:v>
                </c:pt>
                <c:pt idx="18">
                  <c:v>45473</c:v>
                </c:pt>
                <c:pt idx="19">
                  <c:v>45443</c:v>
                </c:pt>
                <c:pt idx="20">
                  <c:v>45412</c:v>
                </c:pt>
                <c:pt idx="21">
                  <c:v>45382</c:v>
                </c:pt>
                <c:pt idx="22">
                  <c:v>45351</c:v>
                </c:pt>
                <c:pt idx="23">
                  <c:v>45322</c:v>
                </c:pt>
                <c:pt idx="24">
                  <c:v>45291</c:v>
                </c:pt>
                <c:pt idx="25">
                  <c:v>45260</c:v>
                </c:pt>
                <c:pt idx="26">
                  <c:v>45230</c:v>
                </c:pt>
                <c:pt idx="27">
                  <c:v>45199</c:v>
                </c:pt>
                <c:pt idx="28">
                  <c:v>45169</c:v>
                </c:pt>
                <c:pt idx="29">
                  <c:v>45138</c:v>
                </c:pt>
                <c:pt idx="30">
                  <c:v>45107</c:v>
                </c:pt>
                <c:pt idx="31">
                  <c:v>45077</c:v>
                </c:pt>
                <c:pt idx="32">
                  <c:v>45046</c:v>
                </c:pt>
                <c:pt idx="33">
                  <c:v>45016</c:v>
                </c:pt>
                <c:pt idx="34">
                  <c:v>44985</c:v>
                </c:pt>
                <c:pt idx="35">
                  <c:v>44957</c:v>
                </c:pt>
                <c:pt idx="36">
                  <c:v>44926</c:v>
                </c:pt>
                <c:pt idx="37">
                  <c:v>44895</c:v>
                </c:pt>
                <c:pt idx="38">
                  <c:v>44865</c:v>
                </c:pt>
                <c:pt idx="39">
                  <c:v>44834</c:v>
                </c:pt>
                <c:pt idx="40">
                  <c:v>44804</c:v>
                </c:pt>
                <c:pt idx="41">
                  <c:v>44773</c:v>
                </c:pt>
                <c:pt idx="42">
                  <c:v>44742</c:v>
                </c:pt>
                <c:pt idx="43">
                  <c:v>44712</c:v>
                </c:pt>
                <c:pt idx="44">
                  <c:v>44681</c:v>
                </c:pt>
                <c:pt idx="45">
                  <c:v>44651</c:v>
                </c:pt>
                <c:pt idx="46">
                  <c:v>44620</c:v>
                </c:pt>
                <c:pt idx="47">
                  <c:v>44592</c:v>
                </c:pt>
                <c:pt idx="48">
                  <c:v>44561</c:v>
                </c:pt>
                <c:pt idx="49">
                  <c:v>44530</c:v>
                </c:pt>
                <c:pt idx="50">
                  <c:v>44500</c:v>
                </c:pt>
                <c:pt idx="51">
                  <c:v>44469</c:v>
                </c:pt>
                <c:pt idx="52">
                  <c:v>44439</c:v>
                </c:pt>
                <c:pt idx="53">
                  <c:v>44408</c:v>
                </c:pt>
                <c:pt idx="54">
                  <c:v>44377</c:v>
                </c:pt>
                <c:pt idx="55">
                  <c:v>44347</c:v>
                </c:pt>
                <c:pt idx="56">
                  <c:v>44316</c:v>
                </c:pt>
                <c:pt idx="57">
                  <c:v>44286</c:v>
                </c:pt>
                <c:pt idx="58">
                  <c:v>44255</c:v>
                </c:pt>
                <c:pt idx="59">
                  <c:v>44227</c:v>
                </c:pt>
                <c:pt idx="60">
                  <c:v>44196</c:v>
                </c:pt>
                <c:pt idx="61">
                  <c:v>44165</c:v>
                </c:pt>
                <c:pt idx="62">
                  <c:v>44135</c:v>
                </c:pt>
                <c:pt idx="63">
                  <c:v>44104</c:v>
                </c:pt>
                <c:pt idx="64">
                  <c:v>44074</c:v>
                </c:pt>
                <c:pt idx="65">
                  <c:v>44043</c:v>
                </c:pt>
                <c:pt idx="66">
                  <c:v>44012</c:v>
                </c:pt>
                <c:pt idx="67">
                  <c:v>43982</c:v>
                </c:pt>
                <c:pt idx="68">
                  <c:v>43951</c:v>
                </c:pt>
                <c:pt idx="69">
                  <c:v>43921</c:v>
                </c:pt>
                <c:pt idx="70">
                  <c:v>43890</c:v>
                </c:pt>
                <c:pt idx="71">
                  <c:v>43861</c:v>
                </c:pt>
                <c:pt idx="72">
                  <c:v>43830</c:v>
                </c:pt>
                <c:pt idx="73">
                  <c:v>43799</c:v>
                </c:pt>
                <c:pt idx="74">
                  <c:v>43769</c:v>
                </c:pt>
                <c:pt idx="75">
                  <c:v>43738</c:v>
                </c:pt>
                <c:pt idx="76">
                  <c:v>43708</c:v>
                </c:pt>
                <c:pt idx="77">
                  <c:v>43677</c:v>
                </c:pt>
                <c:pt idx="78">
                  <c:v>43646</c:v>
                </c:pt>
                <c:pt idx="79">
                  <c:v>43616</c:v>
                </c:pt>
                <c:pt idx="80">
                  <c:v>43585</c:v>
                </c:pt>
                <c:pt idx="81">
                  <c:v>43555</c:v>
                </c:pt>
                <c:pt idx="82">
                  <c:v>43524</c:v>
                </c:pt>
                <c:pt idx="83">
                  <c:v>43496</c:v>
                </c:pt>
                <c:pt idx="84">
                  <c:v>43465</c:v>
                </c:pt>
                <c:pt idx="85">
                  <c:v>43434</c:v>
                </c:pt>
                <c:pt idx="86">
                  <c:v>43404</c:v>
                </c:pt>
                <c:pt idx="87">
                  <c:v>43373</c:v>
                </c:pt>
                <c:pt idx="88">
                  <c:v>43343</c:v>
                </c:pt>
                <c:pt idx="89">
                  <c:v>43312</c:v>
                </c:pt>
                <c:pt idx="90">
                  <c:v>43281</c:v>
                </c:pt>
                <c:pt idx="91">
                  <c:v>43251</c:v>
                </c:pt>
                <c:pt idx="92">
                  <c:v>43220</c:v>
                </c:pt>
                <c:pt idx="93">
                  <c:v>43190</c:v>
                </c:pt>
                <c:pt idx="94">
                  <c:v>43159</c:v>
                </c:pt>
                <c:pt idx="95">
                  <c:v>43131</c:v>
                </c:pt>
                <c:pt idx="96">
                  <c:v>43100</c:v>
                </c:pt>
                <c:pt idx="97">
                  <c:v>43069</c:v>
                </c:pt>
                <c:pt idx="98">
                  <c:v>43039</c:v>
                </c:pt>
                <c:pt idx="99">
                  <c:v>43008</c:v>
                </c:pt>
                <c:pt idx="100">
                  <c:v>42978</c:v>
                </c:pt>
                <c:pt idx="101">
                  <c:v>42947</c:v>
                </c:pt>
                <c:pt idx="102">
                  <c:v>42916</c:v>
                </c:pt>
                <c:pt idx="103">
                  <c:v>42886</c:v>
                </c:pt>
                <c:pt idx="104">
                  <c:v>42855</c:v>
                </c:pt>
                <c:pt idx="105">
                  <c:v>42825</c:v>
                </c:pt>
                <c:pt idx="106">
                  <c:v>42794</c:v>
                </c:pt>
                <c:pt idx="107">
                  <c:v>42766</c:v>
                </c:pt>
                <c:pt idx="108">
                  <c:v>42735</c:v>
                </c:pt>
                <c:pt idx="109">
                  <c:v>42704</c:v>
                </c:pt>
                <c:pt idx="110">
                  <c:v>42674</c:v>
                </c:pt>
                <c:pt idx="111">
                  <c:v>42643</c:v>
                </c:pt>
                <c:pt idx="112">
                  <c:v>42613</c:v>
                </c:pt>
                <c:pt idx="113">
                  <c:v>42582</c:v>
                </c:pt>
                <c:pt idx="114">
                  <c:v>42551</c:v>
                </c:pt>
                <c:pt idx="115">
                  <c:v>42521</c:v>
                </c:pt>
                <c:pt idx="116">
                  <c:v>42490</c:v>
                </c:pt>
                <c:pt idx="117">
                  <c:v>42460</c:v>
                </c:pt>
                <c:pt idx="118">
                  <c:v>42429</c:v>
                </c:pt>
                <c:pt idx="119">
                  <c:v>42400</c:v>
                </c:pt>
                <c:pt idx="120">
                  <c:v>42369</c:v>
                </c:pt>
                <c:pt idx="121">
                  <c:v>42338</c:v>
                </c:pt>
                <c:pt idx="122">
                  <c:v>42308</c:v>
                </c:pt>
                <c:pt idx="123">
                  <c:v>42277</c:v>
                </c:pt>
                <c:pt idx="124">
                  <c:v>42247</c:v>
                </c:pt>
                <c:pt idx="125">
                  <c:v>42216</c:v>
                </c:pt>
                <c:pt idx="126">
                  <c:v>42185</c:v>
                </c:pt>
                <c:pt idx="127">
                  <c:v>42155</c:v>
                </c:pt>
                <c:pt idx="128">
                  <c:v>42124</c:v>
                </c:pt>
                <c:pt idx="129">
                  <c:v>42094</c:v>
                </c:pt>
                <c:pt idx="130">
                  <c:v>42063</c:v>
                </c:pt>
                <c:pt idx="131">
                  <c:v>42035</c:v>
                </c:pt>
                <c:pt idx="132">
                  <c:v>42004</c:v>
                </c:pt>
                <c:pt idx="133">
                  <c:v>41973</c:v>
                </c:pt>
                <c:pt idx="134">
                  <c:v>41943</c:v>
                </c:pt>
                <c:pt idx="135">
                  <c:v>41912</c:v>
                </c:pt>
                <c:pt idx="136">
                  <c:v>41882</c:v>
                </c:pt>
                <c:pt idx="137">
                  <c:v>41851</c:v>
                </c:pt>
                <c:pt idx="138">
                  <c:v>41820</c:v>
                </c:pt>
                <c:pt idx="139">
                  <c:v>41790</c:v>
                </c:pt>
                <c:pt idx="140">
                  <c:v>41759</c:v>
                </c:pt>
                <c:pt idx="141">
                  <c:v>41729</c:v>
                </c:pt>
                <c:pt idx="142">
                  <c:v>41698</c:v>
                </c:pt>
                <c:pt idx="143">
                  <c:v>41670</c:v>
                </c:pt>
                <c:pt idx="144">
                  <c:v>41639</c:v>
                </c:pt>
                <c:pt idx="145">
                  <c:v>41608</c:v>
                </c:pt>
                <c:pt idx="146">
                  <c:v>41578</c:v>
                </c:pt>
                <c:pt idx="147">
                  <c:v>41547</c:v>
                </c:pt>
                <c:pt idx="148">
                  <c:v>41517</c:v>
                </c:pt>
                <c:pt idx="149">
                  <c:v>41486</c:v>
                </c:pt>
                <c:pt idx="150">
                  <c:v>41455</c:v>
                </c:pt>
                <c:pt idx="151">
                  <c:v>41425</c:v>
                </c:pt>
                <c:pt idx="152">
                  <c:v>41394</c:v>
                </c:pt>
                <c:pt idx="153">
                  <c:v>41364</c:v>
                </c:pt>
                <c:pt idx="154">
                  <c:v>41333</c:v>
                </c:pt>
                <c:pt idx="155">
                  <c:v>41305</c:v>
                </c:pt>
                <c:pt idx="156">
                  <c:v>41274</c:v>
                </c:pt>
                <c:pt idx="157">
                  <c:v>41243</c:v>
                </c:pt>
                <c:pt idx="158">
                  <c:v>41213</c:v>
                </c:pt>
                <c:pt idx="159">
                  <c:v>41182</c:v>
                </c:pt>
                <c:pt idx="160">
                  <c:v>41152</c:v>
                </c:pt>
                <c:pt idx="161">
                  <c:v>41121</c:v>
                </c:pt>
                <c:pt idx="162">
                  <c:v>41090</c:v>
                </c:pt>
                <c:pt idx="163">
                  <c:v>41060</c:v>
                </c:pt>
                <c:pt idx="164">
                  <c:v>41029</c:v>
                </c:pt>
                <c:pt idx="165">
                  <c:v>40999</c:v>
                </c:pt>
                <c:pt idx="166">
                  <c:v>40968</c:v>
                </c:pt>
                <c:pt idx="167">
                  <c:v>40939</c:v>
                </c:pt>
                <c:pt idx="168">
                  <c:v>40908</c:v>
                </c:pt>
                <c:pt idx="169">
                  <c:v>40877</c:v>
                </c:pt>
                <c:pt idx="170">
                  <c:v>40847</c:v>
                </c:pt>
                <c:pt idx="171">
                  <c:v>40816</c:v>
                </c:pt>
                <c:pt idx="172">
                  <c:v>40786</c:v>
                </c:pt>
              </c:numCache>
            </c:numRef>
          </c:cat>
          <c:val>
            <c:numRef>
              <c:f>'信贷库存框架1-票据+贷款余额'!$G$4:$G$199</c:f>
              <c:numCache>
                <c:formatCode>General</c:formatCode>
                <c:ptCount val="196"/>
                <c:pt idx="0">
                  <c:v>1</c:v>
                </c:pt>
                <c:pt idx="1">
                  <c:v>0</c:v>
                </c:pt>
                <c:pt idx="2">
                  <c:v>0</c:v>
                </c:pt>
                <c:pt idx="3">
                  <c:v>1</c:v>
                </c:pt>
                <c:pt idx="4">
                  <c:v>1</c:v>
                </c:pt>
                <c:pt idx="5">
                  <c:v>0</c:v>
                </c:pt>
                <c:pt idx="6">
                  <c:v>1</c:v>
                </c:pt>
                <c:pt idx="7">
                  <c:v>1</c:v>
                </c:pt>
                <c:pt idx="8">
                  <c:v>1</c:v>
                </c:pt>
                <c:pt idx="9">
                  <c:v>0</c:v>
                </c:pt>
                <c:pt idx="10">
                  <c:v>0</c:v>
                </c:pt>
                <c:pt idx="11">
                  <c:v>0</c:v>
                </c:pt>
                <c:pt idx="12">
                  <c:v>0</c:v>
                </c:pt>
                <c:pt idx="13">
                  <c:v>1</c:v>
                </c:pt>
                <c:pt idx="14">
                  <c:v>1</c:v>
                </c:pt>
                <c:pt idx="15">
                  <c:v>0</c:v>
                </c:pt>
                <c:pt idx="16">
                  <c:v>0</c:v>
                </c:pt>
                <c:pt idx="17">
                  <c:v>0</c:v>
                </c:pt>
                <c:pt idx="18">
                  <c:v>0</c:v>
                </c:pt>
                <c:pt idx="19">
                  <c:v>0</c:v>
                </c:pt>
                <c:pt idx="20">
                  <c:v>0</c:v>
                </c:pt>
                <c:pt idx="21">
                  <c:v>0</c:v>
                </c:pt>
                <c:pt idx="22">
                  <c:v>1</c:v>
                </c:pt>
                <c:pt idx="23">
                  <c:v>1</c:v>
                </c:pt>
                <c:pt idx="24">
                  <c:v>0</c:v>
                </c:pt>
                <c:pt idx="25">
                  <c:v>0</c:v>
                </c:pt>
                <c:pt idx="26">
                  <c:v>0</c:v>
                </c:pt>
                <c:pt idx="27">
                  <c:v>1</c:v>
                </c:pt>
                <c:pt idx="28">
                  <c:v>0</c:v>
                </c:pt>
                <c:pt idx="29">
                  <c:v>0</c:v>
                </c:pt>
                <c:pt idx="30">
                  <c:v>1</c:v>
                </c:pt>
                <c:pt idx="31">
                  <c:v>1</c:v>
                </c:pt>
                <c:pt idx="32">
                  <c:v>1</c:v>
                </c:pt>
                <c:pt idx="33">
                  <c:v>1</c:v>
                </c:pt>
                <c:pt idx="34">
                  <c:v>1</c:v>
                </c:pt>
                <c:pt idx="35">
                  <c:v>1</c:v>
                </c:pt>
                <c:pt idx="36">
                  <c:v>1</c:v>
                </c:pt>
                <c:pt idx="37">
                  <c:v>1</c:v>
                </c:pt>
                <c:pt idx="38">
                  <c:v>0</c:v>
                </c:pt>
                <c:pt idx="39">
                  <c:v>1</c:v>
                </c:pt>
                <c:pt idx="40">
                  <c:v>1</c:v>
                </c:pt>
                <c:pt idx="41">
                  <c:v>0</c:v>
                </c:pt>
                <c:pt idx="42">
                  <c:v>1</c:v>
                </c:pt>
                <c:pt idx="43">
                  <c:v>0</c:v>
                </c:pt>
                <c:pt idx="44">
                  <c:v>0</c:v>
                </c:pt>
                <c:pt idx="45">
                  <c:v>0</c:v>
                </c:pt>
                <c:pt idx="46">
                  <c:v>0</c:v>
                </c:pt>
                <c:pt idx="47">
                  <c:v>0</c:v>
                </c:pt>
                <c:pt idx="48">
                  <c:v>0</c:v>
                </c:pt>
                <c:pt idx="49">
                  <c:v>0</c:v>
                </c:pt>
                <c:pt idx="50">
                  <c:v>0</c:v>
                </c:pt>
                <c:pt idx="51">
                  <c:v>0</c:v>
                </c:pt>
                <c:pt idx="52">
                  <c:v>0</c:v>
                </c:pt>
                <c:pt idx="53">
                  <c:v>0</c:v>
                </c:pt>
                <c:pt idx="54">
                  <c:v>0</c:v>
                </c:pt>
                <c:pt idx="55">
                  <c:v>0</c:v>
                </c:pt>
                <c:pt idx="56">
                  <c:v>1</c:v>
                </c:pt>
                <c:pt idx="57">
                  <c:v>1</c:v>
                </c:pt>
                <c:pt idx="58">
                  <c:v>1</c:v>
                </c:pt>
                <c:pt idx="59">
                  <c:v>1</c:v>
                </c:pt>
                <c:pt idx="60">
                  <c:v>0</c:v>
                </c:pt>
                <c:pt idx="61">
                  <c:v>0</c:v>
                </c:pt>
                <c:pt idx="62">
                  <c:v>1</c:v>
                </c:pt>
                <c:pt idx="63">
                  <c:v>1</c:v>
                </c:pt>
                <c:pt idx="64">
                  <c:v>1</c:v>
                </c:pt>
                <c:pt idx="65">
                  <c:v>1</c:v>
                </c:pt>
                <c:pt idx="66">
                  <c:v>1</c:v>
                </c:pt>
                <c:pt idx="67">
                  <c:v>0</c:v>
                </c:pt>
                <c:pt idx="68">
                  <c:v>0</c:v>
                </c:pt>
                <c:pt idx="69">
                  <c:v>0</c:v>
                </c:pt>
                <c:pt idx="70">
                  <c:v>1</c:v>
                </c:pt>
                <c:pt idx="71">
                  <c:v>1</c:v>
                </c:pt>
                <c:pt idx="72">
                  <c:v>1</c:v>
                </c:pt>
                <c:pt idx="73">
                  <c:v>1</c:v>
                </c:pt>
                <c:pt idx="74">
                  <c:v>1</c:v>
                </c:pt>
                <c:pt idx="75">
                  <c:v>1</c:v>
                </c:pt>
                <c:pt idx="76">
                  <c:v>1</c:v>
                </c:pt>
                <c:pt idx="77">
                  <c:v>1</c:v>
                </c:pt>
                <c:pt idx="78">
                  <c:v>1</c:v>
                </c:pt>
                <c:pt idx="79">
                  <c:v>1</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1</c:v>
                </c:pt>
                <c:pt idx="99">
                  <c:v>1</c:v>
                </c:pt>
                <c:pt idx="100">
                  <c:v>1</c:v>
                </c:pt>
                <c:pt idx="101">
                  <c:v>1</c:v>
                </c:pt>
                <c:pt idx="102">
                  <c:v>1</c:v>
                </c:pt>
                <c:pt idx="103">
                  <c:v>1</c:v>
                </c:pt>
                <c:pt idx="104">
                  <c:v>1</c:v>
                </c:pt>
                <c:pt idx="105">
                  <c:v>1</c:v>
                </c:pt>
                <c:pt idx="106">
                  <c:v>1</c:v>
                </c:pt>
                <c:pt idx="107">
                  <c:v>1</c:v>
                </c:pt>
                <c:pt idx="108">
                  <c:v>1</c:v>
                </c:pt>
                <c:pt idx="109">
                  <c:v>1</c:v>
                </c:pt>
                <c:pt idx="110">
                  <c:v>1</c:v>
                </c:pt>
                <c:pt idx="111">
                  <c:v>0</c:v>
                </c:pt>
                <c:pt idx="112">
                  <c:v>1</c:v>
                </c:pt>
                <c:pt idx="113">
                  <c:v>1</c:v>
                </c:pt>
                <c:pt idx="114">
                  <c:v>1</c:v>
                </c:pt>
                <c:pt idx="115">
                  <c:v>1</c:v>
                </c:pt>
                <c:pt idx="116">
                  <c:v>0</c:v>
                </c:pt>
                <c:pt idx="117">
                  <c:v>0</c:v>
                </c:pt>
                <c:pt idx="118">
                  <c:v>1</c:v>
                </c:pt>
                <c:pt idx="119">
                  <c:v>0</c:v>
                </c:pt>
                <c:pt idx="120">
                  <c:v>0</c:v>
                </c:pt>
                <c:pt idx="121">
                  <c:v>1</c:v>
                </c:pt>
                <c:pt idx="122">
                  <c:v>1</c:v>
                </c:pt>
                <c:pt idx="123">
                  <c:v>1</c:v>
                </c:pt>
                <c:pt idx="124">
                  <c:v>1</c:v>
                </c:pt>
                <c:pt idx="125">
                  <c:v>1</c:v>
                </c:pt>
                <c:pt idx="126">
                  <c:v>0</c:v>
                </c:pt>
                <c:pt idx="127">
                  <c:v>1</c:v>
                </c:pt>
                <c:pt idx="128">
                  <c:v>1</c:v>
                </c:pt>
                <c:pt idx="129">
                  <c:v>1</c:v>
                </c:pt>
                <c:pt idx="130">
                  <c:v>0</c:v>
                </c:pt>
                <c:pt idx="131">
                  <c:v>0</c:v>
                </c:pt>
                <c:pt idx="132">
                  <c:v>1</c:v>
                </c:pt>
                <c:pt idx="133">
                  <c:v>0</c:v>
                </c:pt>
                <c:pt idx="134">
                  <c:v>0</c:v>
                </c:pt>
                <c:pt idx="135">
                  <c:v>0</c:v>
                </c:pt>
                <c:pt idx="136">
                  <c:v>0</c:v>
                </c:pt>
                <c:pt idx="137">
                  <c:v>0</c:v>
                </c:pt>
                <c:pt idx="138">
                  <c:v>0</c:v>
                </c:pt>
                <c:pt idx="139">
                  <c:v>0</c:v>
                </c:pt>
                <c:pt idx="140">
                  <c:v>1</c:v>
                </c:pt>
                <c:pt idx="141">
                  <c:v>1</c:v>
                </c:pt>
                <c:pt idx="142">
                  <c:v>1</c:v>
                </c:pt>
                <c:pt idx="143">
                  <c:v>1</c:v>
                </c:pt>
                <c:pt idx="144">
                  <c:v>0</c:v>
                </c:pt>
                <c:pt idx="145">
                  <c:v>0</c:v>
                </c:pt>
                <c:pt idx="146">
                  <c:v>1</c:v>
                </c:pt>
                <c:pt idx="147">
                  <c:v>0</c:v>
                </c:pt>
                <c:pt idx="148">
                  <c:v>1</c:v>
                </c:pt>
                <c:pt idx="149">
                  <c:v>1</c:v>
                </c:pt>
                <c:pt idx="150">
                  <c:v>1</c:v>
                </c:pt>
                <c:pt idx="151">
                  <c:v>1</c:v>
                </c:pt>
                <c:pt idx="152">
                  <c:v>1</c:v>
                </c:pt>
                <c:pt idx="153">
                  <c:v>1</c:v>
                </c:pt>
                <c:pt idx="154">
                  <c:v>1</c:v>
                </c:pt>
                <c:pt idx="155">
                  <c:v>1</c:v>
                </c:pt>
                <c:pt idx="156">
                  <c:v>1</c:v>
                </c:pt>
                <c:pt idx="157">
                  <c:v>1</c:v>
                </c:pt>
                <c:pt idx="158">
                  <c:v>0</c:v>
                </c:pt>
                <c:pt idx="159">
                  <c:v>1</c:v>
                </c:pt>
                <c:pt idx="160">
                  <c:v>1</c:v>
                </c:pt>
                <c:pt idx="161">
                  <c:v>0</c:v>
                </c:pt>
                <c:pt idx="162">
                  <c:v>1</c:v>
                </c:pt>
                <c:pt idx="163">
                  <c:v>0</c:v>
                </c:pt>
                <c:pt idx="164">
                  <c:v>0</c:v>
                </c:pt>
                <c:pt idx="165">
                  <c:v>0</c:v>
                </c:pt>
                <c:pt idx="166">
                  <c:v>0</c:v>
                </c:pt>
                <c:pt idx="167">
                  <c:v>0</c:v>
                </c:pt>
                <c:pt idx="168">
                  <c:v>0</c:v>
                </c:pt>
                <c:pt idx="169">
                  <c:v>0</c:v>
                </c:pt>
                <c:pt idx="170">
                  <c:v>1</c:v>
                </c:pt>
                <c:pt idx="171">
                  <c:v>0</c:v>
                </c:pt>
                <c:pt idx="172">
                  <c:v>1</c:v>
                </c:pt>
              </c:numCache>
            </c:numRef>
          </c:val>
          <c:extLst>
            <c:ext xmlns:c16="http://schemas.microsoft.com/office/drawing/2014/chart" uri="{C3380CC4-5D6E-409C-BE32-E72D297353CC}">
              <c16:uniqueId val="{00000001-4589-48B2-BA7B-2E169CE2351B}"/>
            </c:ext>
          </c:extLst>
        </c:ser>
        <c:dLbls>
          <c:showLegendKey val="0"/>
          <c:showVal val="0"/>
          <c:showCatName val="0"/>
          <c:showSerName val="0"/>
          <c:showPercent val="0"/>
          <c:showBubbleSize val="0"/>
        </c:dLbls>
        <c:gapWidth val="0"/>
        <c:overlap val="100"/>
        <c:axId val="642526223"/>
        <c:axId val="160964725"/>
      </c:barChart>
      <c:lineChart>
        <c:grouping val="standard"/>
        <c:varyColors val="0"/>
        <c:ser>
          <c:idx val="0"/>
          <c:order val="0"/>
          <c:tx>
            <c:strRef>
              <c:f>'信贷库存框架1-票据+贷款余额'!$B$3</c:f>
              <c:strCache>
                <c:ptCount val="1"/>
                <c:pt idx="0">
                  <c:v>票据贴现余额增速</c:v>
                </c:pt>
              </c:strCache>
            </c:strRef>
          </c:tx>
          <c:spPr>
            <a:ln w="15875" cap="rnd" cmpd="sng" algn="ctr">
              <a:solidFill>
                <a:srgbClr val="004477"/>
              </a:solidFill>
              <a:prstDash val="solid"/>
              <a:round/>
            </a:ln>
            <a:effectLst/>
          </c:spPr>
          <c:marker>
            <c:symbol val="none"/>
          </c:marker>
          <c:cat>
            <c:numRef>
              <c:f>'信贷库存框架1-票据+贷款余额'!$A$4:$A$199</c:f>
              <c:numCache>
                <c:formatCode>yyyy\-mm</c:formatCode>
                <c:ptCount val="196"/>
                <c:pt idx="0">
                  <c:v>46022</c:v>
                </c:pt>
                <c:pt idx="1">
                  <c:v>45991</c:v>
                </c:pt>
                <c:pt idx="2">
                  <c:v>45961</c:v>
                </c:pt>
                <c:pt idx="3">
                  <c:v>45930</c:v>
                </c:pt>
                <c:pt idx="4">
                  <c:v>45900</c:v>
                </c:pt>
                <c:pt idx="5">
                  <c:v>45869</c:v>
                </c:pt>
                <c:pt idx="6">
                  <c:v>45838</c:v>
                </c:pt>
                <c:pt idx="7">
                  <c:v>45808</c:v>
                </c:pt>
                <c:pt idx="8">
                  <c:v>45777</c:v>
                </c:pt>
                <c:pt idx="9">
                  <c:v>45747</c:v>
                </c:pt>
                <c:pt idx="10">
                  <c:v>45716</c:v>
                </c:pt>
                <c:pt idx="11">
                  <c:v>45688</c:v>
                </c:pt>
                <c:pt idx="12">
                  <c:v>45657</c:v>
                </c:pt>
                <c:pt idx="13">
                  <c:v>45626</c:v>
                </c:pt>
                <c:pt idx="14">
                  <c:v>45596</c:v>
                </c:pt>
                <c:pt idx="15">
                  <c:v>45565</c:v>
                </c:pt>
                <c:pt idx="16">
                  <c:v>45535</c:v>
                </c:pt>
                <c:pt idx="17">
                  <c:v>45504</c:v>
                </c:pt>
                <c:pt idx="18">
                  <c:v>45473</c:v>
                </c:pt>
                <c:pt idx="19">
                  <c:v>45443</c:v>
                </c:pt>
                <c:pt idx="20">
                  <c:v>45412</c:v>
                </c:pt>
                <c:pt idx="21">
                  <c:v>45382</c:v>
                </c:pt>
                <c:pt idx="22">
                  <c:v>45351</c:v>
                </c:pt>
                <c:pt idx="23">
                  <c:v>45322</c:v>
                </c:pt>
                <c:pt idx="24">
                  <c:v>45291</c:v>
                </c:pt>
                <c:pt idx="25">
                  <c:v>45260</c:v>
                </c:pt>
                <c:pt idx="26">
                  <c:v>45230</c:v>
                </c:pt>
                <c:pt idx="27">
                  <c:v>45199</c:v>
                </c:pt>
                <c:pt idx="28">
                  <c:v>45169</c:v>
                </c:pt>
                <c:pt idx="29">
                  <c:v>45138</c:v>
                </c:pt>
                <c:pt idx="30">
                  <c:v>45107</c:v>
                </c:pt>
                <c:pt idx="31">
                  <c:v>45077</c:v>
                </c:pt>
                <c:pt idx="32">
                  <c:v>45046</c:v>
                </c:pt>
                <c:pt idx="33">
                  <c:v>45016</c:v>
                </c:pt>
                <c:pt idx="34">
                  <c:v>44985</c:v>
                </c:pt>
                <c:pt idx="35">
                  <c:v>44957</c:v>
                </c:pt>
                <c:pt idx="36">
                  <c:v>44926</c:v>
                </c:pt>
                <c:pt idx="37">
                  <c:v>44895</c:v>
                </c:pt>
                <c:pt idx="38">
                  <c:v>44865</c:v>
                </c:pt>
                <c:pt idx="39">
                  <c:v>44834</c:v>
                </c:pt>
                <c:pt idx="40">
                  <c:v>44804</c:v>
                </c:pt>
                <c:pt idx="41">
                  <c:v>44773</c:v>
                </c:pt>
                <c:pt idx="42">
                  <c:v>44742</c:v>
                </c:pt>
                <c:pt idx="43">
                  <c:v>44712</c:v>
                </c:pt>
                <c:pt idx="44">
                  <c:v>44681</c:v>
                </c:pt>
                <c:pt idx="45">
                  <c:v>44651</c:v>
                </c:pt>
                <c:pt idx="46">
                  <c:v>44620</c:v>
                </c:pt>
                <c:pt idx="47">
                  <c:v>44592</c:v>
                </c:pt>
                <c:pt idx="48">
                  <c:v>44561</c:v>
                </c:pt>
                <c:pt idx="49">
                  <c:v>44530</c:v>
                </c:pt>
                <c:pt idx="50">
                  <c:v>44500</c:v>
                </c:pt>
                <c:pt idx="51">
                  <c:v>44469</c:v>
                </c:pt>
                <c:pt idx="52">
                  <c:v>44439</c:v>
                </c:pt>
                <c:pt idx="53">
                  <c:v>44408</c:v>
                </c:pt>
                <c:pt idx="54">
                  <c:v>44377</c:v>
                </c:pt>
                <c:pt idx="55">
                  <c:v>44347</c:v>
                </c:pt>
                <c:pt idx="56">
                  <c:v>44316</c:v>
                </c:pt>
                <c:pt idx="57">
                  <c:v>44286</c:v>
                </c:pt>
                <c:pt idx="58">
                  <c:v>44255</c:v>
                </c:pt>
                <c:pt idx="59">
                  <c:v>44227</c:v>
                </c:pt>
                <c:pt idx="60">
                  <c:v>44196</c:v>
                </c:pt>
                <c:pt idx="61">
                  <c:v>44165</c:v>
                </c:pt>
                <c:pt idx="62">
                  <c:v>44135</c:v>
                </c:pt>
                <c:pt idx="63">
                  <c:v>44104</c:v>
                </c:pt>
                <c:pt idx="64">
                  <c:v>44074</c:v>
                </c:pt>
                <c:pt idx="65">
                  <c:v>44043</c:v>
                </c:pt>
                <c:pt idx="66">
                  <c:v>44012</c:v>
                </c:pt>
                <c:pt idx="67">
                  <c:v>43982</c:v>
                </c:pt>
                <c:pt idx="68">
                  <c:v>43951</c:v>
                </c:pt>
                <c:pt idx="69">
                  <c:v>43921</c:v>
                </c:pt>
                <c:pt idx="70">
                  <c:v>43890</c:v>
                </c:pt>
                <c:pt idx="71">
                  <c:v>43861</c:v>
                </c:pt>
                <c:pt idx="72">
                  <c:v>43830</c:v>
                </c:pt>
                <c:pt idx="73">
                  <c:v>43799</c:v>
                </c:pt>
                <c:pt idx="74">
                  <c:v>43769</c:v>
                </c:pt>
                <c:pt idx="75">
                  <c:v>43738</c:v>
                </c:pt>
                <c:pt idx="76">
                  <c:v>43708</c:v>
                </c:pt>
                <c:pt idx="77">
                  <c:v>43677</c:v>
                </c:pt>
                <c:pt idx="78">
                  <c:v>43646</c:v>
                </c:pt>
                <c:pt idx="79">
                  <c:v>43616</c:v>
                </c:pt>
                <c:pt idx="80">
                  <c:v>43585</c:v>
                </c:pt>
                <c:pt idx="81">
                  <c:v>43555</c:v>
                </c:pt>
                <c:pt idx="82">
                  <c:v>43524</c:v>
                </c:pt>
                <c:pt idx="83">
                  <c:v>43496</c:v>
                </c:pt>
                <c:pt idx="84">
                  <c:v>43465</c:v>
                </c:pt>
                <c:pt idx="85">
                  <c:v>43434</c:v>
                </c:pt>
                <c:pt idx="86">
                  <c:v>43404</c:v>
                </c:pt>
                <c:pt idx="87">
                  <c:v>43373</c:v>
                </c:pt>
                <c:pt idx="88">
                  <c:v>43343</c:v>
                </c:pt>
                <c:pt idx="89">
                  <c:v>43312</c:v>
                </c:pt>
                <c:pt idx="90">
                  <c:v>43281</c:v>
                </c:pt>
                <c:pt idx="91">
                  <c:v>43251</c:v>
                </c:pt>
                <c:pt idx="92">
                  <c:v>43220</c:v>
                </c:pt>
                <c:pt idx="93">
                  <c:v>43190</c:v>
                </c:pt>
                <c:pt idx="94">
                  <c:v>43159</c:v>
                </c:pt>
                <c:pt idx="95">
                  <c:v>43131</c:v>
                </c:pt>
                <c:pt idx="96">
                  <c:v>43100</c:v>
                </c:pt>
                <c:pt idx="97">
                  <c:v>43069</c:v>
                </c:pt>
                <c:pt idx="98">
                  <c:v>43039</c:v>
                </c:pt>
                <c:pt idx="99">
                  <c:v>43008</c:v>
                </c:pt>
                <c:pt idx="100">
                  <c:v>42978</c:v>
                </c:pt>
                <c:pt idx="101">
                  <c:v>42947</c:v>
                </c:pt>
                <c:pt idx="102">
                  <c:v>42916</c:v>
                </c:pt>
                <c:pt idx="103">
                  <c:v>42886</c:v>
                </c:pt>
                <c:pt idx="104">
                  <c:v>42855</c:v>
                </c:pt>
                <c:pt idx="105">
                  <c:v>42825</c:v>
                </c:pt>
                <c:pt idx="106">
                  <c:v>42794</c:v>
                </c:pt>
                <c:pt idx="107">
                  <c:v>42766</c:v>
                </c:pt>
                <c:pt idx="108">
                  <c:v>42735</c:v>
                </c:pt>
                <c:pt idx="109">
                  <c:v>42704</c:v>
                </c:pt>
                <c:pt idx="110">
                  <c:v>42674</c:v>
                </c:pt>
                <c:pt idx="111">
                  <c:v>42643</c:v>
                </c:pt>
                <c:pt idx="112">
                  <c:v>42613</c:v>
                </c:pt>
                <c:pt idx="113">
                  <c:v>42582</c:v>
                </c:pt>
                <c:pt idx="114">
                  <c:v>42551</c:v>
                </c:pt>
                <c:pt idx="115">
                  <c:v>42521</c:v>
                </c:pt>
                <c:pt idx="116">
                  <c:v>42490</c:v>
                </c:pt>
                <c:pt idx="117">
                  <c:v>42460</c:v>
                </c:pt>
                <c:pt idx="118">
                  <c:v>42429</c:v>
                </c:pt>
                <c:pt idx="119">
                  <c:v>42400</c:v>
                </c:pt>
                <c:pt idx="120">
                  <c:v>42369</c:v>
                </c:pt>
                <c:pt idx="121">
                  <c:v>42338</c:v>
                </c:pt>
                <c:pt idx="122">
                  <c:v>42308</c:v>
                </c:pt>
                <c:pt idx="123">
                  <c:v>42277</c:v>
                </c:pt>
                <c:pt idx="124">
                  <c:v>42247</c:v>
                </c:pt>
                <c:pt idx="125">
                  <c:v>42216</c:v>
                </c:pt>
                <c:pt idx="126">
                  <c:v>42185</c:v>
                </c:pt>
                <c:pt idx="127">
                  <c:v>42155</c:v>
                </c:pt>
                <c:pt idx="128">
                  <c:v>42124</c:v>
                </c:pt>
                <c:pt idx="129">
                  <c:v>42094</c:v>
                </c:pt>
                <c:pt idx="130">
                  <c:v>42063</c:v>
                </c:pt>
                <c:pt idx="131">
                  <c:v>42035</c:v>
                </c:pt>
                <c:pt idx="132">
                  <c:v>42004</c:v>
                </c:pt>
                <c:pt idx="133">
                  <c:v>41973</c:v>
                </c:pt>
                <c:pt idx="134">
                  <c:v>41943</c:v>
                </c:pt>
                <c:pt idx="135">
                  <c:v>41912</c:v>
                </c:pt>
                <c:pt idx="136">
                  <c:v>41882</c:v>
                </c:pt>
                <c:pt idx="137">
                  <c:v>41851</c:v>
                </c:pt>
                <c:pt idx="138">
                  <c:v>41820</c:v>
                </c:pt>
                <c:pt idx="139">
                  <c:v>41790</c:v>
                </c:pt>
                <c:pt idx="140">
                  <c:v>41759</c:v>
                </c:pt>
                <c:pt idx="141">
                  <c:v>41729</c:v>
                </c:pt>
                <c:pt idx="142">
                  <c:v>41698</c:v>
                </c:pt>
                <c:pt idx="143">
                  <c:v>41670</c:v>
                </c:pt>
                <c:pt idx="144">
                  <c:v>41639</c:v>
                </c:pt>
                <c:pt idx="145">
                  <c:v>41608</c:v>
                </c:pt>
                <c:pt idx="146">
                  <c:v>41578</c:v>
                </c:pt>
                <c:pt idx="147">
                  <c:v>41547</c:v>
                </c:pt>
                <c:pt idx="148">
                  <c:v>41517</c:v>
                </c:pt>
                <c:pt idx="149">
                  <c:v>41486</c:v>
                </c:pt>
                <c:pt idx="150">
                  <c:v>41455</c:v>
                </c:pt>
                <c:pt idx="151">
                  <c:v>41425</c:v>
                </c:pt>
                <c:pt idx="152">
                  <c:v>41394</c:v>
                </c:pt>
                <c:pt idx="153">
                  <c:v>41364</c:v>
                </c:pt>
                <c:pt idx="154">
                  <c:v>41333</c:v>
                </c:pt>
                <c:pt idx="155">
                  <c:v>41305</c:v>
                </c:pt>
                <c:pt idx="156">
                  <c:v>41274</c:v>
                </c:pt>
                <c:pt idx="157">
                  <c:v>41243</c:v>
                </c:pt>
                <c:pt idx="158">
                  <c:v>41213</c:v>
                </c:pt>
                <c:pt idx="159">
                  <c:v>41182</c:v>
                </c:pt>
                <c:pt idx="160">
                  <c:v>41152</c:v>
                </c:pt>
                <c:pt idx="161">
                  <c:v>41121</c:v>
                </c:pt>
                <c:pt idx="162">
                  <c:v>41090</c:v>
                </c:pt>
                <c:pt idx="163">
                  <c:v>41060</c:v>
                </c:pt>
                <c:pt idx="164">
                  <c:v>41029</c:v>
                </c:pt>
                <c:pt idx="165">
                  <c:v>40999</c:v>
                </c:pt>
                <c:pt idx="166">
                  <c:v>40968</c:v>
                </c:pt>
                <c:pt idx="167">
                  <c:v>40939</c:v>
                </c:pt>
                <c:pt idx="168">
                  <c:v>40908</c:v>
                </c:pt>
                <c:pt idx="169">
                  <c:v>40877</c:v>
                </c:pt>
                <c:pt idx="170">
                  <c:v>40847</c:v>
                </c:pt>
                <c:pt idx="171">
                  <c:v>40816</c:v>
                </c:pt>
                <c:pt idx="172">
                  <c:v>40786</c:v>
                </c:pt>
              </c:numCache>
            </c:numRef>
          </c:cat>
          <c:val>
            <c:numRef>
              <c:f>'信贷库存框架1-票据+贷款余额'!$B$4:$B$199</c:f>
              <c:numCache>
                <c:formatCode>0.00</c:formatCode>
                <c:ptCount val="196"/>
                <c:pt idx="0">
                  <c:v>11.28360763802527</c:v>
                </c:pt>
                <c:pt idx="1">
                  <c:v>12.3611732744527</c:v>
                </c:pt>
                <c:pt idx="2">
                  <c:v>10.93808876390634</c:v>
                </c:pt>
                <c:pt idx="3">
                  <c:v>8.7016754619320693</c:v>
                </c:pt>
                <c:pt idx="4">
                  <c:v>12.13189462923104</c:v>
                </c:pt>
                <c:pt idx="5">
                  <c:v>16.308016814494358</c:v>
                </c:pt>
                <c:pt idx="6">
                  <c:v>14.57939312916894</c:v>
                </c:pt>
                <c:pt idx="7">
                  <c:v>17.427460963424419</c:v>
                </c:pt>
                <c:pt idx="8">
                  <c:v>20.18973277739029</c:v>
                </c:pt>
                <c:pt idx="9">
                  <c:v>21.69645562991229</c:v>
                </c:pt>
                <c:pt idx="10">
                  <c:v>20.776919241477319</c:v>
                </c:pt>
                <c:pt idx="11">
                  <c:v>16.65355282248499</c:v>
                </c:pt>
                <c:pt idx="12">
                  <c:v>11.934930259389841</c:v>
                </c:pt>
                <c:pt idx="13">
                  <c:v>9.7502667803965615</c:v>
                </c:pt>
                <c:pt idx="14">
                  <c:v>10.6055154862912</c:v>
                </c:pt>
                <c:pt idx="15">
                  <c:v>12.06368981479255</c:v>
                </c:pt>
                <c:pt idx="16">
                  <c:v>10.188194021350929</c:v>
                </c:pt>
                <c:pt idx="17">
                  <c:v>8.8647927598224356</c:v>
                </c:pt>
                <c:pt idx="18">
                  <c:v>7.4628313533523682</c:v>
                </c:pt>
                <c:pt idx="19">
                  <c:v>7.0554730840430464</c:v>
                </c:pt>
                <c:pt idx="20">
                  <c:v>4.4437448867845744</c:v>
                </c:pt>
                <c:pt idx="21">
                  <c:v>-1.5276922165194531</c:v>
                </c:pt>
                <c:pt idx="22">
                  <c:v>-3.222993391898723</c:v>
                </c:pt>
                <c:pt idx="23">
                  <c:v>-1.77191644767751</c:v>
                </c:pt>
                <c:pt idx="24">
                  <c:v>2.6619152336692</c:v>
                </c:pt>
                <c:pt idx="25">
                  <c:v>2.3895179615713911</c:v>
                </c:pt>
                <c:pt idx="26">
                  <c:v>1.986137707131687</c:v>
                </c:pt>
                <c:pt idx="27">
                  <c:v>0.98735996275792903</c:v>
                </c:pt>
                <c:pt idx="28">
                  <c:v>1.5354235265861971</c:v>
                </c:pt>
                <c:pt idx="29">
                  <c:v>2.2642084375373E-2</c:v>
                </c:pt>
                <c:pt idx="30">
                  <c:v>-0.36190692945082398</c:v>
                </c:pt>
                <c:pt idx="31">
                  <c:v>0.98544236504147698</c:v>
                </c:pt>
                <c:pt idx="32">
                  <c:v>7.0554404576982019</c:v>
                </c:pt>
                <c:pt idx="33">
                  <c:v>11.02673256509404</c:v>
                </c:pt>
                <c:pt idx="34">
                  <c:v>18.984670957894132</c:v>
                </c:pt>
                <c:pt idx="35">
                  <c:v>23.591447945958681</c:v>
                </c:pt>
                <c:pt idx="36">
                  <c:v>30.019910461290319</c:v>
                </c:pt>
                <c:pt idx="37">
                  <c:v>34.402114698379521</c:v>
                </c:pt>
                <c:pt idx="38">
                  <c:v>35.056671317128952</c:v>
                </c:pt>
                <c:pt idx="39">
                  <c:v>34.68844065044977</c:v>
                </c:pt>
                <c:pt idx="40">
                  <c:v>37.602776863762948</c:v>
                </c:pt>
                <c:pt idx="41">
                  <c:v>40.207567339838498</c:v>
                </c:pt>
                <c:pt idx="42">
                  <c:v>39.446294727674122</c:v>
                </c:pt>
                <c:pt idx="43">
                  <c:v>43.116721430031482</c:v>
                </c:pt>
                <c:pt idx="44">
                  <c:v>37.069277515424481</c:v>
                </c:pt>
                <c:pt idx="45">
                  <c:v>35.251779199049388</c:v>
                </c:pt>
                <c:pt idx="46">
                  <c:v>28.71490940320642</c:v>
                </c:pt>
                <c:pt idx="47">
                  <c:v>22.092675769921382</c:v>
                </c:pt>
                <c:pt idx="48">
                  <c:v>17.906280137500609</c:v>
                </c:pt>
                <c:pt idx="49">
                  <c:v>17.773395863092428</c:v>
                </c:pt>
                <c:pt idx="50">
                  <c:v>16.945511878054219</c:v>
                </c:pt>
                <c:pt idx="51">
                  <c:v>13.87308373062497</c:v>
                </c:pt>
                <c:pt idx="52">
                  <c:v>8.6419309227981262</c:v>
                </c:pt>
                <c:pt idx="53">
                  <c:v>3.1797932722426112</c:v>
                </c:pt>
                <c:pt idx="54">
                  <c:v>-0.109618052364842</c:v>
                </c:pt>
                <c:pt idx="55">
                  <c:v>-5.6222198223187236</c:v>
                </c:pt>
                <c:pt idx="56">
                  <c:v>-5.6696887765172637</c:v>
                </c:pt>
                <c:pt idx="57">
                  <c:v>-4.4850950530415377</c:v>
                </c:pt>
                <c:pt idx="58">
                  <c:v>-0.12358854567029599</c:v>
                </c:pt>
                <c:pt idx="59">
                  <c:v>2.9966241824681661</c:v>
                </c:pt>
                <c:pt idx="60">
                  <c:v>9.6868796808843154</c:v>
                </c:pt>
                <c:pt idx="61">
                  <c:v>5.6604232481235979</c:v>
                </c:pt>
                <c:pt idx="62">
                  <c:v>5.4671193536221709</c:v>
                </c:pt>
                <c:pt idx="63">
                  <c:v>7.264763540667329</c:v>
                </c:pt>
                <c:pt idx="64">
                  <c:v>13.422573940980079</c:v>
                </c:pt>
                <c:pt idx="65">
                  <c:v>19.666890767086691</c:v>
                </c:pt>
                <c:pt idx="66">
                  <c:v>23.339677074795731</c:v>
                </c:pt>
                <c:pt idx="67">
                  <c:v>28.14243607938845</c:v>
                </c:pt>
                <c:pt idx="68">
                  <c:v>27.942041121771631</c:v>
                </c:pt>
                <c:pt idx="69">
                  <c:v>25.639304221043261</c:v>
                </c:pt>
                <c:pt idx="70">
                  <c:v>24.331336195577862</c:v>
                </c:pt>
                <c:pt idx="71">
                  <c:v>26.670633788154738</c:v>
                </c:pt>
                <c:pt idx="72">
                  <c:v>31.77585436197214</c:v>
                </c:pt>
                <c:pt idx="73">
                  <c:v>39.570233011857788</c:v>
                </c:pt>
                <c:pt idx="74">
                  <c:v>44.649964669714663</c:v>
                </c:pt>
                <c:pt idx="75">
                  <c:v>47.249017012817319</c:v>
                </c:pt>
                <c:pt idx="76">
                  <c:v>48.979200750307399</c:v>
                </c:pt>
                <c:pt idx="77">
                  <c:v>57.139011401484197</c:v>
                </c:pt>
                <c:pt idx="78">
                  <c:v>62.916721448823253</c:v>
                </c:pt>
                <c:pt idx="79">
                  <c:v>72.555269391072102</c:v>
                </c:pt>
                <c:pt idx="80">
                  <c:v>76.114393908368314</c:v>
                </c:pt>
                <c:pt idx="81">
                  <c:v>71.325717871192467</c:v>
                </c:pt>
                <c:pt idx="82">
                  <c:v>68.251427387893784</c:v>
                </c:pt>
                <c:pt idx="83">
                  <c:v>60.602467410239463</c:v>
                </c:pt>
                <c:pt idx="84">
                  <c:v>48.705451875716591</c:v>
                </c:pt>
                <c:pt idx="85">
                  <c:v>45.162692722482028</c:v>
                </c:pt>
                <c:pt idx="86">
                  <c:v>40.35722673750908</c:v>
                </c:pt>
                <c:pt idx="87">
                  <c:v>36.09981189575813</c:v>
                </c:pt>
                <c:pt idx="88">
                  <c:v>31.298349365532541</c:v>
                </c:pt>
                <c:pt idx="89">
                  <c:v>21.39378779109893</c:v>
                </c:pt>
                <c:pt idx="90">
                  <c:v>10.048070546391999</c:v>
                </c:pt>
                <c:pt idx="91">
                  <c:v>-1.58983534431303</c:v>
                </c:pt>
                <c:pt idx="92">
                  <c:v>-8.4944619341065284</c:v>
                </c:pt>
                <c:pt idx="93">
                  <c:v>-12.680663305771571</c:v>
                </c:pt>
                <c:pt idx="94">
                  <c:v>-19.547375498850322</c:v>
                </c:pt>
                <c:pt idx="95">
                  <c:v>-21.879750873413499</c:v>
                </c:pt>
                <c:pt idx="96">
                  <c:v>-28.945803216697929</c:v>
                </c:pt>
                <c:pt idx="97">
                  <c:v>-34.538401964913803</c:v>
                </c:pt>
                <c:pt idx="98">
                  <c:v>-36.333130810965599</c:v>
                </c:pt>
                <c:pt idx="99">
                  <c:v>-34.4494214520303</c:v>
                </c:pt>
                <c:pt idx="100">
                  <c:v>-32.737525841382499</c:v>
                </c:pt>
                <c:pt idx="101">
                  <c:v>-30.523198320884148</c:v>
                </c:pt>
                <c:pt idx="102">
                  <c:v>-27.039504441327718</c:v>
                </c:pt>
                <c:pt idx="103">
                  <c:v>-24.25177549086218</c:v>
                </c:pt>
                <c:pt idx="104">
                  <c:v>-19.129313676323381</c:v>
                </c:pt>
                <c:pt idx="105">
                  <c:v>-11.21009663094878</c:v>
                </c:pt>
                <c:pt idx="106">
                  <c:v>-2.3089481172272208</c:v>
                </c:pt>
                <c:pt idx="107">
                  <c:v>1.4269823960370269</c:v>
                </c:pt>
                <c:pt idx="108">
                  <c:v>19.567916964805939</c:v>
                </c:pt>
                <c:pt idx="109">
                  <c:v>23.38886821875203</c:v>
                </c:pt>
                <c:pt idx="110">
                  <c:v>29.544868219371359</c:v>
                </c:pt>
                <c:pt idx="111">
                  <c:v>32.515141404405398</c:v>
                </c:pt>
                <c:pt idx="112">
                  <c:v>30.083924043068901</c:v>
                </c:pt>
                <c:pt idx="113">
                  <c:v>32.465218322580327</c:v>
                </c:pt>
                <c:pt idx="114">
                  <c:v>40.724093534499509</c:v>
                </c:pt>
                <c:pt idx="115">
                  <c:v>55.309829028737717</c:v>
                </c:pt>
                <c:pt idx="116">
                  <c:v>61.234603097930183</c:v>
                </c:pt>
                <c:pt idx="117">
                  <c:v>60.607160697576987</c:v>
                </c:pt>
                <c:pt idx="118">
                  <c:v>60.38475503378492</c:v>
                </c:pt>
                <c:pt idx="119">
                  <c:v>64.456029600864923</c:v>
                </c:pt>
                <c:pt idx="120">
                  <c:v>56.863028768836941</c:v>
                </c:pt>
                <c:pt idx="121">
                  <c:v>51.738067528749731</c:v>
                </c:pt>
                <c:pt idx="122">
                  <c:v>59.738104669318069</c:v>
                </c:pt>
                <c:pt idx="123">
                  <c:v>59.866371609249093</c:v>
                </c:pt>
                <c:pt idx="124">
                  <c:v>64.014843644418676</c:v>
                </c:pt>
                <c:pt idx="125">
                  <c:v>70.013050708316669</c:v>
                </c:pt>
                <c:pt idx="126">
                  <c:v>71.681830934379775</c:v>
                </c:pt>
                <c:pt idx="127">
                  <c:v>61.78848965236368</c:v>
                </c:pt>
                <c:pt idx="128">
                  <c:v>63.147974375535703</c:v>
                </c:pt>
                <c:pt idx="129">
                  <c:v>63.350369795822587</c:v>
                </c:pt>
                <c:pt idx="130">
                  <c:v>65.307148193893354</c:v>
                </c:pt>
                <c:pt idx="131">
                  <c:v>60.321182553688502</c:v>
                </c:pt>
                <c:pt idx="132">
                  <c:v>48.86909257936103</c:v>
                </c:pt>
                <c:pt idx="133">
                  <c:v>52.267391302182368</c:v>
                </c:pt>
                <c:pt idx="134">
                  <c:v>41.54019205134508</c:v>
                </c:pt>
                <c:pt idx="135">
                  <c:v>31.001084319037449</c:v>
                </c:pt>
                <c:pt idx="136">
                  <c:v>18.094920750175309</c:v>
                </c:pt>
                <c:pt idx="137">
                  <c:v>6.7926289325367852</c:v>
                </c:pt>
                <c:pt idx="138">
                  <c:v>-5.3922686578061736</c:v>
                </c:pt>
                <c:pt idx="139">
                  <c:v>-11.74238882690387</c:v>
                </c:pt>
                <c:pt idx="140">
                  <c:v>-15.11670457469519</c:v>
                </c:pt>
                <c:pt idx="141">
                  <c:v>-12.470288754964651</c:v>
                </c:pt>
                <c:pt idx="142">
                  <c:v>-9.3066734329391583</c:v>
                </c:pt>
                <c:pt idx="143">
                  <c:v>-6.8850188115132509</c:v>
                </c:pt>
                <c:pt idx="144">
                  <c:v>-4.1072292010469118</c:v>
                </c:pt>
                <c:pt idx="145">
                  <c:v>-10.097504885095031</c:v>
                </c:pt>
                <c:pt idx="146">
                  <c:v>-12.41022411215075</c:v>
                </c:pt>
                <c:pt idx="147">
                  <c:v>-12.133201577317489</c:v>
                </c:pt>
                <c:pt idx="148">
                  <c:v>-13.6270198121025</c:v>
                </c:pt>
                <c:pt idx="149">
                  <c:v>-8.4409559539657568</c:v>
                </c:pt>
                <c:pt idx="150">
                  <c:v>2.264042713179375</c:v>
                </c:pt>
                <c:pt idx="151">
                  <c:v>7.3057222851685042</c:v>
                </c:pt>
                <c:pt idx="152">
                  <c:v>15.391031277727601</c:v>
                </c:pt>
                <c:pt idx="153">
                  <c:v>21.58051740405314</c:v>
                </c:pt>
                <c:pt idx="154">
                  <c:v>24.68216597998823</c:v>
                </c:pt>
                <c:pt idx="155">
                  <c:v>32.55864121409428</c:v>
                </c:pt>
                <c:pt idx="156">
                  <c:v>35.10071440614368</c:v>
                </c:pt>
                <c:pt idx="157">
                  <c:v>52.92110196776045</c:v>
                </c:pt>
                <c:pt idx="158">
                  <c:v>59.39948807161943</c:v>
                </c:pt>
                <c:pt idx="159">
                  <c:v>56.820690974931161</c:v>
                </c:pt>
                <c:pt idx="160">
                  <c:v>68.993689690080757</c:v>
                </c:pt>
                <c:pt idx="161">
                  <c:v>70.641235197307196</c:v>
                </c:pt>
                <c:pt idx="162">
                  <c:v>67.52717351314601</c:v>
                </c:pt>
                <c:pt idx="163">
                  <c:v>68.117185989016335</c:v>
                </c:pt>
                <c:pt idx="164">
                  <c:v>57.429183050597963</c:v>
                </c:pt>
                <c:pt idx="165">
                  <c:v>42.859564219368927</c:v>
                </c:pt>
                <c:pt idx="166">
                  <c:v>21.517810378752252</c:v>
                </c:pt>
                <c:pt idx="167">
                  <c:v>7.5773023371650492</c:v>
                </c:pt>
                <c:pt idx="168">
                  <c:v>2.0920691321757299</c:v>
                </c:pt>
                <c:pt idx="169">
                  <c:v>-6.549295684524</c:v>
                </c:pt>
                <c:pt idx="170">
                  <c:v>-9.6591330709735104</c:v>
                </c:pt>
                <c:pt idx="171">
                  <c:v>-5.2213893433786014</c:v>
                </c:pt>
                <c:pt idx="172">
                  <c:v>-9.2385926662433953</c:v>
                </c:pt>
              </c:numCache>
            </c:numRef>
          </c:val>
          <c:smooth val="0"/>
          <c:extLst>
            <c:ext xmlns:c16="http://schemas.microsoft.com/office/drawing/2014/chart" uri="{C3380CC4-5D6E-409C-BE32-E72D297353CC}">
              <c16:uniqueId val="{00000002-4589-48B2-BA7B-2E169CE2351B}"/>
            </c:ext>
          </c:extLst>
        </c:ser>
        <c:dLbls>
          <c:showLegendKey val="0"/>
          <c:showVal val="0"/>
          <c:showCatName val="0"/>
          <c:showSerName val="0"/>
          <c:showPercent val="0"/>
          <c:showBubbleSize val="0"/>
        </c:dLbls>
        <c:marker val="1"/>
        <c:smooth val="0"/>
        <c:axId val="120844644"/>
        <c:axId val="168472576"/>
      </c:lineChart>
      <c:dateAx>
        <c:axId val="120844644"/>
        <c:scaling>
          <c:orientation val="minMax"/>
        </c:scaling>
        <c:delete val="0"/>
        <c:axPos val="b"/>
        <c:numFmt formatCode="yyyy\-mm" sourceLinked="0"/>
        <c:majorTickMark val="out"/>
        <c:minorTickMark val="none"/>
        <c:tickLblPos val="nextTo"/>
        <c:spPr>
          <a:noFill/>
          <a:ln w="6350" cap="flat" cmpd="sng" algn="ctr">
            <a:solidFill>
              <a:sysClr val="windowText" lastClr="000000">
                <a:lumMod val="100000"/>
              </a:sysClr>
            </a:solidFill>
            <a:prstDash val="solid"/>
            <a:round/>
          </a:ln>
          <a:effectLst/>
        </c:spPr>
        <c:txPr>
          <a:bodyPr rot="0" spcFirstLastPara="0" vertOverflow="ellipsis" vert="horz" wrap="square" anchor="ctr" anchorCtr="1"/>
          <a:lstStyle/>
          <a:p>
            <a:pPr>
              <a:defRPr lang="zh-CN" sz="900" b="0" i="0" u="none" strike="noStrike" kern="1200" baseline="0">
                <a:solidFill>
                  <a:srgbClr val="333333">
                    <a:alpha val="100000"/>
                  </a:srgbClr>
                </a:solidFill>
                <a:latin typeface="黑体" panose="02010609060101010101" pitchFamily="49" charset="-122"/>
                <a:ea typeface="黑体" panose="02010609060101010101" pitchFamily="49" charset="-122"/>
                <a:cs typeface="黑体" panose="02010609060101010101" pitchFamily="49" charset="-122"/>
              </a:defRPr>
            </a:pPr>
            <a:endParaRPr lang="zh-CN"/>
          </a:p>
        </c:txPr>
        <c:crossAx val="168472576"/>
        <c:crosses val="autoZero"/>
        <c:auto val="1"/>
        <c:lblOffset val="100"/>
        <c:baseTimeUnit val="months"/>
      </c:dateAx>
      <c:valAx>
        <c:axId val="168472576"/>
        <c:scaling>
          <c:orientation val="minMax"/>
          <c:min val="-60"/>
        </c:scaling>
        <c:delete val="0"/>
        <c:axPos val="l"/>
        <c:numFmt formatCode="0.00" sourceLinked="1"/>
        <c:majorTickMark val="out"/>
        <c:minorTickMark val="none"/>
        <c:tickLblPos val="nextTo"/>
        <c:spPr>
          <a:noFill/>
          <a:ln w="6350" cap="flat" cmpd="sng" algn="ctr">
            <a:solidFill>
              <a:sysClr val="windowText" lastClr="000000">
                <a:lumMod val="100000"/>
              </a:sysClr>
            </a:solidFill>
            <a:prstDash val="solid"/>
            <a:round/>
          </a:ln>
          <a:effectLst/>
        </c:spPr>
        <c:txPr>
          <a:bodyPr rot="0" spcFirstLastPara="0" vertOverflow="ellipsis" vert="horz" wrap="square" anchor="ctr" anchorCtr="1"/>
          <a:lstStyle/>
          <a:p>
            <a:pPr>
              <a:defRPr lang="zh-CN" sz="900" b="0" i="0" u="none" strike="noStrike" kern="1200" baseline="0">
                <a:solidFill>
                  <a:srgbClr val="333333">
                    <a:alpha val="100000"/>
                  </a:srgbClr>
                </a:solidFill>
                <a:latin typeface="黑体" panose="02010609060101010101" pitchFamily="49" charset="-122"/>
                <a:ea typeface="黑体" panose="02010609060101010101" pitchFamily="49" charset="-122"/>
                <a:cs typeface="黑体" panose="02010609060101010101" pitchFamily="49" charset="-122"/>
              </a:defRPr>
            </a:pPr>
            <a:endParaRPr lang="zh-CN"/>
          </a:p>
        </c:txPr>
        <c:crossAx val="120844644"/>
        <c:crosses val="autoZero"/>
        <c:crossBetween val="between"/>
      </c:valAx>
      <c:dateAx>
        <c:axId val="642526223"/>
        <c:scaling>
          <c:orientation val="minMax"/>
        </c:scaling>
        <c:delete val="1"/>
        <c:axPos val="b"/>
        <c:numFmt formatCode="yyyy\-mm" sourceLinked="0"/>
        <c:majorTickMark val="out"/>
        <c:minorTickMark val="none"/>
        <c:tickLblPos val="nextTo"/>
        <c:crossAx val="160964725"/>
        <c:crosses val="autoZero"/>
        <c:auto val="1"/>
        <c:lblOffset val="100"/>
        <c:baseTimeUnit val="months"/>
      </c:dateAx>
      <c:valAx>
        <c:axId val="160964725"/>
        <c:scaling>
          <c:orientation val="minMax"/>
          <c:max val="1"/>
        </c:scaling>
        <c:delete val="0"/>
        <c:axPos val="r"/>
        <c:numFmt formatCode="General" sourceLinked="1"/>
        <c:majorTickMark val="none"/>
        <c:minorTickMark val="none"/>
        <c:tickLblPos val="nextTo"/>
        <c:spPr>
          <a:ln w="3175" cap="flat" cmpd="sng" algn="ctr">
            <a:noFill/>
            <a:prstDash val="solid"/>
            <a:round/>
          </a:ln>
        </c:spPr>
        <c:txPr>
          <a:bodyPr rot="0" spcFirstLastPara="0" vertOverflow="ellipsis" vert="horz" wrap="square" anchor="ctr" anchorCtr="1"/>
          <a:lstStyle/>
          <a:p>
            <a:pPr>
              <a:defRPr lang="zh-CN" sz="900" b="0" i="0" u="none" strike="noStrike" kern="1200" baseline="0">
                <a:solidFill>
                  <a:srgbClr val="333333">
                    <a:alpha val="100000"/>
                  </a:srgbClr>
                </a:solidFill>
                <a:latin typeface="黑体" panose="02010609060101010101" pitchFamily="49" charset="-122"/>
                <a:ea typeface="黑体" panose="02010609060101010101" pitchFamily="49" charset="-122"/>
                <a:cs typeface="黑体" panose="02010609060101010101" pitchFamily="49" charset="-122"/>
              </a:defRPr>
            </a:pPr>
            <a:endParaRPr lang="zh-CN"/>
          </a:p>
        </c:txPr>
        <c:crossAx val="642526223"/>
        <c:crosses val="max"/>
        <c:crossBetween val="between"/>
      </c:valAx>
      <c:spPr>
        <a:noFill/>
        <a:ln w="3175">
          <a:noFill/>
        </a:ln>
      </c:spPr>
    </c:plotArea>
    <c:legend>
      <c:legendPos val="r"/>
      <c:layout>
        <c:manualLayout>
          <c:xMode val="edge"/>
          <c:yMode val="edge"/>
          <c:x val="0.11749999999999999"/>
          <c:y val="1.7999999999999999E-2"/>
          <c:w val="0.738654147104851"/>
          <c:h val="7.0394999174700601E-2"/>
        </c:manualLayout>
      </c:layout>
      <c:overlay val="0"/>
      <c:spPr>
        <a:noFill/>
        <a:ln w="3175">
          <a:noFill/>
        </a:ln>
      </c:spPr>
      <c:txPr>
        <a:bodyPr rot="0" spcFirstLastPara="0" vertOverflow="ellipsis" vert="horz" wrap="square" anchor="ctr" anchorCtr="1"/>
        <a:lstStyle/>
        <a:p>
          <a:pPr>
            <a:defRPr lang="zh-CN" sz="825" b="0" i="0" u="none" strike="noStrike" kern="1200" baseline="0">
              <a:solidFill>
                <a:srgbClr val="333333"/>
              </a:solidFill>
              <a:latin typeface="黑体" panose="02010609060101010101" pitchFamily="49" charset="-122"/>
              <a:ea typeface="黑体" panose="02010609060101010101" pitchFamily="49" charset="-122"/>
              <a:cs typeface="黑体" panose="02010609060101010101" pitchFamily="49" charset="-122"/>
            </a:defRPr>
          </a:pPr>
          <a:endParaRPr lang="zh-CN"/>
        </a:p>
      </c:txPr>
    </c:legend>
    <c:plotVisOnly val="1"/>
    <c:dispBlanksAs val="gap"/>
    <c:showDLblsOverMax val="0"/>
    <c:extLst>
      <c:ext uri="{0b15fc19-7d7d-44ad-8c2d-2c3a37ce22c3}">
        <chartProps xmlns="https://web.wps.cn/et/2018/main" chartId="{4c8e00bd-e6f2-47d4-9d39-2bb7203106e2}"/>
      </c:ext>
    </c:extLst>
  </c:chart>
  <c:spPr>
    <a:solidFill>
      <a:sysClr val="window" lastClr="FFFFFF">
        <a:lumMod val="100000"/>
      </a:sysClr>
    </a:solidFill>
    <a:ln w="25400" cap="flat" cmpd="sng" algn="ctr">
      <a:noFill/>
      <a:prstDash val="solid"/>
      <a:round/>
    </a:ln>
    <a:effectLst/>
  </c:spPr>
  <c:txPr>
    <a:bodyPr rot="0" wrap="square" anchor="ctr" anchorCtr="1"/>
    <a:lstStyle/>
    <a:p>
      <a:pPr>
        <a:defRPr lang="zh-CN" sz="900" b="0" i="0" u="none" strike="noStrike" baseline="0">
          <a:solidFill>
            <a:srgbClr val="000000">
              <a:alpha val="100000"/>
            </a:srgbClr>
          </a:solidFill>
          <a:latin typeface="黑体" panose="02010609060101010101" pitchFamily="49" charset="-122"/>
          <a:ea typeface="黑体" panose="02010609060101010101" pitchFamily="49" charset="-122"/>
          <a:cs typeface="黑体" panose="02010609060101010101" pitchFamily="49" charset="-122"/>
        </a:defRPr>
      </a:pPr>
      <a:endParaRPr lang="zh-CN"/>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1"/>
          <c:tx>
            <c:strRef>
              <c:f>'信贷库存框架1-票据+贷款余额'!$D$3</c:f>
              <c:strCache>
                <c:ptCount val="1"/>
                <c:pt idx="0">
                  <c:v>信贷上行手动</c:v>
                </c:pt>
              </c:strCache>
            </c:strRef>
          </c:tx>
          <c:spPr>
            <a:solidFill>
              <a:srgbClr val="EE822F">
                <a:alpha val="100000"/>
              </a:srgbClr>
            </a:solidFill>
            <a:ln w="3175">
              <a:noFill/>
            </a:ln>
          </c:spPr>
          <c:invertIfNegative val="0"/>
          <c:cat>
            <c:numRef>
              <c:f>'信贷库存框架1-票据+贷款余额'!$A$4:$A$199</c:f>
              <c:numCache>
                <c:formatCode>yyyy\-mm</c:formatCode>
                <c:ptCount val="196"/>
                <c:pt idx="0">
                  <c:v>46022</c:v>
                </c:pt>
                <c:pt idx="1">
                  <c:v>45991</c:v>
                </c:pt>
                <c:pt idx="2">
                  <c:v>45961</c:v>
                </c:pt>
                <c:pt idx="3">
                  <c:v>45930</c:v>
                </c:pt>
                <c:pt idx="4">
                  <c:v>45900</c:v>
                </c:pt>
                <c:pt idx="5">
                  <c:v>45869</c:v>
                </c:pt>
                <c:pt idx="6">
                  <c:v>45838</c:v>
                </c:pt>
                <c:pt idx="7">
                  <c:v>45808</c:v>
                </c:pt>
                <c:pt idx="8">
                  <c:v>45777</c:v>
                </c:pt>
                <c:pt idx="9">
                  <c:v>45747</c:v>
                </c:pt>
                <c:pt idx="10">
                  <c:v>45716</c:v>
                </c:pt>
                <c:pt idx="11">
                  <c:v>45688</c:v>
                </c:pt>
                <c:pt idx="12">
                  <c:v>45657</c:v>
                </c:pt>
                <c:pt idx="13">
                  <c:v>45626</c:v>
                </c:pt>
                <c:pt idx="14">
                  <c:v>45596</c:v>
                </c:pt>
                <c:pt idx="15">
                  <c:v>45565</c:v>
                </c:pt>
                <c:pt idx="16">
                  <c:v>45535</c:v>
                </c:pt>
                <c:pt idx="17">
                  <c:v>45504</c:v>
                </c:pt>
                <c:pt idx="18">
                  <c:v>45473</c:v>
                </c:pt>
                <c:pt idx="19">
                  <c:v>45443</c:v>
                </c:pt>
                <c:pt idx="20">
                  <c:v>45412</c:v>
                </c:pt>
                <c:pt idx="21">
                  <c:v>45382</c:v>
                </c:pt>
                <c:pt idx="22">
                  <c:v>45351</c:v>
                </c:pt>
                <c:pt idx="23">
                  <c:v>45322</c:v>
                </c:pt>
                <c:pt idx="24">
                  <c:v>45291</c:v>
                </c:pt>
                <c:pt idx="25">
                  <c:v>45260</c:v>
                </c:pt>
                <c:pt idx="26">
                  <c:v>45230</c:v>
                </c:pt>
                <c:pt idx="27">
                  <c:v>45199</c:v>
                </c:pt>
                <c:pt idx="28">
                  <c:v>45169</c:v>
                </c:pt>
                <c:pt idx="29">
                  <c:v>45138</c:v>
                </c:pt>
                <c:pt idx="30">
                  <c:v>45107</c:v>
                </c:pt>
                <c:pt idx="31">
                  <c:v>45077</c:v>
                </c:pt>
                <c:pt idx="32">
                  <c:v>45046</c:v>
                </c:pt>
                <c:pt idx="33">
                  <c:v>45016</c:v>
                </c:pt>
                <c:pt idx="34">
                  <c:v>44985</c:v>
                </c:pt>
                <c:pt idx="35">
                  <c:v>44957</c:v>
                </c:pt>
                <c:pt idx="36">
                  <c:v>44926</c:v>
                </c:pt>
                <c:pt idx="37">
                  <c:v>44895</c:v>
                </c:pt>
                <c:pt idx="38">
                  <c:v>44865</c:v>
                </c:pt>
                <c:pt idx="39">
                  <c:v>44834</c:v>
                </c:pt>
                <c:pt idx="40">
                  <c:v>44804</c:v>
                </c:pt>
                <c:pt idx="41">
                  <c:v>44773</c:v>
                </c:pt>
                <c:pt idx="42">
                  <c:v>44742</c:v>
                </c:pt>
                <c:pt idx="43">
                  <c:v>44712</c:v>
                </c:pt>
                <c:pt idx="44">
                  <c:v>44681</c:v>
                </c:pt>
                <c:pt idx="45">
                  <c:v>44651</c:v>
                </c:pt>
                <c:pt idx="46">
                  <c:v>44620</c:v>
                </c:pt>
                <c:pt idx="47">
                  <c:v>44592</c:v>
                </c:pt>
                <c:pt idx="48">
                  <c:v>44561</c:v>
                </c:pt>
                <c:pt idx="49">
                  <c:v>44530</c:v>
                </c:pt>
                <c:pt idx="50">
                  <c:v>44500</c:v>
                </c:pt>
                <c:pt idx="51">
                  <c:v>44469</c:v>
                </c:pt>
                <c:pt idx="52">
                  <c:v>44439</c:v>
                </c:pt>
                <c:pt idx="53">
                  <c:v>44408</c:v>
                </c:pt>
                <c:pt idx="54">
                  <c:v>44377</c:v>
                </c:pt>
                <c:pt idx="55">
                  <c:v>44347</c:v>
                </c:pt>
                <c:pt idx="56">
                  <c:v>44316</c:v>
                </c:pt>
                <c:pt idx="57">
                  <c:v>44286</c:v>
                </c:pt>
                <c:pt idx="58">
                  <c:v>44255</c:v>
                </c:pt>
                <c:pt idx="59">
                  <c:v>44227</c:v>
                </c:pt>
                <c:pt idx="60">
                  <c:v>44196</c:v>
                </c:pt>
                <c:pt idx="61">
                  <c:v>44165</c:v>
                </c:pt>
                <c:pt idx="62">
                  <c:v>44135</c:v>
                </c:pt>
                <c:pt idx="63">
                  <c:v>44104</c:v>
                </c:pt>
                <c:pt idx="64">
                  <c:v>44074</c:v>
                </c:pt>
                <c:pt idx="65">
                  <c:v>44043</c:v>
                </c:pt>
                <c:pt idx="66">
                  <c:v>44012</c:v>
                </c:pt>
                <c:pt idx="67">
                  <c:v>43982</c:v>
                </c:pt>
                <c:pt idx="68">
                  <c:v>43951</c:v>
                </c:pt>
                <c:pt idx="69">
                  <c:v>43921</c:v>
                </c:pt>
                <c:pt idx="70">
                  <c:v>43890</c:v>
                </c:pt>
                <c:pt idx="71">
                  <c:v>43861</c:v>
                </c:pt>
                <c:pt idx="72">
                  <c:v>43830</c:v>
                </c:pt>
                <c:pt idx="73">
                  <c:v>43799</c:v>
                </c:pt>
                <c:pt idx="74">
                  <c:v>43769</c:v>
                </c:pt>
                <c:pt idx="75">
                  <c:v>43738</c:v>
                </c:pt>
                <c:pt idx="76">
                  <c:v>43708</c:v>
                </c:pt>
                <c:pt idx="77">
                  <c:v>43677</c:v>
                </c:pt>
                <c:pt idx="78">
                  <c:v>43646</c:v>
                </c:pt>
                <c:pt idx="79">
                  <c:v>43616</c:v>
                </c:pt>
                <c:pt idx="80">
                  <c:v>43585</c:v>
                </c:pt>
                <c:pt idx="81">
                  <c:v>43555</c:v>
                </c:pt>
                <c:pt idx="82">
                  <c:v>43524</c:v>
                </c:pt>
                <c:pt idx="83">
                  <c:v>43496</c:v>
                </c:pt>
                <c:pt idx="84">
                  <c:v>43465</c:v>
                </c:pt>
                <c:pt idx="85">
                  <c:v>43434</c:v>
                </c:pt>
                <c:pt idx="86">
                  <c:v>43404</c:v>
                </c:pt>
                <c:pt idx="87">
                  <c:v>43373</c:v>
                </c:pt>
                <c:pt idx="88">
                  <c:v>43343</c:v>
                </c:pt>
                <c:pt idx="89">
                  <c:v>43312</c:v>
                </c:pt>
                <c:pt idx="90">
                  <c:v>43281</c:v>
                </c:pt>
                <c:pt idx="91">
                  <c:v>43251</c:v>
                </c:pt>
                <c:pt idx="92">
                  <c:v>43220</c:v>
                </c:pt>
                <c:pt idx="93">
                  <c:v>43190</c:v>
                </c:pt>
                <c:pt idx="94">
                  <c:v>43159</c:v>
                </c:pt>
                <c:pt idx="95">
                  <c:v>43131</c:v>
                </c:pt>
                <c:pt idx="96">
                  <c:v>43100</c:v>
                </c:pt>
                <c:pt idx="97">
                  <c:v>43069</c:v>
                </c:pt>
                <c:pt idx="98">
                  <c:v>43039</c:v>
                </c:pt>
                <c:pt idx="99">
                  <c:v>43008</c:v>
                </c:pt>
                <c:pt idx="100">
                  <c:v>42978</c:v>
                </c:pt>
                <c:pt idx="101">
                  <c:v>42947</c:v>
                </c:pt>
                <c:pt idx="102">
                  <c:v>42916</c:v>
                </c:pt>
                <c:pt idx="103">
                  <c:v>42886</c:v>
                </c:pt>
                <c:pt idx="104">
                  <c:v>42855</c:v>
                </c:pt>
                <c:pt idx="105">
                  <c:v>42825</c:v>
                </c:pt>
                <c:pt idx="106">
                  <c:v>42794</c:v>
                </c:pt>
                <c:pt idx="107">
                  <c:v>42766</c:v>
                </c:pt>
                <c:pt idx="108">
                  <c:v>42735</c:v>
                </c:pt>
                <c:pt idx="109">
                  <c:v>42704</c:v>
                </c:pt>
                <c:pt idx="110">
                  <c:v>42674</c:v>
                </c:pt>
                <c:pt idx="111">
                  <c:v>42643</c:v>
                </c:pt>
                <c:pt idx="112">
                  <c:v>42613</c:v>
                </c:pt>
                <c:pt idx="113">
                  <c:v>42582</c:v>
                </c:pt>
                <c:pt idx="114">
                  <c:v>42551</c:v>
                </c:pt>
                <c:pt idx="115">
                  <c:v>42521</c:v>
                </c:pt>
                <c:pt idx="116">
                  <c:v>42490</c:v>
                </c:pt>
                <c:pt idx="117">
                  <c:v>42460</c:v>
                </c:pt>
                <c:pt idx="118">
                  <c:v>42429</c:v>
                </c:pt>
                <c:pt idx="119">
                  <c:v>42400</c:v>
                </c:pt>
                <c:pt idx="120">
                  <c:v>42369</c:v>
                </c:pt>
                <c:pt idx="121">
                  <c:v>42338</c:v>
                </c:pt>
                <c:pt idx="122">
                  <c:v>42308</c:v>
                </c:pt>
                <c:pt idx="123">
                  <c:v>42277</c:v>
                </c:pt>
                <c:pt idx="124">
                  <c:v>42247</c:v>
                </c:pt>
                <c:pt idx="125">
                  <c:v>42216</c:v>
                </c:pt>
                <c:pt idx="126">
                  <c:v>42185</c:v>
                </c:pt>
                <c:pt idx="127">
                  <c:v>42155</c:v>
                </c:pt>
                <c:pt idx="128">
                  <c:v>42124</c:v>
                </c:pt>
                <c:pt idx="129">
                  <c:v>42094</c:v>
                </c:pt>
                <c:pt idx="130">
                  <c:v>42063</c:v>
                </c:pt>
                <c:pt idx="131">
                  <c:v>42035</c:v>
                </c:pt>
                <c:pt idx="132">
                  <c:v>42004</c:v>
                </c:pt>
                <c:pt idx="133">
                  <c:v>41973</c:v>
                </c:pt>
                <c:pt idx="134">
                  <c:v>41943</c:v>
                </c:pt>
                <c:pt idx="135">
                  <c:v>41912</c:v>
                </c:pt>
                <c:pt idx="136">
                  <c:v>41882</c:v>
                </c:pt>
                <c:pt idx="137">
                  <c:v>41851</c:v>
                </c:pt>
                <c:pt idx="138">
                  <c:v>41820</c:v>
                </c:pt>
                <c:pt idx="139">
                  <c:v>41790</c:v>
                </c:pt>
                <c:pt idx="140">
                  <c:v>41759</c:v>
                </c:pt>
                <c:pt idx="141">
                  <c:v>41729</c:v>
                </c:pt>
                <c:pt idx="142">
                  <c:v>41698</c:v>
                </c:pt>
                <c:pt idx="143">
                  <c:v>41670</c:v>
                </c:pt>
                <c:pt idx="144">
                  <c:v>41639</c:v>
                </c:pt>
                <c:pt idx="145">
                  <c:v>41608</c:v>
                </c:pt>
                <c:pt idx="146">
                  <c:v>41578</c:v>
                </c:pt>
                <c:pt idx="147">
                  <c:v>41547</c:v>
                </c:pt>
                <c:pt idx="148">
                  <c:v>41517</c:v>
                </c:pt>
                <c:pt idx="149">
                  <c:v>41486</c:v>
                </c:pt>
                <c:pt idx="150">
                  <c:v>41455</c:v>
                </c:pt>
                <c:pt idx="151">
                  <c:v>41425</c:v>
                </c:pt>
                <c:pt idx="152">
                  <c:v>41394</c:v>
                </c:pt>
                <c:pt idx="153">
                  <c:v>41364</c:v>
                </c:pt>
                <c:pt idx="154">
                  <c:v>41333</c:v>
                </c:pt>
                <c:pt idx="155">
                  <c:v>41305</c:v>
                </c:pt>
                <c:pt idx="156">
                  <c:v>41274</c:v>
                </c:pt>
                <c:pt idx="157">
                  <c:v>41243</c:v>
                </c:pt>
                <c:pt idx="158">
                  <c:v>41213</c:v>
                </c:pt>
                <c:pt idx="159">
                  <c:v>41182</c:v>
                </c:pt>
                <c:pt idx="160">
                  <c:v>41152</c:v>
                </c:pt>
                <c:pt idx="161">
                  <c:v>41121</c:v>
                </c:pt>
                <c:pt idx="162">
                  <c:v>41090</c:v>
                </c:pt>
                <c:pt idx="163">
                  <c:v>41060</c:v>
                </c:pt>
                <c:pt idx="164">
                  <c:v>41029</c:v>
                </c:pt>
                <c:pt idx="165">
                  <c:v>40999</c:v>
                </c:pt>
                <c:pt idx="166">
                  <c:v>40968</c:v>
                </c:pt>
                <c:pt idx="167">
                  <c:v>40939</c:v>
                </c:pt>
                <c:pt idx="168">
                  <c:v>40908</c:v>
                </c:pt>
                <c:pt idx="169">
                  <c:v>40877</c:v>
                </c:pt>
                <c:pt idx="170">
                  <c:v>40847</c:v>
                </c:pt>
                <c:pt idx="171">
                  <c:v>40816</c:v>
                </c:pt>
                <c:pt idx="172">
                  <c:v>40786</c:v>
                </c:pt>
              </c:numCache>
            </c:numRef>
          </c:cat>
          <c:val>
            <c:numRef>
              <c:f>'信贷库存框架1-票据+贷款余额'!$D$4:$D$199</c:f>
              <c:numCache>
                <c:formatCode>General</c:formatCode>
                <c:ptCount val="196"/>
                <c:pt idx="0">
                  <c:v>0</c:v>
                </c:pt>
                <c:pt idx="1">
                  <c:v>0</c:v>
                </c:pt>
                <c:pt idx="2">
                  <c:v>0</c:v>
                </c:pt>
                <c:pt idx="3">
                  <c:v>0</c:v>
                </c:pt>
                <c:pt idx="4">
                  <c:v>0</c:v>
                </c:pt>
                <c:pt idx="5">
                  <c:v>0</c:v>
                </c:pt>
                <c:pt idx="6">
                  <c:v>1</c:v>
                </c:pt>
                <c:pt idx="7">
                  <c:v>0</c:v>
                </c:pt>
                <c:pt idx="8">
                  <c:v>0</c:v>
                </c:pt>
                <c:pt idx="9">
                  <c:v>1</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1</c:v>
                </c:pt>
                <c:pt idx="27">
                  <c:v>0</c:v>
                </c:pt>
                <c:pt idx="28">
                  <c:v>0</c:v>
                </c:pt>
                <c:pt idx="29">
                  <c:v>0</c:v>
                </c:pt>
                <c:pt idx="30">
                  <c:v>0</c:v>
                </c:pt>
                <c:pt idx="31">
                  <c:v>0</c:v>
                </c:pt>
                <c:pt idx="32">
                  <c:v>0</c:v>
                </c:pt>
                <c:pt idx="33">
                  <c:v>1</c:v>
                </c:pt>
                <c:pt idx="34">
                  <c:v>1</c:v>
                </c:pt>
                <c:pt idx="35">
                  <c:v>1</c:v>
                </c:pt>
                <c:pt idx="36">
                  <c:v>0</c:v>
                </c:pt>
                <c:pt idx="37">
                  <c:v>0</c:v>
                </c:pt>
                <c:pt idx="38">
                  <c:v>0</c:v>
                </c:pt>
                <c:pt idx="39">
                  <c:v>1</c:v>
                </c:pt>
                <c:pt idx="40">
                  <c:v>0</c:v>
                </c:pt>
                <c:pt idx="41">
                  <c:v>0</c:v>
                </c:pt>
                <c:pt idx="42">
                  <c:v>1</c:v>
                </c:pt>
                <c:pt idx="43">
                  <c:v>1</c:v>
                </c:pt>
                <c:pt idx="44">
                  <c:v>0</c:v>
                </c:pt>
                <c:pt idx="45">
                  <c:v>0</c:v>
                </c:pt>
                <c:pt idx="46">
                  <c:v>0</c:v>
                </c:pt>
                <c:pt idx="47">
                  <c:v>0</c:v>
                </c:pt>
                <c:pt idx="48">
                  <c:v>0</c:v>
                </c:pt>
                <c:pt idx="49">
                  <c:v>0</c:v>
                </c:pt>
                <c:pt idx="50">
                  <c:v>0</c:v>
                </c:pt>
                <c:pt idx="51">
                  <c:v>0</c:v>
                </c:pt>
                <c:pt idx="52">
                  <c:v>0</c:v>
                </c:pt>
                <c:pt idx="53">
                  <c:v>0</c:v>
                </c:pt>
                <c:pt idx="54">
                  <c:v>1</c:v>
                </c:pt>
                <c:pt idx="55">
                  <c:v>0</c:v>
                </c:pt>
                <c:pt idx="56">
                  <c:v>0</c:v>
                </c:pt>
                <c:pt idx="57">
                  <c:v>0</c:v>
                </c:pt>
                <c:pt idx="58">
                  <c:v>1</c:v>
                </c:pt>
                <c:pt idx="59">
                  <c:v>0</c:v>
                </c:pt>
                <c:pt idx="60">
                  <c:v>0</c:v>
                </c:pt>
                <c:pt idx="61">
                  <c:v>0</c:v>
                </c:pt>
                <c:pt idx="62">
                  <c:v>0</c:v>
                </c:pt>
                <c:pt idx="63">
                  <c:v>0</c:v>
                </c:pt>
                <c:pt idx="64">
                  <c:v>0</c:v>
                </c:pt>
                <c:pt idx="65">
                  <c:v>0</c:v>
                </c:pt>
                <c:pt idx="66">
                  <c:v>0</c:v>
                </c:pt>
                <c:pt idx="67">
                  <c:v>1</c:v>
                </c:pt>
                <c:pt idx="68">
                  <c:v>1</c:v>
                </c:pt>
                <c:pt idx="69">
                  <c:v>1</c:v>
                </c:pt>
                <c:pt idx="70">
                  <c:v>1</c:v>
                </c:pt>
                <c:pt idx="71">
                  <c:v>0</c:v>
                </c:pt>
                <c:pt idx="72">
                  <c:v>0</c:v>
                </c:pt>
                <c:pt idx="73">
                  <c:v>1</c:v>
                </c:pt>
                <c:pt idx="74">
                  <c:v>0</c:v>
                </c:pt>
                <c:pt idx="75">
                  <c:v>1</c:v>
                </c:pt>
                <c:pt idx="76">
                  <c:v>0</c:v>
                </c:pt>
                <c:pt idx="77">
                  <c:v>0</c:v>
                </c:pt>
                <c:pt idx="78">
                  <c:v>0</c:v>
                </c:pt>
                <c:pt idx="79">
                  <c:v>0</c:v>
                </c:pt>
                <c:pt idx="80">
                  <c:v>0</c:v>
                </c:pt>
                <c:pt idx="81">
                  <c:v>1</c:v>
                </c:pt>
                <c:pt idx="82">
                  <c:v>0</c:v>
                </c:pt>
                <c:pt idx="83">
                  <c:v>0</c:v>
                </c:pt>
                <c:pt idx="84">
                  <c:v>1</c:v>
                </c:pt>
                <c:pt idx="85">
                  <c:v>0</c:v>
                </c:pt>
                <c:pt idx="86">
                  <c:v>0</c:v>
                </c:pt>
                <c:pt idx="87">
                  <c:v>0</c:v>
                </c:pt>
                <c:pt idx="88">
                  <c:v>1</c:v>
                </c:pt>
                <c:pt idx="89">
                  <c:v>1</c:v>
                </c:pt>
                <c:pt idx="90">
                  <c:v>1</c:v>
                </c:pt>
                <c:pt idx="91">
                  <c:v>1</c:v>
                </c:pt>
                <c:pt idx="92">
                  <c:v>0</c:v>
                </c:pt>
                <c:pt idx="93">
                  <c:v>0</c:v>
                </c:pt>
                <c:pt idx="94">
                  <c:v>0</c:v>
                </c:pt>
                <c:pt idx="95">
                  <c:v>1</c:v>
                </c:pt>
                <c:pt idx="96">
                  <c:v>0</c:v>
                </c:pt>
                <c:pt idx="97">
                  <c:v>1</c:v>
                </c:pt>
                <c:pt idx="98">
                  <c:v>0</c:v>
                </c:pt>
                <c:pt idx="99">
                  <c:v>0</c:v>
                </c:pt>
                <c:pt idx="100">
                  <c:v>0</c:v>
                </c:pt>
                <c:pt idx="101">
                  <c:v>1</c:v>
                </c:pt>
                <c:pt idx="102">
                  <c:v>0</c:v>
                </c:pt>
                <c:pt idx="103">
                  <c:v>0</c:v>
                </c:pt>
                <c:pt idx="104">
                  <c:v>1</c:v>
                </c:pt>
                <c:pt idx="105">
                  <c:v>0</c:v>
                </c:pt>
                <c:pt idx="106">
                  <c:v>1</c:v>
                </c:pt>
                <c:pt idx="107">
                  <c:v>0</c:v>
                </c:pt>
                <c:pt idx="108">
                  <c:v>1</c:v>
                </c:pt>
                <c:pt idx="109">
                  <c:v>1</c:v>
                </c:pt>
                <c:pt idx="110">
                  <c:v>1</c:v>
                </c:pt>
                <c:pt idx="111">
                  <c:v>1</c:v>
                </c:pt>
                <c:pt idx="112">
                  <c:v>0</c:v>
                </c:pt>
                <c:pt idx="113">
                  <c:v>0</c:v>
                </c:pt>
                <c:pt idx="114">
                  <c:v>0</c:v>
                </c:pt>
                <c:pt idx="115">
                  <c:v>0</c:v>
                </c:pt>
                <c:pt idx="116">
                  <c:v>0</c:v>
                </c:pt>
                <c:pt idx="117">
                  <c:v>0</c:v>
                </c:pt>
                <c:pt idx="118">
                  <c:v>0</c:v>
                </c:pt>
                <c:pt idx="119">
                  <c:v>1</c:v>
                </c:pt>
                <c:pt idx="120">
                  <c:v>0</c:v>
                </c:pt>
                <c:pt idx="121">
                  <c:v>0</c:v>
                </c:pt>
                <c:pt idx="122">
                  <c:v>1</c:v>
                </c:pt>
                <c:pt idx="123">
                  <c:v>0</c:v>
                </c:pt>
                <c:pt idx="124">
                  <c:v>1</c:v>
                </c:pt>
                <c:pt idx="125">
                  <c:v>1</c:v>
                </c:pt>
                <c:pt idx="126">
                  <c:v>0</c:v>
                </c:pt>
                <c:pt idx="127">
                  <c:v>0</c:v>
                </c:pt>
                <c:pt idx="128">
                  <c:v>1</c:v>
                </c:pt>
                <c:pt idx="129">
                  <c:v>0</c:v>
                </c:pt>
                <c:pt idx="130">
                  <c:v>1</c:v>
                </c:pt>
                <c:pt idx="131">
                  <c:v>1</c:v>
                </c:pt>
                <c:pt idx="132">
                  <c:v>1</c:v>
                </c:pt>
                <c:pt idx="133">
                  <c:v>1</c:v>
                </c:pt>
                <c:pt idx="134">
                  <c:v>0</c:v>
                </c:pt>
                <c:pt idx="135">
                  <c:v>0</c:v>
                </c:pt>
                <c:pt idx="136">
                  <c:v>0</c:v>
                </c:pt>
                <c:pt idx="137">
                  <c:v>0</c:v>
                </c:pt>
                <c:pt idx="138">
                  <c:v>1</c:v>
                </c:pt>
                <c:pt idx="139">
                  <c:v>1</c:v>
                </c:pt>
                <c:pt idx="140">
                  <c:v>0</c:v>
                </c:pt>
                <c:pt idx="141">
                  <c:v>0</c:v>
                </c:pt>
                <c:pt idx="142">
                  <c:v>0</c:v>
                </c:pt>
                <c:pt idx="143">
                  <c:v>1</c:v>
                </c:pt>
                <c:pt idx="144">
                  <c:v>0</c:v>
                </c:pt>
                <c:pt idx="145">
                  <c:v>0</c:v>
                </c:pt>
                <c:pt idx="146">
                  <c:v>0</c:v>
                </c:pt>
                <c:pt idx="147">
                  <c:v>0</c:v>
                </c:pt>
                <c:pt idx="148">
                  <c:v>0</c:v>
                </c:pt>
                <c:pt idx="149">
                  <c:v>0</c:v>
                </c:pt>
                <c:pt idx="150">
                  <c:v>0</c:v>
                </c:pt>
                <c:pt idx="151">
                  <c:v>0</c:v>
                </c:pt>
                <c:pt idx="152">
                  <c:v>1</c:v>
                </c:pt>
                <c:pt idx="153">
                  <c:v>0</c:v>
                </c:pt>
                <c:pt idx="154">
                  <c:v>0</c:v>
                </c:pt>
                <c:pt idx="155">
                  <c:v>1</c:v>
                </c:pt>
                <c:pt idx="156">
                  <c:v>0</c:v>
                </c:pt>
                <c:pt idx="157">
                  <c:v>0</c:v>
                </c:pt>
                <c:pt idx="158">
                  <c:v>0</c:v>
                </c:pt>
                <c:pt idx="159">
                  <c:v>1</c:v>
                </c:pt>
                <c:pt idx="160">
                  <c:v>1</c:v>
                </c:pt>
                <c:pt idx="161">
                  <c:v>0</c:v>
                </c:pt>
                <c:pt idx="162">
                  <c:v>1</c:v>
                </c:pt>
                <c:pt idx="163">
                  <c:v>1</c:v>
                </c:pt>
                <c:pt idx="164">
                  <c:v>0</c:v>
                </c:pt>
                <c:pt idx="165">
                  <c:v>1</c:v>
                </c:pt>
                <c:pt idx="166">
                  <c:v>1</c:v>
                </c:pt>
                <c:pt idx="167">
                  <c:v>0</c:v>
                </c:pt>
                <c:pt idx="168">
                  <c:v>1</c:v>
                </c:pt>
                <c:pt idx="169">
                  <c:v>0</c:v>
                </c:pt>
                <c:pt idx="170">
                  <c:v>0</c:v>
                </c:pt>
                <c:pt idx="171">
                  <c:v>0</c:v>
                </c:pt>
                <c:pt idx="172">
                  <c:v>1</c:v>
                </c:pt>
              </c:numCache>
            </c:numRef>
          </c:val>
          <c:extLst>
            <c:ext xmlns:c16="http://schemas.microsoft.com/office/drawing/2014/chart" uri="{C3380CC4-5D6E-409C-BE32-E72D297353CC}">
              <c16:uniqueId val="{00000000-9537-4F84-B27E-61753C98CC67}"/>
            </c:ext>
          </c:extLst>
        </c:ser>
        <c:ser>
          <c:idx val="2"/>
          <c:order val="2"/>
          <c:tx>
            <c:strRef>
              <c:f>'信贷库存框架1-票据+贷款余额'!$E$3</c:f>
              <c:strCache>
                <c:ptCount val="1"/>
                <c:pt idx="0">
                  <c:v>信贷下行手动</c:v>
                </c:pt>
              </c:strCache>
            </c:strRef>
          </c:tx>
          <c:spPr>
            <a:solidFill>
              <a:srgbClr val="F2BA02">
                <a:alpha val="100000"/>
              </a:srgbClr>
            </a:solidFill>
            <a:ln w="3175">
              <a:noFill/>
            </a:ln>
          </c:spPr>
          <c:invertIfNegative val="0"/>
          <c:cat>
            <c:numRef>
              <c:f>'信贷库存框架1-票据+贷款余额'!$A$4:$A$199</c:f>
              <c:numCache>
                <c:formatCode>yyyy\-mm</c:formatCode>
                <c:ptCount val="196"/>
                <c:pt idx="0">
                  <c:v>46022</c:v>
                </c:pt>
                <c:pt idx="1">
                  <c:v>45991</c:v>
                </c:pt>
                <c:pt idx="2">
                  <c:v>45961</c:v>
                </c:pt>
                <c:pt idx="3">
                  <c:v>45930</c:v>
                </c:pt>
                <c:pt idx="4">
                  <c:v>45900</c:v>
                </c:pt>
                <c:pt idx="5">
                  <c:v>45869</c:v>
                </c:pt>
                <c:pt idx="6">
                  <c:v>45838</c:v>
                </c:pt>
                <c:pt idx="7">
                  <c:v>45808</c:v>
                </c:pt>
                <c:pt idx="8">
                  <c:v>45777</c:v>
                </c:pt>
                <c:pt idx="9">
                  <c:v>45747</c:v>
                </c:pt>
                <c:pt idx="10">
                  <c:v>45716</c:v>
                </c:pt>
                <c:pt idx="11">
                  <c:v>45688</c:v>
                </c:pt>
                <c:pt idx="12">
                  <c:v>45657</c:v>
                </c:pt>
                <c:pt idx="13">
                  <c:v>45626</c:v>
                </c:pt>
                <c:pt idx="14">
                  <c:v>45596</c:v>
                </c:pt>
                <c:pt idx="15">
                  <c:v>45565</c:v>
                </c:pt>
                <c:pt idx="16">
                  <c:v>45535</c:v>
                </c:pt>
                <c:pt idx="17">
                  <c:v>45504</c:v>
                </c:pt>
                <c:pt idx="18">
                  <c:v>45473</c:v>
                </c:pt>
                <c:pt idx="19">
                  <c:v>45443</c:v>
                </c:pt>
                <c:pt idx="20">
                  <c:v>45412</c:v>
                </c:pt>
                <c:pt idx="21">
                  <c:v>45382</c:v>
                </c:pt>
                <c:pt idx="22">
                  <c:v>45351</c:v>
                </c:pt>
                <c:pt idx="23">
                  <c:v>45322</c:v>
                </c:pt>
                <c:pt idx="24">
                  <c:v>45291</c:v>
                </c:pt>
                <c:pt idx="25">
                  <c:v>45260</c:v>
                </c:pt>
                <c:pt idx="26">
                  <c:v>45230</c:v>
                </c:pt>
                <c:pt idx="27">
                  <c:v>45199</c:v>
                </c:pt>
                <c:pt idx="28">
                  <c:v>45169</c:v>
                </c:pt>
                <c:pt idx="29">
                  <c:v>45138</c:v>
                </c:pt>
                <c:pt idx="30">
                  <c:v>45107</c:v>
                </c:pt>
                <c:pt idx="31">
                  <c:v>45077</c:v>
                </c:pt>
                <c:pt idx="32">
                  <c:v>45046</c:v>
                </c:pt>
                <c:pt idx="33">
                  <c:v>45016</c:v>
                </c:pt>
                <c:pt idx="34">
                  <c:v>44985</c:v>
                </c:pt>
                <c:pt idx="35">
                  <c:v>44957</c:v>
                </c:pt>
                <c:pt idx="36">
                  <c:v>44926</c:v>
                </c:pt>
                <c:pt idx="37">
                  <c:v>44895</c:v>
                </c:pt>
                <c:pt idx="38">
                  <c:v>44865</c:v>
                </c:pt>
                <c:pt idx="39">
                  <c:v>44834</c:v>
                </c:pt>
                <c:pt idx="40">
                  <c:v>44804</c:v>
                </c:pt>
                <c:pt idx="41">
                  <c:v>44773</c:v>
                </c:pt>
                <c:pt idx="42">
                  <c:v>44742</c:v>
                </c:pt>
                <c:pt idx="43">
                  <c:v>44712</c:v>
                </c:pt>
                <c:pt idx="44">
                  <c:v>44681</c:v>
                </c:pt>
                <c:pt idx="45">
                  <c:v>44651</c:v>
                </c:pt>
                <c:pt idx="46">
                  <c:v>44620</c:v>
                </c:pt>
                <c:pt idx="47">
                  <c:v>44592</c:v>
                </c:pt>
                <c:pt idx="48">
                  <c:v>44561</c:v>
                </c:pt>
                <c:pt idx="49">
                  <c:v>44530</c:v>
                </c:pt>
                <c:pt idx="50">
                  <c:v>44500</c:v>
                </c:pt>
                <c:pt idx="51">
                  <c:v>44469</c:v>
                </c:pt>
                <c:pt idx="52">
                  <c:v>44439</c:v>
                </c:pt>
                <c:pt idx="53">
                  <c:v>44408</c:v>
                </c:pt>
                <c:pt idx="54">
                  <c:v>44377</c:v>
                </c:pt>
                <c:pt idx="55">
                  <c:v>44347</c:v>
                </c:pt>
                <c:pt idx="56">
                  <c:v>44316</c:v>
                </c:pt>
                <c:pt idx="57">
                  <c:v>44286</c:v>
                </c:pt>
                <c:pt idx="58">
                  <c:v>44255</c:v>
                </c:pt>
                <c:pt idx="59">
                  <c:v>44227</c:v>
                </c:pt>
                <c:pt idx="60">
                  <c:v>44196</c:v>
                </c:pt>
                <c:pt idx="61">
                  <c:v>44165</c:v>
                </c:pt>
                <c:pt idx="62">
                  <c:v>44135</c:v>
                </c:pt>
                <c:pt idx="63">
                  <c:v>44104</c:v>
                </c:pt>
                <c:pt idx="64">
                  <c:v>44074</c:v>
                </c:pt>
                <c:pt idx="65">
                  <c:v>44043</c:v>
                </c:pt>
                <c:pt idx="66">
                  <c:v>44012</c:v>
                </c:pt>
                <c:pt idx="67">
                  <c:v>43982</c:v>
                </c:pt>
                <c:pt idx="68">
                  <c:v>43951</c:v>
                </c:pt>
                <c:pt idx="69">
                  <c:v>43921</c:v>
                </c:pt>
                <c:pt idx="70">
                  <c:v>43890</c:v>
                </c:pt>
                <c:pt idx="71">
                  <c:v>43861</c:v>
                </c:pt>
                <c:pt idx="72">
                  <c:v>43830</c:v>
                </c:pt>
                <c:pt idx="73">
                  <c:v>43799</c:v>
                </c:pt>
                <c:pt idx="74">
                  <c:v>43769</c:v>
                </c:pt>
                <c:pt idx="75">
                  <c:v>43738</c:v>
                </c:pt>
                <c:pt idx="76">
                  <c:v>43708</c:v>
                </c:pt>
                <c:pt idx="77">
                  <c:v>43677</c:v>
                </c:pt>
                <c:pt idx="78">
                  <c:v>43646</c:v>
                </c:pt>
                <c:pt idx="79">
                  <c:v>43616</c:v>
                </c:pt>
                <c:pt idx="80">
                  <c:v>43585</c:v>
                </c:pt>
                <c:pt idx="81">
                  <c:v>43555</c:v>
                </c:pt>
                <c:pt idx="82">
                  <c:v>43524</c:v>
                </c:pt>
                <c:pt idx="83">
                  <c:v>43496</c:v>
                </c:pt>
                <c:pt idx="84">
                  <c:v>43465</c:v>
                </c:pt>
                <c:pt idx="85">
                  <c:v>43434</c:v>
                </c:pt>
                <c:pt idx="86">
                  <c:v>43404</c:v>
                </c:pt>
                <c:pt idx="87">
                  <c:v>43373</c:v>
                </c:pt>
                <c:pt idx="88">
                  <c:v>43343</c:v>
                </c:pt>
                <c:pt idx="89">
                  <c:v>43312</c:v>
                </c:pt>
                <c:pt idx="90">
                  <c:v>43281</c:v>
                </c:pt>
                <c:pt idx="91">
                  <c:v>43251</c:v>
                </c:pt>
                <c:pt idx="92">
                  <c:v>43220</c:v>
                </c:pt>
                <c:pt idx="93">
                  <c:v>43190</c:v>
                </c:pt>
                <c:pt idx="94">
                  <c:v>43159</c:v>
                </c:pt>
                <c:pt idx="95">
                  <c:v>43131</c:v>
                </c:pt>
                <c:pt idx="96">
                  <c:v>43100</c:v>
                </c:pt>
                <c:pt idx="97">
                  <c:v>43069</c:v>
                </c:pt>
                <c:pt idx="98">
                  <c:v>43039</c:v>
                </c:pt>
                <c:pt idx="99">
                  <c:v>43008</c:v>
                </c:pt>
                <c:pt idx="100">
                  <c:v>42978</c:v>
                </c:pt>
                <c:pt idx="101">
                  <c:v>42947</c:v>
                </c:pt>
                <c:pt idx="102">
                  <c:v>42916</c:v>
                </c:pt>
                <c:pt idx="103">
                  <c:v>42886</c:v>
                </c:pt>
                <c:pt idx="104">
                  <c:v>42855</c:v>
                </c:pt>
                <c:pt idx="105">
                  <c:v>42825</c:v>
                </c:pt>
                <c:pt idx="106">
                  <c:v>42794</c:v>
                </c:pt>
                <c:pt idx="107">
                  <c:v>42766</c:v>
                </c:pt>
                <c:pt idx="108">
                  <c:v>42735</c:v>
                </c:pt>
                <c:pt idx="109">
                  <c:v>42704</c:v>
                </c:pt>
                <c:pt idx="110">
                  <c:v>42674</c:v>
                </c:pt>
                <c:pt idx="111">
                  <c:v>42643</c:v>
                </c:pt>
                <c:pt idx="112">
                  <c:v>42613</c:v>
                </c:pt>
                <c:pt idx="113">
                  <c:v>42582</c:v>
                </c:pt>
                <c:pt idx="114">
                  <c:v>42551</c:v>
                </c:pt>
                <c:pt idx="115">
                  <c:v>42521</c:v>
                </c:pt>
                <c:pt idx="116">
                  <c:v>42490</c:v>
                </c:pt>
                <c:pt idx="117">
                  <c:v>42460</c:v>
                </c:pt>
                <c:pt idx="118">
                  <c:v>42429</c:v>
                </c:pt>
                <c:pt idx="119">
                  <c:v>42400</c:v>
                </c:pt>
                <c:pt idx="120">
                  <c:v>42369</c:v>
                </c:pt>
                <c:pt idx="121">
                  <c:v>42338</c:v>
                </c:pt>
                <c:pt idx="122">
                  <c:v>42308</c:v>
                </c:pt>
                <c:pt idx="123">
                  <c:v>42277</c:v>
                </c:pt>
                <c:pt idx="124">
                  <c:v>42247</c:v>
                </c:pt>
                <c:pt idx="125">
                  <c:v>42216</c:v>
                </c:pt>
                <c:pt idx="126">
                  <c:v>42185</c:v>
                </c:pt>
                <c:pt idx="127">
                  <c:v>42155</c:v>
                </c:pt>
                <c:pt idx="128">
                  <c:v>42124</c:v>
                </c:pt>
                <c:pt idx="129">
                  <c:v>42094</c:v>
                </c:pt>
                <c:pt idx="130">
                  <c:v>42063</c:v>
                </c:pt>
                <c:pt idx="131">
                  <c:v>42035</c:v>
                </c:pt>
                <c:pt idx="132">
                  <c:v>42004</c:v>
                </c:pt>
                <c:pt idx="133">
                  <c:v>41973</c:v>
                </c:pt>
                <c:pt idx="134">
                  <c:v>41943</c:v>
                </c:pt>
                <c:pt idx="135">
                  <c:v>41912</c:v>
                </c:pt>
                <c:pt idx="136">
                  <c:v>41882</c:v>
                </c:pt>
                <c:pt idx="137">
                  <c:v>41851</c:v>
                </c:pt>
                <c:pt idx="138">
                  <c:v>41820</c:v>
                </c:pt>
                <c:pt idx="139">
                  <c:v>41790</c:v>
                </c:pt>
                <c:pt idx="140">
                  <c:v>41759</c:v>
                </c:pt>
                <c:pt idx="141">
                  <c:v>41729</c:v>
                </c:pt>
                <c:pt idx="142">
                  <c:v>41698</c:v>
                </c:pt>
                <c:pt idx="143">
                  <c:v>41670</c:v>
                </c:pt>
                <c:pt idx="144">
                  <c:v>41639</c:v>
                </c:pt>
                <c:pt idx="145">
                  <c:v>41608</c:v>
                </c:pt>
                <c:pt idx="146">
                  <c:v>41578</c:v>
                </c:pt>
                <c:pt idx="147">
                  <c:v>41547</c:v>
                </c:pt>
                <c:pt idx="148">
                  <c:v>41517</c:v>
                </c:pt>
                <c:pt idx="149">
                  <c:v>41486</c:v>
                </c:pt>
                <c:pt idx="150">
                  <c:v>41455</c:v>
                </c:pt>
                <c:pt idx="151">
                  <c:v>41425</c:v>
                </c:pt>
                <c:pt idx="152">
                  <c:v>41394</c:v>
                </c:pt>
                <c:pt idx="153">
                  <c:v>41364</c:v>
                </c:pt>
                <c:pt idx="154">
                  <c:v>41333</c:v>
                </c:pt>
                <c:pt idx="155">
                  <c:v>41305</c:v>
                </c:pt>
                <c:pt idx="156">
                  <c:v>41274</c:v>
                </c:pt>
                <c:pt idx="157">
                  <c:v>41243</c:v>
                </c:pt>
                <c:pt idx="158">
                  <c:v>41213</c:v>
                </c:pt>
                <c:pt idx="159">
                  <c:v>41182</c:v>
                </c:pt>
                <c:pt idx="160">
                  <c:v>41152</c:v>
                </c:pt>
                <c:pt idx="161">
                  <c:v>41121</c:v>
                </c:pt>
                <c:pt idx="162">
                  <c:v>41090</c:v>
                </c:pt>
                <c:pt idx="163">
                  <c:v>41060</c:v>
                </c:pt>
                <c:pt idx="164">
                  <c:v>41029</c:v>
                </c:pt>
                <c:pt idx="165">
                  <c:v>40999</c:v>
                </c:pt>
                <c:pt idx="166">
                  <c:v>40968</c:v>
                </c:pt>
                <c:pt idx="167">
                  <c:v>40939</c:v>
                </c:pt>
                <c:pt idx="168">
                  <c:v>40908</c:v>
                </c:pt>
                <c:pt idx="169">
                  <c:v>40877</c:v>
                </c:pt>
                <c:pt idx="170">
                  <c:v>40847</c:v>
                </c:pt>
                <c:pt idx="171">
                  <c:v>40816</c:v>
                </c:pt>
                <c:pt idx="172">
                  <c:v>40786</c:v>
                </c:pt>
              </c:numCache>
            </c:numRef>
          </c:cat>
          <c:val>
            <c:numRef>
              <c:f>'信贷库存框架1-票据+贷款余额'!$E$4:$E$199</c:f>
              <c:numCache>
                <c:formatCode>General</c:formatCode>
                <c:ptCount val="196"/>
                <c:pt idx="0">
                  <c:v>1</c:v>
                </c:pt>
                <c:pt idx="1">
                  <c:v>1</c:v>
                </c:pt>
                <c:pt idx="2">
                  <c:v>1</c:v>
                </c:pt>
                <c:pt idx="3">
                  <c:v>1</c:v>
                </c:pt>
                <c:pt idx="4">
                  <c:v>1</c:v>
                </c:pt>
                <c:pt idx="5">
                  <c:v>1</c:v>
                </c:pt>
                <c:pt idx="6">
                  <c:v>0</c:v>
                </c:pt>
                <c:pt idx="7">
                  <c:v>1</c:v>
                </c:pt>
                <c:pt idx="8">
                  <c:v>1</c:v>
                </c:pt>
                <c:pt idx="9">
                  <c:v>0</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0</c:v>
                </c:pt>
                <c:pt idx="27">
                  <c:v>1</c:v>
                </c:pt>
                <c:pt idx="28">
                  <c:v>1</c:v>
                </c:pt>
                <c:pt idx="29">
                  <c:v>1</c:v>
                </c:pt>
                <c:pt idx="30">
                  <c:v>1</c:v>
                </c:pt>
                <c:pt idx="31">
                  <c:v>1</c:v>
                </c:pt>
                <c:pt idx="32">
                  <c:v>1</c:v>
                </c:pt>
                <c:pt idx="33">
                  <c:v>0</c:v>
                </c:pt>
                <c:pt idx="34">
                  <c:v>0</c:v>
                </c:pt>
                <c:pt idx="35">
                  <c:v>0</c:v>
                </c:pt>
                <c:pt idx="36">
                  <c:v>1</c:v>
                </c:pt>
                <c:pt idx="37">
                  <c:v>1</c:v>
                </c:pt>
                <c:pt idx="38">
                  <c:v>1</c:v>
                </c:pt>
                <c:pt idx="39">
                  <c:v>0</c:v>
                </c:pt>
                <c:pt idx="40">
                  <c:v>1</c:v>
                </c:pt>
                <c:pt idx="41">
                  <c:v>1</c:v>
                </c:pt>
                <c:pt idx="42">
                  <c:v>0</c:v>
                </c:pt>
                <c:pt idx="43">
                  <c:v>0</c:v>
                </c:pt>
                <c:pt idx="44">
                  <c:v>1</c:v>
                </c:pt>
                <c:pt idx="45">
                  <c:v>1</c:v>
                </c:pt>
                <c:pt idx="46">
                  <c:v>1</c:v>
                </c:pt>
                <c:pt idx="47">
                  <c:v>1</c:v>
                </c:pt>
                <c:pt idx="48">
                  <c:v>1</c:v>
                </c:pt>
                <c:pt idx="49">
                  <c:v>1</c:v>
                </c:pt>
                <c:pt idx="50">
                  <c:v>1</c:v>
                </c:pt>
                <c:pt idx="51">
                  <c:v>1</c:v>
                </c:pt>
                <c:pt idx="52">
                  <c:v>1</c:v>
                </c:pt>
                <c:pt idx="53">
                  <c:v>1</c:v>
                </c:pt>
                <c:pt idx="54">
                  <c:v>0</c:v>
                </c:pt>
                <c:pt idx="55">
                  <c:v>1</c:v>
                </c:pt>
                <c:pt idx="56">
                  <c:v>1</c:v>
                </c:pt>
                <c:pt idx="57">
                  <c:v>1</c:v>
                </c:pt>
                <c:pt idx="58">
                  <c:v>0</c:v>
                </c:pt>
                <c:pt idx="59">
                  <c:v>1</c:v>
                </c:pt>
                <c:pt idx="60">
                  <c:v>1</c:v>
                </c:pt>
                <c:pt idx="61">
                  <c:v>1</c:v>
                </c:pt>
                <c:pt idx="62">
                  <c:v>1</c:v>
                </c:pt>
                <c:pt idx="63">
                  <c:v>1</c:v>
                </c:pt>
                <c:pt idx="64">
                  <c:v>1</c:v>
                </c:pt>
                <c:pt idx="65">
                  <c:v>1</c:v>
                </c:pt>
                <c:pt idx="66">
                  <c:v>1</c:v>
                </c:pt>
                <c:pt idx="67">
                  <c:v>0</c:v>
                </c:pt>
                <c:pt idx="68">
                  <c:v>0</c:v>
                </c:pt>
                <c:pt idx="69">
                  <c:v>0</c:v>
                </c:pt>
                <c:pt idx="70">
                  <c:v>0</c:v>
                </c:pt>
                <c:pt idx="71">
                  <c:v>1</c:v>
                </c:pt>
                <c:pt idx="72">
                  <c:v>1</c:v>
                </c:pt>
                <c:pt idx="73">
                  <c:v>0</c:v>
                </c:pt>
                <c:pt idx="74">
                  <c:v>1</c:v>
                </c:pt>
                <c:pt idx="75">
                  <c:v>0</c:v>
                </c:pt>
                <c:pt idx="76">
                  <c:v>1</c:v>
                </c:pt>
                <c:pt idx="77">
                  <c:v>1</c:v>
                </c:pt>
                <c:pt idx="78">
                  <c:v>1</c:v>
                </c:pt>
                <c:pt idx="79">
                  <c:v>1</c:v>
                </c:pt>
                <c:pt idx="80">
                  <c:v>1</c:v>
                </c:pt>
                <c:pt idx="81">
                  <c:v>0</c:v>
                </c:pt>
                <c:pt idx="82">
                  <c:v>1</c:v>
                </c:pt>
                <c:pt idx="83">
                  <c:v>1</c:v>
                </c:pt>
                <c:pt idx="84">
                  <c:v>0</c:v>
                </c:pt>
                <c:pt idx="85">
                  <c:v>1</c:v>
                </c:pt>
                <c:pt idx="86">
                  <c:v>1</c:v>
                </c:pt>
                <c:pt idx="87">
                  <c:v>1</c:v>
                </c:pt>
                <c:pt idx="88">
                  <c:v>0</c:v>
                </c:pt>
                <c:pt idx="89">
                  <c:v>0</c:v>
                </c:pt>
                <c:pt idx="90">
                  <c:v>0</c:v>
                </c:pt>
                <c:pt idx="91">
                  <c:v>0</c:v>
                </c:pt>
                <c:pt idx="92">
                  <c:v>1</c:v>
                </c:pt>
                <c:pt idx="93">
                  <c:v>1</c:v>
                </c:pt>
                <c:pt idx="94">
                  <c:v>1</c:v>
                </c:pt>
                <c:pt idx="95">
                  <c:v>0</c:v>
                </c:pt>
                <c:pt idx="96">
                  <c:v>1</c:v>
                </c:pt>
                <c:pt idx="97">
                  <c:v>0</c:v>
                </c:pt>
                <c:pt idx="98">
                  <c:v>1</c:v>
                </c:pt>
                <c:pt idx="99">
                  <c:v>1</c:v>
                </c:pt>
                <c:pt idx="100">
                  <c:v>1</c:v>
                </c:pt>
                <c:pt idx="101">
                  <c:v>0</c:v>
                </c:pt>
                <c:pt idx="102">
                  <c:v>1</c:v>
                </c:pt>
                <c:pt idx="103">
                  <c:v>1</c:v>
                </c:pt>
                <c:pt idx="104">
                  <c:v>0</c:v>
                </c:pt>
                <c:pt idx="105">
                  <c:v>1</c:v>
                </c:pt>
                <c:pt idx="106">
                  <c:v>0</c:v>
                </c:pt>
                <c:pt idx="107">
                  <c:v>1</c:v>
                </c:pt>
                <c:pt idx="108">
                  <c:v>0</c:v>
                </c:pt>
                <c:pt idx="109">
                  <c:v>0</c:v>
                </c:pt>
                <c:pt idx="110">
                  <c:v>0</c:v>
                </c:pt>
                <c:pt idx="111">
                  <c:v>0</c:v>
                </c:pt>
                <c:pt idx="112">
                  <c:v>1</c:v>
                </c:pt>
                <c:pt idx="113">
                  <c:v>1</c:v>
                </c:pt>
                <c:pt idx="114">
                  <c:v>1</c:v>
                </c:pt>
                <c:pt idx="115">
                  <c:v>1</c:v>
                </c:pt>
                <c:pt idx="116">
                  <c:v>1</c:v>
                </c:pt>
                <c:pt idx="117">
                  <c:v>1</c:v>
                </c:pt>
                <c:pt idx="118">
                  <c:v>1</c:v>
                </c:pt>
                <c:pt idx="119">
                  <c:v>0</c:v>
                </c:pt>
                <c:pt idx="120">
                  <c:v>1</c:v>
                </c:pt>
                <c:pt idx="121">
                  <c:v>1</c:v>
                </c:pt>
                <c:pt idx="122">
                  <c:v>0</c:v>
                </c:pt>
                <c:pt idx="123">
                  <c:v>1</c:v>
                </c:pt>
                <c:pt idx="124">
                  <c:v>0</c:v>
                </c:pt>
                <c:pt idx="125">
                  <c:v>0</c:v>
                </c:pt>
                <c:pt idx="126">
                  <c:v>1</c:v>
                </c:pt>
                <c:pt idx="127">
                  <c:v>1</c:v>
                </c:pt>
                <c:pt idx="128">
                  <c:v>0</c:v>
                </c:pt>
                <c:pt idx="129">
                  <c:v>1</c:v>
                </c:pt>
                <c:pt idx="130">
                  <c:v>0</c:v>
                </c:pt>
                <c:pt idx="131">
                  <c:v>0</c:v>
                </c:pt>
                <c:pt idx="132">
                  <c:v>0</c:v>
                </c:pt>
                <c:pt idx="133">
                  <c:v>0</c:v>
                </c:pt>
                <c:pt idx="134">
                  <c:v>1</c:v>
                </c:pt>
                <c:pt idx="135">
                  <c:v>1</c:v>
                </c:pt>
                <c:pt idx="136">
                  <c:v>1</c:v>
                </c:pt>
                <c:pt idx="137">
                  <c:v>1</c:v>
                </c:pt>
                <c:pt idx="138">
                  <c:v>0</c:v>
                </c:pt>
                <c:pt idx="139">
                  <c:v>0</c:v>
                </c:pt>
                <c:pt idx="140">
                  <c:v>1</c:v>
                </c:pt>
                <c:pt idx="141">
                  <c:v>1</c:v>
                </c:pt>
                <c:pt idx="142">
                  <c:v>1</c:v>
                </c:pt>
                <c:pt idx="143">
                  <c:v>0</c:v>
                </c:pt>
                <c:pt idx="144">
                  <c:v>1</c:v>
                </c:pt>
                <c:pt idx="145">
                  <c:v>1</c:v>
                </c:pt>
                <c:pt idx="146">
                  <c:v>1</c:v>
                </c:pt>
                <c:pt idx="147">
                  <c:v>1</c:v>
                </c:pt>
                <c:pt idx="148">
                  <c:v>1</c:v>
                </c:pt>
                <c:pt idx="149">
                  <c:v>1</c:v>
                </c:pt>
                <c:pt idx="150">
                  <c:v>1</c:v>
                </c:pt>
                <c:pt idx="151">
                  <c:v>1</c:v>
                </c:pt>
                <c:pt idx="152">
                  <c:v>0</c:v>
                </c:pt>
                <c:pt idx="153">
                  <c:v>1</c:v>
                </c:pt>
                <c:pt idx="154">
                  <c:v>1</c:v>
                </c:pt>
                <c:pt idx="155">
                  <c:v>0</c:v>
                </c:pt>
                <c:pt idx="156">
                  <c:v>1</c:v>
                </c:pt>
                <c:pt idx="157">
                  <c:v>1</c:v>
                </c:pt>
                <c:pt idx="158">
                  <c:v>1</c:v>
                </c:pt>
                <c:pt idx="159">
                  <c:v>0</c:v>
                </c:pt>
                <c:pt idx="160">
                  <c:v>0</c:v>
                </c:pt>
                <c:pt idx="161">
                  <c:v>1</c:v>
                </c:pt>
                <c:pt idx="162">
                  <c:v>0</c:v>
                </c:pt>
                <c:pt idx="163">
                  <c:v>0</c:v>
                </c:pt>
                <c:pt idx="164">
                  <c:v>1</c:v>
                </c:pt>
                <c:pt idx="165">
                  <c:v>0</c:v>
                </c:pt>
                <c:pt idx="166">
                  <c:v>0</c:v>
                </c:pt>
                <c:pt idx="167">
                  <c:v>1</c:v>
                </c:pt>
                <c:pt idx="168">
                  <c:v>0</c:v>
                </c:pt>
                <c:pt idx="169">
                  <c:v>1</c:v>
                </c:pt>
                <c:pt idx="170">
                  <c:v>1</c:v>
                </c:pt>
                <c:pt idx="171">
                  <c:v>1</c:v>
                </c:pt>
                <c:pt idx="172">
                  <c:v>0</c:v>
                </c:pt>
              </c:numCache>
            </c:numRef>
          </c:val>
          <c:extLst>
            <c:ext xmlns:c16="http://schemas.microsoft.com/office/drawing/2014/chart" uri="{C3380CC4-5D6E-409C-BE32-E72D297353CC}">
              <c16:uniqueId val="{00000001-9537-4F84-B27E-61753C98CC67}"/>
            </c:ext>
          </c:extLst>
        </c:ser>
        <c:dLbls>
          <c:showLegendKey val="0"/>
          <c:showVal val="0"/>
          <c:showCatName val="0"/>
          <c:showSerName val="0"/>
          <c:showPercent val="0"/>
          <c:showBubbleSize val="0"/>
        </c:dLbls>
        <c:gapWidth val="0"/>
        <c:overlap val="100"/>
        <c:axId val="74693733"/>
        <c:axId val="292663970"/>
      </c:barChart>
      <c:lineChart>
        <c:grouping val="standard"/>
        <c:varyColors val="0"/>
        <c:ser>
          <c:idx val="0"/>
          <c:order val="0"/>
          <c:tx>
            <c:strRef>
              <c:f>'信贷库存框架1-票据+贷款余额'!$C$3</c:f>
              <c:strCache>
                <c:ptCount val="1"/>
                <c:pt idx="0">
                  <c:v>贷款余额增速</c:v>
                </c:pt>
              </c:strCache>
            </c:strRef>
          </c:tx>
          <c:spPr>
            <a:ln w="15875" cap="rnd" cmpd="sng" algn="ctr">
              <a:solidFill>
                <a:srgbClr val="004477"/>
              </a:solidFill>
              <a:prstDash val="solid"/>
              <a:round/>
            </a:ln>
            <a:effectLst/>
          </c:spPr>
          <c:marker>
            <c:symbol val="none"/>
          </c:marker>
          <c:cat>
            <c:numRef>
              <c:f>'信贷库存框架1-票据+贷款余额'!$A$4:$A$199</c:f>
              <c:numCache>
                <c:formatCode>yyyy\-mm</c:formatCode>
                <c:ptCount val="196"/>
                <c:pt idx="0">
                  <c:v>46022</c:v>
                </c:pt>
                <c:pt idx="1">
                  <c:v>45991</c:v>
                </c:pt>
                <c:pt idx="2">
                  <c:v>45961</c:v>
                </c:pt>
                <c:pt idx="3">
                  <c:v>45930</c:v>
                </c:pt>
                <c:pt idx="4">
                  <c:v>45900</c:v>
                </c:pt>
                <c:pt idx="5">
                  <c:v>45869</c:v>
                </c:pt>
                <c:pt idx="6">
                  <c:v>45838</c:v>
                </c:pt>
                <c:pt idx="7">
                  <c:v>45808</c:v>
                </c:pt>
                <c:pt idx="8">
                  <c:v>45777</c:v>
                </c:pt>
                <c:pt idx="9">
                  <c:v>45747</c:v>
                </c:pt>
                <c:pt idx="10">
                  <c:v>45716</c:v>
                </c:pt>
                <c:pt idx="11">
                  <c:v>45688</c:v>
                </c:pt>
                <c:pt idx="12">
                  <c:v>45657</c:v>
                </c:pt>
                <c:pt idx="13">
                  <c:v>45626</c:v>
                </c:pt>
                <c:pt idx="14">
                  <c:v>45596</c:v>
                </c:pt>
                <c:pt idx="15">
                  <c:v>45565</c:v>
                </c:pt>
                <c:pt idx="16">
                  <c:v>45535</c:v>
                </c:pt>
                <c:pt idx="17">
                  <c:v>45504</c:v>
                </c:pt>
                <c:pt idx="18">
                  <c:v>45473</c:v>
                </c:pt>
                <c:pt idx="19">
                  <c:v>45443</c:v>
                </c:pt>
                <c:pt idx="20">
                  <c:v>45412</c:v>
                </c:pt>
                <c:pt idx="21">
                  <c:v>45382</c:v>
                </c:pt>
                <c:pt idx="22">
                  <c:v>45351</c:v>
                </c:pt>
                <c:pt idx="23">
                  <c:v>45322</c:v>
                </c:pt>
                <c:pt idx="24">
                  <c:v>45291</c:v>
                </c:pt>
                <c:pt idx="25">
                  <c:v>45260</c:v>
                </c:pt>
                <c:pt idx="26">
                  <c:v>45230</c:v>
                </c:pt>
                <c:pt idx="27">
                  <c:v>45199</c:v>
                </c:pt>
                <c:pt idx="28">
                  <c:v>45169</c:v>
                </c:pt>
                <c:pt idx="29">
                  <c:v>45138</c:v>
                </c:pt>
                <c:pt idx="30">
                  <c:v>45107</c:v>
                </c:pt>
                <c:pt idx="31">
                  <c:v>45077</c:v>
                </c:pt>
                <c:pt idx="32">
                  <c:v>45046</c:v>
                </c:pt>
                <c:pt idx="33">
                  <c:v>45016</c:v>
                </c:pt>
                <c:pt idx="34">
                  <c:v>44985</c:v>
                </c:pt>
                <c:pt idx="35">
                  <c:v>44957</c:v>
                </c:pt>
                <c:pt idx="36">
                  <c:v>44926</c:v>
                </c:pt>
                <c:pt idx="37">
                  <c:v>44895</c:v>
                </c:pt>
                <c:pt idx="38">
                  <c:v>44865</c:v>
                </c:pt>
                <c:pt idx="39">
                  <c:v>44834</c:v>
                </c:pt>
                <c:pt idx="40">
                  <c:v>44804</c:v>
                </c:pt>
                <c:pt idx="41">
                  <c:v>44773</c:v>
                </c:pt>
                <c:pt idx="42">
                  <c:v>44742</c:v>
                </c:pt>
                <c:pt idx="43">
                  <c:v>44712</c:v>
                </c:pt>
                <c:pt idx="44">
                  <c:v>44681</c:v>
                </c:pt>
                <c:pt idx="45">
                  <c:v>44651</c:v>
                </c:pt>
                <c:pt idx="46">
                  <c:v>44620</c:v>
                </c:pt>
                <c:pt idx="47">
                  <c:v>44592</c:v>
                </c:pt>
                <c:pt idx="48">
                  <c:v>44561</c:v>
                </c:pt>
                <c:pt idx="49">
                  <c:v>44530</c:v>
                </c:pt>
                <c:pt idx="50">
                  <c:v>44500</c:v>
                </c:pt>
                <c:pt idx="51">
                  <c:v>44469</c:v>
                </c:pt>
                <c:pt idx="52">
                  <c:v>44439</c:v>
                </c:pt>
                <c:pt idx="53">
                  <c:v>44408</c:v>
                </c:pt>
                <c:pt idx="54">
                  <c:v>44377</c:v>
                </c:pt>
                <c:pt idx="55">
                  <c:v>44347</c:v>
                </c:pt>
                <c:pt idx="56">
                  <c:v>44316</c:v>
                </c:pt>
                <c:pt idx="57">
                  <c:v>44286</c:v>
                </c:pt>
                <c:pt idx="58">
                  <c:v>44255</c:v>
                </c:pt>
                <c:pt idx="59">
                  <c:v>44227</c:v>
                </c:pt>
                <c:pt idx="60">
                  <c:v>44196</c:v>
                </c:pt>
                <c:pt idx="61">
                  <c:v>44165</c:v>
                </c:pt>
                <c:pt idx="62">
                  <c:v>44135</c:v>
                </c:pt>
                <c:pt idx="63">
                  <c:v>44104</c:v>
                </c:pt>
                <c:pt idx="64">
                  <c:v>44074</c:v>
                </c:pt>
                <c:pt idx="65">
                  <c:v>44043</c:v>
                </c:pt>
                <c:pt idx="66">
                  <c:v>44012</c:v>
                </c:pt>
                <c:pt idx="67">
                  <c:v>43982</c:v>
                </c:pt>
                <c:pt idx="68">
                  <c:v>43951</c:v>
                </c:pt>
                <c:pt idx="69">
                  <c:v>43921</c:v>
                </c:pt>
                <c:pt idx="70">
                  <c:v>43890</c:v>
                </c:pt>
                <c:pt idx="71">
                  <c:v>43861</c:v>
                </c:pt>
                <c:pt idx="72">
                  <c:v>43830</c:v>
                </c:pt>
                <c:pt idx="73">
                  <c:v>43799</c:v>
                </c:pt>
                <c:pt idx="74">
                  <c:v>43769</c:v>
                </c:pt>
                <c:pt idx="75">
                  <c:v>43738</c:v>
                </c:pt>
                <c:pt idx="76">
                  <c:v>43708</c:v>
                </c:pt>
                <c:pt idx="77">
                  <c:v>43677</c:v>
                </c:pt>
                <c:pt idx="78">
                  <c:v>43646</c:v>
                </c:pt>
                <c:pt idx="79">
                  <c:v>43616</c:v>
                </c:pt>
                <c:pt idx="80">
                  <c:v>43585</c:v>
                </c:pt>
                <c:pt idx="81">
                  <c:v>43555</c:v>
                </c:pt>
                <c:pt idx="82">
                  <c:v>43524</c:v>
                </c:pt>
                <c:pt idx="83">
                  <c:v>43496</c:v>
                </c:pt>
                <c:pt idx="84">
                  <c:v>43465</c:v>
                </c:pt>
                <c:pt idx="85">
                  <c:v>43434</c:v>
                </c:pt>
                <c:pt idx="86">
                  <c:v>43404</c:v>
                </c:pt>
                <c:pt idx="87">
                  <c:v>43373</c:v>
                </c:pt>
                <c:pt idx="88">
                  <c:v>43343</c:v>
                </c:pt>
                <c:pt idx="89">
                  <c:v>43312</c:v>
                </c:pt>
                <c:pt idx="90">
                  <c:v>43281</c:v>
                </c:pt>
                <c:pt idx="91">
                  <c:v>43251</c:v>
                </c:pt>
                <c:pt idx="92">
                  <c:v>43220</c:v>
                </c:pt>
                <c:pt idx="93">
                  <c:v>43190</c:v>
                </c:pt>
                <c:pt idx="94">
                  <c:v>43159</c:v>
                </c:pt>
                <c:pt idx="95">
                  <c:v>43131</c:v>
                </c:pt>
                <c:pt idx="96">
                  <c:v>43100</c:v>
                </c:pt>
                <c:pt idx="97">
                  <c:v>43069</c:v>
                </c:pt>
                <c:pt idx="98">
                  <c:v>43039</c:v>
                </c:pt>
                <c:pt idx="99">
                  <c:v>43008</c:v>
                </c:pt>
                <c:pt idx="100">
                  <c:v>42978</c:v>
                </c:pt>
                <c:pt idx="101">
                  <c:v>42947</c:v>
                </c:pt>
                <c:pt idx="102">
                  <c:v>42916</c:v>
                </c:pt>
                <c:pt idx="103">
                  <c:v>42886</c:v>
                </c:pt>
                <c:pt idx="104">
                  <c:v>42855</c:v>
                </c:pt>
                <c:pt idx="105">
                  <c:v>42825</c:v>
                </c:pt>
                <c:pt idx="106">
                  <c:v>42794</c:v>
                </c:pt>
                <c:pt idx="107">
                  <c:v>42766</c:v>
                </c:pt>
                <c:pt idx="108">
                  <c:v>42735</c:v>
                </c:pt>
                <c:pt idx="109">
                  <c:v>42704</c:v>
                </c:pt>
                <c:pt idx="110">
                  <c:v>42674</c:v>
                </c:pt>
                <c:pt idx="111">
                  <c:v>42643</c:v>
                </c:pt>
                <c:pt idx="112">
                  <c:v>42613</c:v>
                </c:pt>
                <c:pt idx="113">
                  <c:v>42582</c:v>
                </c:pt>
                <c:pt idx="114">
                  <c:v>42551</c:v>
                </c:pt>
                <c:pt idx="115">
                  <c:v>42521</c:v>
                </c:pt>
                <c:pt idx="116">
                  <c:v>42490</c:v>
                </c:pt>
                <c:pt idx="117">
                  <c:v>42460</c:v>
                </c:pt>
                <c:pt idx="118">
                  <c:v>42429</c:v>
                </c:pt>
                <c:pt idx="119">
                  <c:v>42400</c:v>
                </c:pt>
                <c:pt idx="120">
                  <c:v>42369</c:v>
                </c:pt>
                <c:pt idx="121">
                  <c:v>42338</c:v>
                </c:pt>
                <c:pt idx="122">
                  <c:v>42308</c:v>
                </c:pt>
                <c:pt idx="123">
                  <c:v>42277</c:v>
                </c:pt>
                <c:pt idx="124">
                  <c:v>42247</c:v>
                </c:pt>
                <c:pt idx="125">
                  <c:v>42216</c:v>
                </c:pt>
                <c:pt idx="126">
                  <c:v>42185</c:v>
                </c:pt>
                <c:pt idx="127">
                  <c:v>42155</c:v>
                </c:pt>
                <c:pt idx="128">
                  <c:v>42124</c:v>
                </c:pt>
                <c:pt idx="129">
                  <c:v>42094</c:v>
                </c:pt>
                <c:pt idx="130">
                  <c:v>42063</c:v>
                </c:pt>
                <c:pt idx="131">
                  <c:v>42035</c:v>
                </c:pt>
                <c:pt idx="132">
                  <c:v>42004</c:v>
                </c:pt>
                <c:pt idx="133">
                  <c:v>41973</c:v>
                </c:pt>
                <c:pt idx="134">
                  <c:v>41943</c:v>
                </c:pt>
                <c:pt idx="135">
                  <c:v>41912</c:v>
                </c:pt>
                <c:pt idx="136">
                  <c:v>41882</c:v>
                </c:pt>
                <c:pt idx="137">
                  <c:v>41851</c:v>
                </c:pt>
                <c:pt idx="138">
                  <c:v>41820</c:v>
                </c:pt>
                <c:pt idx="139">
                  <c:v>41790</c:v>
                </c:pt>
                <c:pt idx="140">
                  <c:v>41759</c:v>
                </c:pt>
                <c:pt idx="141">
                  <c:v>41729</c:v>
                </c:pt>
                <c:pt idx="142">
                  <c:v>41698</c:v>
                </c:pt>
                <c:pt idx="143">
                  <c:v>41670</c:v>
                </c:pt>
                <c:pt idx="144">
                  <c:v>41639</c:v>
                </c:pt>
                <c:pt idx="145">
                  <c:v>41608</c:v>
                </c:pt>
                <c:pt idx="146">
                  <c:v>41578</c:v>
                </c:pt>
                <c:pt idx="147">
                  <c:v>41547</c:v>
                </c:pt>
                <c:pt idx="148">
                  <c:v>41517</c:v>
                </c:pt>
                <c:pt idx="149">
                  <c:v>41486</c:v>
                </c:pt>
                <c:pt idx="150">
                  <c:v>41455</c:v>
                </c:pt>
                <c:pt idx="151">
                  <c:v>41425</c:v>
                </c:pt>
                <c:pt idx="152">
                  <c:v>41394</c:v>
                </c:pt>
                <c:pt idx="153">
                  <c:v>41364</c:v>
                </c:pt>
                <c:pt idx="154">
                  <c:v>41333</c:v>
                </c:pt>
                <c:pt idx="155">
                  <c:v>41305</c:v>
                </c:pt>
                <c:pt idx="156">
                  <c:v>41274</c:v>
                </c:pt>
                <c:pt idx="157">
                  <c:v>41243</c:v>
                </c:pt>
                <c:pt idx="158">
                  <c:v>41213</c:v>
                </c:pt>
                <c:pt idx="159">
                  <c:v>41182</c:v>
                </c:pt>
                <c:pt idx="160">
                  <c:v>41152</c:v>
                </c:pt>
                <c:pt idx="161">
                  <c:v>41121</c:v>
                </c:pt>
                <c:pt idx="162">
                  <c:v>41090</c:v>
                </c:pt>
                <c:pt idx="163">
                  <c:v>41060</c:v>
                </c:pt>
                <c:pt idx="164">
                  <c:v>41029</c:v>
                </c:pt>
                <c:pt idx="165">
                  <c:v>40999</c:v>
                </c:pt>
                <c:pt idx="166">
                  <c:v>40968</c:v>
                </c:pt>
                <c:pt idx="167">
                  <c:v>40939</c:v>
                </c:pt>
                <c:pt idx="168">
                  <c:v>40908</c:v>
                </c:pt>
                <c:pt idx="169">
                  <c:v>40877</c:v>
                </c:pt>
                <c:pt idx="170">
                  <c:v>40847</c:v>
                </c:pt>
                <c:pt idx="171">
                  <c:v>40816</c:v>
                </c:pt>
                <c:pt idx="172">
                  <c:v>40786</c:v>
                </c:pt>
              </c:numCache>
            </c:numRef>
          </c:cat>
          <c:val>
            <c:numRef>
              <c:f>'信贷库存框架1-票据+贷款余额'!$C$4:$C$199</c:f>
              <c:numCache>
                <c:formatCode>0.00</c:formatCode>
                <c:ptCount val="196"/>
                <c:pt idx="0">
                  <c:v>6.2</c:v>
                </c:pt>
                <c:pt idx="1">
                  <c:v>6.3</c:v>
                </c:pt>
                <c:pt idx="2">
                  <c:v>6.3</c:v>
                </c:pt>
                <c:pt idx="3">
                  <c:v>6.5</c:v>
                </c:pt>
                <c:pt idx="4">
                  <c:v>6.6</c:v>
                </c:pt>
                <c:pt idx="5">
                  <c:v>6.7</c:v>
                </c:pt>
                <c:pt idx="6">
                  <c:v>6.8</c:v>
                </c:pt>
                <c:pt idx="7">
                  <c:v>6.7</c:v>
                </c:pt>
                <c:pt idx="8">
                  <c:v>6.8</c:v>
                </c:pt>
                <c:pt idx="9">
                  <c:v>6.9</c:v>
                </c:pt>
                <c:pt idx="10">
                  <c:v>6.8</c:v>
                </c:pt>
                <c:pt idx="11">
                  <c:v>7</c:v>
                </c:pt>
                <c:pt idx="12">
                  <c:v>7.2</c:v>
                </c:pt>
                <c:pt idx="13">
                  <c:v>7.3</c:v>
                </c:pt>
                <c:pt idx="14">
                  <c:v>7.5</c:v>
                </c:pt>
                <c:pt idx="15">
                  <c:v>7.6</c:v>
                </c:pt>
                <c:pt idx="16">
                  <c:v>8</c:v>
                </c:pt>
                <c:pt idx="17">
                  <c:v>8.3000000000000007</c:v>
                </c:pt>
                <c:pt idx="18">
                  <c:v>8.3000000000000007</c:v>
                </c:pt>
                <c:pt idx="19">
                  <c:v>8.9</c:v>
                </c:pt>
                <c:pt idx="20">
                  <c:v>9.1</c:v>
                </c:pt>
                <c:pt idx="21">
                  <c:v>9.1999999999999993</c:v>
                </c:pt>
                <c:pt idx="22">
                  <c:v>9.6999999999999993</c:v>
                </c:pt>
                <c:pt idx="23">
                  <c:v>10</c:v>
                </c:pt>
                <c:pt idx="24">
                  <c:v>10.1</c:v>
                </c:pt>
                <c:pt idx="25">
                  <c:v>10.199999999999999</c:v>
                </c:pt>
                <c:pt idx="26">
                  <c:v>10.3</c:v>
                </c:pt>
                <c:pt idx="27">
                  <c:v>10.199999999999999</c:v>
                </c:pt>
                <c:pt idx="28">
                  <c:v>10.5</c:v>
                </c:pt>
                <c:pt idx="29">
                  <c:v>10.5</c:v>
                </c:pt>
                <c:pt idx="30">
                  <c:v>10.6</c:v>
                </c:pt>
                <c:pt idx="31">
                  <c:v>10.6</c:v>
                </c:pt>
                <c:pt idx="32">
                  <c:v>10.9</c:v>
                </c:pt>
                <c:pt idx="33">
                  <c:v>11.1</c:v>
                </c:pt>
                <c:pt idx="34">
                  <c:v>10.8</c:v>
                </c:pt>
                <c:pt idx="35">
                  <c:v>10.6</c:v>
                </c:pt>
                <c:pt idx="36">
                  <c:v>10.4</c:v>
                </c:pt>
                <c:pt idx="37">
                  <c:v>10.4</c:v>
                </c:pt>
                <c:pt idx="38">
                  <c:v>10.5</c:v>
                </c:pt>
                <c:pt idx="39">
                  <c:v>10.7</c:v>
                </c:pt>
                <c:pt idx="40">
                  <c:v>10.4</c:v>
                </c:pt>
                <c:pt idx="41">
                  <c:v>10.5</c:v>
                </c:pt>
                <c:pt idx="42">
                  <c:v>10.8</c:v>
                </c:pt>
                <c:pt idx="43">
                  <c:v>10.7</c:v>
                </c:pt>
                <c:pt idx="44">
                  <c:v>10.6</c:v>
                </c:pt>
                <c:pt idx="45">
                  <c:v>11</c:v>
                </c:pt>
                <c:pt idx="46">
                  <c:v>11.1</c:v>
                </c:pt>
                <c:pt idx="47">
                  <c:v>11.2</c:v>
                </c:pt>
                <c:pt idx="48">
                  <c:v>11.3</c:v>
                </c:pt>
                <c:pt idx="49">
                  <c:v>11.4</c:v>
                </c:pt>
                <c:pt idx="50">
                  <c:v>11.4</c:v>
                </c:pt>
                <c:pt idx="51">
                  <c:v>11.4</c:v>
                </c:pt>
                <c:pt idx="52">
                  <c:v>11.7</c:v>
                </c:pt>
                <c:pt idx="53">
                  <c:v>11.8</c:v>
                </c:pt>
                <c:pt idx="54">
                  <c:v>11.9</c:v>
                </c:pt>
                <c:pt idx="55">
                  <c:v>11.8</c:v>
                </c:pt>
                <c:pt idx="56">
                  <c:v>12</c:v>
                </c:pt>
                <c:pt idx="57">
                  <c:v>12.3</c:v>
                </c:pt>
                <c:pt idx="58">
                  <c:v>12.6</c:v>
                </c:pt>
                <c:pt idx="59">
                  <c:v>12.5</c:v>
                </c:pt>
                <c:pt idx="60">
                  <c:v>12.5</c:v>
                </c:pt>
                <c:pt idx="61">
                  <c:v>12.6</c:v>
                </c:pt>
                <c:pt idx="62">
                  <c:v>12.8</c:v>
                </c:pt>
                <c:pt idx="63">
                  <c:v>12.8</c:v>
                </c:pt>
                <c:pt idx="64">
                  <c:v>12.8</c:v>
                </c:pt>
                <c:pt idx="65">
                  <c:v>13</c:v>
                </c:pt>
                <c:pt idx="66">
                  <c:v>13</c:v>
                </c:pt>
                <c:pt idx="67">
                  <c:v>13</c:v>
                </c:pt>
                <c:pt idx="68">
                  <c:v>12.9</c:v>
                </c:pt>
                <c:pt idx="69">
                  <c:v>12.3</c:v>
                </c:pt>
                <c:pt idx="70">
                  <c:v>11.7</c:v>
                </c:pt>
                <c:pt idx="71">
                  <c:v>11.6</c:v>
                </c:pt>
                <c:pt idx="72">
                  <c:v>11.9</c:v>
                </c:pt>
                <c:pt idx="73">
                  <c:v>11.9</c:v>
                </c:pt>
                <c:pt idx="74">
                  <c:v>11.8</c:v>
                </c:pt>
                <c:pt idx="75">
                  <c:v>12</c:v>
                </c:pt>
                <c:pt idx="76">
                  <c:v>11.9</c:v>
                </c:pt>
                <c:pt idx="77">
                  <c:v>11.9</c:v>
                </c:pt>
                <c:pt idx="78">
                  <c:v>12.5</c:v>
                </c:pt>
                <c:pt idx="79">
                  <c:v>12.9</c:v>
                </c:pt>
                <c:pt idx="80">
                  <c:v>12.9</c:v>
                </c:pt>
                <c:pt idx="81">
                  <c:v>13.3</c:v>
                </c:pt>
                <c:pt idx="82">
                  <c:v>12.7</c:v>
                </c:pt>
                <c:pt idx="83">
                  <c:v>12.8</c:v>
                </c:pt>
                <c:pt idx="84">
                  <c:v>12.9</c:v>
                </c:pt>
                <c:pt idx="85">
                  <c:v>12.6</c:v>
                </c:pt>
                <c:pt idx="86">
                  <c:v>12.8</c:v>
                </c:pt>
                <c:pt idx="87">
                  <c:v>12.8</c:v>
                </c:pt>
                <c:pt idx="88">
                  <c:v>12.8</c:v>
                </c:pt>
                <c:pt idx="89">
                  <c:v>12.7</c:v>
                </c:pt>
                <c:pt idx="90">
                  <c:v>12.1</c:v>
                </c:pt>
                <c:pt idx="91">
                  <c:v>12</c:v>
                </c:pt>
                <c:pt idx="92">
                  <c:v>11.9</c:v>
                </c:pt>
                <c:pt idx="93">
                  <c:v>11.9</c:v>
                </c:pt>
                <c:pt idx="94">
                  <c:v>12.1</c:v>
                </c:pt>
                <c:pt idx="95">
                  <c:v>12.6</c:v>
                </c:pt>
                <c:pt idx="96">
                  <c:v>12.1</c:v>
                </c:pt>
                <c:pt idx="97">
                  <c:v>12.6</c:v>
                </c:pt>
                <c:pt idx="98">
                  <c:v>12.4</c:v>
                </c:pt>
                <c:pt idx="99">
                  <c:v>12.5</c:v>
                </c:pt>
                <c:pt idx="100">
                  <c:v>12.6</c:v>
                </c:pt>
                <c:pt idx="101">
                  <c:v>13</c:v>
                </c:pt>
                <c:pt idx="102">
                  <c:v>12.7</c:v>
                </c:pt>
                <c:pt idx="103">
                  <c:v>12.8</c:v>
                </c:pt>
                <c:pt idx="104">
                  <c:v>12.8</c:v>
                </c:pt>
                <c:pt idx="105">
                  <c:v>12.3</c:v>
                </c:pt>
                <c:pt idx="106">
                  <c:v>12.7</c:v>
                </c:pt>
                <c:pt idx="107">
                  <c:v>12.1</c:v>
                </c:pt>
                <c:pt idx="108">
                  <c:v>12.8</c:v>
                </c:pt>
                <c:pt idx="109">
                  <c:v>12.5</c:v>
                </c:pt>
                <c:pt idx="110">
                  <c:v>12.3</c:v>
                </c:pt>
                <c:pt idx="111">
                  <c:v>12</c:v>
                </c:pt>
                <c:pt idx="112">
                  <c:v>11.6</c:v>
                </c:pt>
                <c:pt idx="113">
                  <c:v>11.6</c:v>
                </c:pt>
                <c:pt idx="114">
                  <c:v>13</c:v>
                </c:pt>
                <c:pt idx="115">
                  <c:v>13</c:v>
                </c:pt>
                <c:pt idx="116">
                  <c:v>13.1</c:v>
                </c:pt>
                <c:pt idx="117">
                  <c:v>13.4</c:v>
                </c:pt>
                <c:pt idx="118">
                  <c:v>13.6</c:v>
                </c:pt>
                <c:pt idx="119">
                  <c:v>14.1</c:v>
                </c:pt>
                <c:pt idx="120">
                  <c:v>13.4</c:v>
                </c:pt>
                <c:pt idx="121">
                  <c:v>13.9</c:v>
                </c:pt>
                <c:pt idx="122">
                  <c:v>14.4</c:v>
                </c:pt>
                <c:pt idx="123">
                  <c:v>12.4</c:v>
                </c:pt>
                <c:pt idx="124">
                  <c:v>14.7</c:v>
                </c:pt>
                <c:pt idx="125">
                  <c:v>14.4</c:v>
                </c:pt>
                <c:pt idx="126">
                  <c:v>12.5</c:v>
                </c:pt>
                <c:pt idx="127">
                  <c:v>13.1</c:v>
                </c:pt>
                <c:pt idx="128">
                  <c:v>13.4</c:v>
                </c:pt>
                <c:pt idx="129">
                  <c:v>13.3</c:v>
                </c:pt>
                <c:pt idx="130">
                  <c:v>13.8</c:v>
                </c:pt>
                <c:pt idx="131">
                  <c:v>13.7</c:v>
                </c:pt>
                <c:pt idx="132">
                  <c:v>13.3</c:v>
                </c:pt>
                <c:pt idx="133">
                  <c:v>13</c:v>
                </c:pt>
                <c:pt idx="134">
                  <c:v>12.9</c:v>
                </c:pt>
                <c:pt idx="135">
                  <c:v>13</c:v>
                </c:pt>
                <c:pt idx="136">
                  <c:v>13.2</c:v>
                </c:pt>
                <c:pt idx="137">
                  <c:v>13.3</c:v>
                </c:pt>
                <c:pt idx="138">
                  <c:v>13.7</c:v>
                </c:pt>
                <c:pt idx="139">
                  <c:v>13.6</c:v>
                </c:pt>
                <c:pt idx="140">
                  <c:v>13.4</c:v>
                </c:pt>
                <c:pt idx="141">
                  <c:v>13.7</c:v>
                </c:pt>
                <c:pt idx="142">
                  <c:v>13.9</c:v>
                </c:pt>
                <c:pt idx="143">
                  <c:v>14</c:v>
                </c:pt>
                <c:pt idx="144">
                  <c:v>13.9</c:v>
                </c:pt>
                <c:pt idx="145">
                  <c:v>14.2</c:v>
                </c:pt>
                <c:pt idx="146">
                  <c:v>14.3</c:v>
                </c:pt>
                <c:pt idx="147">
                  <c:v>14.6</c:v>
                </c:pt>
                <c:pt idx="148">
                  <c:v>14.6</c:v>
                </c:pt>
                <c:pt idx="149">
                  <c:v>15</c:v>
                </c:pt>
                <c:pt idx="150">
                  <c:v>15.1</c:v>
                </c:pt>
                <c:pt idx="151">
                  <c:v>15.6</c:v>
                </c:pt>
                <c:pt idx="152">
                  <c:v>16.100000000000001</c:v>
                </c:pt>
                <c:pt idx="153">
                  <c:v>16</c:v>
                </c:pt>
                <c:pt idx="154">
                  <c:v>16.100000000000001</c:v>
                </c:pt>
                <c:pt idx="155">
                  <c:v>16.399999999999999</c:v>
                </c:pt>
                <c:pt idx="156">
                  <c:v>15.6</c:v>
                </c:pt>
                <c:pt idx="157">
                  <c:v>16.100000000000001</c:v>
                </c:pt>
                <c:pt idx="158">
                  <c:v>16.2</c:v>
                </c:pt>
                <c:pt idx="159">
                  <c:v>16.399999999999999</c:v>
                </c:pt>
                <c:pt idx="160">
                  <c:v>16.100000000000001</c:v>
                </c:pt>
                <c:pt idx="161">
                  <c:v>15.9</c:v>
                </c:pt>
                <c:pt idx="162">
                  <c:v>15.9</c:v>
                </c:pt>
                <c:pt idx="163">
                  <c:v>15.4</c:v>
                </c:pt>
                <c:pt idx="164">
                  <c:v>15.1</c:v>
                </c:pt>
                <c:pt idx="165">
                  <c:v>15.5</c:v>
                </c:pt>
                <c:pt idx="166">
                  <c:v>15</c:v>
                </c:pt>
                <c:pt idx="167">
                  <c:v>14.8</c:v>
                </c:pt>
                <c:pt idx="168">
                  <c:v>15.7</c:v>
                </c:pt>
                <c:pt idx="169">
                  <c:v>15.6</c:v>
                </c:pt>
                <c:pt idx="170">
                  <c:v>15.9</c:v>
                </c:pt>
                <c:pt idx="171">
                  <c:v>16</c:v>
                </c:pt>
                <c:pt idx="172">
                  <c:v>16.5</c:v>
                </c:pt>
              </c:numCache>
            </c:numRef>
          </c:val>
          <c:smooth val="0"/>
          <c:extLst>
            <c:ext xmlns:c16="http://schemas.microsoft.com/office/drawing/2014/chart" uri="{C3380CC4-5D6E-409C-BE32-E72D297353CC}">
              <c16:uniqueId val="{00000002-9537-4F84-B27E-61753C98CC67}"/>
            </c:ext>
          </c:extLst>
        </c:ser>
        <c:dLbls>
          <c:showLegendKey val="0"/>
          <c:showVal val="0"/>
          <c:showCatName val="0"/>
          <c:showSerName val="0"/>
          <c:showPercent val="0"/>
          <c:showBubbleSize val="0"/>
        </c:dLbls>
        <c:marker val="1"/>
        <c:smooth val="0"/>
        <c:axId val="648291500"/>
        <c:axId val="952865869"/>
      </c:lineChart>
      <c:dateAx>
        <c:axId val="648291500"/>
        <c:scaling>
          <c:orientation val="minMax"/>
        </c:scaling>
        <c:delete val="0"/>
        <c:axPos val="b"/>
        <c:numFmt formatCode="yyyy\-mm" sourceLinked="0"/>
        <c:majorTickMark val="out"/>
        <c:minorTickMark val="none"/>
        <c:tickLblPos val="nextTo"/>
        <c:spPr>
          <a:noFill/>
          <a:ln w="6350" cap="flat" cmpd="sng" algn="ctr">
            <a:solidFill>
              <a:sysClr val="windowText" lastClr="000000">
                <a:lumMod val="100000"/>
              </a:sysClr>
            </a:solidFill>
            <a:prstDash val="solid"/>
            <a:round/>
          </a:ln>
          <a:effectLst/>
        </c:spPr>
        <c:txPr>
          <a:bodyPr rot="0" spcFirstLastPara="0" vertOverflow="ellipsis" vert="horz" wrap="square" anchor="ctr" anchorCtr="1"/>
          <a:lstStyle/>
          <a:p>
            <a:pPr>
              <a:defRPr lang="zh-CN" sz="900" b="0" i="0" u="none" strike="noStrike" kern="1200" baseline="0">
                <a:solidFill>
                  <a:srgbClr val="333333">
                    <a:alpha val="100000"/>
                  </a:srgbClr>
                </a:solidFill>
                <a:latin typeface="黑体" panose="02010609060101010101" pitchFamily="49" charset="-122"/>
                <a:ea typeface="黑体" panose="02010609060101010101" pitchFamily="49" charset="-122"/>
                <a:cs typeface="黑体" panose="02010609060101010101" pitchFamily="49" charset="-122"/>
              </a:defRPr>
            </a:pPr>
            <a:endParaRPr lang="zh-CN"/>
          </a:p>
        </c:txPr>
        <c:crossAx val="952865869"/>
        <c:crosses val="autoZero"/>
        <c:auto val="1"/>
        <c:lblOffset val="100"/>
        <c:baseTimeUnit val="months"/>
      </c:dateAx>
      <c:valAx>
        <c:axId val="952865869"/>
        <c:scaling>
          <c:orientation val="minMax"/>
          <c:max val="30"/>
          <c:min val="-0.5"/>
        </c:scaling>
        <c:delete val="0"/>
        <c:axPos val="l"/>
        <c:numFmt formatCode="0.00" sourceLinked="1"/>
        <c:majorTickMark val="out"/>
        <c:minorTickMark val="none"/>
        <c:tickLblPos val="nextTo"/>
        <c:spPr>
          <a:noFill/>
          <a:ln w="6350" cap="flat" cmpd="sng" algn="ctr">
            <a:solidFill>
              <a:sysClr val="windowText" lastClr="000000">
                <a:lumMod val="100000"/>
              </a:sysClr>
            </a:solidFill>
            <a:prstDash val="solid"/>
            <a:round/>
          </a:ln>
          <a:effectLst/>
        </c:spPr>
        <c:txPr>
          <a:bodyPr rot="0" spcFirstLastPara="0" vertOverflow="ellipsis" vert="horz" wrap="square" anchor="ctr" anchorCtr="1"/>
          <a:lstStyle/>
          <a:p>
            <a:pPr>
              <a:defRPr lang="zh-CN" sz="900" b="0" i="0" u="none" strike="noStrike" kern="1200" baseline="0">
                <a:solidFill>
                  <a:srgbClr val="333333">
                    <a:alpha val="100000"/>
                  </a:srgbClr>
                </a:solidFill>
                <a:latin typeface="黑体" panose="02010609060101010101" pitchFamily="49" charset="-122"/>
                <a:ea typeface="黑体" panose="02010609060101010101" pitchFamily="49" charset="-122"/>
                <a:cs typeface="黑体" panose="02010609060101010101" pitchFamily="49" charset="-122"/>
              </a:defRPr>
            </a:pPr>
            <a:endParaRPr lang="zh-CN"/>
          </a:p>
        </c:txPr>
        <c:crossAx val="648291500"/>
        <c:crosses val="autoZero"/>
        <c:crossBetween val="between"/>
      </c:valAx>
      <c:dateAx>
        <c:axId val="74693733"/>
        <c:scaling>
          <c:orientation val="minMax"/>
        </c:scaling>
        <c:delete val="1"/>
        <c:axPos val="b"/>
        <c:numFmt formatCode="yyyy\-mm" sourceLinked="0"/>
        <c:majorTickMark val="out"/>
        <c:minorTickMark val="none"/>
        <c:tickLblPos val="nextTo"/>
        <c:crossAx val="292663970"/>
        <c:crosses val="autoZero"/>
        <c:auto val="1"/>
        <c:lblOffset val="100"/>
        <c:baseTimeUnit val="months"/>
      </c:dateAx>
      <c:valAx>
        <c:axId val="292663970"/>
        <c:scaling>
          <c:orientation val="minMax"/>
          <c:max val="1"/>
        </c:scaling>
        <c:delete val="0"/>
        <c:axPos val="r"/>
        <c:numFmt formatCode="General" sourceLinked="1"/>
        <c:majorTickMark val="none"/>
        <c:minorTickMark val="none"/>
        <c:tickLblPos val="nextTo"/>
        <c:spPr>
          <a:ln w="3175" cap="flat" cmpd="sng" algn="ctr">
            <a:noFill/>
            <a:prstDash val="solid"/>
            <a:round/>
          </a:ln>
        </c:spPr>
        <c:txPr>
          <a:bodyPr rot="0" spcFirstLastPara="0" vertOverflow="ellipsis" vert="horz" wrap="square" anchor="ctr" anchorCtr="1"/>
          <a:lstStyle/>
          <a:p>
            <a:pPr>
              <a:defRPr lang="zh-CN" sz="900" b="0" i="0" u="none" strike="noStrike" kern="1200" baseline="0">
                <a:solidFill>
                  <a:srgbClr val="333333">
                    <a:alpha val="100000"/>
                  </a:srgbClr>
                </a:solidFill>
                <a:latin typeface="黑体" panose="02010609060101010101" pitchFamily="49" charset="-122"/>
                <a:ea typeface="黑体" panose="02010609060101010101" pitchFamily="49" charset="-122"/>
                <a:cs typeface="黑体" panose="02010609060101010101" pitchFamily="49" charset="-122"/>
              </a:defRPr>
            </a:pPr>
            <a:endParaRPr lang="zh-CN"/>
          </a:p>
        </c:txPr>
        <c:crossAx val="74693733"/>
        <c:crosses val="max"/>
        <c:crossBetween val="between"/>
      </c:valAx>
      <c:spPr>
        <a:noFill/>
        <a:ln w="3175">
          <a:noFill/>
        </a:ln>
      </c:spPr>
    </c:plotArea>
    <c:legend>
      <c:legendPos val="r"/>
      <c:layout>
        <c:manualLayout>
          <c:xMode val="edge"/>
          <c:yMode val="edge"/>
          <c:x val="0.11749999999999999"/>
          <c:y val="1.7999999999999999E-2"/>
          <c:w val="0.73837852203288301"/>
          <c:h val="6.3974416480909194E-2"/>
        </c:manualLayout>
      </c:layout>
      <c:overlay val="0"/>
      <c:spPr>
        <a:noFill/>
        <a:ln w="3175">
          <a:noFill/>
        </a:ln>
      </c:spPr>
      <c:txPr>
        <a:bodyPr rot="0" spcFirstLastPara="0" vertOverflow="ellipsis" vert="horz" wrap="square" anchor="ctr" anchorCtr="1"/>
        <a:lstStyle/>
        <a:p>
          <a:pPr>
            <a:defRPr lang="zh-CN" sz="825" b="0" i="0" u="none" strike="noStrike" kern="1200" baseline="0">
              <a:solidFill>
                <a:srgbClr val="333333"/>
              </a:solidFill>
              <a:latin typeface="黑体" panose="02010609060101010101" pitchFamily="49" charset="-122"/>
              <a:ea typeface="黑体" panose="02010609060101010101" pitchFamily="49" charset="-122"/>
              <a:cs typeface="黑体" panose="02010609060101010101" pitchFamily="49" charset="-122"/>
            </a:defRPr>
          </a:pPr>
          <a:endParaRPr lang="zh-CN"/>
        </a:p>
      </c:txPr>
    </c:legend>
    <c:plotVisOnly val="1"/>
    <c:dispBlanksAs val="gap"/>
    <c:showDLblsOverMax val="0"/>
    <c:extLst>
      <c:ext uri="{0b15fc19-7d7d-44ad-8c2d-2c3a37ce22c3}">
        <chartProps xmlns="https://web.wps.cn/et/2018/main" chartId="{fdf475fa-aa76-4788-9c27-68e380421843}"/>
      </c:ext>
    </c:extLst>
  </c:chart>
  <c:spPr>
    <a:solidFill>
      <a:sysClr val="window" lastClr="FFFFFF">
        <a:lumMod val="100000"/>
      </a:sysClr>
    </a:solidFill>
    <a:ln w="25400" cap="flat" cmpd="sng" algn="ctr">
      <a:noFill/>
      <a:prstDash val="solid"/>
      <a:round/>
    </a:ln>
    <a:effectLst/>
  </c:spPr>
  <c:txPr>
    <a:bodyPr rot="0" wrap="square" anchor="ctr" anchorCtr="1"/>
    <a:lstStyle/>
    <a:p>
      <a:pPr>
        <a:defRPr lang="zh-CN" sz="900" b="0" i="0" u="none" strike="noStrike" baseline="0">
          <a:solidFill>
            <a:srgbClr val="000000">
              <a:alpha val="100000"/>
            </a:srgbClr>
          </a:solidFill>
          <a:latin typeface="黑体" panose="02010609060101010101" pitchFamily="49" charset="-122"/>
          <a:ea typeface="黑体" panose="02010609060101010101" pitchFamily="49" charset="-122"/>
          <a:cs typeface="黑体" panose="02010609060101010101" pitchFamily="49" charset="-122"/>
        </a:defRPr>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18</xdr:col>
      <xdr:colOff>15875</xdr:colOff>
      <xdr:row>10</xdr:row>
      <xdr:rowOff>38100</xdr:rowOff>
    </xdr:from>
    <xdr:to>
      <xdr:col>20</xdr:col>
      <xdr:colOff>857250</xdr:colOff>
      <xdr:row>20</xdr:row>
      <xdr:rowOff>28575</xdr:rowOff>
    </xdr:to>
    <xdr:graphicFrame macro="">
      <xdr:nvGraphicFramePr>
        <xdr:cNvPr id="2" name="图表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530225</xdr:colOff>
      <xdr:row>10</xdr:row>
      <xdr:rowOff>19050</xdr:rowOff>
    </xdr:from>
    <xdr:to>
      <xdr:col>24</xdr:col>
      <xdr:colOff>238125</xdr:colOff>
      <xdr:row>20</xdr:row>
      <xdr:rowOff>9525</xdr:rowOff>
    </xdr:to>
    <xdr:graphicFrame macro="">
      <xdr:nvGraphicFramePr>
        <xdr:cNvPr id="4" name="图表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504825</xdr:colOff>
      <xdr:row>20</xdr:row>
      <xdr:rowOff>152400</xdr:rowOff>
    </xdr:from>
    <xdr:to>
      <xdr:col>24</xdr:col>
      <xdr:colOff>222250</xdr:colOff>
      <xdr:row>30</xdr:row>
      <xdr:rowOff>152400</xdr:rowOff>
    </xdr:to>
    <xdr:graphicFrame macro="">
      <xdr:nvGraphicFramePr>
        <xdr:cNvPr id="3" name="图表 2">
          <a:extLst>
            <a:ext uri="{FF2B5EF4-FFF2-40B4-BE49-F238E27FC236}">
              <a16:creationId xmlns:a16="http://schemas.microsoft.com/office/drawing/2014/main" id="{8913EF88-C949-46E4-B638-65DC4C1AA4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246530</xdr:colOff>
      <xdr:row>19</xdr:row>
      <xdr:rowOff>53788</xdr:rowOff>
    </xdr:from>
    <xdr:to>
      <xdr:col>11</xdr:col>
      <xdr:colOff>381001</xdr:colOff>
      <xdr:row>34</xdr:row>
      <xdr:rowOff>107576</xdr:rowOff>
    </xdr:to>
    <xdr:graphicFrame macro="">
      <xdr:nvGraphicFramePr>
        <xdr:cNvPr id="5" name="图表 4">
          <a:extLst>
            <a:ext uri="{FF2B5EF4-FFF2-40B4-BE49-F238E27FC236}">
              <a16:creationId xmlns:a16="http://schemas.microsoft.com/office/drawing/2014/main" id="{DB965C97-84BD-AB88-3122-4D437DFFC2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28</xdr:col>
      <xdr:colOff>0</xdr:colOff>
      <xdr:row>19</xdr:row>
      <xdr:rowOff>100852</xdr:rowOff>
    </xdr:from>
    <xdr:to>
      <xdr:col>39</xdr:col>
      <xdr:colOff>268061</xdr:colOff>
      <xdr:row>43</xdr:row>
      <xdr:rowOff>19116</xdr:rowOff>
    </xdr:to>
    <xdr:pic>
      <xdr:nvPicPr>
        <xdr:cNvPr id="2" name="图片 1">
          <a:extLst>
            <a:ext uri="{FF2B5EF4-FFF2-40B4-BE49-F238E27FC236}">
              <a16:creationId xmlns:a16="http://schemas.microsoft.com/office/drawing/2014/main" id="{FE9B666A-7145-1941-BB2B-D37D8844A1D9}"/>
            </a:ext>
          </a:extLst>
        </xdr:cNvPr>
        <xdr:cNvPicPr>
          <a:picLocks noChangeAspect="1"/>
        </xdr:cNvPicPr>
      </xdr:nvPicPr>
      <xdr:blipFill>
        <a:blip xmlns:r="http://schemas.openxmlformats.org/officeDocument/2006/relationships" r:embed="rId2"/>
        <a:stretch>
          <a:fillRect/>
        </a:stretch>
      </xdr:blipFill>
      <xdr:spPr>
        <a:xfrm>
          <a:off x="20809324" y="3350558"/>
          <a:ext cx="7047619" cy="394285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17</xdr:col>
      <xdr:colOff>124611</xdr:colOff>
      <xdr:row>2</xdr:row>
      <xdr:rowOff>123189</xdr:rowOff>
    </xdr:from>
    <xdr:to>
      <xdr:col>25</xdr:col>
      <xdr:colOff>225538</xdr:colOff>
      <xdr:row>19</xdr:row>
      <xdr:rowOff>117380</xdr:rowOff>
    </xdr:to>
    <xdr:pic>
      <xdr:nvPicPr>
        <xdr:cNvPr id="7" name="图片 6">
          <a:extLst>
            <a:ext uri="{FF2B5EF4-FFF2-40B4-BE49-F238E27FC236}">
              <a16:creationId xmlns:a16="http://schemas.microsoft.com/office/drawing/2014/main" id="{6D3C5187-01FF-944B-A3FA-3DB13902BDB5}"/>
            </a:ext>
          </a:extLst>
        </xdr:cNvPr>
        <xdr:cNvPicPr>
          <a:picLocks noChangeAspect="1"/>
        </xdr:cNvPicPr>
      </xdr:nvPicPr>
      <xdr:blipFill>
        <a:blip xmlns:r="http://schemas.openxmlformats.org/officeDocument/2006/relationships" r:embed="rId1"/>
        <a:stretch>
          <a:fillRect/>
        </a:stretch>
      </xdr:blipFill>
      <xdr:spPr>
        <a:xfrm>
          <a:off x="12107435" y="451895"/>
          <a:ext cx="4991472" cy="2996546"/>
        </a:xfrm>
        <a:prstGeom prst="rect">
          <a:avLst/>
        </a:prstGeom>
      </xdr:spPr>
    </xdr:pic>
    <xdr:clientData/>
  </xdr:twoCellAnchor>
  <xdr:twoCellAnchor editAs="oneCell">
    <xdr:from>
      <xdr:col>17</xdr:col>
      <xdr:colOff>131931</xdr:colOff>
      <xdr:row>21</xdr:row>
      <xdr:rowOff>149411</xdr:rowOff>
    </xdr:from>
    <xdr:to>
      <xdr:col>25</xdr:col>
      <xdr:colOff>224798</xdr:colOff>
      <xdr:row>41</xdr:row>
      <xdr:rowOff>152386</xdr:rowOff>
    </xdr:to>
    <xdr:pic>
      <xdr:nvPicPr>
        <xdr:cNvPr id="8" name="图片 7">
          <a:extLst>
            <a:ext uri="{FF2B5EF4-FFF2-40B4-BE49-F238E27FC236}">
              <a16:creationId xmlns:a16="http://schemas.microsoft.com/office/drawing/2014/main" id="{F0BF4178-0B1E-A032-2EA8-8A95BD6A859A}"/>
            </a:ext>
          </a:extLst>
        </xdr:cNvPr>
        <xdr:cNvPicPr>
          <a:picLocks noChangeAspect="1"/>
        </xdr:cNvPicPr>
      </xdr:nvPicPr>
      <xdr:blipFill>
        <a:blip xmlns:r="http://schemas.openxmlformats.org/officeDocument/2006/relationships" r:embed="rId2"/>
        <a:stretch>
          <a:fillRect/>
        </a:stretch>
      </xdr:blipFill>
      <xdr:spPr>
        <a:xfrm>
          <a:off x="12114755" y="3600823"/>
          <a:ext cx="4985952" cy="330146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10795</xdr:rowOff>
    </xdr:from>
    <xdr:to>
      <xdr:col>7</xdr:col>
      <xdr:colOff>153035</xdr:colOff>
      <xdr:row>2</xdr:row>
      <xdr:rowOff>0</xdr:rowOff>
    </xdr:to>
    <xdr:graphicFrame macro="">
      <xdr:nvGraphicFramePr>
        <xdr:cNvPr id="2" name="图表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123825</xdr:colOff>
      <xdr:row>0</xdr:row>
      <xdr:rowOff>0</xdr:rowOff>
    </xdr:from>
    <xdr:to>
      <xdr:col>13</xdr:col>
      <xdr:colOff>133350</xdr:colOff>
      <xdr:row>1</xdr:row>
      <xdr:rowOff>647065</xdr:rowOff>
    </xdr:to>
    <xdr:graphicFrame macro="">
      <xdr:nvGraphicFramePr>
        <xdr:cNvPr id="3" name="图表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Nutshell\&#25105;&#30340;&#22362;&#26524;&#20113;\&#23454;&#20064;\guosen\&#26376;&#26356;_AI&#36164;&#20135;&#37197;&#32622;\1.%20&#32463;&#27982;&#21608;&#26399;&#20877;&#21010;&#20998;_&#39044;&#27979;.xlsx" TargetMode="External"/><Relationship Id="rId1" Type="http://schemas.openxmlformats.org/officeDocument/2006/relationships/externalLinkPath" Target="/Nutshell/&#25105;&#30340;&#22362;&#26524;&#20113;/&#23454;&#20064;/guosen/&#26376;&#26356;_AI&#36164;&#20135;&#37197;&#32622;/1.%20&#32463;&#27982;&#21608;&#26399;&#20877;&#21010;&#20998;_&#39044;&#27979;.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D:\WIND\DataBrowse\XLA\WindFunc.xla" TargetMode="External"/><Relationship Id="rId1" Type="http://schemas.openxmlformats.org/officeDocument/2006/relationships/externalLinkPath" Target="/WIND/DataBrowse/XLA/WindFunc.xl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周期整合及其行业风格表现汇总"/>
      <sheetName val="流程图"/>
      <sheetName val="框架指示的股债胜率（综合）"/>
      <sheetName val="主要指标对比"/>
      <sheetName val="周期整合计算"/>
      <sheetName val="货币信用周期收益计算"/>
      <sheetName val="股债表现与四个维度"/>
      <sheetName val="货币信用框架5-货币政策目标+信用脉冲"/>
      <sheetName val="信贷库存框架1-票据+贷款余额"/>
      <sheetName val="财政货币框架1&amp;2底稿"/>
      <sheetName val="美林时钟"/>
      <sheetName val="库存与产能周期2"/>
    </sheetNames>
    <sheetDataSet>
      <sheetData sheetId="0"/>
      <sheetData sheetId="1"/>
      <sheetData sheetId="2"/>
      <sheetData sheetId="3"/>
      <sheetData sheetId="4"/>
      <sheetData sheetId="5"/>
      <sheetData sheetId="6">
        <row r="1">
          <cell r="A1"/>
        </row>
        <row r="2">
          <cell r="A2" t="str">
            <v>指标名称</v>
          </cell>
          <cell r="B2" t="str">
            <v>万得全A:月:最后一条:环比</v>
          </cell>
          <cell r="C2" t="str">
            <v>中国:中债国债到期收益率:10年:月:平均值:环比增加:*100</v>
          </cell>
          <cell r="D2" t="str">
            <v>股票</v>
          </cell>
          <cell r="E2" t="str">
            <v>债券</v>
          </cell>
          <cell r="F2" t="str">
            <v>货币信用周期</v>
          </cell>
          <cell r="G2" t="str">
            <v>信贷库存周期</v>
          </cell>
          <cell r="H2" t="str">
            <v>财政货币周期</v>
          </cell>
          <cell r="I2" t="str">
            <v>美林时钟</v>
          </cell>
          <cell r="J2" t="str">
            <v>产能库存周期嵌套</v>
          </cell>
          <cell r="K2" t="str">
            <v>货币信用周期</v>
          </cell>
          <cell r="L2" t="str">
            <v>信贷库存周期</v>
          </cell>
          <cell r="M2" t="str">
            <v>财政货币周期</v>
          </cell>
          <cell r="N2" t="str">
            <v>美林时钟</v>
          </cell>
          <cell r="O2" t="str">
            <v>产能库存周期嵌套</v>
          </cell>
          <cell r="P2" t="str">
            <v>货币信用周期</v>
          </cell>
          <cell r="Q2" t="str">
            <v>信贷库存周期</v>
          </cell>
          <cell r="R2" t="str">
            <v>财政货币周期</v>
          </cell>
          <cell r="S2" t="str">
            <v>美林时钟</v>
          </cell>
          <cell r="T2" t="str">
            <v>产能库存周期嵌套</v>
          </cell>
        </row>
        <row r="3">
          <cell r="A3" t="str">
            <v>单位</v>
          </cell>
          <cell r="B3" t="str">
            <v>%</v>
          </cell>
          <cell r="C3" t="str">
            <v>%</v>
          </cell>
          <cell r="K3" t="str">
            <v>股票</v>
          </cell>
          <cell r="L3" t="str">
            <v>股票</v>
          </cell>
          <cell r="M3" t="str">
            <v>股票</v>
          </cell>
          <cell r="N3" t="str">
            <v>股票</v>
          </cell>
          <cell r="O3" t="str">
            <v>股票</v>
          </cell>
          <cell r="P3" t="str">
            <v>债券</v>
          </cell>
          <cell r="Q3" t="str">
            <v>债券</v>
          </cell>
          <cell r="R3" t="str">
            <v>债券</v>
          </cell>
          <cell r="S3" t="str">
            <v>债券</v>
          </cell>
          <cell r="T3" t="str">
            <v>债券</v>
          </cell>
        </row>
        <row r="4">
          <cell r="A4" t="str">
            <v>指标ID</v>
          </cell>
          <cell r="B4" t="str">
            <v>s14</v>
          </cell>
          <cell r="C4" t="str">
            <v>s19</v>
          </cell>
        </row>
        <row r="5">
          <cell r="A5" t="str">
            <v>更新时间</v>
          </cell>
          <cell r="B5" t="str">
            <v>2025-02-14</v>
          </cell>
          <cell r="C5" t="str">
            <v>2025-02-14</v>
          </cell>
        </row>
        <row r="6">
          <cell r="A6">
            <v>46022</v>
          </cell>
          <cell r="F6" t="str">
            <v>宽货币紧信用</v>
          </cell>
          <cell r="G6" t="str">
            <v>被动去库存</v>
          </cell>
          <cell r="H6" t="str">
            <v>紧货币宽财政</v>
          </cell>
          <cell r="I6" t="str">
            <v>滞涨</v>
          </cell>
          <cell r="J6" t="str">
            <v>产能周期下行,主动补库存</v>
          </cell>
          <cell r="K6">
            <v>-5.0847457627118647E-2</v>
          </cell>
          <cell r="L6">
            <v>-0.1111111111111111</v>
          </cell>
          <cell r="M6">
            <v>-8.3333333333333329E-2</v>
          </cell>
          <cell r="N6">
            <v>0</v>
          </cell>
          <cell r="O6">
            <v>-7.6923076923076927E-2</v>
          </cell>
          <cell r="P6">
            <v>0.28813559322033899</v>
          </cell>
          <cell r="Q6">
            <v>-5.5555555555555552E-2</v>
          </cell>
          <cell r="R6">
            <v>0.25</v>
          </cell>
          <cell r="S6">
            <v>0.38095238095238093</v>
          </cell>
          <cell r="T6">
            <v>0.34615384615384615</v>
          </cell>
        </row>
        <row r="7">
          <cell r="A7">
            <v>45991</v>
          </cell>
          <cell r="F7" t="str">
            <v>宽货币紧信用</v>
          </cell>
          <cell r="G7" t="str">
            <v>被动去库存</v>
          </cell>
          <cell r="H7" t="str">
            <v>紧货币宽财政</v>
          </cell>
          <cell r="I7" t="str">
            <v>滞涨</v>
          </cell>
          <cell r="J7" t="str">
            <v>产能周期下行,主动补库存</v>
          </cell>
          <cell r="K7">
            <v>-5.1724137931034482E-2</v>
          </cell>
          <cell r="L7">
            <v>-0.11764705882352941</v>
          </cell>
          <cell r="M7">
            <v>-9.0909090909090912E-2</v>
          </cell>
          <cell r="N7">
            <v>0</v>
          </cell>
          <cell r="O7">
            <v>-0.08</v>
          </cell>
          <cell r="P7">
            <v>0.29310344827586204</v>
          </cell>
          <cell r="Q7">
            <v>-5.8823529411764705E-2</v>
          </cell>
          <cell r="R7">
            <v>0.27272727272727271</v>
          </cell>
          <cell r="S7">
            <v>0.4</v>
          </cell>
          <cell r="T7">
            <v>0.36</v>
          </cell>
        </row>
        <row r="8">
          <cell r="A8">
            <v>45961</v>
          </cell>
          <cell r="F8" t="str">
            <v>宽货币紧信用</v>
          </cell>
          <cell r="G8" t="str">
            <v>被动去库存</v>
          </cell>
          <cell r="H8" t="str">
            <v>紧货币宽财政</v>
          </cell>
          <cell r="I8" t="str">
            <v>滞涨</v>
          </cell>
          <cell r="J8" t="str">
            <v>产能周期下行,主动补库存</v>
          </cell>
          <cell r="K8">
            <v>-5.2631578947368418E-2</v>
          </cell>
          <cell r="L8">
            <v>-0.125</v>
          </cell>
          <cell r="M8">
            <v>-0.1</v>
          </cell>
          <cell r="N8">
            <v>0</v>
          </cell>
          <cell r="O8">
            <v>-8.3333333333333329E-2</v>
          </cell>
          <cell r="P8">
            <v>0.2982456140350877</v>
          </cell>
          <cell r="Q8">
            <v>-6.25E-2</v>
          </cell>
          <cell r="R8">
            <v>0.3</v>
          </cell>
          <cell r="S8">
            <v>0.42105263157894735</v>
          </cell>
          <cell r="T8">
            <v>0.375</v>
          </cell>
        </row>
        <row r="9">
          <cell r="A9">
            <v>45930</v>
          </cell>
          <cell r="F9" t="str">
            <v>宽货币紧信用</v>
          </cell>
          <cell r="G9" t="str">
            <v>被动去库存</v>
          </cell>
          <cell r="H9" t="str">
            <v>紧货币宽财政</v>
          </cell>
          <cell r="I9" t="str">
            <v>滞涨</v>
          </cell>
          <cell r="J9" t="str">
            <v>产能周期下行,主动补库存</v>
          </cell>
          <cell r="K9">
            <v>-5.3571428571428568E-2</v>
          </cell>
          <cell r="L9">
            <v>-0.13333333333333333</v>
          </cell>
          <cell r="M9">
            <v>-0.1111111111111111</v>
          </cell>
          <cell r="N9">
            <v>0</v>
          </cell>
          <cell r="O9">
            <v>-8.6956521739130432E-2</v>
          </cell>
          <cell r="P9">
            <v>0.30357142857142855</v>
          </cell>
          <cell r="Q9">
            <v>-6.6666666666666666E-2</v>
          </cell>
          <cell r="R9">
            <v>0.33333333333333331</v>
          </cell>
          <cell r="S9">
            <v>0.44444444444444442</v>
          </cell>
          <cell r="T9">
            <v>0.39130434782608697</v>
          </cell>
        </row>
        <row r="10">
          <cell r="A10">
            <v>45900</v>
          </cell>
          <cell r="F10" t="str">
            <v>宽货币紧信用</v>
          </cell>
          <cell r="G10" t="str">
            <v>被动去库存</v>
          </cell>
          <cell r="H10" t="str">
            <v>紧货币宽财政</v>
          </cell>
          <cell r="I10" t="str">
            <v>滞涨</v>
          </cell>
          <cell r="J10" t="str">
            <v>产能周期下行,主动补库存</v>
          </cell>
          <cell r="K10">
            <v>-5.4545454545454543E-2</v>
          </cell>
          <cell r="L10">
            <v>-0.14285714285714285</v>
          </cell>
          <cell r="M10">
            <v>-0.125</v>
          </cell>
          <cell r="N10">
            <v>0</v>
          </cell>
          <cell r="O10">
            <v>-9.0909090909090912E-2</v>
          </cell>
          <cell r="P10">
            <v>0.30909090909090908</v>
          </cell>
          <cell r="Q10">
            <v>-7.1428571428571425E-2</v>
          </cell>
          <cell r="R10">
            <v>0.375</v>
          </cell>
          <cell r="S10">
            <v>0.47058823529411764</v>
          </cell>
          <cell r="T10">
            <v>0.40909090909090912</v>
          </cell>
        </row>
        <row r="11">
          <cell r="A11">
            <v>45869</v>
          </cell>
          <cell r="F11" t="str">
            <v>宽货币紧信用</v>
          </cell>
          <cell r="G11" t="str">
            <v>被动去库存</v>
          </cell>
          <cell r="H11" t="str">
            <v>紧货币宽财政</v>
          </cell>
          <cell r="I11" t="str">
            <v>滞涨</v>
          </cell>
          <cell r="J11" t="str">
            <v>产能周期下行,主动补库存</v>
          </cell>
          <cell r="K11">
            <v>-5.5555555555555552E-2</v>
          </cell>
          <cell r="L11">
            <v>-0.15384615384615385</v>
          </cell>
          <cell r="M11">
            <v>-0.14285714285714285</v>
          </cell>
          <cell r="N11">
            <v>0</v>
          </cell>
          <cell r="O11">
            <v>-9.5238095238095233E-2</v>
          </cell>
          <cell r="P11">
            <v>0.31481481481481483</v>
          </cell>
          <cell r="Q11">
            <v>-7.6923076923076927E-2</v>
          </cell>
          <cell r="R11">
            <v>0.42857142857142855</v>
          </cell>
          <cell r="S11">
            <v>0.5</v>
          </cell>
          <cell r="T11">
            <v>0.42857142857142855</v>
          </cell>
        </row>
        <row r="12">
          <cell r="A12">
            <v>45838</v>
          </cell>
          <cell r="F12" t="str">
            <v>宽货币紧信用</v>
          </cell>
          <cell r="G12" t="str">
            <v>被动去库存</v>
          </cell>
          <cell r="H12" t="str">
            <v>紧货币宽财政</v>
          </cell>
          <cell r="I12" t="str">
            <v>滞涨</v>
          </cell>
          <cell r="J12" t="str">
            <v>产能周期下行,主动补库存</v>
          </cell>
          <cell r="K12">
            <v>-5.6603773584905662E-2</v>
          </cell>
          <cell r="L12">
            <v>-0.16666666666666666</v>
          </cell>
          <cell r="M12">
            <v>-0.16666666666666666</v>
          </cell>
          <cell r="N12">
            <v>0</v>
          </cell>
          <cell r="O12">
            <v>-0.1</v>
          </cell>
          <cell r="P12">
            <v>0.32075471698113206</v>
          </cell>
          <cell r="Q12">
            <v>-8.3333333333333329E-2</v>
          </cell>
          <cell r="R12">
            <v>0.5</v>
          </cell>
          <cell r="S12">
            <v>0.53333333333333333</v>
          </cell>
          <cell r="T12">
            <v>0.45</v>
          </cell>
        </row>
        <row r="13">
          <cell r="A13">
            <v>45808</v>
          </cell>
          <cell r="F13" t="str">
            <v>宽货币紧信用</v>
          </cell>
          <cell r="G13" t="str">
            <v>被动去库存</v>
          </cell>
          <cell r="H13" t="str">
            <v>紧货币宽财政</v>
          </cell>
          <cell r="I13" t="str">
            <v>滞涨</v>
          </cell>
          <cell r="J13" t="str">
            <v>产能周期下行,主动补库存</v>
          </cell>
          <cell r="K13">
            <v>-5.7692307692307696E-2</v>
          </cell>
          <cell r="L13">
            <v>-0.18181818181818182</v>
          </cell>
          <cell r="M13">
            <v>-0.2</v>
          </cell>
          <cell r="N13">
            <v>0</v>
          </cell>
          <cell r="O13">
            <v>-0.10526315789473684</v>
          </cell>
          <cell r="P13">
            <v>0.32692307692307693</v>
          </cell>
          <cell r="Q13">
            <v>-9.0909090909090912E-2</v>
          </cell>
          <cell r="R13">
            <v>0.6</v>
          </cell>
          <cell r="S13">
            <v>0.53333333333333333</v>
          </cell>
          <cell r="T13">
            <v>0.47368421052631576</v>
          </cell>
        </row>
        <row r="14">
          <cell r="A14">
            <v>45777</v>
          </cell>
          <cell r="F14" t="str">
            <v>宽货币紧信用</v>
          </cell>
          <cell r="G14" t="str">
            <v>被动去库存</v>
          </cell>
          <cell r="H14" t="str">
            <v>紧货币宽财政</v>
          </cell>
          <cell r="I14" t="str">
            <v>过热</v>
          </cell>
          <cell r="J14" t="str">
            <v>产能周期下行,主动补库存</v>
          </cell>
          <cell r="K14">
            <v>-5.8823529411764705E-2</v>
          </cell>
          <cell r="L14">
            <v>-0.2</v>
          </cell>
          <cell r="M14">
            <v>-0.25</v>
          </cell>
          <cell r="N14">
            <v>0.13043478260869565</v>
          </cell>
          <cell r="O14">
            <v>-0.1111111111111111</v>
          </cell>
          <cell r="P14">
            <v>0.33333333333333331</v>
          </cell>
          <cell r="Q14">
            <v>-0.1</v>
          </cell>
          <cell r="R14">
            <v>0.75</v>
          </cell>
          <cell r="S14">
            <v>0</v>
          </cell>
          <cell r="T14">
            <v>0.5</v>
          </cell>
        </row>
        <row r="15">
          <cell r="A15">
            <v>45747</v>
          </cell>
          <cell r="F15" t="str">
            <v>宽货币紧信用</v>
          </cell>
          <cell r="G15" t="str">
            <v>被动去库存</v>
          </cell>
          <cell r="H15" t="str">
            <v>紧货币宽财政</v>
          </cell>
          <cell r="I15" t="str">
            <v>滞涨</v>
          </cell>
          <cell r="J15" t="str">
            <v>产能周期下行,主动补库存</v>
          </cell>
          <cell r="K15">
            <v>-0.06</v>
          </cell>
          <cell r="L15">
            <v>-0.2</v>
          </cell>
          <cell r="M15">
            <v>-0.25</v>
          </cell>
          <cell r="N15">
            <v>0</v>
          </cell>
          <cell r="O15">
            <v>-0.11764705882352941</v>
          </cell>
          <cell r="P15">
            <v>0.34</v>
          </cell>
          <cell r="Q15">
            <v>-0.1</v>
          </cell>
          <cell r="R15">
            <v>0.75</v>
          </cell>
          <cell r="S15">
            <v>0.61538461538461542</v>
          </cell>
          <cell r="T15">
            <v>0.52941176470588236</v>
          </cell>
        </row>
        <row r="16">
          <cell r="A16">
            <v>45716</v>
          </cell>
          <cell r="F16" t="str">
            <v>宽货币紧信用</v>
          </cell>
          <cell r="G16" t="str">
            <v>主动补库存</v>
          </cell>
          <cell r="H16" t="str">
            <v>双紧</v>
          </cell>
          <cell r="I16" t="str">
            <v>滞涨</v>
          </cell>
          <cell r="J16" t="str">
            <v>产能周期下行,主动补库存</v>
          </cell>
          <cell r="K16">
            <v>-4.0816326530612242E-2</v>
          </cell>
          <cell r="L16">
            <v>0</v>
          </cell>
          <cell r="M16">
            <v>6.25E-2</v>
          </cell>
          <cell r="N16">
            <v>0</v>
          </cell>
          <cell r="O16">
            <v>-6.25E-2</v>
          </cell>
          <cell r="P16">
            <v>0.32653061224489793</v>
          </cell>
          <cell r="Q16">
            <v>0.33333333333333331</v>
          </cell>
          <cell r="R16">
            <v>-0.4375</v>
          </cell>
          <cell r="S16">
            <v>0.61538461538461542</v>
          </cell>
          <cell r="T16">
            <v>0.5</v>
          </cell>
        </row>
        <row r="17">
          <cell r="A17">
            <v>45688</v>
          </cell>
          <cell r="B17">
            <v>-2.3186981818895789</v>
          </cell>
          <cell r="C17">
            <v>-16.228851674641099</v>
          </cell>
          <cell r="D17" t="str">
            <v>熊市</v>
          </cell>
          <cell r="E17" t="str">
            <v>牛市</v>
          </cell>
          <cell r="F17" t="str">
            <v>宽货币紧信用</v>
          </cell>
          <cell r="G17" t="str">
            <v>主动补库存</v>
          </cell>
          <cell r="H17" t="str">
            <v>双紧</v>
          </cell>
          <cell r="I17" t="str">
            <v>过热</v>
          </cell>
          <cell r="J17" t="str">
            <v>产能周期下行,主动补库存</v>
          </cell>
          <cell r="K17">
            <v>-2.0833333333333332E-2</v>
          </cell>
          <cell r="L17">
            <v>0</v>
          </cell>
          <cell r="M17">
            <v>0.13333333333333333</v>
          </cell>
          <cell r="N17">
            <v>0.25</v>
          </cell>
          <cell r="O17">
            <v>0</v>
          </cell>
          <cell r="P17">
            <v>0.3125</v>
          </cell>
          <cell r="Q17">
            <v>0.33333333333333331</v>
          </cell>
          <cell r="R17">
            <v>-0.53333333333333333</v>
          </cell>
          <cell r="S17">
            <v>4.1666666666666664E-2</v>
          </cell>
          <cell r="T17">
            <v>0.46666666666666667</v>
          </cell>
        </row>
        <row r="18">
          <cell r="A18">
            <v>45657</v>
          </cell>
          <cell r="B18">
            <v>-1.9590725430636859</v>
          </cell>
          <cell r="C18">
            <v>-28.8636796536797</v>
          </cell>
          <cell r="D18" t="str">
            <v>熊市</v>
          </cell>
          <cell r="E18" t="str">
            <v>牛市</v>
          </cell>
          <cell r="F18" t="str">
            <v>宽货币紧信用</v>
          </cell>
          <cell r="G18" t="str">
            <v>被动补库存</v>
          </cell>
          <cell r="H18" t="str">
            <v>双紧</v>
          </cell>
          <cell r="I18" t="str">
            <v>过热</v>
          </cell>
          <cell r="J18" t="str">
            <v>产能周期下行,主动补库存</v>
          </cell>
          <cell r="K18">
            <v>-4.2553191489361701E-2</v>
          </cell>
          <cell r="L18">
            <v>0</v>
          </cell>
          <cell r="M18">
            <v>7.1428571428571425E-2</v>
          </cell>
          <cell r="N18">
            <v>0.16666666666666666</v>
          </cell>
          <cell r="O18">
            <v>-7.1428571428571425E-2</v>
          </cell>
          <cell r="P18">
            <v>0.2978723404255319</v>
          </cell>
          <cell r="Q18">
            <v>0.33333333333333331</v>
          </cell>
          <cell r="R18">
            <v>-0.6428571428571429</v>
          </cell>
          <cell r="S18">
            <v>0</v>
          </cell>
          <cell r="T18">
            <v>0.42857142857142855</v>
          </cell>
        </row>
        <row r="19">
          <cell r="A19">
            <v>45626</v>
          </cell>
          <cell r="B19">
            <v>1.343044466532469</v>
          </cell>
          <cell r="C19">
            <v>-5.8158897243108001</v>
          </cell>
          <cell r="D19" t="str">
            <v>牛市</v>
          </cell>
          <cell r="E19" t="str">
            <v>牛市</v>
          </cell>
          <cell r="F19" t="str">
            <v>宽货币紧信用</v>
          </cell>
          <cell r="G19" t="str">
            <v>被动补库存</v>
          </cell>
          <cell r="H19" t="str">
            <v>双紧</v>
          </cell>
          <cell r="I19" t="str">
            <v>过热</v>
          </cell>
          <cell r="J19" t="str">
            <v>产能周期下行,主动补库存</v>
          </cell>
          <cell r="K19">
            <v>-6.5217391304347824E-2</v>
          </cell>
          <cell r="L19">
            <v>-3.8461538461538464E-2</v>
          </cell>
          <cell r="M19">
            <v>0</v>
          </cell>
          <cell r="N19">
            <v>0.13043478260869565</v>
          </cell>
          <cell r="O19">
            <v>-0.15384615384615385</v>
          </cell>
          <cell r="P19">
            <v>0.32608695652173914</v>
          </cell>
          <cell r="Q19">
            <v>0.38461538461538464</v>
          </cell>
          <cell r="R19">
            <v>-0.61538461538461542</v>
          </cell>
          <cell r="S19">
            <v>4.3478260869565216E-2</v>
          </cell>
          <cell r="T19">
            <v>0.53846153846153844</v>
          </cell>
        </row>
        <row r="20">
          <cell r="A20">
            <v>45596</v>
          </cell>
          <cell r="B20">
            <v>2.278456268582191</v>
          </cell>
          <cell r="C20">
            <v>4.2516040100251002</v>
          </cell>
          <cell r="D20" t="str">
            <v>牛市</v>
          </cell>
          <cell r="E20" t="str">
            <v>熊市</v>
          </cell>
          <cell r="F20" t="str">
            <v>宽货币紧信用</v>
          </cell>
          <cell r="G20" t="str">
            <v>被动补库存</v>
          </cell>
          <cell r="H20" t="str">
            <v>双紧</v>
          </cell>
          <cell r="I20" t="str">
            <v>过热</v>
          </cell>
          <cell r="J20" t="str">
            <v>产能周期下行,主动补库存</v>
          </cell>
          <cell r="K20">
            <v>-8.8888888888888892E-2</v>
          </cell>
          <cell r="L20">
            <v>-0.08</v>
          </cell>
          <cell r="M20">
            <v>0</v>
          </cell>
          <cell r="N20">
            <v>9.0909090909090912E-2</v>
          </cell>
          <cell r="O20">
            <v>-0.25</v>
          </cell>
          <cell r="P20">
            <v>0.31111111111111112</v>
          </cell>
          <cell r="Q20">
            <v>0.36</v>
          </cell>
          <cell r="R20">
            <v>-0.61538461538461542</v>
          </cell>
          <cell r="S20">
            <v>0</v>
          </cell>
          <cell r="T20">
            <v>0.5</v>
          </cell>
        </row>
        <row r="21">
          <cell r="A21">
            <v>45565</v>
          </cell>
          <cell r="B21">
            <v>22.210134627747362</v>
          </cell>
          <cell r="C21">
            <v>-6.9838528138528</v>
          </cell>
          <cell r="D21" t="str">
            <v>牛市</v>
          </cell>
          <cell r="E21" t="str">
            <v>牛市</v>
          </cell>
          <cell r="F21" t="str">
            <v>宽货币紧信用</v>
          </cell>
          <cell r="G21" t="str">
            <v>被动补库存</v>
          </cell>
          <cell r="H21" t="str">
            <v>紧货币宽财政</v>
          </cell>
          <cell r="I21" t="str">
            <v>过热</v>
          </cell>
          <cell r="J21" t="str">
            <v>产能周期下行,主动补库存</v>
          </cell>
          <cell r="K21">
            <v>-6.8181818181818177E-2</v>
          </cell>
          <cell r="L21">
            <v>-4.1666666666666664E-2</v>
          </cell>
          <cell r="M21">
            <v>-0.5</v>
          </cell>
          <cell r="N21">
            <v>9.0909090909090912E-2</v>
          </cell>
          <cell r="O21">
            <v>-0.25</v>
          </cell>
          <cell r="P21">
            <v>0.29545454545454547</v>
          </cell>
          <cell r="Q21">
            <v>0.33333333333333331</v>
          </cell>
          <cell r="R21">
            <v>0.5</v>
          </cell>
          <cell r="S21">
            <v>0</v>
          </cell>
          <cell r="T21">
            <v>0.5</v>
          </cell>
        </row>
        <row r="22">
          <cell r="A22">
            <v>45535</v>
          </cell>
          <cell r="B22">
            <v>-3.9690314175752399</v>
          </cell>
          <cell r="C22">
            <v>-6.4669960474307997</v>
          </cell>
          <cell r="D22" t="str">
            <v>熊市</v>
          </cell>
          <cell r="E22" t="str">
            <v>牛市</v>
          </cell>
          <cell r="F22" t="str">
            <v>宽货币紧信用</v>
          </cell>
          <cell r="G22" t="str">
            <v>被动补库存</v>
          </cell>
          <cell r="H22" t="str">
            <v>紧货币宽财政</v>
          </cell>
          <cell r="I22" t="str">
            <v>滞涨</v>
          </cell>
          <cell r="J22" t="str">
            <v>产能周期下行,被动去库存</v>
          </cell>
          <cell r="K22">
            <v>-6.9767441860465115E-2</v>
          </cell>
          <cell r="L22">
            <v>-4.3478260869565216E-2</v>
          </cell>
          <cell r="M22">
            <v>-1</v>
          </cell>
          <cell r="N22">
            <v>9.0909090909090912E-2</v>
          </cell>
          <cell r="O22">
            <v>-0.14285714285714285</v>
          </cell>
          <cell r="P22">
            <v>0.30232558139534882</v>
          </cell>
          <cell r="Q22">
            <v>0.34782608695652173</v>
          </cell>
          <cell r="R22">
            <v>1</v>
          </cell>
          <cell r="S22">
            <v>0.63636363636363635</v>
          </cell>
          <cell r="T22">
            <v>0.42857142857142855</v>
          </cell>
        </row>
        <row r="23">
          <cell r="A23">
            <v>45504</v>
          </cell>
          <cell r="B23">
            <v>0.27106654712188499</v>
          </cell>
          <cell r="C23">
            <v>-1.7454919908466999</v>
          </cell>
          <cell r="D23" t="str">
            <v>震荡</v>
          </cell>
          <cell r="E23" t="str">
            <v>震荡</v>
          </cell>
          <cell r="F23" t="str">
            <v>宽货币紧信用</v>
          </cell>
          <cell r="G23" t="str">
            <v>被动补库存</v>
          </cell>
          <cell r="H23" t="str">
            <v>紧货币宽财政</v>
          </cell>
          <cell r="I23" t="str">
            <v>滞涨</v>
          </cell>
          <cell r="J23" t="str">
            <v>产能周期下行,被动去库存</v>
          </cell>
          <cell r="K23">
            <v>-4.7619047619047616E-2</v>
          </cell>
          <cell r="L23">
            <v>0</v>
          </cell>
          <cell r="M23">
            <v>3.8461538461538464E-2</v>
          </cell>
          <cell r="N23">
            <v>0.2</v>
          </cell>
          <cell r="O23">
            <v>-0.14285714285714285</v>
          </cell>
          <cell r="P23">
            <v>0.2857142857142857</v>
          </cell>
          <cell r="Q23">
            <v>0.31818181818181818</v>
          </cell>
          <cell r="R23">
            <v>0.46153846153846156</v>
          </cell>
          <cell r="S23">
            <v>0.6</v>
          </cell>
          <cell r="T23">
            <v>0.42857142857142855</v>
          </cell>
        </row>
        <row r="24">
          <cell r="A24">
            <v>45473</v>
          </cell>
          <cell r="B24">
            <v>-5.1273772152469537</v>
          </cell>
          <cell r="C24">
            <v>-4.7655639097745004</v>
          </cell>
          <cell r="D24" t="str">
            <v>熊市</v>
          </cell>
          <cell r="E24" t="str">
            <v>牛市</v>
          </cell>
          <cell r="F24" t="str">
            <v>宽货币紧信用</v>
          </cell>
          <cell r="G24" t="str">
            <v>被动补库存</v>
          </cell>
          <cell r="H24" t="str">
            <v>紧货币宽财政</v>
          </cell>
          <cell r="I24" t="str">
            <v>滞涨</v>
          </cell>
          <cell r="J24" t="str">
            <v>产能周期下行,主动补库存</v>
          </cell>
          <cell r="K24">
            <v>-2.4390243902439025E-2</v>
          </cell>
          <cell r="L24">
            <v>4.7619047619047616E-2</v>
          </cell>
          <cell r="M24">
            <v>3.8461538461538464E-2</v>
          </cell>
          <cell r="N24">
            <v>0.33333333333333331</v>
          </cell>
          <cell r="O24">
            <v>-0.1</v>
          </cell>
          <cell r="P24">
            <v>0.31707317073170732</v>
          </cell>
          <cell r="Q24">
            <v>0.38095238095238093</v>
          </cell>
          <cell r="R24">
            <v>0.46153846153846156</v>
          </cell>
          <cell r="S24">
            <v>0.77777777777777779</v>
          </cell>
          <cell r="T24">
            <v>0.6</v>
          </cell>
        </row>
        <row r="25">
          <cell r="A25">
            <v>45443</v>
          </cell>
          <cell r="B25">
            <v>-1.2058617125129469</v>
          </cell>
          <cell r="C25">
            <v>2.1025974025974001</v>
          </cell>
          <cell r="D25" t="str">
            <v>熊市</v>
          </cell>
          <cell r="E25" t="str">
            <v>熊市</v>
          </cell>
          <cell r="F25" t="str">
            <v>宽货币紧信用</v>
          </cell>
          <cell r="G25" t="str">
            <v>被动补库存</v>
          </cell>
          <cell r="H25" t="str">
            <v>双宽</v>
          </cell>
          <cell r="I25" t="str">
            <v>滞涨</v>
          </cell>
          <cell r="J25" t="str">
            <v>产能周期下行,主动补库存</v>
          </cell>
          <cell r="K25">
            <v>-0.05</v>
          </cell>
          <cell r="L25">
            <v>0</v>
          </cell>
          <cell r="M25">
            <v>3.8461538461538464E-2</v>
          </cell>
          <cell r="N25">
            <v>0.25</v>
          </cell>
          <cell r="O25">
            <v>-0.22222222222222221</v>
          </cell>
          <cell r="P25">
            <v>0.3</v>
          </cell>
          <cell r="Q25">
            <v>0.35</v>
          </cell>
          <cell r="R25">
            <v>0.46153846153846156</v>
          </cell>
          <cell r="S25">
            <v>0.75</v>
          </cell>
          <cell r="T25">
            <v>0.55555555555555558</v>
          </cell>
        </row>
        <row r="26">
          <cell r="A26">
            <v>45412</v>
          </cell>
          <cell r="B26">
            <v>1.020186693010396</v>
          </cell>
          <cell r="C26">
            <v>-2.5316450216450002</v>
          </cell>
          <cell r="D26" t="str">
            <v>牛市</v>
          </cell>
          <cell r="E26" t="str">
            <v>牛市</v>
          </cell>
          <cell r="F26" t="str">
            <v>宽货币紧信用</v>
          </cell>
          <cell r="G26" t="str">
            <v>被动补库存</v>
          </cell>
          <cell r="H26" t="str">
            <v>双宽</v>
          </cell>
          <cell r="I26" t="str">
            <v>滞涨</v>
          </cell>
          <cell r="J26" t="str">
            <v>产能周期下行,主动补库存</v>
          </cell>
          <cell r="K26">
            <v>-7.6923076923076927E-2</v>
          </cell>
          <cell r="L26">
            <v>-5.2631578947368418E-2</v>
          </cell>
          <cell r="M26">
            <v>0</v>
          </cell>
          <cell r="N26">
            <v>0.14285714285714285</v>
          </cell>
          <cell r="O26">
            <v>-0.375</v>
          </cell>
          <cell r="P26">
            <v>0.28205128205128205</v>
          </cell>
          <cell r="Q26">
            <v>0.31578947368421051</v>
          </cell>
          <cell r="R26">
            <v>0.44</v>
          </cell>
          <cell r="S26">
            <v>0.7142857142857143</v>
          </cell>
          <cell r="T26">
            <v>0.5</v>
          </cell>
        </row>
        <row r="27">
          <cell r="A27">
            <v>45382</v>
          </cell>
          <cell r="B27">
            <v>1.3511290693299061</v>
          </cell>
          <cell r="C27">
            <v>-9.9376984126983992</v>
          </cell>
          <cell r="D27" t="str">
            <v>牛市</v>
          </cell>
          <cell r="E27" t="str">
            <v>牛市</v>
          </cell>
          <cell r="F27" t="str">
            <v>宽货币紧信用</v>
          </cell>
          <cell r="G27" t="str">
            <v>被动补库存</v>
          </cell>
          <cell r="H27" t="str">
            <v>双宽</v>
          </cell>
          <cell r="I27" t="str">
            <v>滞涨</v>
          </cell>
          <cell r="J27" t="str">
            <v>产能周期下行,主动补库存</v>
          </cell>
          <cell r="K27">
            <v>-0.10526315789473684</v>
          </cell>
          <cell r="L27">
            <v>-5.2631578947368418E-2</v>
          </cell>
          <cell r="M27">
            <v>0</v>
          </cell>
          <cell r="N27">
            <v>0.14285714285714285</v>
          </cell>
          <cell r="O27">
            <v>-0.5714285714285714</v>
          </cell>
          <cell r="P27">
            <v>0.26315789473684209</v>
          </cell>
          <cell r="Q27">
            <v>0.31578947368421051</v>
          </cell>
          <cell r="R27">
            <v>0.4</v>
          </cell>
          <cell r="S27">
            <v>0.7142857142857143</v>
          </cell>
          <cell r="T27">
            <v>0.42857142857142855</v>
          </cell>
        </row>
        <row r="28">
          <cell r="A28">
            <v>45351</v>
          </cell>
          <cell r="B28">
            <v>9.6679642835044142</v>
          </cell>
          <cell r="C28">
            <v>-9.8124747474747007</v>
          </cell>
          <cell r="D28" t="str">
            <v>牛市</v>
          </cell>
          <cell r="E28" t="str">
            <v>牛市</v>
          </cell>
          <cell r="F28" t="str">
            <v>宽货币紧信用</v>
          </cell>
          <cell r="G28" t="str">
            <v>主动去库存</v>
          </cell>
          <cell r="H28" t="str">
            <v>双宽</v>
          </cell>
          <cell r="I28" t="str">
            <v>过热</v>
          </cell>
          <cell r="J28" t="str">
            <v>产能周期下行,主动补库存</v>
          </cell>
          <cell r="K28">
            <v>-8.1081081081081086E-2</v>
          </cell>
          <cell r="L28">
            <v>0.16666666666666666</v>
          </cell>
          <cell r="M28">
            <v>0.08</v>
          </cell>
          <cell r="N28">
            <v>0.1</v>
          </cell>
          <cell r="O28">
            <v>-0.5</v>
          </cell>
          <cell r="P28">
            <v>0.24324324324324326</v>
          </cell>
          <cell r="Q28">
            <v>0.125</v>
          </cell>
          <cell r="R28">
            <v>0.4</v>
          </cell>
          <cell r="S28">
            <v>-0.1</v>
          </cell>
          <cell r="T28">
            <v>0.33333333333333331</v>
          </cell>
        </row>
        <row r="29">
          <cell r="A29">
            <v>45322</v>
          </cell>
          <cell r="B29">
            <v>-12.59459352065995</v>
          </cell>
          <cell r="C29">
            <v>-11.1504545454546</v>
          </cell>
          <cell r="D29" t="str">
            <v>熊市</v>
          </cell>
          <cell r="E29" t="str">
            <v>牛市</v>
          </cell>
          <cell r="F29" t="str">
            <v>宽货币紧信用</v>
          </cell>
          <cell r="G29" t="str">
            <v>主动去库存</v>
          </cell>
          <cell r="H29" t="str">
            <v>双宽</v>
          </cell>
          <cell r="I29" t="str">
            <v>过热</v>
          </cell>
          <cell r="J29" t="str">
            <v>产能周期下行,主动补库存</v>
          </cell>
          <cell r="K29">
            <v>-8.1081081081081086E-2</v>
          </cell>
          <cell r="L29">
            <v>0.16666666666666666</v>
          </cell>
          <cell r="M29">
            <v>0.08</v>
          </cell>
          <cell r="N29">
            <v>0.15789473684210525</v>
          </cell>
          <cell r="O29">
            <v>-0.4</v>
          </cell>
          <cell r="P29">
            <v>0.24324324324324326</v>
          </cell>
          <cell r="Q29">
            <v>0.125</v>
          </cell>
          <cell r="R29">
            <v>0.4</v>
          </cell>
          <cell r="S29">
            <v>-0.15789473684210525</v>
          </cell>
          <cell r="T29">
            <v>0.2</v>
          </cell>
        </row>
        <row r="30">
          <cell r="A30">
            <v>45291</v>
          </cell>
          <cell r="B30">
            <v>-2.0535176317502102</v>
          </cell>
          <cell r="C30">
            <v>-5.0940909090908999</v>
          </cell>
          <cell r="D30" t="str">
            <v>熊市</v>
          </cell>
          <cell r="E30" t="str">
            <v>牛市</v>
          </cell>
          <cell r="F30" t="str">
            <v>宽货币紧信用</v>
          </cell>
          <cell r="G30" t="str">
            <v>被动补库存</v>
          </cell>
          <cell r="H30" t="str">
            <v>双宽</v>
          </cell>
          <cell r="I30" t="str">
            <v>过热</v>
          </cell>
          <cell r="J30" t="str">
            <v>产能周期下行,主动补库存</v>
          </cell>
          <cell r="K30">
            <v>-5.4054054054054057E-2</v>
          </cell>
          <cell r="L30">
            <v>0</v>
          </cell>
          <cell r="M30">
            <v>0.12</v>
          </cell>
          <cell r="N30">
            <v>0.16666666666666666</v>
          </cell>
          <cell r="O30">
            <v>-0.5</v>
          </cell>
          <cell r="P30">
            <v>0.24324324324324326</v>
          </cell>
          <cell r="Q30">
            <v>0.23529411764705882</v>
          </cell>
          <cell r="R30">
            <v>0.4</v>
          </cell>
          <cell r="S30">
            <v>-0.22222222222222221</v>
          </cell>
          <cell r="T30">
            <v>0</v>
          </cell>
        </row>
        <row r="31">
          <cell r="A31">
            <v>45260</v>
          </cell>
          <cell r="B31">
            <v>0.35048788689809202</v>
          </cell>
          <cell r="C31">
            <v>-2.6211961722488</v>
          </cell>
          <cell r="D31" t="str">
            <v>震荡</v>
          </cell>
          <cell r="E31" t="str">
            <v>牛市</v>
          </cell>
          <cell r="F31" t="str">
            <v>宽货币紧信用</v>
          </cell>
          <cell r="G31" t="str">
            <v>被动补库存</v>
          </cell>
          <cell r="H31" t="str">
            <v>双宽</v>
          </cell>
          <cell r="I31" t="str">
            <v>过热</v>
          </cell>
          <cell r="J31" t="str">
            <v>产能周期下行,主动补库存</v>
          </cell>
          <cell r="K31">
            <v>-5.4054054054054057E-2</v>
          </cell>
          <cell r="L31">
            <v>6.25E-2</v>
          </cell>
          <cell r="M31">
            <v>0.12</v>
          </cell>
          <cell r="N31">
            <v>0.23529411764705882</v>
          </cell>
          <cell r="O31">
            <v>-0.33333333333333331</v>
          </cell>
          <cell r="P31">
            <v>0.29729729729729731</v>
          </cell>
          <cell r="Q31">
            <v>0.3125</v>
          </cell>
          <cell r="R31">
            <v>0.48</v>
          </cell>
          <cell r="S31">
            <v>-0.17647058823529413</v>
          </cell>
          <cell r="T31">
            <v>0.33333333333333331</v>
          </cell>
        </row>
        <row r="32">
          <cell r="A32">
            <v>45230</v>
          </cell>
          <cell r="B32">
            <v>-2.1621674454430502</v>
          </cell>
          <cell r="C32">
            <v>4.9216052631579004</v>
          </cell>
          <cell r="D32" t="str">
            <v>熊市</v>
          </cell>
          <cell r="E32" t="str">
            <v>熊市</v>
          </cell>
          <cell r="F32" t="str">
            <v>宽货币紧信用</v>
          </cell>
          <cell r="G32" t="str">
            <v>被动补库存</v>
          </cell>
          <cell r="H32" t="str">
            <v>双宽</v>
          </cell>
          <cell r="I32" t="str">
            <v>过热</v>
          </cell>
          <cell r="J32" t="str">
            <v>产能周期下行,主动补库存</v>
          </cell>
          <cell r="K32">
            <v>0</v>
          </cell>
          <cell r="L32">
            <v>0.13333333333333333</v>
          </cell>
          <cell r="M32">
            <v>0.2</v>
          </cell>
          <cell r="N32">
            <v>0.3125</v>
          </cell>
          <cell r="O32">
            <v>0</v>
          </cell>
          <cell r="P32">
            <v>0.29729729729729731</v>
          </cell>
          <cell r="Q32">
            <v>0.4</v>
          </cell>
          <cell r="R32">
            <v>0.48</v>
          </cell>
          <cell r="S32">
            <v>-0.125</v>
          </cell>
          <cell r="T32">
            <v>1</v>
          </cell>
        </row>
        <row r="33">
          <cell r="A33">
            <v>45199</v>
          </cell>
          <cell r="B33">
            <v>-1.090224311450847</v>
          </cell>
          <cell r="C33">
            <v>4.6761521739129996</v>
          </cell>
          <cell r="D33" t="str">
            <v>熊市</v>
          </cell>
          <cell r="E33" t="str">
            <v>熊市</v>
          </cell>
          <cell r="F33" t="str">
            <v>宽货币紧信用</v>
          </cell>
          <cell r="G33" t="str">
            <v>被动补库存</v>
          </cell>
          <cell r="H33" t="str">
            <v>双宽</v>
          </cell>
          <cell r="I33" t="str">
            <v>过热</v>
          </cell>
          <cell r="J33" t="str">
            <v>产能周期下行,主动补库存</v>
          </cell>
          <cell r="K33">
            <v>0</v>
          </cell>
          <cell r="L33">
            <v>0.21428571428571427</v>
          </cell>
          <cell r="M33">
            <v>0.2</v>
          </cell>
          <cell r="N33">
            <v>0.4</v>
          </cell>
          <cell r="O33">
            <v>1</v>
          </cell>
          <cell r="P33">
            <v>0.24324324324324326</v>
          </cell>
          <cell r="Q33">
            <v>0.35714285714285715</v>
          </cell>
          <cell r="R33">
            <v>0.4</v>
          </cell>
          <cell r="S33">
            <v>-0.2</v>
          </cell>
          <cell r="T33">
            <v>1</v>
          </cell>
        </row>
        <row r="34">
          <cell r="A34">
            <v>45169</v>
          </cell>
          <cell r="B34">
            <v>-5.6137094679973538</v>
          </cell>
          <cell r="C34">
            <v>-3.8170807453415998</v>
          </cell>
          <cell r="D34" t="str">
            <v>熊市</v>
          </cell>
          <cell r="E34" t="str">
            <v>牛市</v>
          </cell>
          <cell r="F34" t="str">
            <v>宽货币紧信用</v>
          </cell>
          <cell r="G34" t="str">
            <v>被动补库存</v>
          </cell>
          <cell r="H34" t="str">
            <v>双宽</v>
          </cell>
          <cell r="I34" t="str">
            <v>过热</v>
          </cell>
          <cell r="J34" t="str">
            <v>产能周期下行,主动补库存</v>
          </cell>
          <cell r="K34">
            <v>-2.7027027027027029E-2</v>
          </cell>
          <cell r="L34">
            <v>0.15384615384615385</v>
          </cell>
          <cell r="M34">
            <v>0.16</v>
          </cell>
          <cell r="N34">
            <v>0.35714285714285715</v>
          </cell>
          <cell r="O34">
            <v>-0.2</v>
          </cell>
          <cell r="P34">
            <v>0.24324324324324326</v>
          </cell>
          <cell r="Q34">
            <v>0.30769230769230771</v>
          </cell>
          <cell r="R34">
            <v>0.4</v>
          </cell>
          <cell r="S34">
            <v>-0.2857142857142857</v>
          </cell>
          <cell r="T34">
            <v>0.2</v>
          </cell>
        </row>
        <row r="35">
          <cell r="A35">
            <v>45138</v>
          </cell>
          <cell r="B35">
            <v>2.4722745685347052</v>
          </cell>
          <cell r="C35">
            <v>-2.9390476190475998</v>
          </cell>
          <cell r="D35" t="str">
            <v>牛市</v>
          </cell>
          <cell r="E35" t="str">
            <v>牛市</v>
          </cell>
          <cell r="F35" t="str">
            <v>宽货币紧信用</v>
          </cell>
          <cell r="G35" t="str">
            <v>被动补库存</v>
          </cell>
          <cell r="H35" t="str">
            <v>双宽</v>
          </cell>
          <cell r="I35" t="str">
            <v>过热</v>
          </cell>
          <cell r="J35" t="str">
            <v>产能周期下行,主动补库存</v>
          </cell>
          <cell r="K35">
            <v>-8.1081081081081086E-2</v>
          </cell>
          <cell r="L35">
            <v>7.1428571428571425E-2</v>
          </cell>
          <cell r="M35">
            <v>0.11538461538461539</v>
          </cell>
          <cell r="N35">
            <v>0.35714285714285715</v>
          </cell>
          <cell r="O35">
            <v>-0.2</v>
          </cell>
          <cell r="P35">
            <v>0.24324324324324326</v>
          </cell>
          <cell r="Q35">
            <v>0.35714285714285715</v>
          </cell>
          <cell r="R35">
            <v>0.42307692307692307</v>
          </cell>
          <cell r="S35">
            <v>-0.2857142857142857</v>
          </cell>
          <cell r="T35">
            <v>0.2</v>
          </cell>
        </row>
        <row r="36">
          <cell r="A36">
            <v>45107</v>
          </cell>
          <cell r="B36">
            <v>1.5787271882165539</v>
          </cell>
          <cell r="C36">
            <v>-5.0428571428571001</v>
          </cell>
          <cell r="D36" t="str">
            <v>牛市</v>
          </cell>
          <cell r="E36" t="str">
            <v>牛市</v>
          </cell>
          <cell r="F36" t="str">
            <v>宽货币紧信用</v>
          </cell>
          <cell r="G36" t="str">
            <v>主动去库存</v>
          </cell>
          <cell r="H36" t="str">
            <v>宽货币紧财政</v>
          </cell>
          <cell r="I36" t="str">
            <v>复苏</v>
          </cell>
          <cell r="J36" t="str">
            <v>产能周期下行,被动去库存</v>
          </cell>
          <cell r="K36">
            <v>-5.4054054054054057E-2</v>
          </cell>
          <cell r="L36">
            <v>0.18181818181818182</v>
          </cell>
          <cell r="M36">
            <v>0.05</v>
          </cell>
          <cell r="N36">
            <v>-6.25E-2</v>
          </cell>
          <cell r="O36">
            <v>-0.2</v>
          </cell>
          <cell r="P36">
            <v>0.21621621621621623</v>
          </cell>
          <cell r="Q36">
            <v>4.5454545454545456E-2</v>
          </cell>
          <cell r="R36">
            <v>0.25</v>
          </cell>
          <cell r="S36">
            <v>0.25</v>
          </cell>
          <cell r="T36">
            <v>0.2</v>
          </cell>
        </row>
        <row r="37">
          <cell r="A37">
            <v>45077</v>
          </cell>
          <cell r="B37">
            <v>-3.3120754729155002</v>
          </cell>
          <cell r="C37">
            <v>-11.1246666666667</v>
          </cell>
          <cell r="D37" t="str">
            <v>熊市</v>
          </cell>
          <cell r="E37" t="str">
            <v>牛市</v>
          </cell>
          <cell r="F37" t="str">
            <v>宽货币紧信用</v>
          </cell>
          <cell r="G37" t="str">
            <v>主动去库存</v>
          </cell>
          <cell r="H37" t="str">
            <v>宽货币紧财政</v>
          </cell>
          <cell r="I37" t="str">
            <v>复苏</v>
          </cell>
          <cell r="J37" t="str">
            <v>产能周期下行,被动去库存</v>
          </cell>
          <cell r="K37">
            <v>-5.4054054054054057E-2</v>
          </cell>
          <cell r="L37">
            <v>0.23809523809523808</v>
          </cell>
          <cell r="M37">
            <v>0.10526315789473684</v>
          </cell>
          <cell r="N37">
            <v>0</v>
          </cell>
          <cell r="O37">
            <v>0</v>
          </cell>
          <cell r="P37">
            <v>0.21621621621621623</v>
          </cell>
          <cell r="Q37">
            <v>0</v>
          </cell>
          <cell r="R37">
            <v>0.21052631578947367</v>
          </cell>
          <cell r="S37">
            <v>0.2</v>
          </cell>
          <cell r="T37">
            <v>0</v>
          </cell>
        </row>
        <row r="38">
          <cell r="A38">
            <v>45046</v>
          </cell>
          <cell r="B38">
            <v>-1.4446498789723901</v>
          </cell>
          <cell r="C38">
            <v>-4.0989565217391002</v>
          </cell>
          <cell r="D38" t="str">
            <v>熊市</v>
          </cell>
          <cell r="E38" t="str">
            <v>牛市</v>
          </cell>
          <cell r="F38" t="str">
            <v>宽货币紧信用</v>
          </cell>
          <cell r="G38" t="str">
            <v>主动去库存</v>
          </cell>
          <cell r="H38" t="str">
            <v>宽货币紧财政</v>
          </cell>
          <cell r="I38" t="str">
            <v>复苏</v>
          </cell>
          <cell r="J38" t="str">
            <v>产能周期下行,被动去库存</v>
          </cell>
          <cell r="K38">
            <v>-5.5555555555555552E-2</v>
          </cell>
          <cell r="L38">
            <v>0.23809523809523808</v>
          </cell>
          <cell r="M38">
            <v>0.1111111111111111</v>
          </cell>
          <cell r="N38">
            <v>0</v>
          </cell>
          <cell r="O38">
            <v>0</v>
          </cell>
          <cell r="P38">
            <v>0.19444444444444445</v>
          </cell>
          <cell r="Q38">
            <v>0</v>
          </cell>
          <cell r="R38">
            <v>0.16666666666666666</v>
          </cell>
          <cell r="S38">
            <v>0.14285714285714285</v>
          </cell>
          <cell r="T38">
            <v>-0.33333333333333331</v>
          </cell>
        </row>
        <row r="39">
          <cell r="A39">
            <v>45016</v>
          </cell>
          <cell r="B39">
            <v>-0.82606640307027102</v>
          </cell>
          <cell r="C39">
            <v>-3.3730434782608998</v>
          </cell>
          <cell r="D39" t="str">
            <v>震荡</v>
          </cell>
          <cell r="E39" t="str">
            <v>牛市</v>
          </cell>
          <cell r="F39" t="str">
            <v>宽货币紧信用</v>
          </cell>
          <cell r="G39" t="str">
            <v>被动去库存</v>
          </cell>
          <cell r="H39" t="str">
            <v>宽货币紧财政</v>
          </cell>
          <cell r="I39" t="str">
            <v>复苏</v>
          </cell>
          <cell r="J39" t="str">
            <v>产能周期下行,被动去库存</v>
          </cell>
          <cell r="K39">
            <v>-5.7142857142857141E-2</v>
          </cell>
          <cell r="L39">
            <v>-0.25</v>
          </cell>
          <cell r="M39">
            <v>0.11764705882352941</v>
          </cell>
          <cell r="N39">
            <v>-7.1428571428571425E-2</v>
          </cell>
          <cell r="O39">
            <v>0</v>
          </cell>
          <cell r="P39">
            <v>0.2</v>
          </cell>
          <cell r="Q39">
            <v>-0.25</v>
          </cell>
          <cell r="R39">
            <v>0.17647058823529413</v>
          </cell>
          <cell r="S39">
            <v>0.21428571428571427</v>
          </cell>
          <cell r="T39">
            <v>-0.5</v>
          </cell>
        </row>
        <row r="40">
          <cell r="A40">
            <v>44985</v>
          </cell>
          <cell r="B40">
            <v>-2.3713060250783999E-2</v>
          </cell>
          <cell r="C40">
            <v>1.9522222222222001</v>
          </cell>
          <cell r="D40" t="str">
            <v>震荡</v>
          </cell>
          <cell r="E40" t="str">
            <v>震荡</v>
          </cell>
          <cell r="F40" t="str">
            <v>宽货币紧信用</v>
          </cell>
          <cell r="G40" t="str">
            <v>被动去库存</v>
          </cell>
          <cell r="H40" t="str">
            <v>宽货币紧财政</v>
          </cell>
          <cell r="I40" t="str">
            <v>复苏</v>
          </cell>
          <cell r="J40" t="str">
            <v>产能周期下行,被动去库存</v>
          </cell>
          <cell r="K40">
            <v>-8.8235294117647065E-2</v>
          </cell>
          <cell r="L40">
            <v>-0.42857142857142855</v>
          </cell>
          <cell r="M40">
            <v>0.11764705882352941</v>
          </cell>
          <cell r="N40">
            <v>0</v>
          </cell>
          <cell r="O40">
            <v>-1</v>
          </cell>
          <cell r="P40">
            <v>0.20588235294117646</v>
          </cell>
          <cell r="Q40">
            <v>-0.2857142857142857</v>
          </cell>
          <cell r="R40">
            <v>0.17647058823529413</v>
          </cell>
          <cell r="S40">
            <v>0.13333333333333333</v>
          </cell>
          <cell r="T40">
            <v>-1</v>
          </cell>
        </row>
        <row r="41">
          <cell r="A41">
            <v>44957</v>
          </cell>
          <cell r="B41">
            <v>7.3820713626821624</v>
          </cell>
          <cell r="C41">
            <v>1.6342995169082</v>
          </cell>
          <cell r="D41" t="str">
            <v>牛市</v>
          </cell>
          <cell r="E41" t="str">
            <v>震荡</v>
          </cell>
          <cell r="F41" t="str">
            <v>宽货币紧信用</v>
          </cell>
          <cell r="G41" t="str">
            <v>被动去库存</v>
          </cell>
          <cell r="H41" t="str">
            <v>双紧</v>
          </cell>
          <cell r="I41" t="str">
            <v>衰退</v>
          </cell>
          <cell r="J41" t="str">
            <v>产能周期下行,被动去库存</v>
          </cell>
          <cell r="K41">
            <v>-6.0606060606060608E-2</v>
          </cell>
          <cell r="L41">
            <v>-0.33333333333333331</v>
          </cell>
          <cell r="M41">
            <v>0</v>
          </cell>
          <cell r="N41">
            <v>0</v>
          </cell>
          <cell r="O41">
            <v>-0.33333333333333331</v>
          </cell>
          <cell r="P41">
            <v>0.24242424242424243</v>
          </cell>
          <cell r="Q41">
            <v>-0.16666666666666666</v>
          </cell>
          <cell r="R41">
            <v>-0.42857142857142855</v>
          </cell>
          <cell r="S41">
            <v>0.2</v>
          </cell>
          <cell r="T41">
            <v>0.16666666666666666</v>
          </cell>
        </row>
        <row r="42">
          <cell r="A42">
            <v>44926</v>
          </cell>
          <cell r="B42">
            <v>-2.115280685197241</v>
          </cell>
          <cell r="C42">
            <v>9.1552964426877992</v>
          </cell>
          <cell r="D42" t="str">
            <v>熊市</v>
          </cell>
          <cell r="E42" t="str">
            <v>熊市</v>
          </cell>
          <cell r="F42" t="str">
            <v>宽货币紧信用</v>
          </cell>
          <cell r="G42" t="str">
            <v>被动去库存</v>
          </cell>
          <cell r="H42" t="str">
            <v>双紧</v>
          </cell>
          <cell r="I42" t="str">
            <v>衰退</v>
          </cell>
          <cell r="J42" t="str">
            <v>产能周期下行,被动去库存</v>
          </cell>
          <cell r="K42">
            <v>-9.375E-2</v>
          </cell>
          <cell r="L42">
            <v>-0.6</v>
          </cell>
          <cell r="M42">
            <v>-0.14285714285714285</v>
          </cell>
          <cell r="N42">
            <v>-5.2631578947368418E-2</v>
          </cell>
          <cell r="O42">
            <v>-0.33333333333333331</v>
          </cell>
          <cell r="P42">
            <v>0.28125</v>
          </cell>
          <cell r="Q42">
            <v>0</v>
          </cell>
          <cell r="R42">
            <v>-0.42857142857142855</v>
          </cell>
          <cell r="S42">
            <v>0.26315789473684209</v>
          </cell>
          <cell r="T42">
            <v>0.16666666666666666</v>
          </cell>
        </row>
        <row r="43">
          <cell r="A43">
            <v>44895</v>
          </cell>
          <cell r="B43">
            <v>7.8584045191373848</v>
          </cell>
          <cell r="C43">
            <v>6.1242929292929</v>
          </cell>
          <cell r="D43" t="str">
            <v>牛市</v>
          </cell>
          <cell r="E43" t="str">
            <v>熊市</v>
          </cell>
          <cell r="F43" t="str">
            <v>宽货币紧信用</v>
          </cell>
          <cell r="G43" t="str">
            <v>被动去库存</v>
          </cell>
          <cell r="H43" t="str">
            <v>双紧</v>
          </cell>
          <cell r="I43" t="str">
            <v>衰退</v>
          </cell>
          <cell r="J43" t="str">
            <v>产能周期下行,主动去库存</v>
          </cell>
          <cell r="K43">
            <v>-6.4516129032258063E-2</v>
          </cell>
          <cell r="L43">
            <v>-0.5</v>
          </cell>
          <cell r="M43">
            <v>0</v>
          </cell>
          <cell r="N43">
            <v>0</v>
          </cell>
          <cell r="O43">
            <v>-0.33333333333333331</v>
          </cell>
          <cell r="P43">
            <v>0.32258064516129031</v>
          </cell>
          <cell r="Q43">
            <v>0.25</v>
          </cell>
          <cell r="R43">
            <v>-0.42857142857142855</v>
          </cell>
          <cell r="S43">
            <v>0.33333333333333331</v>
          </cell>
          <cell r="T43">
            <v>0.16666666666666666</v>
          </cell>
        </row>
        <row r="44">
          <cell r="A44">
            <v>44865</v>
          </cell>
          <cell r="B44">
            <v>-2.5452413464418222</v>
          </cell>
          <cell r="C44">
            <v>4.8357936507936996</v>
          </cell>
          <cell r="D44" t="str">
            <v>熊市</v>
          </cell>
          <cell r="E44" t="str">
            <v>熊市</v>
          </cell>
          <cell r="F44" t="str">
            <v>宽货币紧信用</v>
          </cell>
          <cell r="G44" t="str">
            <v>被动去库存</v>
          </cell>
          <cell r="H44" t="str">
            <v>双紧</v>
          </cell>
          <cell r="I44" t="str">
            <v>衰退</v>
          </cell>
          <cell r="J44" t="str">
            <v>产能周期下行,主动去库存</v>
          </cell>
          <cell r="K44">
            <v>-3.3333333333333333E-2</v>
          </cell>
          <cell r="L44">
            <v>-0.33333333333333331</v>
          </cell>
          <cell r="M44">
            <v>0.14285714285714285</v>
          </cell>
          <cell r="N44">
            <v>0</v>
          </cell>
          <cell r="O44">
            <v>-0.2</v>
          </cell>
          <cell r="P44">
            <v>0.33333333333333331</v>
          </cell>
          <cell r="Q44">
            <v>0.33333333333333331</v>
          </cell>
          <cell r="R44">
            <v>-0.42857142857142855</v>
          </cell>
          <cell r="S44">
            <v>0.33333333333333331</v>
          </cell>
          <cell r="T44">
            <v>0.2</v>
          </cell>
        </row>
        <row r="45">
          <cell r="A45">
            <v>44834</v>
          </cell>
          <cell r="B45">
            <v>-7.5689670938947913</v>
          </cell>
          <cell r="C45">
            <v>-0.1566873706005</v>
          </cell>
          <cell r="D45" t="str">
            <v>熊市</v>
          </cell>
          <cell r="E45" t="str">
            <v>震荡</v>
          </cell>
          <cell r="F45" t="str">
            <v>宽货币紧信用</v>
          </cell>
          <cell r="G45" t="str">
            <v>被动去库存</v>
          </cell>
          <cell r="H45" t="str">
            <v>双紧</v>
          </cell>
          <cell r="I45" t="str">
            <v>复苏</v>
          </cell>
          <cell r="J45" t="str">
            <v>产能周期下行,主动去库存</v>
          </cell>
          <cell r="K45">
            <v>0</v>
          </cell>
          <cell r="L45">
            <v>0</v>
          </cell>
          <cell r="M45">
            <v>0.2857142857142857</v>
          </cell>
          <cell r="N45">
            <v>0.17647058823529413</v>
          </cell>
          <cell r="O45">
            <v>0</v>
          </cell>
          <cell r="P45">
            <v>0.31034482758620691</v>
          </cell>
          <cell r="Q45">
            <v>0</v>
          </cell>
          <cell r="R45">
            <v>-0.5714285714285714</v>
          </cell>
          <cell r="S45">
            <v>0</v>
          </cell>
          <cell r="T45">
            <v>0</v>
          </cell>
        </row>
        <row r="46">
          <cell r="A46">
            <v>44804</v>
          </cell>
          <cell r="B46">
            <v>-2.864756092570556</v>
          </cell>
          <cell r="C46">
            <v>-13.2261697722567</v>
          </cell>
          <cell r="D46" t="str">
            <v>熊市</v>
          </cell>
          <cell r="E46" t="str">
            <v>牛市</v>
          </cell>
          <cell r="F46" t="str">
            <v>宽货币紧信用</v>
          </cell>
          <cell r="G46" t="str">
            <v>被动去库存</v>
          </cell>
          <cell r="H46" t="str">
            <v>双紧</v>
          </cell>
          <cell r="I46" t="str">
            <v>复苏</v>
          </cell>
          <cell r="J46" t="str">
            <v>产能周期下行,主动去库存</v>
          </cell>
          <cell r="K46">
            <v>3.5714285714285712E-2</v>
          </cell>
          <cell r="L46">
            <v>1</v>
          </cell>
          <cell r="M46">
            <v>0.42857142857142855</v>
          </cell>
          <cell r="N46">
            <v>0.25</v>
          </cell>
          <cell r="O46">
            <v>0.33333333333333331</v>
          </cell>
          <cell r="P46">
            <v>0.32142857142857145</v>
          </cell>
          <cell r="Q46">
            <v>0</v>
          </cell>
          <cell r="R46">
            <v>-0.5714285714285714</v>
          </cell>
          <cell r="S46">
            <v>0</v>
          </cell>
          <cell r="T46">
            <v>0</v>
          </cell>
        </row>
        <row r="47">
          <cell r="A47">
            <v>44773</v>
          </cell>
          <cell r="B47">
            <v>-2.6689821537484342</v>
          </cell>
          <cell r="C47">
            <v>1.6309523809524</v>
          </cell>
          <cell r="D47" t="str">
            <v>熊市</v>
          </cell>
          <cell r="E47" t="str">
            <v>震荡</v>
          </cell>
          <cell r="F47" t="str">
            <v>宽货币紧信用</v>
          </cell>
          <cell r="G47" t="str">
            <v>被动去库存</v>
          </cell>
          <cell r="H47" t="str">
            <v>双紧</v>
          </cell>
          <cell r="I47" t="str">
            <v>复苏</v>
          </cell>
          <cell r="J47" t="str">
            <v>产能周期下行,主动去库存</v>
          </cell>
          <cell r="K47">
            <v>0</v>
          </cell>
          <cell r="L47">
            <v>0</v>
          </cell>
          <cell r="M47">
            <v>0.42857142857142855</v>
          </cell>
          <cell r="N47">
            <v>0.2</v>
          </cell>
          <cell r="O47">
            <v>0</v>
          </cell>
          <cell r="P47">
            <v>0.33333333333333331</v>
          </cell>
          <cell r="Q47">
            <v>0.3</v>
          </cell>
          <cell r="R47">
            <v>-0.5714285714285714</v>
          </cell>
          <cell r="S47">
            <v>0</v>
          </cell>
          <cell r="T47">
            <v>0</v>
          </cell>
        </row>
        <row r="48">
          <cell r="A48">
            <v>44742</v>
          </cell>
          <cell r="B48">
            <v>9.6799967821170902</v>
          </cell>
          <cell r="C48">
            <v>-0.19500000000000001</v>
          </cell>
          <cell r="D48" t="str">
            <v>牛市</v>
          </cell>
          <cell r="E48" t="str">
            <v>震荡</v>
          </cell>
          <cell r="F48" t="str">
            <v>宽货币紧信用</v>
          </cell>
          <cell r="G48" t="str">
            <v>被动去库存</v>
          </cell>
          <cell r="H48" t="str">
            <v>双宽</v>
          </cell>
          <cell r="I48" t="str">
            <v>复苏</v>
          </cell>
          <cell r="J48" t="str">
            <v>产能周期下行,主动去库存</v>
          </cell>
          <cell r="K48">
            <v>-3.8461538461538464E-2</v>
          </cell>
          <cell r="L48">
            <v>0</v>
          </cell>
          <cell r="M48">
            <v>0</v>
          </cell>
          <cell r="N48">
            <v>0.2</v>
          </cell>
          <cell r="O48">
            <v>-1</v>
          </cell>
          <cell r="P48">
            <v>0.34615384615384615</v>
          </cell>
          <cell r="Q48">
            <v>0.3</v>
          </cell>
          <cell r="R48">
            <v>0.48148148148148145</v>
          </cell>
          <cell r="S48">
            <v>0</v>
          </cell>
          <cell r="T48">
            <v>0</v>
          </cell>
        </row>
        <row r="49">
          <cell r="A49">
            <v>44712</v>
          </cell>
          <cell r="B49">
            <v>5.8976227613743823</v>
          </cell>
          <cell r="C49">
            <v>-1.307380952381</v>
          </cell>
          <cell r="D49" t="str">
            <v>牛市</v>
          </cell>
          <cell r="E49" t="str">
            <v>震荡</v>
          </cell>
          <cell r="F49" t="str">
            <v>宽货币紧信用</v>
          </cell>
          <cell r="G49" t="str">
            <v>被动补库存</v>
          </cell>
          <cell r="H49" t="str">
            <v>双宽</v>
          </cell>
          <cell r="I49" t="str">
            <v>衰退</v>
          </cell>
          <cell r="J49" t="str">
            <v>产能周期下行,主动去库存</v>
          </cell>
          <cell r="K49">
            <v>0</v>
          </cell>
          <cell r="L49">
            <v>0</v>
          </cell>
          <cell r="M49">
            <v>3.8461538461538464E-2</v>
          </cell>
          <cell r="N49">
            <v>4.7619047619047616E-2</v>
          </cell>
          <cell r="O49">
            <v>0.125</v>
          </cell>
          <cell r="P49">
            <v>0.36</v>
          </cell>
          <cell r="Q49">
            <v>0.3</v>
          </cell>
          <cell r="R49">
            <v>0.5</v>
          </cell>
          <cell r="S49">
            <v>0.19047619047619047</v>
          </cell>
          <cell r="T49">
            <v>0.625</v>
          </cell>
        </row>
        <row r="50">
          <cell r="A50">
            <v>44681</v>
          </cell>
          <cell r="B50">
            <v>-9.5144938447873901</v>
          </cell>
          <cell r="C50">
            <v>-0.87501035196679999</v>
          </cell>
          <cell r="D50" t="str">
            <v>熊市</v>
          </cell>
          <cell r="E50" t="str">
            <v>震荡</v>
          </cell>
          <cell r="F50" t="str">
            <v>宽货币紧信用</v>
          </cell>
          <cell r="G50" t="str">
            <v>被动补库存</v>
          </cell>
          <cell r="H50" t="str">
            <v>双宽</v>
          </cell>
          <cell r="I50" t="str">
            <v>衰退</v>
          </cell>
          <cell r="J50" t="str">
            <v>产能周期下行,主动去库存</v>
          </cell>
          <cell r="K50">
            <v>4.1666666666666664E-2</v>
          </cell>
          <cell r="L50">
            <v>5.2631578947368418E-2</v>
          </cell>
          <cell r="M50">
            <v>0.08</v>
          </cell>
          <cell r="N50">
            <v>0.1</v>
          </cell>
          <cell r="O50">
            <v>0.125</v>
          </cell>
          <cell r="P50">
            <v>0.41666666666666669</v>
          </cell>
          <cell r="Q50">
            <v>0.36842105263157893</v>
          </cell>
          <cell r="R50">
            <v>0.56000000000000005</v>
          </cell>
          <cell r="S50">
            <v>0.25</v>
          </cell>
          <cell r="T50">
            <v>0.625</v>
          </cell>
        </row>
        <row r="51">
          <cell r="A51">
            <v>44651</v>
          </cell>
          <cell r="B51">
            <v>-7.5219982912394467</v>
          </cell>
          <cell r="C51">
            <v>2.8917663043477999</v>
          </cell>
          <cell r="D51" t="str">
            <v>熊市</v>
          </cell>
          <cell r="E51" t="str">
            <v>熊市</v>
          </cell>
          <cell r="F51" t="str">
            <v>宽货币紧信用</v>
          </cell>
          <cell r="G51" t="str">
            <v>被动补库存</v>
          </cell>
          <cell r="H51" t="str">
            <v>双宽</v>
          </cell>
          <cell r="I51" t="str">
            <v>衰退</v>
          </cell>
          <cell r="J51" t="str">
            <v>产能周期下行,被动补库存</v>
          </cell>
          <cell r="K51">
            <v>0</v>
          </cell>
          <cell r="L51">
            <v>0</v>
          </cell>
          <cell r="M51">
            <v>4.1666666666666664E-2</v>
          </cell>
          <cell r="N51">
            <v>0.1</v>
          </cell>
          <cell r="O51">
            <v>0.125</v>
          </cell>
          <cell r="P51">
            <v>0.47826086956521741</v>
          </cell>
          <cell r="Q51">
            <v>0.44444444444444442</v>
          </cell>
          <cell r="R51">
            <v>0.625</v>
          </cell>
          <cell r="S51">
            <v>0.25</v>
          </cell>
          <cell r="T51">
            <v>0.625</v>
          </cell>
        </row>
        <row r="52">
          <cell r="A52">
            <v>44620</v>
          </cell>
          <cell r="B52">
            <v>2.814380925705203</v>
          </cell>
          <cell r="C52">
            <v>2.4218154761905</v>
          </cell>
          <cell r="D52" t="str">
            <v>牛市</v>
          </cell>
          <cell r="E52" t="str">
            <v>熊市</v>
          </cell>
          <cell r="F52" t="str">
            <v>宽货币紧信用</v>
          </cell>
          <cell r="G52" t="str">
            <v>被动补库存</v>
          </cell>
          <cell r="H52" t="str">
            <v>双宽</v>
          </cell>
          <cell r="I52" t="str">
            <v>复苏</v>
          </cell>
          <cell r="J52" t="str">
            <v>产能周期下行,被动补库存</v>
          </cell>
          <cell r="K52">
            <v>4.5454545454545456E-2</v>
          </cell>
          <cell r="L52">
            <v>5.8823529411764705E-2</v>
          </cell>
          <cell r="M52">
            <v>8.6956521739130432E-2</v>
          </cell>
          <cell r="N52">
            <v>0.23076923076923078</v>
          </cell>
          <cell r="O52">
            <v>0.2857142857142857</v>
          </cell>
          <cell r="P52">
            <v>0.45454545454545453</v>
          </cell>
          <cell r="Q52">
            <v>0.41176470588235292</v>
          </cell>
          <cell r="R52">
            <v>0.60869565217391308</v>
          </cell>
          <cell r="S52">
            <v>0</v>
          </cell>
          <cell r="T52">
            <v>0.5714285714285714</v>
          </cell>
        </row>
        <row r="53">
          <cell r="A53">
            <v>44592</v>
          </cell>
          <cell r="B53">
            <v>-9.4629937393637835</v>
          </cell>
          <cell r="C53">
            <v>-7.9131469979295996</v>
          </cell>
          <cell r="D53" t="str">
            <v>熊市</v>
          </cell>
          <cell r="E53" t="str">
            <v>牛市</v>
          </cell>
          <cell r="F53" t="str">
            <v>宽货币紧信用</v>
          </cell>
          <cell r="G53" t="str">
            <v>被动补库存</v>
          </cell>
          <cell r="H53" t="str">
            <v>双宽</v>
          </cell>
          <cell r="I53" t="str">
            <v>复苏</v>
          </cell>
          <cell r="J53" t="str">
            <v>产能周期下行,被动补库存</v>
          </cell>
          <cell r="K53">
            <v>-4.5454545454545456E-2</v>
          </cell>
          <cell r="L53">
            <v>0</v>
          </cell>
          <cell r="M53">
            <v>4.5454545454545456E-2</v>
          </cell>
          <cell r="N53">
            <v>0.16666666666666666</v>
          </cell>
          <cell r="O53">
            <v>0.16666666666666666</v>
          </cell>
          <cell r="P53">
            <v>0.36363636363636365</v>
          </cell>
          <cell r="Q53">
            <v>0.375</v>
          </cell>
          <cell r="R53">
            <v>0.59090909090909094</v>
          </cell>
          <cell r="S53">
            <v>-8.3333333333333329E-2</v>
          </cell>
          <cell r="T53">
            <v>0.5</v>
          </cell>
        </row>
        <row r="54">
          <cell r="A54">
            <v>44561</v>
          </cell>
          <cell r="B54">
            <v>1.039067107068804</v>
          </cell>
          <cell r="C54">
            <v>-6.7248616600790996</v>
          </cell>
          <cell r="D54" t="str">
            <v>牛市</v>
          </cell>
          <cell r="E54" t="str">
            <v>牛市</v>
          </cell>
          <cell r="F54" t="str">
            <v>宽货币紧信用</v>
          </cell>
          <cell r="G54" t="str">
            <v>被动补库存</v>
          </cell>
          <cell r="H54" t="str">
            <v>双宽</v>
          </cell>
          <cell r="I54" t="str">
            <v>复苏</v>
          </cell>
          <cell r="J54" t="str">
            <v>产能周期下行,被动补库存</v>
          </cell>
          <cell r="K54">
            <v>-9.5238095238095233E-2</v>
          </cell>
          <cell r="L54">
            <v>-6.6666666666666666E-2</v>
          </cell>
          <cell r="M54">
            <v>0</v>
          </cell>
          <cell r="N54">
            <v>9.0909090909090912E-2</v>
          </cell>
          <cell r="O54">
            <v>0</v>
          </cell>
          <cell r="P54">
            <v>0.33333333333333331</v>
          </cell>
          <cell r="Q54">
            <v>0.33333333333333331</v>
          </cell>
          <cell r="R54">
            <v>0.5714285714285714</v>
          </cell>
          <cell r="S54">
            <v>-0.18181818181818182</v>
          </cell>
          <cell r="T54">
            <v>0.4</v>
          </cell>
        </row>
        <row r="55">
          <cell r="A55">
            <v>44530</v>
          </cell>
          <cell r="B55">
            <v>3.144941939947834</v>
          </cell>
          <cell r="C55">
            <v>-7.2987700534759004</v>
          </cell>
          <cell r="D55" t="str">
            <v>牛市</v>
          </cell>
          <cell r="E55" t="str">
            <v>牛市</v>
          </cell>
          <cell r="F55" t="str">
            <v>宽货币紧信用</v>
          </cell>
          <cell r="G55" t="str">
            <v>被动补库存</v>
          </cell>
          <cell r="H55" t="str">
            <v>双宽</v>
          </cell>
          <cell r="I55" t="str">
            <v>复苏</v>
          </cell>
          <cell r="J55" t="str">
            <v>产能周期下行,被动补库存</v>
          </cell>
          <cell r="K55">
            <v>-0.1</v>
          </cell>
          <cell r="L55">
            <v>-7.1428571428571425E-2</v>
          </cell>
          <cell r="M55">
            <v>0</v>
          </cell>
          <cell r="N55">
            <v>9.0909090909090912E-2</v>
          </cell>
          <cell r="O55">
            <v>0</v>
          </cell>
          <cell r="P55">
            <v>0.4</v>
          </cell>
          <cell r="Q55">
            <v>0.42857142857142855</v>
          </cell>
          <cell r="R55">
            <v>0.65</v>
          </cell>
          <cell r="S55">
            <v>-0.18181818181818182</v>
          </cell>
          <cell r="T55">
            <v>0.75</v>
          </cell>
        </row>
        <row r="56">
          <cell r="A56">
            <v>44500</v>
          </cell>
          <cell r="B56">
            <v>0.34404333232687101</v>
          </cell>
          <cell r="C56">
            <v>10.5728609625668</v>
          </cell>
          <cell r="D56" t="str">
            <v>震荡</v>
          </cell>
          <cell r="E56" t="str">
            <v>熊市</v>
          </cell>
          <cell r="F56" t="str">
            <v>宽货币紧信用</v>
          </cell>
          <cell r="G56" t="str">
            <v>被动补库存</v>
          </cell>
          <cell r="H56" t="str">
            <v>双宽</v>
          </cell>
          <cell r="I56" t="str">
            <v>过热</v>
          </cell>
          <cell r="J56" t="str">
            <v>产能周期下行,被动补库存</v>
          </cell>
          <cell r="K56">
            <v>-5.2631578947368418E-2</v>
          </cell>
          <cell r="L56">
            <v>0</v>
          </cell>
          <cell r="N56">
            <v>0.3</v>
          </cell>
          <cell r="O56">
            <v>0.33333333333333331</v>
          </cell>
          <cell r="P56">
            <v>0.42105263157894735</v>
          </cell>
          <cell r="Q56">
            <v>0.46153846153846156</v>
          </cell>
          <cell r="S56">
            <v>-0.3</v>
          </cell>
          <cell r="T56">
            <v>1</v>
          </cell>
        </row>
        <row r="57">
          <cell r="A57">
            <v>44469</v>
          </cell>
          <cell r="B57">
            <v>-1.0308358525903369</v>
          </cell>
          <cell r="C57">
            <v>1.27</v>
          </cell>
          <cell r="D57" t="str">
            <v>熊市</v>
          </cell>
          <cell r="E57" t="str">
            <v>震荡</v>
          </cell>
          <cell r="F57" t="str">
            <v>宽货币紧信用</v>
          </cell>
          <cell r="G57" t="str">
            <v>被动补库存</v>
          </cell>
          <cell r="H57" t="str">
            <v>双宽</v>
          </cell>
          <cell r="I57" t="str">
            <v>滞涨</v>
          </cell>
          <cell r="J57" t="str">
            <v>产能周期下行,被动补库存</v>
          </cell>
          <cell r="K57">
            <v>-0.1111111111111111</v>
          </cell>
          <cell r="L57">
            <v>-8.3333333333333329E-2</v>
          </cell>
          <cell r="N57">
            <v>-0.125</v>
          </cell>
          <cell r="O57">
            <v>0</v>
          </cell>
          <cell r="P57">
            <v>0.3888888888888889</v>
          </cell>
          <cell r="Q57">
            <v>0.41666666666666669</v>
          </cell>
          <cell r="S57">
            <v>0.75</v>
          </cell>
          <cell r="T57">
            <v>1</v>
          </cell>
        </row>
        <row r="58">
          <cell r="A58">
            <v>44439</v>
          </cell>
          <cell r="B58">
            <v>3.223383302733537</v>
          </cell>
          <cell r="C58">
            <v>-10.6736363636363</v>
          </cell>
          <cell r="D58" t="str">
            <v>牛市</v>
          </cell>
          <cell r="E58" t="str">
            <v>牛市</v>
          </cell>
          <cell r="F58" t="str">
            <v>宽货币紧信用</v>
          </cell>
          <cell r="G58" t="str">
            <v>被动补库存</v>
          </cell>
          <cell r="H58" t="str">
            <v>双宽</v>
          </cell>
          <cell r="I58" t="str">
            <v>滞涨</v>
          </cell>
          <cell r="J58" t="str">
            <v>产能周期下行,被动补库存</v>
          </cell>
          <cell r="K58">
            <v>-5.8823529411764705E-2</v>
          </cell>
          <cell r="L58">
            <v>0</v>
          </cell>
          <cell r="N58">
            <v>0</v>
          </cell>
          <cell r="O58">
            <v>1</v>
          </cell>
          <cell r="P58">
            <v>0.35294117647058826</v>
          </cell>
          <cell r="Q58">
            <v>0.36363636363636365</v>
          </cell>
          <cell r="S58">
            <v>0.7142857142857143</v>
          </cell>
          <cell r="T58">
            <v>1</v>
          </cell>
        </row>
        <row r="59">
          <cell r="A59">
            <v>44408</v>
          </cell>
          <cell r="B59">
            <v>-3.096445555278255</v>
          </cell>
          <cell r="C59">
            <v>-13.394350649350701</v>
          </cell>
          <cell r="D59" t="str">
            <v>熊市</v>
          </cell>
          <cell r="E59" t="str">
            <v>牛市</v>
          </cell>
          <cell r="F59" t="str">
            <v>宽货币紧信用</v>
          </cell>
          <cell r="G59" t="str">
            <v>被动补库存</v>
          </cell>
          <cell r="H59" t="str">
            <v>双宽</v>
          </cell>
          <cell r="I59" t="str">
            <v>滞涨</v>
          </cell>
          <cell r="J59" t="str">
            <v>产能周期下行,被动补库存</v>
          </cell>
          <cell r="K59">
            <v>-0.125</v>
          </cell>
          <cell r="L59">
            <v>-0.1</v>
          </cell>
          <cell r="N59">
            <v>-0.16666666666666666</v>
          </cell>
          <cell r="O59">
            <v>-0.2</v>
          </cell>
          <cell r="P59">
            <v>0.3125</v>
          </cell>
          <cell r="Q59">
            <v>0.3</v>
          </cell>
          <cell r="S59">
            <v>0.66666666666666663</v>
          </cell>
          <cell r="T59">
            <v>0.6</v>
          </cell>
        </row>
        <row r="60">
          <cell r="A60">
            <v>44377</v>
          </cell>
          <cell r="B60">
            <v>1.4197527667074319</v>
          </cell>
          <cell r="C60">
            <v>-2.0911278195489</v>
          </cell>
          <cell r="D60" t="str">
            <v>牛市</v>
          </cell>
          <cell r="E60" t="str">
            <v>牛市</v>
          </cell>
          <cell r="F60" t="str">
            <v>宽货币紧信用</v>
          </cell>
          <cell r="G60" t="str">
            <v>被动补库存</v>
          </cell>
          <cell r="H60" t="str">
            <v>双宽</v>
          </cell>
          <cell r="I60" t="str">
            <v>滞涨</v>
          </cell>
          <cell r="J60" t="str">
            <v>产能周期下行,被动补库存</v>
          </cell>
          <cell r="K60">
            <v>-0.2</v>
          </cell>
          <cell r="L60">
            <v>-0.22222222222222221</v>
          </cell>
          <cell r="N60">
            <v>-0.4</v>
          </cell>
          <cell r="O60">
            <v>-0.2</v>
          </cell>
          <cell r="P60">
            <v>0.26666666666666666</v>
          </cell>
          <cell r="Q60">
            <v>0.22222222222222221</v>
          </cell>
          <cell r="S60">
            <v>0.6</v>
          </cell>
          <cell r="T60">
            <v>0.6</v>
          </cell>
        </row>
        <row r="61">
          <cell r="A61">
            <v>44347</v>
          </cell>
          <cell r="B61">
            <v>5.1350790340010493</v>
          </cell>
          <cell r="C61">
            <v>-6.8427033492823002</v>
          </cell>
          <cell r="D61" t="str">
            <v>牛市</v>
          </cell>
          <cell r="E61" t="str">
            <v>牛市</v>
          </cell>
          <cell r="F61" t="str">
            <v>宽货币紧信用</v>
          </cell>
          <cell r="G61" t="str">
            <v>被动补库存</v>
          </cell>
          <cell r="H61" t="str">
            <v>双宽</v>
          </cell>
          <cell r="I61" t="str">
            <v>滞涨</v>
          </cell>
          <cell r="J61" t="str">
            <v>产能周期上行,被动补库存</v>
          </cell>
          <cell r="K61">
            <v>-0.2857142857142857</v>
          </cell>
          <cell r="L61">
            <v>-0.22222222222222221</v>
          </cell>
          <cell r="N61">
            <v>-0.75</v>
          </cell>
          <cell r="O61">
            <v>-0.2</v>
          </cell>
          <cell r="P61">
            <v>0.21428571428571427</v>
          </cell>
          <cell r="Q61">
            <v>0.22222222222222221</v>
          </cell>
          <cell r="S61">
            <v>0.5</v>
          </cell>
          <cell r="T61">
            <v>0.6</v>
          </cell>
        </row>
        <row r="62">
          <cell r="A62">
            <v>44316</v>
          </cell>
          <cell r="B62">
            <v>2.2146631483329902</v>
          </cell>
          <cell r="C62">
            <v>-5.0021936758893002</v>
          </cell>
          <cell r="D62" t="str">
            <v>牛市</v>
          </cell>
          <cell r="E62" t="str">
            <v>牛市</v>
          </cell>
          <cell r="F62" t="str">
            <v>宽货币紧信用</v>
          </cell>
          <cell r="G62" t="str">
            <v>主动去库存</v>
          </cell>
          <cell r="H62" t="str">
            <v>宽货币紧财政</v>
          </cell>
          <cell r="I62" t="str">
            <v>滞涨</v>
          </cell>
          <cell r="J62" t="str">
            <v>产能周期上行,被动补库存</v>
          </cell>
          <cell r="K62">
            <v>-0.23076923076923078</v>
          </cell>
          <cell r="L62">
            <v>0.26315789473684209</v>
          </cell>
          <cell r="N62">
            <v>-0.66666666666666663</v>
          </cell>
          <cell r="O62">
            <v>0</v>
          </cell>
          <cell r="P62">
            <v>0.23076923076923078</v>
          </cell>
          <cell r="Q62">
            <v>-0.15789473684210525</v>
          </cell>
          <cell r="S62">
            <v>0.66666666666666663</v>
          </cell>
          <cell r="T62">
            <v>0.75</v>
          </cell>
        </row>
        <row r="63">
          <cell r="A63">
            <v>44286</v>
          </cell>
          <cell r="B63">
            <v>-3.137483925895312</v>
          </cell>
          <cell r="C63">
            <v>-0.66767263427110002</v>
          </cell>
          <cell r="D63" t="str">
            <v>熊市</v>
          </cell>
          <cell r="E63" t="str">
            <v>震荡</v>
          </cell>
          <cell r="F63" t="str">
            <v>宽货币紧信用</v>
          </cell>
          <cell r="G63" t="str">
            <v>主动去库存</v>
          </cell>
          <cell r="H63" t="str">
            <v>宽货币紧财政</v>
          </cell>
          <cell r="I63" t="str">
            <v>滞涨</v>
          </cell>
          <cell r="J63" t="str">
            <v>产能周期上行,被动补库存</v>
          </cell>
          <cell r="K63">
            <v>-0.25</v>
          </cell>
          <cell r="L63">
            <v>0.23684210526315788</v>
          </cell>
          <cell r="N63">
            <v>-0.75</v>
          </cell>
          <cell r="O63">
            <v>0</v>
          </cell>
          <cell r="P63">
            <v>0.33333333333333331</v>
          </cell>
          <cell r="Q63">
            <v>-0.15789473684210525</v>
          </cell>
          <cell r="S63">
            <v>0.25</v>
          </cell>
          <cell r="T63">
            <v>0.75</v>
          </cell>
        </row>
        <row r="64">
          <cell r="A64">
            <v>44255</v>
          </cell>
          <cell r="B64">
            <v>-6.9989278587770003E-3</v>
          </cell>
          <cell r="C64">
            <v>9.3524117647059004</v>
          </cell>
          <cell r="D64" t="str">
            <v>震荡</v>
          </cell>
          <cell r="E64" t="str">
            <v>熊市</v>
          </cell>
          <cell r="F64" t="str">
            <v>宽货币紧信用</v>
          </cell>
          <cell r="G64" t="str">
            <v>主动去库存</v>
          </cell>
          <cell r="H64" t="str">
            <v>宽货币紧财政</v>
          </cell>
          <cell r="I64" t="str">
            <v>过热</v>
          </cell>
          <cell r="J64" t="str">
            <v>产能周期上行,主动补库存</v>
          </cell>
          <cell r="K64">
            <v>-0.27272727272727271</v>
          </cell>
          <cell r="L64">
            <v>0.21052631578947367</v>
          </cell>
          <cell r="N64">
            <v>0.33333333333333331</v>
          </cell>
          <cell r="O64">
            <v>0.33333333333333331</v>
          </cell>
          <cell r="P64">
            <v>0.27272727272727271</v>
          </cell>
          <cell r="Q64">
            <v>-0.15789473684210525</v>
          </cell>
          <cell r="S64">
            <v>-0.25</v>
          </cell>
          <cell r="T64">
            <v>-0.33333333333333331</v>
          </cell>
        </row>
        <row r="65">
          <cell r="A65">
            <v>44227</v>
          </cell>
          <cell r="B65">
            <v>-0.104258476776111</v>
          </cell>
          <cell r="C65">
            <v>-9.5038695652173999</v>
          </cell>
          <cell r="D65" t="str">
            <v>震荡</v>
          </cell>
          <cell r="E65" t="str">
            <v>牛市</v>
          </cell>
          <cell r="F65" t="str">
            <v>宽货币紧信用</v>
          </cell>
          <cell r="G65" t="str">
            <v>主动去库存</v>
          </cell>
          <cell r="H65" t="str">
            <v>宽货币紧财政</v>
          </cell>
          <cell r="I65" t="str">
            <v>过热</v>
          </cell>
          <cell r="J65" t="str">
            <v>产能周期上行,主动补库存</v>
          </cell>
          <cell r="K65">
            <v>-0.4</v>
          </cell>
          <cell r="L65">
            <v>0.21052631578947367</v>
          </cell>
          <cell r="N65">
            <v>0.30434782608695654</v>
          </cell>
          <cell r="O65">
            <v>0.3</v>
          </cell>
          <cell r="P65">
            <v>0.3</v>
          </cell>
          <cell r="Q65">
            <v>-0.13157894736842105</v>
          </cell>
          <cell r="S65">
            <v>-0.2608695652173913</v>
          </cell>
          <cell r="T65">
            <v>-0.35</v>
          </cell>
        </row>
        <row r="66">
          <cell r="A66">
            <v>44196</v>
          </cell>
          <cell r="B66">
            <v>3.1099018629829489</v>
          </cell>
          <cell r="C66">
            <v>-1.2153209109731</v>
          </cell>
          <cell r="D66" t="str">
            <v>牛市</v>
          </cell>
          <cell r="E66" t="str">
            <v>震荡</v>
          </cell>
          <cell r="F66" t="str">
            <v>宽货币紧信用</v>
          </cell>
          <cell r="G66" t="str">
            <v>主动去库存</v>
          </cell>
          <cell r="H66" t="str">
            <v>宽货币紧财政</v>
          </cell>
          <cell r="I66" t="str">
            <v>过热</v>
          </cell>
          <cell r="J66" t="str">
            <v>产能周期上行,主动补库存</v>
          </cell>
          <cell r="K66">
            <v>-0.4</v>
          </cell>
          <cell r="L66">
            <v>0.21052631578947367</v>
          </cell>
          <cell r="N66">
            <v>0.27272727272727271</v>
          </cell>
          <cell r="O66">
            <v>0.26315789473684209</v>
          </cell>
          <cell r="P66">
            <v>0.3</v>
          </cell>
          <cell r="Q66">
            <v>-0.13157894736842105</v>
          </cell>
          <cell r="S66">
            <v>-0.22727272727272727</v>
          </cell>
          <cell r="T66">
            <v>-0.31578947368421051</v>
          </cell>
        </row>
        <row r="67">
          <cell r="A67">
            <v>44165</v>
          </cell>
          <cell r="B67">
            <v>3.9826317341389581</v>
          </cell>
          <cell r="C67">
            <v>6.2397198879552001</v>
          </cell>
          <cell r="D67" t="str">
            <v>牛市</v>
          </cell>
          <cell r="E67" t="str">
            <v>熊市</v>
          </cell>
          <cell r="F67" t="str">
            <v>宽货币宽信用</v>
          </cell>
          <cell r="G67" t="str">
            <v>主动去库存</v>
          </cell>
          <cell r="H67" t="str">
            <v>宽货币紧财政</v>
          </cell>
          <cell r="I67" t="str">
            <v>过热</v>
          </cell>
          <cell r="J67" t="str">
            <v>产能周期上行,主动补库存</v>
          </cell>
          <cell r="K67">
            <v>0.22857142857142856</v>
          </cell>
          <cell r="L67">
            <v>0.21052631578947367</v>
          </cell>
          <cell r="N67">
            <v>0.23809523809523808</v>
          </cell>
          <cell r="O67">
            <v>0.22222222222222221</v>
          </cell>
          <cell r="P67">
            <v>5.7142857142857141E-2</v>
          </cell>
          <cell r="Q67">
            <v>-7.8947368421052627E-2</v>
          </cell>
          <cell r="S67">
            <v>-0.19047619047619047</v>
          </cell>
          <cell r="T67">
            <v>-0.27777777777777779</v>
          </cell>
        </row>
        <row r="68">
          <cell r="A68">
            <v>44135</v>
          </cell>
          <cell r="B68">
            <v>1.0531091239877619</v>
          </cell>
          <cell r="C68">
            <v>7.9956010230179002</v>
          </cell>
          <cell r="D68" t="str">
            <v>牛市</v>
          </cell>
          <cell r="E68" t="str">
            <v>熊市</v>
          </cell>
          <cell r="F68" t="str">
            <v>宽货币宽信用</v>
          </cell>
          <cell r="G68" t="str">
            <v>主动去库存</v>
          </cell>
          <cell r="H68" t="str">
            <v>双紧</v>
          </cell>
          <cell r="I68" t="str">
            <v>过热</v>
          </cell>
          <cell r="J68" t="str">
            <v>产能周期上行,主动补库存</v>
          </cell>
          <cell r="K68">
            <v>0.22857142857142856</v>
          </cell>
          <cell r="L68">
            <v>0.21052631578947367</v>
          </cell>
          <cell r="N68">
            <v>0.3</v>
          </cell>
          <cell r="O68">
            <v>0.29411764705882354</v>
          </cell>
          <cell r="P68">
            <v>0.11428571428571428</v>
          </cell>
          <cell r="Q68">
            <v>-2.6315789473684209E-2</v>
          </cell>
          <cell r="S68">
            <v>-0.15</v>
          </cell>
          <cell r="T68">
            <v>-0.23529411764705882</v>
          </cell>
        </row>
        <row r="69">
          <cell r="A69">
            <v>44104</v>
          </cell>
          <cell r="B69">
            <v>-5.9693053161541387</v>
          </cell>
          <cell r="C69">
            <v>12.652298136645999</v>
          </cell>
          <cell r="D69" t="str">
            <v>熊市</v>
          </cell>
          <cell r="E69" t="str">
            <v>熊市</v>
          </cell>
          <cell r="F69" t="str">
            <v>宽货币宽信用</v>
          </cell>
          <cell r="G69" t="str">
            <v>主动去库存</v>
          </cell>
          <cell r="H69" t="str">
            <v>双紧</v>
          </cell>
          <cell r="I69" t="str">
            <v>过热</v>
          </cell>
          <cell r="J69" t="str">
            <v>产能周期上行,主动补库存</v>
          </cell>
          <cell r="K69">
            <v>0.17142857142857143</v>
          </cell>
          <cell r="L69">
            <v>0.15789473684210525</v>
          </cell>
          <cell r="N69">
            <v>0.26315789473684209</v>
          </cell>
          <cell r="O69">
            <v>0.25</v>
          </cell>
          <cell r="P69">
            <v>0.17142857142857143</v>
          </cell>
          <cell r="Q69">
            <v>2.6315789473684209E-2</v>
          </cell>
          <cell r="S69">
            <v>-0.10526315789473684</v>
          </cell>
          <cell r="T69">
            <v>-0.1875</v>
          </cell>
        </row>
        <row r="70">
          <cell r="A70">
            <v>44074</v>
          </cell>
          <cell r="B70">
            <v>1.96847023540455</v>
          </cell>
          <cell r="C70">
            <v>3.6855279503105001</v>
          </cell>
          <cell r="D70" t="str">
            <v>牛市</v>
          </cell>
          <cell r="E70" t="str">
            <v>熊市</v>
          </cell>
          <cell r="F70" t="str">
            <v>宽货币宽信用</v>
          </cell>
          <cell r="G70" t="str">
            <v>主动去库存</v>
          </cell>
          <cell r="H70" t="str">
            <v>双紧</v>
          </cell>
          <cell r="I70" t="str">
            <v>过热</v>
          </cell>
          <cell r="J70" t="str">
            <v>产能周期上行,主动补库存</v>
          </cell>
          <cell r="K70">
            <v>0.11428571428571428</v>
          </cell>
          <cell r="L70">
            <v>0.10526315789473684</v>
          </cell>
          <cell r="N70">
            <v>0.22222222222222221</v>
          </cell>
          <cell r="O70">
            <v>0.2</v>
          </cell>
          <cell r="P70">
            <v>0.22857142857142856</v>
          </cell>
          <cell r="Q70">
            <v>7.8947368421052627E-2</v>
          </cell>
          <cell r="S70">
            <v>-5.5555555555555552E-2</v>
          </cell>
          <cell r="T70">
            <v>-0.13333333333333333</v>
          </cell>
        </row>
        <row r="71">
          <cell r="A71">
            <v>44043</v>
          </cell>
          <cell r="B71">
            <v>13.06394040638728</v>
          </cell>
          <cell r="C71">
            <v>12.227805383022799</v>
          </cell>
          <cell r="D71" t="str">
            <v>牛市</v>
          </cell>
          <cell r="E71" t="str">
            <v>熊市</v>
          </cell>
          <cell r="F71" t="str">
            <v>宽货币宽信用</v>
          </cell>
          <cell r="G71" t="str">
            <v>主动去库存</v>
          </cell>
          <cell r="H71" t="str">
            <v>双紧</v>
          </cell>
          <cell r="I71" t="str">
            <v>过热</v>
          </cell>
          <cell r="J71" t="str">
            <v>产能周期上行,主动补库存</v>
          </cell>
          <cell r="K71">
            <v>5.7142857142857141E-2</v>
          </cell>
          <cell r="L71">
            <v>8.1081081081081086E-2</v>
          </cell>
          <cell r="N71">
            <v>0.17647058823529413</v>
          </cell>
          <cell r="O71">
            <v>0.14285714285714285</v>
          </cell>
          <cell r="P71">
            <v>0.22857142857142856</v>
          </cell>
          <cell r="Q71">
            <v>0.10810810810810811</v>
          </cell>
          <cell r="S71">
            <v>0</v>
          </cell>
          <cell r="T71">
            <v>-7.1428571428571425E-2</v>
          </cell>
        </row>
        <row r="72">
          <cell r="A72">
            <v>44012</v>
          </cell>
          <cell r="B72">
            <v>8.4079214751829543</v>
          </cell>
          <cell r="C72">
            <v>14.597343358396</v>
          </cell>
          <cell r="D72" t="str">
            <v>牛市</v>
          </cell>
          <cell r="E72" t="str">
            <v>熊市</v>
          </cell>
          <cell r="F72" t="str">
            <v>宽货币宽信用</v>
          </cell>
          <cell r="G72" t="str">
            <v>主动去库存</v>
          </cell>
          <cell r="H72" t="str">
            <v>双紧</v>
          </cell>
          <cell r="I72" t="str">
            <v>过热</v>
          </cell>
          <cell r="J72" t="str">
            <v>产能周期上行,主动补库存</v>
          </cell>
          <cell r="K72">
            <v>5.8823529411764705E-2</v>
          </cell>
          <cell r="L72">
            <v>8.1081081081081086E-2</v>
          </cell>
          <cell r="N72">
            <v>0.17647058823529413</v>
          </cell>
          <cell r="O72">
            <v>0.15384615384615385</v>
          </cell>
          <cell r="P72">
            <v>0.26470588235294118</v>
          </cell>
          <cell r="Q72">
            <v>0.10810810810810811</v>
          </cell>
          <cell r="S72">
            <v>0</v>
          </cell>
          <cell r="T72">
            <v>0</v>
          </cell>
        </row>
        <row r="73">
          <cell r="A73">
            <v>43982</v>
          </cell>
          <cell r="B73">
            <v>0.57999903349634296</v>
          </cell>
          <cell r="C73">
            <v>13.8697129186603</v>
          </cell>
          <cell r="D73" t="str">
            <v>震荡</v>
          </cell>
          <cell r="E73" t="str">
            <v>熊市</v>
          </cell>
          <cell r="F73" t="str">
            <v>宽货币宽信用</v>
          </cell>
          <cell r="G73" t="str">
            <v>主动补库存</v>
          </cell>
          <cell r="H73" t="str">
            <v>双紧</v>
          </cell>
          <cell r="I73" t="str">
            <v>复苏</v>
          </cell>
          <cell r="J73" t="str">
            <v>产能周期上行,主动补库存</v>
          </cell>
          <cell r="K73">
            <v>3.0303030303030304E-2</v>
          </cell>
          <cell r="L73">
            <v>7.1428571428571425E-2</v>
          </cell>
          <cell r="N73">
            <v>8.3333333333333329E-2</v>
          </cell>
          <cell r="O73">
            <v>8.3333333333333329E-2</v>
          </cell>
          <cell r="P73">
            <v>0.24242424242424243</v>
          </cell>
          <cell r="Q73">
            <v>0.14285714285714285</v>
          </cell>
          <cell r="S73">
            <v>-0.25</v>
          </cell>
          <cell r="T73">
            <v>-8.3333333333333329E-2</v>
          </cell>
        </row>
        <row r="74">
          <cell r="A74">
            <v>43951</v>
          </cell>
          <cell r="B74">
            <v>5.2322153117140493</v>
          </cell>
          <cell r="C74">
            <v>-10.9554545454546</v>
          </cell>
          <cell r="D74" t="str">
            <v>牛市</v>
          </cell>
          <cell r="E74" t="str">
            <v>牛市</v>
          </cell>
          <cell r="F74" t="str">
            <v>宽货币宽信用</v>
          </cell>
          <cell r="G74" t="str">
            <v>主动补库存</v>
          </cell>
          <cell r="H74" t="str">
            <v>双宽</v>
          </cell>
          <cell r="I74" t="str">
            <v>复苏</v>
          </cell>
          <cell r="J74" t="str">
            <v>产能周期上行,主动补库存</v>
          </cell>
          <cell r="K74">
            <v>6.25E-2</v>
          </cell>
          <cell r="L74">
            <v>0.21428571428571427</v>
          </cell>
          <cell r="N74">
            <v>0.18181818181818182</v>
          </cell>
          <cell r="O74">
            <v>0.18181818181818182</v>
          </cell>
          <cell r="P74">
            <v>0.21875</v>
          </cell>
          <cell r="Q74">
            <v>0</v>
          </cell>
          <cell r="S74">
            <v>-0.36363636363636365</v>
          </cell>
          <cell r="T74">
            <v>-0.18181818181818182</v>
          </cell>
        </row>
        <row r="75">
          <cell r="A75">
            <v>43921</v>
          </cell>
          <cell r="B75">
            <v>-6.530276252548469</v>
          </cell>
          <cell r="C75">
            <v>-17.8668636363636</v>
          </cell>
          <cell r="D75" t="str">
            <v>熊市</v>
          </cell>
          <cell r="E75" t="str">
            <v>牛市</v>
          </cell>
          <cell r="F75" t="str">
            <v>宽货币宽信用</v>
          </cell>
          <cell r="G75" t="str">
            <v>主动补库存</v>
          </cell>
          <cell r="H75" t="str">
            <v>双宽</v>
          </cell>
          <cell r="I75" t="str">
            <v>复苏</v>
          </cell>
          <cell r="J75" t="str">
            <v>产能周期上行,主动补库存</v>
          </cell>
          <cell r="K75">
            <v>6.4516129032258063E-2</v>
          </cell>
          <cell r="L75">
            <v>0.26666666666666666</v>
          </cell>
          <cell r="N75">
            <v>0.18181818181818182</v>
          </cell>
          <cell r="O75">
            <v>0.18181818181818182</v>
          </cell>
          <cell r="P75">
            <v>0.19354838709677419</v>
          </cell>
          <cell r="Q75">
            <v>6.6666666666666666E-2</v>
          </cell>
          <cell r="S75">
            <v>-0.36363636363636365</v>
          </cell>
          <cell r="T75">
            <v>-0.18181818181818182</v>
          </cell>
        </row>
        <row r="76">
          <cell r="A76">
            <v>43890</v>
          </cell>
          <cell r="B76">
            <v>-2.7510793660733002E-2</v>
          </cell>
          <cell r="C76">
            <v>-26.109500000000001</v>
          </cell>
          <cell r="D76" t="str">
            <v>震荡</v>
          </cell>
          <cell r="E76" t="str">
            <v>牛市</v>
          </cell>
          <cell r="F76" t="str">
            <v>宽货币宽信用</v>
          </cell>
          <cell r="G76" t="str">
            <v>主动去库存</v>
          </cell>
          <cell r="H76" t="str">
            <v>双宽</v>
          </cell>
          <cell r="I76" t="str">
            <v>过热</v>
          </cell>
          <cell r="J76" t="str">
            <v>产能周期上行,被动补库存</v>
          </cell>
          <cell r="K76">
            <v>6.6666666666666666E-2</v>
          </cell>
          <cell r="L76">
            <v>8.5714285714285715E-2</v>
          </cell>
          <cell r="N76">
            <v>0.2</v>
          </cell>
          <cell r="O76">
            <v>0</v>
          </cell>
          <cell r="P76">
            <v>0.16666666666666666</v>
          </cell>
          <cell r="Q76">
            <v>5.7142857142857141E-2</v>
          </cell>
          <cell r="S76">
            <v>-0.13333333333333333</v>
          </cell>
          <cell r="T76">
            <v>0.5</v>
          </cell>
        </row>
        <row r="77">
          <cell r="A77">
            <v>43861</v>
          </cell>
          <cell r="B77">
            <v>-0.25268447865475102</v>
          </cell>
          <cell r="C77">
            <v>-8.0195454545455007</v>
          </cell>
          <cell r="D77" t="str">
            <v>震荡</v>
          </cell>
          <cell r="E77" t="str">
            <v>牛市</v>
          </cell>
          <cell r="F77" t="str">
            <v>宽货币宽信用</v>
          </cell>
          <cell r="G77" t="str">
            <v>主动去库存</v>
          </cell>
          <cell r="H77" t="str">
            <v>宽货币紧财政</v>
          </cell>
          <cell r="I77" t="str">
            <v>过热</v>
          </cell>
          <cell r="J77" t="str">
            <v>产能周期上行,被动补库存</v>
          </cell>
          <cell r="K77">
            <v>3.4482758620689655E-2</v>
          </cell>
          <cell r="L77">
            <v>5.8823529411764705E-2</v>
          </cell>
          <cell r="N77">
            <v>0.14285714285714285</v>
          </cell>
          <cell r="O77">
            <v>-1</v>
          </cell>
          <cell r="P77">
            <v>0.13793103448275862</v>
          </cell>
          <cell r="Q77">
            <v>2.9411764705882353E-2</v>
          </cell>
          <cell r="S77">
            <v>-0.21428571428571427</v>
          </cell>
          <cell r="T77">
            <v>0</v>
          </cell>
        </row>
        <row r="78">
          <cell r="A78">
            <v>43830</v>
          </cell>
          <cell r="B78">
            <v>7.5465408651152188</v>
          </cell>
          <cell r="C78">
            <v>-4.7456926406926003</v>
          </cell>
          <cell r="D78" t="str">
            <v>牛市</v>
          </cell>
          <cell r="E78" t="str">
            <v>牛市</v>
          </cell>
          <cell r="F78" t="str">
            <v>宽货币宽信用</v>
          </cell>
          <cell r="G78" t="str">
            <v>主动去库存</v>
          </cell>
          <cell r="H78" t="str">
            <v>宽货币紧财政</v>
          </cell>
          <cell r="I78" t="str">
            <v>过热</v>
          </cell>
          <cell r="J78" t="str">
            <v>产能周期上行,被动补库存</v>
          </cell>
          <cell r="K78">
            <v>7.1428571428571425E-2</v>
          </cell>
          <cell r="L78">
            <v>9.0909090909090912E-2</v>
          </cell>
          <cell r="N78">
            <v>0.23076923076923078</v>
          </cell>
          <cell r="O78">
            <v>0</v>
          </cell>
          <cell r="P78">
            <v>0.14285714285714285</v>
          </cell>
          <cell r="Q78">
            <v>3.0303030303030304E-2</v>
          </cell>
          <cell r="S78">
            <v>-0.23076923076923078</v>
          </cell>
          <cell r="T78">
            <v>0.33333333333333331</v>
          </cell>
        </row>
        <row r="79">
          <cell r="A79">
            <v>43799</v>
          </cell>
          <cell r="B79">
            <v>-1.5069290762109431</v>
          </cell>
          <cell r="C79">
            <v>1.8189223057643999</v>
          </cell>
          <cell r="D79" t="str">
            <v>熊市</v>
          </cell>
          <cell r="E79" t="str">
            <v>震荡</v>
          </cell>
          <cell r="F79" t="str">
            <v>宽货币宽信用</v>
          </cell>
          <cell r="G79" t="str">
            <v>主动去库存</v>
          </cell>
          <cell r="H79" t="str">
            <v>宽货币紧财政</v>
          </cell>
          <cell r="I79" t="str">
            <v>过热</v>
          </cell>
          <cell r="J79" t="str">
            <v>产能周期上行,被动补库存</v>
          </cell>
          <cell r="K79">
            <v>7.407407407407407E-2</v>
          </cell>
          <cell r="L79">
            <v>9.375E-2</v>
          </cell>
          <cell r="N79">
            <v>0.23076923076923078</v>
          </cell>
          <cell r="O79">
            <v>0</v>
          </cell>
          <cell r="P79">
            <v>0.18518518518518517</v>
          </cell>
          <cell r="Q79">
            <v>6.25E-2</v>
          </cell>
          <cell r="S79">
            <v>-0.23076923076923078</v>
          </cell>
          <cell r="T79">
            <v>0.33333333333333331</v>
          </cell>
        </row>
        <row r="80">
          <cell r="A80">
            <v>43769</v>
          </cell>
          <cell r="B80">
            <v>0.816186188540583</v>
          </cell>
          <cell r="C80">
            <v>11.234887218045101</v>
          </cell>
          <cell r="D80" t="str">
            <v>震荡</v>
          </cell>
          <cell r="E80" t="str">
            <v>熊市</v>
          </cell>
          <cell r="F80" t="str">
            <v>宽货币宽信用</v>
          </cell>
          <cell r="G80" t="str">
            <v>主动去库存</v>
          </cell>
          <cell r="H80" t="str">
            <v>宽货币紧财政</v>
          </cell>
          <cell r="I80" t="str">
            <v>复苏</v>
          </cell>
          <cell r="J80" t="str">
            <v>产能周期上行,主动去库存</v>
          </cell>
          <cell r="K80">
            <v>7.6923076923076927E-2</v>
          </cell>
          <cell r="L80">
            <v>9.6774193548387094E-2</v>
          </cell>
          <cell r="N80">
            <v>0.22222222222222221</v>
          </cell>
          <cell r="O80">
            <v>0</v>
          </cell>
          <cell r="P80">
            <v>0.23076923076923078</v>
          </cell>
          <cell r="Q80">
            <v>9.6774193548387094E-2</v>
          </cell>
          <cell r="S80">
            <v>-0.22222222222222221</v>
          </cell>
          <cell r="T80">
            <v>0.33333333333333331</v>
          </cell>
        </row>
        <row r="81">
          <cell r="A81">
            <v>43738</v>
          </cell>
          <cell r="B81">
            <v>0.76953208302911902</v>
          </cell>
          <cell r="C81">
            <v>4.1755194805195002</v>
          </cell>
          <cell r="D81" t="str">
            <v>震荡</v>
          </cell>
          <cell r="E81" t="str">
            <v>熊市</v>
          </cell>
          <cell r="F81" t="str">
            <v>宽货币宽信用</v>
          </cell>
          <cell r="G81" t="str">
            <v>主动去库存</v>
          </cell>
          <cell r="H81" t="str">
            <v>宽货币紧财政</v>
          </cell>
          <cell r="I81" t="str">
            <v>复苏</v>
          </cell>
          <cell r="J81" t="str">
            <v>产能周期上行,主动去库存</v>
          </cell>
          <cell r="K81">
            <v>0.08</v>
          </cell>
          <cell r="L81">
            <v>0.1</v>
          </cell>
          <cell r="N81">
            <v>0.22222222222222221</v>
          </cell>
          <cell r="O81">
            <v>0</v>
          </cell>
          <cell r="P81">
            <v>0.2</v>
          </cell>
          <cell r="Q81">
            <v>6.6666666666666666E-2</v>
          </cell>
          <cell r="S81">
            <v>-0.22222222222222221</v>
          </cell>
          <cell r="T81">
            <v>0.30434782608695654</v>
          </cell>
        </row>
        <row r="82">
          <cell r="A82">
            <v>43708</v>
          </cell>
          <cell r="B82">
            <v>-0.74154715479026001</v>
          </cell>
          <cell r="C82">
            <v>-12.1123517786561</v>
          </cell>
          <cell r="D82" t="str">
            <v>震荡</v>
          </cell>
          <cell r="E82" t="str">
            <v>牛市</v>
          </cell>
          <cell r="F82" t="str">
            <v>宽货币宽信用</v>
          </cell>
          <cell r="G82" t="str">
            <v>主动去库存</v>
          </cell>
          <cell r="H82" t="str">
            <v>宽货币紧财政</v>
          </cell>
          <cell r="I82" t="str">
            <v>衰退</v>
          </cell>
          <cell r="J82" t="str">
            <v>产能周期上行,主动去库存</v>
          </cell>
          <cell r="K82">
            <v>8.3333333333333329E-2</v>
          </cell>
          <cell r="L82">
            <v>0.10344827586206896</v>
          </cell>
          <cell r="N82">
            <v>0.2857142857142857</v>
          </cell>
          <cell r="O82">
            <v>0</v>
          </cell>
          <cell r="P82">
            <v>0.16666666666666666</v>
          </cell>
          <cell r="Q82">
            <v>3.4482758620689655E-2</v>
          </cell>
          <cell r="S82">
            <v>0.25</v>
          </cell>
          <cell r="T82">
            <v>0.27272727272727271</v>
          </cell>
        </row>
        <row r="83">
          <cell r="A83">
            <v>43677</v>
          </cell>
          <cell r="B83">
            <v>-0.112433862270385</v>
          </cell>
          <cell r="C83">
            <v>-6.7159496567505998</v>
          </cell>
          <cell r="D83" t="str">
            <v>震荡</v>
          </cell>
          <cell r="E83" t="str">
            <v>牛市</v>
          </cell>
          <cell r="F83" t="str">
            <v>宽货币宽信用</v>
          </cell>
          <cell r="G83" t="str">
            <v>主动去库存</v>
          </cell>
          <cell r="H83" t="str">
            <v>宽货币紧财政</v>
          </cell>
          <cell r="I83" t="str">
            <v>衰退</v>
          </cell>
          <cell r="J83" t="str">
            <v>产能周期上行,主动去库存</v>
          </cell>
          <cell r="K83">
            <v>4.3478260869565216E-2</v>
          </cell>
          <cell r="L83">
            <v>7.1428571428571425E-2</v>
          </cell>
          <cell r="N83">
            <v>0.25925925925925924</v>
          </cell>
          <cell r="O83">
            <v>-4.7619047619047616E-2</v>
          </cell>
          <cell r="P83">
            <v>0.13043478260869565</v>
          </cell>
          <cell r="Q83">
            <v>0</v>
          </cell>
          <cell r="S83">
            <v>0.22222222222222221</v>
          </cell>
          <cell r="T83">
            <v>0.23809523809523808</v>
          </cell>
        </row>
        <row r="84">
          <cell r="A84">
            <v>43646</v>
          </cell>
          <cell r="B84">
            <v>3.3729461944282559</v>
          </cell>
          <cell r="C84">
            <v>-7.1129323308270997</v>
          </cell>
          <cell r="D84" t="str">
            <v>牛市</v>
          </cell>
          <cell r="E84" t="str">
            <v>牛市</v>
          </cell>
          <cell r="F84" t="str">
            <v>宽货币宽信用</v>
          </cell>
          <cell r="G84" t="str">
            <v>主动去库存</v>
          </cell>
          <cell r="H84" t="str">
            <v>宽货币紧财政</v>
          </cell>
          <cell r="I84" t="str">
            <v>衰退</v>
          </cell>
          <cell r="J84" t="str">
            <v>产能周期上行,主动去库存</v>
          </cell>
          <cell r="K84">
            <v>9.0909090909090912E-2</v>
          </cell>
          <cell r="L84">
            <v>0.1111111111111111</v>
          </cell>
          <cell r="N84">
            <v>0.30769230769230771</v>
          </cell>
          <cell r="O84">
            <v>0</v>
          </cell>
          <cell r="P84">
            <v>9.0909090909090912E-2</v>
          </cell>
          <cell r="Q84">
            <v>-3.7037037037037035E-2</v>
          </cell>
          <cell r="S84">
            <v>0.19230769230769232</v>
          </cell>
          <cell r="T84">
            <v>0.2</v>
          </cell>
        </row>
        <row r="85">
          <cell r="A85">
            <v>43616</v>
          </cell>
          <cell r="B85">
            <v>-6.3814701762601338</v>
          </cell>
          <cell r="C85">
            <v>-3.0996753246752999</v>
          </cell>
          <cell r="D85" t="str">
            <v>熊市</v>
          </cell>
          <cell r="E85" t="str">
            <v>牛市</v>
          </cell>
          <cell r="F85" t="str">
            <v>宽货币宽信用</v>
          </cell>
          <cell r="G85" t="str">
            <v>主动去库存</v>
          </cell>
          <cell r="H85" t="str">
            <v>宽货币紧财政</v>
          </cell>
          <cell r="I85" t="str">
            <v>衰退</v>
          </cell>
          <cell r="J85" t="str">
            <v>产能周期上行,主动去库存</v>
          </cell>
          <cell r="K85">
            <v>0.14285714285714285</v>
          </cell>
          <cell r="L85">
            <v>0.1111111111111111</v>
          </cell>
          <cell r="N85">
            <v>0.36</v>
          </cell>
          <cell r="O85">
            <v>5.2631578947368418E-2</v>
          </cell>
          <cell r="P85">
            <v>0.14285714285714285</v>
          </cell>
          <cell r="Q85">
            <v>-3.7037037037037035E-2</v>
          </cell>
          <cell r="S85">
            <v>0.24</v>
          </cell>
          <cell r="T85">
            <v>0.26315789473684209</v>
          </cell>
        </row>
        <row r="86">
          <cell r="A86">
            <v>43585</v>
          </cell>
          <cell r="B86">
            <v>-1.4403164596743501</v>
          </cell>
          <cell r="C86">
            <v>20.249675324675302</v>
          </cell>
          <cell r="D86" t="str">
            <v>熊市</v>
          </cell>
          <cell r="E86" t="str">
            <v>熊市</v>
          </cell>
          <cell r="F86" t="str">
            <v>宽货币宽信用</v>
          </cell>
          <cell r="G86" t="str">
            <v>主动补库存</v>
          </cell>
          <cell r="H86" t="str">
            <v>宽货币紧财政</v>
          </cell>
          <cell r="I86" t="str">
            <v>衰退</v>
          </cell>
          <cell r="J86" t="str">
            <v>产能周期上行,主动去库存</v>
          </cell>
          <cell r="K86">
            <v>0.1</v>
          </cell>
          <cell r="L86">
            <v>0.4375</v>
          </cell>
          <cell r="N86">
            <v>0.33333333333333331</v>
          </cell>
          <cell r="O86">
            <v>0</v>
          </cell>
          <cell r="P86">
            <v>0.15</v>
          </cell>
          <cell r="Q86">
            <v>0.1875</v>
          </cell>
          <cell r="S86">
            <v>0.25</v>
          </cell>
          <cell r="T86">
            <v>0.27777777777777779</v>
          </cell>
        </row>
        <row r="87">
          <cell r="A87">
            <v>43555</v>
          </cell>
          <cell r="B87">
            <v>7.9750437268859988</v>
          </cell>
          <cell r="C87">
            <v>1.6636134453782001</v>
          </cell>
          <cell r="D87" t="str">
            <v>牛市</v>
          </cell>
          <cell r="E87" t="str">
            <v>震荡</v>
          </cell>
          <cell r="F87" t="str">
            <v>宽货币宽信用</v>
          </cell>
          <cell r="G87" t="str">
            <v>主动补库存</v>
          </cell>
          <cell r="H87" t="str">
            <v>宽货币紧财政</v>
          </cell>
          <cell r="I87" t="str">
            <v>衰退</v>
          </cell>
          <cell r="J87" t="str">
            <v>产能周期上行,主动去库存</v>
          </cell>
          <cell r="K87">
            <v>5.2631578947368418E-2</v>
          </cell>
          <cell r="L87">
            <v>0.4</v>
          </cell>
          <cell r="N87">
            <v>0.29166666666666669</v>
          </cell>
          <cell r="O87">
            <v>-5.8823529411764705E-2</v>
          </cell>
          <cell r="P87">
            <v>0.15789473684210525</v>
          </cell>
          <cell r="Q87">
            <v>0.2</v>
          </cell>
          <cell r="S87">
            <v>0.29166666666666669</v>
          </cell>
          <cell r="T87">
            <v>0.29411764705882354</v>
          </cell>
        </row>
        <row r="88">
          <cell r="A88">
            <v>43524</v>
          </cell>
          <cell r="B88">
            <v>17.842749211406151</v>
          </cell>
          <cell r="C88">
            <v>-0.2241978609626</v>
          </cell>
          <cell r="D88" t="str">
            <v>牛市</v>
          </cell>
          <cell r="E88" t="str">
            <v>震荡</v>
          </cell>
          <cell r="F88" t="str">
            <v>宽货币宽信用</v>
          </cell>
          <cell r="G88" t="str">
            <v>主动补库存</v>
          </cell>
          <cell r="H88" t="str">
            <v>双宽</v>
          </cell>
          <cell r="I88" t="str">
            <v>衰退</v>
          </cell>
          <cell r="J88" t="str">
            <v>产能周期上行,主动去库存</v>
          </cell>
          <cell r="K88">
            <v>0</v>
          </cell>
          <cell r="L88">
            <v>0.35714285714285715</v>
          </cell>
          <cell r="N88">
            <v>0.20833333333333334</v>
          </cell>
          <cell r="O88">
            <v>-0.125</v>
          </cell>
          <cell r="P88">
            <v>0.1111111111111111</v>
          </cell>
          <cell r="Q88">
            <v>0.14285714285714285</v>
          </cell>
          <cell r="S88">
            <v>0.25</v>
          </cell>
          <cell r="T88">
            <v>0.25</v>
          </cell>
        </row>
        <row r="89">
          <cell r="A89">
            <v>43496</v>
          </cell>
          <cell r="B89">
            <v>2.7295023830505478</v>
          </cell>
          <cell r="C89">
            <v>-17.583577075098798</v>
          </cell>
          <cell r="D89" t="str">
            <v>牛市</v>
          </cell>
          <cell r="E89" t="str">
            <v>牛市</v>
          </cell>
          <cell r="F89" t="str">
            <v>宽货币宽信用</v>
          </cell>
          <cell r="G89" t="str">
            <v>主动补库存</v>
          </cell>
          <cell r="H89" t="str">
            <v>双宽</v>
          </cell>
          <cell r="I89" t="str">
            <v>衰退</v>
          </cell>
          <cell r="J89" t="str">
            <v>产能周期上行,主动去库存</v>
          </cell>
          <cell r="K89">
            <v>0</v>
          </cell>
          <cell r="L89">
            <v>0.46153846153846156</v>
          </cell>
          <cell r="N89">
            <v>0.20833333333333334</v>
          </cell>
          <cell r="O89">
            <v>-6.6666666666666666E-2</v>
          </cell>
          <cell r="P89">
            <v>0.1111111111111111</v>
          </cell>
          <cell r="Q89">
            <v>7.6923076923076927E-2</v>
          </cell>
          <cell r="S89">
            <v>0.16666666666666666</v>
          </cell>
          <cell r="T89">
            <v>0.2</v>
          </cell>
        </row>
        <row r="90">
          <cell r="A90">
            <v>43465</v>
          </cell>
          <cell r="B90">
            <v>-4.8358215486030263</v>
          </cell>
          <cell r="C90">
            <v>-13.349604743083001</v>
          </cell>
          <cell r="D90" t="str">
            <v>熊市</v>
          </cell>
          <cell r="E90" t="str">
            <v>牛市</v>
          </cell>
          <cell r="F90" t="str">
            <v>宽货币紧信用</v>
          </cell>
          <cell r="G90" t="str">
            <v>主动补库存</v>
          </cell>
          <cell r="H90" t="str">
            <v>双宽</v>
          </cell>
          <cell r="I90" t="str">
            <v>衰退</v>
          </cell>
          <cell r="J90" t="str">
            <v>产能周期上行,主动去库存</v>
          </cell>
          <cell r="K90">
            <v>0.40909090909090912</v>
          </cell>
          <cell r="L90">
            <v>0.41666666666666669</v>
          </cell>
          <cell r="N90">
            <v>0.20833333333333334</v>
          </cell>
          <cell r="O90">
            <v>-0.14285714285714285</v>
          </cell>
          <cell r="P90">
            <v>0.22727272727272727</v>
          </cell>
          <cell r="Q90">
            <v>0</v>
          </cell>
          <cell r="S90">
            <v>8.3333333333333329E-2</v>
          </cell>
          <cell r="T90">
            <v>0.14285714285714285</v>
          </cell>
        </row>
        <row r="91">
          <cell r="A91">
            <v>43434</v>
          </cell>
          <cell r="B91">
            <v>2.1249977349894191</v>
          </cell>
          <cell r="C91">
            <v>-13.627979797979799</v>
          </cell>
          <cell r="D91" t="str">
            <v>牛市</v>
          </cell>
          <cell r="E91" t="str">
            <v>牛市</v>
          </cell>
          <cell r="F91" t="str">
            <v>宽货币紧信用</v>
          </cell>
          <cell r="G91" t="str">
            <v>主动补库存</v>
          </cell>
          <cell r="H91" t="str">
            <v>双宽</v>
          </cell>
          <cell r="I91" t="str">
            <v>衰退</v>
          </cell>
          <cell r="J91" t="str">
            <v>产能周期上行,主动去库存</v>
          </cell>
          <cell r="K91">
            <v>0.47619047619047616</v>
          </cell>
          <cell r="L91">
            <v>0.54545454545454541</v>
          </cell>
          <cell r="N91">
            <v>0.20833333333333334</v>
          </cell>
          <cell r="O91">
            <v>-7.6923076923076927E-2</v>
          </cell>
          <cell r="P91">
            <v>0.19047619047619047</v>
          </cell>
          <cell r="Q91">
            <v>-9.0909090909090912E-2</v>
          </cell>
          <cell r="S91">
            <v>0</v>
          </cell>
          <cell r="T91">
            <v>7.6923076923076927E-2</v>
          </cell>
        </row>
        <row r="92">
          <cell r="A92">
            <v>43404</v>
          </cell>
          <cell r="B92">
            <v>-9.1413403552184267</v>
          </cell>
          <cell r="C92">
            <v>-7.3987301587300998</v>
          </cell>
          <cell r="D92" t="str">
            <v>熊市</v>
          </cell>
          <cell r="E92" t="str">
            <v>牛市</v>
          </cell>
          <cell r="F92" t="str">
            <v>宽货币紧信用</v>
          </cell>
          <cell r="G92" t="str">
            <v>主动补库存</v>
          </cell>
          <cell r="H92" t="str">
            <v>双宽</v>
          </cell>
          <cell r="I92" t="str">
            <v>衰退</v>
          </cell>
          <cell r="J92" t="str">
            <v>产能周期上行,主动去库存</v>
          </cell>
          <cell r="K92">
            <v>0.45</v>
          </cell>
          <cell r="L92">
            <v>0.5</v>
          </cell>
          <cell r="N92">
            <v>0.17391304347826086</v>
          </cell>
          <cell r="O92">
            <v>-0.16666666666666666</v>
          </cell>
          <cell r="P92">
            <v>0.25</v>
          </cell>
          <cell r="Q92">
            <v>0</v>
          </cell>
          <cell r="S92">
            <v>4.3478260869565216E-2</v>
          </cell>
          <cell r="T92">
            <v>0.16666666666666666</v>
          </cell>
        </row>
        <row r="93">
          <cell r="A93">
            <v>43373</v>
          </cell>
          <cell r="B93">
            <v>1.347159041564137</v>
          </cell>
          <cell r="C93">
            <v>7.2419668737059997</v>
          </cell>
          <cell r="D93" t="str">
            <v>牛市</v>
          </cell>
          <cell r="E93" t="str">
            <v>熊市</v>
          </cell>
          <cell r="F93" t="str">
            <v>宽货币紧信用</v>
          </cell>
          <cell r="G93" t="str">
            <v>主动补库存</v>
          </cell>
          <cell r="H93" t="str">
            <v>双宽</v>
          </cell>
          <cell r="I93" t="str">
            <v>衰退</v>
          </cell>
          <cell r="J93" t="str">
            <v>产能周期上行,主动去库存</v>
          </cell>
          <cell r="K93">
            <v>0.52631578947368418</v>
          </cell>
          <cell r="L93">
            <v>0.66666666666666663</v>
          </cell>
          <cell r="N93">
            <v>0.22727272727272727</v>
          </cell>
          <cell r="O93">
            <v>-9.0909090909090912E-2</v>
          </cell>
          <cell r="P93">
            <v>0.31578947368421051</v>
          </cell>
          <cell r="Q93">
            <v>0.1111111111111111</v>
          </cell>
          <cell r="S93">
            <v>9.0909090909090912E-2</v>
          </cell>
          <cell r="T93">
            <v>0.27272727272727271</v>
          </cell>
        </row>
        <row r="94">
          <cell r="A94">
            <v>43343</v>
          </cell>
          <cell r="B94">
            <v>-6.3558640589851523</v>
          </cell>
          <cell r="C94">
            <v>5.9197430830039002</v>
          </cell>
          <cell r="D94" t="str">
            <v>熊市</v>
          </cell>
          <cell r="E94" t="str">
            <v>熊市</v>
          </cell>
          <cell r="F94" t="str">
            <v>宽货币紧信用</v>
          </cell>
          <cell r="G94" t="str">
            <v>主动补库存</v>
          </cell>
          <cell r="H94" t="str">
            <v>双宽</v>
          </cell>
          <cell r="I94" t="str">
            <v>衰退</v>
          </cell>
          <cell r="J94" t="str">
            <v>产能周期上行,主动去库存</v>
          </cell>
          <cell r="K94">
            <v>0.55555555555555558</v>
          </cell>
          <cell r="L94">
            <v>0.75</v>
          </cell>
          <cell r="N94">
            <v>0.23809523809523808</v>
          </cell>
          <cell r="O94">
            <v>-0.1</v>
          </cell>
          <cell r="P94">
            <v>0.27777777777777779</v>
          </cell>
          <cell r="Q94">
            <v>0</v>
          </cell>
          <cell r="S94">
            <v>4.7619047619047616E-2</v>
          </cell>
          <cell r="T94">
            <v>0.2</v>
          </cell>
        </row>
        <row r="95">
          <cell r="A95">
            <v>43312</v>
          </cell>
          <cell r="B95">
            <v>0.30242176771500701</v>
          </cell>
          <cell r="C95">
            <v>-9.9240909090909</v>
          </cell>
          <cell r="D95" t="str">
            <v>震荡</v>
          </cell>
          <cell r="E95" t="str">
            <v>牛市</v>
          </cell>
          <cell r="F95" t="str">
            <v>宽货币紧信用</v>
          </cell>
          <cell r="G95" t="str">
            <v>主动补库存</v>
          </cell>
          <cell r="H95" t="str">
            <v>双宽</v>
          </cell>
          <cell r="I95" t="str">
            <v>衰退</v>
          </cell>
          <cell r="J95" t="str">
            <v>产能周期上行,主动去库存</v>
          </cell>
          <cell r="K95">
            <v>0.6470588235294118</v>
          </cell>
          <cell r="L95">
            <v>0.75</v>
          </cell>
          <cell r="N95">
            <v>0.23809523809523808</v>
          </cell>
          <cell r="O95">
            <v>0</v>
          </cell>
          <cell r="P95">
            <v>0.23529411764705882</v>
          </cell>
          <cell r="Q95">
            <v>0</v>
          </cell>
          <cell r="S95">
            <v>4.7619047619047616E-2</v>
          </cell>
          <cell r="T95">
            <v>0.1111111111111111</v>
          </cell>
        </row>
        <row r="96">
          <cell r="A96">
            <v>43281</v>
          </cell>
          <cell r="B96">
            <v>-8.3259614608934065</v>
          </cell>
          <cell r="C96">
            <v>-5.6059090909091003</v>
          </cell>
          <cell r="D96" t="str">
            <v>熊市</v>
          </cell>
          <cell r="E96" t="str">
            <v>牛市</v>
          </cell>
          <cell r="F96" t="str">
            <v>宽货币紧信用</v>
          </cell>
          <cell r="G96" t="str">
            <v>被动补库存</v>
          </cell>
          <cell r="H96" t="str">
            <v>双宽</v>
          </cell>
          <cell r="I96" t="str">
            <v>滞涨</v>
          </cell>
          <cell r="J96" t="str">
            <v>产能周期上行,主动去库存</v>
          </cell>
          <cell r="K96">
            <v>0.6875</v>
          </cell>
          <cell r="L96">
            <v>0.35714285714285715</v>
          </cell>
          <cell r="N96">
            <v>0.1111111111111111</v>
          </cell>
          <cell r="O96">
            <v>0</v>
          </cell>
          <cell r="P96">
            <v>0.25</v>
          </cell>
          <cell r="Q96">
            <v>0.2857142857142857</v>
          </cell>
          <cell r="S96">
            <v>0.1111111111111111</v>
          </cell>
          <cell r="T96">
            <v>0.125</v>
          </cell>
        </row>
        <row r="97">
          <cell r="A97">
            <v>43251</v>
          </cell>
          <cell r="B97">
            <v>-5.8721997905498001E-2</v>
          </cell>
          <cell r="C97">
            <v>1.4829090909091001</v>
          </cell>
          <cell r="D97" t="str">
            <v>震荡</v>
          </cell>
          <cell r="E97" t="str">
            <v>震荡</v>
          </cell>
          <cell r="F97" t="str">
            <v>宽货币紧信用</v>
          </cell>
          <cell r="G97" t="str">
            <v>被动补库存</v>
          </cell>
          <cell r="H97" t="str">
            <v>双宽</v>
          </cell>
          <cell r="I97" t="str">
            <v>滞涨</v>
          </cell>
          <cell r="J97" t="str">
            <v>产能周期上行,主动去库存</v>
          </cell>
          <cell r="K97">
            <v>0.8</v>
          </cell>
          <cell r="L97">
            <v>0.46153846153846156</v>
          </cell>
          <cell r="N97">
            <v>0.25</v>
          </cell>
          <cell r="O97">
            <v>0.14285714285714285</v>
          </cell>
          <cell r="P97">
            <v>0.2</v>
          </cell>
          <cell r="Q97">
            <v>0.23076923076923078</v>
          </cell>
          <cell r="S97">
            <v>0</v>
          </cell>
          <cell r="T97">
            <v>0</v>
          </cell>
        </row>
        <row r="98">
          <cell r="A98">
            <v>43220</v>
          </cell>
          <cell r="B98">
            <v>-3.7209346751427521</v>
          </cell>
          <cell r="C98">
            <v>-14.4274545454545</v>
          </cell>
          <cell r="D98" t="str">
            <v>熊市</v>
          </cell>
          <cell r="E98" t="str">
            <v>牛市</v>
          </cell>
          <cell r="F98" t="str">
            <v>宽货币紧信用</v>
          </cell>
          <cell r="G98" t="str">
            <v>被动补库存</v>
          </cell>
          <cell r="H98" t="str">
            <v>双宽</v>
          </cell>
          <cell r="I98" t="str">
            <v>滞涨</v>
          </cell>
          <cell r="J98" t="str">
            <v>产能周期上行,主动去库存</v>
          </cell>
          <cell r="K98">
            <v>0.8</v>
          </cell>
          <cell r="L98">
            <v>0.5</v>
          </cell>
          <cell r="N98">
            <v>0.25</v>
          </cell>
          <cell r="O98">
            <v>0.16666666666666666</v>
          </cell>
          <cell r="P98">
            <v>0.2</v>
          </cell>
          <cell r="Q98">
            <v>0.16666666666666666</v>
          </cell>
          <cell r="S98">
            <v>0</v>
          </cell>
          <cell r="T98">
            <v>-0.16666666666666666</v>
          </cell>
        </row>
        <row r="99">
          <cell r="A99">
            <v>43190</v>
          </cell>
          <cell r="B99">
            <v>-9.9360761447768994E-2</v>
          </cell>
          <cell r="C99">
            <v>-7.9377807486630996</v>
          </cell>
          <cell r="D99" t="str">
            <v>震荡</v>
          </cell>
          <cell r="E99" t="str">
            <v>牛市</v>
          </cell>
          <cell r="F99" t="str">
            <v>紧货币紧信用</v>
          </cell>
          <cell r="G99" t="str">
            <v>被动补库存</v>
          </cell>
          <cell r="H99" t="str">
            <v>双宽</v>
          </cell>
          <cell r="I99" t="str">
            <v>衰退</v>
          </cell>
          <cell r="J99" t="str">
            <v>产能周期上行,主动去库存</v>
          </cell>
          <cell r="K99">
            <v>0.13043478260869565</v>
          </cell>
          <cell r="L99">
            <v>0.63636363636363635</v>
          </cell>
          <cell r="N99">
            <v>0.25</v>
          </cell>
          <cell r="O99">
            <v>0.4</v>
          </cell>
          <cell r="P99">
            <v>-0.52173913043478259</v>
          </cell>
          <cell r="Q99">
            <v>9.0909090909090912E-2</v>
          </cell>
          <cell r="S99">
            <v>0</v>
          </cell>
          <cell r="T99">
            <v>-0.4</v>
          </cell>
        </row>
        <row r="100">
          <cell r="A100">
            <v>43159</v>
          </cell>
          <cell r="B100">
            <v>-4.8505678434330299</v>
          </cell>
          <cell r="C100">
            <v>-6.4876737967915004</v>
          </cell>
          <cell r="D100" t="str">
            <v>熊市</v>
          </cell>
          <cell r="E100" t="str">
            <v>牛市</v>
          </cell>
          <cell r="F100" t="str">
            <v>紧货币紧信用</v>
          </cell>
          <cell r="G100" t="str">
            <v>被动补库存</v>
          </cell>
          <cell r="H100" t="str">
            <v>双紧</v>
          </cell>
          <cell r="I100" t="str">
            <v>复苏</v>
          </cell>
          <cell r="J100" t="str">
            <v>产能周期上行,主动去库存</v>
          </cell>
          <cell r="K100">
            <v>9.0909090909090912E-2</v>
          </cell>
          <cell r="L100">
            <v>0.6</v>
          </cell>
          <cell r="N100">
            <v>0</v>
          </cell>
          <cell r="O100">
            <v>0.25</v>
          </cell>
          <cell r="P100">
            <v>-0.5</v>
          </cell>
          <cell r="Q100">
            <v>0.2</v>
          </cell>
          <cell r="S100">
            <v>-9.0909090909090912E-2</v>
          </cell>
          <cell r="T100">
            <v>-0.25</v>
          </cell>
        </row>
        <row r="101">
          <cell r="A101">
            <v>43131</v>
          </cell>
          <cell r="B101">
            <v>1.7953015111120469</v>
          </cell>
          <cell r="C101">
            <v>4.2572134387352003</v>
          </cell>
          <cell r="D101" t="str">
            <v>牛市</v>
          </cell>
          <cell r="E101" t="str">
            <v>熊市</v>
          </cell>
          <cell r="F101" t="str">
            <v>紧货币紧信用</v>
          </cell>
          <cell r="G101" t="str">
            <v>被动补库存</v>
          </cell>
          <cell r="H101" t="str">
            <v>双紧</v>
          </cell>
          <cell r="I101" t="str">
            <v>复苏</v>
          </cell>
          <cell r="J101" t="str">
            <v>产能周期上行,主动去库存</v>
          </cell>
          <cell r="K101">
            <v>9.5238095238095233E-2</v>
          </cell>
          <cell r="L101">
            <v>0.66666666666666663</v>
          </cell>
          <cell r="N101">
            <v>0</v>
          </cell>
          <cell r="O101">
            <v>0.33333333333333331</v>
          </cell>
          <cell r="P101">
            <v>-0.5714285714285714</v>
          </cell>
          <cell r="Q101">
            <v>0.1111111111111111</v>
          </cell>
          <cell r="S101">
            <v>-0.2</v>
          </cell>
          <cell r="T101">
            <v>-0.66666666666666663</v>
          </cell>
        </row>
        <row r="102">
          <cell r="A102">
            <v>43100</v>
          </cell>
          <cell r="B102">
            <v>-0.26932464469894701</v>
          </cell>
          <cell r="C102">
            <v>-2.5008498023715999</v>
          </cell>
          <cell r="D102" t="str">
            <v>震荡</v>
          </cell>
          <cell r="E102" t="str">
            <v>牛市</v>
          </cell>
          <cell r="F102" t="str">
            <v>紧货币紧信用</v>
          </cell>
          <cell r="G102" t="str">
            <v>被动补库存</v>
          </cell>
          <cell r="H102" t="str">
            <v>双紧</v>
          </cell>
          <cell r="I102" t="str">
            <v>复苏</v>
          </cell>
          <cell r="J102" t="str">
            <v>产能周期上行,主动去库存</v>
          </cell>
          <cell r="K102">
            <v>0.15</v>
          </cell>
          <cell r="L102">
            <v>0.875</v>
          </cell>
          <cell r="N102">
            <v>0.1111111111111111</v>
          </cell>
          <cell r="O102">
            <v>1</v>
          </cell>
          <cell r="P102">
            <v>-0.55000000000000004</v>
          </cell>
          <cell r="Q102">
            <v>0.25</v>
          </cell>
          <cell r="S102">
            <v>-0.1111111111111111</v>
          </cell>
          <cell r="T102">
            <v>-0.5</v>
          </cell>
        </row>
        <row r="103">
          <cell r="A103">
            <v>43069</v>
          </cell>
          <cell r="B103">
            <v>-2.9514746234314191</v>
          </cell>
          <cell r="C103">
            <v>18.1713101604279</v>
          </cell>
          <cell r="D103" t="str">
            <v>熊市</v>
          </cell>
          <cell r="E103" t="str">
            <v>熊市</v>
          </cell>
          <cell r="F103" t="str">
            <v>紧货币紧信用</v>
          </cell>
          <cell r="G103" t="str">
            <v>被动补库存</v>
          </cell>
          <cell r="H103" t="str">
            <v>双紧</v>
          </cell>
          <cell r="I103" t="str">
            <v>复苏</v>
          </cell>
          <cell r="J103" t="str">
            <v>产能周期上行,主动去库存</v>
          </cell>
          <cell r="K103">
            <v>0.10526315789473684</v>
          </cell>
          <cell r="L103">
            <v>0.8571428571428571</v>
          </cell>
          <cell r="N103">
            <v>0</v>
          </cell>
          <cell r="O103">
            <v>1</v>
          </cell>
          <cell r="P103">
            <v>-0.52631578947368418</v>
          </cell>
          <cell r="Q103">
            <v>0.42857142857142855</v>
          </cell>
          <cell r="S103">
            <v>0</v>
          </cell>
          <cell r="T103">
            <v>0</v>
          </cell>
        </row>
        <row r="104">
          <cell r="A104">
            <v>43039</v>
          </cell>
          <cell r="B104">
            <v>1.1056714719000751</v>
          </cell>
          <cell r="C104">
            <v>11.6595989304812</v>
          </cell>
          <cell r="D104" t="str">
            <v>牛市</v>
          </cell>
          <cell r="E104" t="str">
            <v>熊市</v>
          </cell>
          <cell r="F104" t="str">
            <v>紧货币紧信用</v>
          </cell>
          <cell r="G104" t="str">
            <v>被动补库存</v>
          </cell>
          <cell r="H104" t="str">
            <v>双紧</v>
          </cell>
          <cell r="I104" t="str">
            <v>复苏</v>
          </cell>
          <cell r="J104" t="str">
            <v>产能周期上行,主动去库存</v>
          </cell>
          <cell r="K104">
            <v>5.5555555555555552E-2</v>
          </cell>
          <cell r="L104">
            <v>0.8571428571428571</v>
          </cell>
          <cell r="N104">
            <v>0</v>
          </cell>
          <cell r="O104">
            <v>0</v>
          </cell>
          <cell r="P104">
            <v>-0.55555555555555558</v>
          </cell>
          <cell r="Q104">
            <v>0.42857142857142855</v>
          </cell>
          <cell r="S104">
            <v>-0.125</v>
          </cell>
          <cell r="T104">
            <v>-0.4</v>
          </cell>
        </row>
        <row r="105">
          <cell r="A105">
            <v>43008</v>
          </cell>
          <cell r="B105">
            <v>1.2790661771848739</v>
          </cell>
          <cell r="C105">
            <v>-0.2704940711462</v>
          </cell>
          <cell r="D105" t="str">
            <v>牛市</v>
          </cell>
          <cell r="E105" t="str">
            <v>震荡</v>
          </cell>
          <cell r="F105" t="str">
            <v>紧货币紧信用</v>
          </cell>
          <cell r="G105" t="str">
            <v>主动去库存</v>
          </cell>
          <cell r="H105" t="str">
            <v>双紧</v>
          </cell>
          <cell r="I105" t="str">
            <v>复苏</v>
          </cell>
          <cell r="J105" t="str">
            <v>产能周期上行,主动去库存</v>
          </cell>
          <cell r="K105">
            <v>0</v>
          </cell>
          <cell r="L105">
            <v>4.5454545454545456E-2</v>
          </cell>
          <cell r="N105">
            <v>0</v>
          </cell>
          <cell r="O105">
            <v>0</v>
          </cell>
          <cell r="P105">
            <v>-0.52941176470588236</v>
          </cell>
          <cell r="Q105">
            <v>-0.20454545454545456</v>
          </cell>
          <cell r="S105">
            <v>-0.125</v>
          </cell>
          <cell r="T105">
            <v>-0.4</v>
          </cell>
        </row>
        <row r="106">
          <cell r="A106">
            <v>42978</v>
          </cell>
          <cell r="B106">
            <v>3.0501730376899538</v>
          </cell>
          <cell r="C106">
            <v>3.7357971014492999</v>
          </cell>
          <cell r="D106" t="str">
            <v>牛市</v>
          </cell>
          <cell r="E106" t="str">
            <v>熊市</v>
          </cell>
          <cell r="F106" t="str">
            <v>紧货币紧信用</v>
          </cell>
          <cell r="G106" t="str">
            <v>主动去库存</v>
          </cell>
          <cell r="H106" t="str">
            <v>双紧</v>
          </cell>
          <cell r="I106" t="str">
            <v>衰退</v>
          </cell>
          <cell r="J106" t="str">
            <v>产能周期上行,被动去库存</v>
          </cell>
          <cell r="K106">
            <v>-6.25E-2</v>
          </cell>
          <cell r="L106">
            <v>2.3255813953488372E-2</v>
          </cell>
          <cell r="N106">
            <v>0.05</v>
          </cell>
          <cell r="O106">
            <v>0</v>
          </cell>
          <cell r="P106">
            <v>-0.5625</v>
          </cell>
          <cell r="Q106">
            <v>-0.20930232558139536</v>
          </cell>
          <cell r="S106">
            <v>0.05</v>
          </cell>
          <cell r="T106">
            <v>-0.4</v>
          </cell>
        </row>
        <row r="107">
          <cell r="A107">
            <v>42947</v>
          </cell>
          <cell r="B107">
            <v>1.613822414068381</v>
          </cell>
          <cell r="C107">
            <v>1.7051515151515</v>
          </cell>
          <cell r="D107" t="str">
            <v>牛市</v>
          </cell>
          <cell r="E107" t="str">
            <v>震荡</v>
          </cell>
          <cell r="F107" t="str">
            <v>紧货币紧信用</v>
          </cell>
          <cell r="G107" t="str">
            <v>主动去库存</v>
          </cell>
          <cell r="H107" t="str">
            <v>双紧</v>
          </cell>
          <cell r="I107" t="str">
            <v>衰退</v>
          </cell>
          <cell r="J107" t="str">
            <v>产能周期上行,被动去库存</v>
          </cell>
          <cell r="K107">
            <v>-0.13333333333333333</v>
          </cell>
          <cell r="L107">
            <v>0</v>
          </cell>
          <cell r="N107">
            <v>-0.05</v>
          </cell>
          <cell r="O107">
            <v>-0.25</v>
          </cell>
          <cell r="P107">
            <v>-0.66666666666666663</v>
          </cell>
          <cell r="Q107">
            <v>-0.23809523809523808</v>
          </cell>
          <cell r="S107">
            <v>0.05</v>
          </cell>
          <cell r="T107">
            <v>-0.75</v>
          </cell>
        </row>
        <row r="108">
          <cell r="A108">
            <v>42916</v>
          </cell>
          <cell r="B108">
            <v>4.8025213692304476</v>
          </cell>
          <cell r="C108">
            <v>-4.8308658008657996</v>
          </cell>
          <cell r="D108" t="str">
            <v>牛市</v>
          </cell>
          <cell r="E108" t="str">
            <v>牛市</v>
          </cell>
          <cell r="F108" t="str">
            <v>紧货币紧信用</v>
          </cell>
          <cell r="G108" t="str">
            <v>主动去库存</v>
          </cell>
          <cell r="H108" t="str">
            <v>紧货币宽财政</v>
          </cell>
          <cell r="I108" t="str">
            <v>衰退</v>
          </cell>
          <cell r="J108" t="str">
            <v>产能周期上行,被动去库存</v>
          </cell>
          <cell r="K108">
            <v>-7.1428571428571425E-2</v>
          </cell>
          <cell r="L108">
            <v>2.4390243902439025E-2</v>
          </cell>
          <cell r="N108">
            <v>0</v>
          </cell>
          <cell r="O108">
            <v>0</v>
          </cell>
          <cell r="P108">
            <v>-0.6428571428571429</v>
          </cell>
          <cell r="Q108">
            <v>-0.21951219512195122</v>
          </cell>
          <cell r="S108">
            <v>0.15</v>
          </cell>
          <cell r="T108">
            <v>-0.66666666666666663</v>
          </cell>
        </row>
        <row r="109">
          <cell r="A109">
            <v>42886</v>
          </cell>
          <cell r="B109">
            <v>-2.8386492641341601</v>
          </cell>
          <cell r="C109">
            <v>23.520626566415999</v>
          </cell>
          <cell r="D109" t="str">
            <v>熊市</v>
          </cell>
          <cell r="E109" t="str">
            <v>熊市</v>
          </cell>
          <cell r="F109" t="str">
            <v>紧货币紧信用</v>
          </cell>
          <cell r="G109" t="str">
            <v>主动去库存</v>
          </cell>
          <cell r="H109" t="str">
            <v>紧货币宽财政</v>
          </cell>
          <cell r="I109" t="str">
            <v>衰退</v>
          </cell>
          <cell r="J109" t="str">
            <v>产能周期上行,被动去库存</v>
          </cell>
          <cell r="K109">
            <v>0</v>
          </cell>
          <cell r="L109">
            <v>0.05</v>
          </cell>
          <cell r="N109">
            <v>0.1</v>
          </cell>
          <cell r="O109">
            <v>0</v>
          </cell>
          <cell r="P109">
            <v>-0.61538461538461542</v>
          </cell>
          <cell r="Q109">
            <v>-0.2</v>
          </cell>
          <cell r="S109">
            <v>0.2</v>
          </cell>
          <cell r="T109">
            <v>-0.66666666666666663</v>
          </cell>
        </row>
        <row r="110">
          <cell r="A110">
            <v>42855</v>
          </cell>
          <cell r="B110">
            <v>-2.9368766318630382</v>
          </cell>
          <cell r="C110">
            <v>5.4232036613272996</v>
          </cell>
          <cell r="D110" t="str">
            <v>熊市</v>
          </cell>
          <cell r="E110" t="str">
            <v>熊市</v>
          </cell>
          <cell r="F110" t="str">
            <v>紧货币紧信用</v>
          </cell>
          <cell r="G110" t="str">
            <v>主动去库存</v>
          </cell>
          <cell r="H110" t="str">
            <v>紧货币宽财政</v>
          </cell>
          <cell r="I110" t="str">
            <v>衰退</v>
          </cell>
          <cell r="J110" t="str">
            <v>产能周期上行,主动补库存</v>
          </cell>
          <cell r="K110">
            <v>0</v>
          </cell>
          <cell r="L110">
            <v>5.128205128205128E-2</v>
          </cell>
          <cell r="N110">
            <v>4.7619047619047616E-2</v>
          </cell>
          <cell r="O110">
            <v>0.33333333333333331</v>
          </cell>
          <cell r="P110">
            <v>-0.75</v>
          </cell>
          <cell r="Q110">
            <v>-0.23076923076923078</v>
          </cell>
          <cell r="S110">
            <v>0.14285714285714285</v>
          </cell>
          <cell r="T110">
            <v>-0.22222222222222221</v>
          </cell>
        </row>
        <row r="111">
          <cell r="A111">
            <v>42825</v>
          </cell>
          <cell r="B111">
            <v>-0.58223235856809996</v>
          </cell>
          <cell r="C111">
            <v>-4.2321510297482998</v>
          </cell>
          <cell r="D111" t="str">
            <v>震荡</v>
          </cell>
          <cell r="E111" t="str">
            <v>牛市</v>
          </cell>
          <cell r="F111" t="str">
            <v>紧货币紧信用</v>
          </cell>
          <cell r="G111" t="str">
            <v>主动去库存</v>
          </cell>
          <cell r="H111" t="str">
            <v>紧货币宽财政</v>
          </cell>
          <cell r="I111" t="str">
            <v>过热</v>
          </cell>
          <cell r="J111" t="str">
            <v>产能周期上行,主动补库存</v>
          </cell>
          <cell r="K111">
            <v>-9.0909090909090912E-2</v>
          </cell>
          <cell r="L111">
            <v>2.6315789473684209E-2</v>
          </cell>
          <cell r="N111">
            <v>0.31818181818181818</v>
          </cell>
          <cell r="O111">
            <v>0.25</v>
          </cell>
          <cell r="P111">
            <v>-0.72727272727272729</v>
          </cell>
          <cell r="Q111">
            <v>-0.21052631578947367</v>
          </cell>
          <cell r="S111">
            <v>-0.27272727272727271</v>
          </cell>
          <cell r="T111">
            <v>-0.125</v>
          </cell>
        </row>
        <row r="112">
          <cell r="A112">
            <v>42794</v>
          </cell>
          <cell r="B112">
            <v>3.1579353308203442</v>
          </cell>
          <cell r="C112">
            <v>13.9478947368421</v>
          </cell>
          <cell r="D112" t="str">
            <v>牛市</v>
          </cell>
          <cell r="E112" t="str">
            <v>熊市</v>
          </cell>
          <cell r="F112" t="str">
            <v>紧货币紧信用</v>
          </cell>
          <cell r="G112" t="str">
            <v>主动去库存</v>
          </cell>
          <cell r="H112" t="str">
            <v>双紧</v>
          </cell>
          <cell r="I112" t="str">
            <v>过热</v>
          </cell>
          <cell r="J112" t="str">
            <v>产能周期上行,主动补库存</v>
          </cell>
          <cell r="K112">
            <v>-0.1</v>
          </cell>
          <cell r="L112">
            <v>2.7027027027027029E-2</v>
          </cell>
          <cell r="N112">
            <v>0.33333333333333331</v>
          </cell>
          <cell r="O112">
            <v>0.2857142857142857</v>
          </cell>
          <cell r="P112">
            <v>-0.7</v>
          </cell>
          <cell r="Q112">
            <v>-0.1891891891891892</v>
          </cell>
          <cell r="S112">
            <v>-0.23809523809523808</v>
          </cell>
          <cell r="T112">
            <v>0</v>
          </cell>
        </row>
        <row r="113">
          <cell r="A113">
            <v>42766</v>
          </cell>
          <cell r="B113">
            <v>-0.25309818548894603</v>
          </cell>
          <cell r="C113">
            <v>8.3772997711669994</v>
          </cell>
          <cell r="D113" t="str">
            <v>震荡</v>
          </cell>
          <cell r="E113" t="str">
            <v>熊市</v>
          </cell>
          <cell r="F113" t="str">
            <v>紧货币紧信用</v>
          </cell>
          <cell r="G113" t="str">
            <v>主动去库存</v>
          </cell>
          <cell r="H113" t="str">
            <v>双紧</v>
          </cell>
          <cell r="I113" t="str">
            <v>过热</v>
          </cell>
          <cell r="J113" t="str">
            <v>产能周期上行,主动补库存</v>
          </cell>
          <cell r="K113">
            <v>-0.1</v>
          </cell>
          <cell r="L113">
            <v>5.5555555555555552E-2</v>
          </cell>
          <cell r="N113">
            <v>0.4</v>
          </cell>
          <cell r="O113">
            <v>0.5</v>
          </cell>
          <cell r="P113">
            <v>-0.7</v>
          </cell>
          <cell r="Q113">
            <v>-0.16666666666666666</v>
          </cell>
          <cell r="S113">
            <v>-0.2</v>
          </cell>
          <cell r="T113">
            <v>0.16666666666666666</v>
          </cell>
        </row>
        <row r="114">
          <cell r="A114">
            <v>42735</v>
          </cell>
          <cell r="B114">
            <v>-5.3595768901968741</v>
          </cell>
          <cell r="C114">
            <v>32.0721739130435</v>
          </cell>
          <cell r="D114" t="str">
            <v>熊市</v>
          </cell>
          <cell r="E114" t="str">
            <v>熊市</v>
          </cell>
          <cell r="F114" t="str">
            <v>宽货币紧信用</v>
          </cell>
          <cell r="G114" t="str">
            <v>主动去库存</v>
          </cell>
          <cell r="H114" t="str">
            <v>双紧</v>
          </cell>
          <cell r="I114" t="str">
            <v>过热</v>
          </cell>
          <cell r="J114" t="str">
            <v>产能周期上行,主动补库存</v>
          </cell>
          <cell r="K114">
            <v>0.61904761904761907</v>
          </cell>
          <cell r="L114">
            <v>2.8571428571428571E-2</v>
          </cell>
          <cell r="N114">
            <v>0.36842105263157893</v>
          </cell>
          <cell r="O114">
            <v>0.4</v>
          </cell>
          <cell r="P114">
            <v>0.2857142857142857</v>
          </cell>
          <cell r="Q114">
            <v>-0.14285714285714285</v>
          </cell>
          <cell r="S114">
            <v>-0.15789473684210525</v>
          </cell>
          <cell r="T114">
            <v>0.4</v>
          </cell>
        </row>
        <row r="115">
          <cell r="A115">
            <v>42704</v>
          </cell>
          <cell r="B115">
            <v>3.9409315125718249</v>
          </cell>
          <cell r="C115">
            <v>13.758333333333301</v>
          </cell>
          <cell r="D115" t="str">
            <v>牛市</v>
          </cell>
          <cell r="E115" t="str">
            <v>熊市</v>
          </cell>
          <cell r="F115" t="str">
            <v>宽货币宽信用</v>
          </cell>
          <cell r="G115" t="str">
            <v>主动去库存</v>
          </cell>
          <cell r="H115" t="str">
            <v>双紧</v>
          </cell>
          <cell r="I115" t="str">
            <v>过热</v>
          </cell>
          <cell r="J115" t="str">
            <v>产能周期上行,主动补库存</v>
          </cell>
          <cell r="K115">
            <v>-0.17647058823529413</v>
          </cell>
          <cell r="L115">
            <v>0</v>
          </cell>
          <cell r="N115">
            <v>0.33333333333333331</v>
          </cell>
          <cell r="O115">
            <v>0.25</v>
          </cell>
          <cell r="P115">
            <v>0.17647058823529413</v>
          </cell>
          <cell r="Q115">
            <v>-0.17647058823529413</v>
          </cell>
          <cell r="S115">
            <v>-0.22222222222222221</v>
          </cell>
          <cell r="T115">
            <v>0.25</v>
          </cell>
        </row>
        <row r="116">
          <cell r="A116">
            <v>42674</v>
          </cell>
          <cell r="B116">
            <v>3.1544288452572871</v>
          </cell>
          <cell r="C116">
            <v>-6.0654761904761996</v>
          </cell>
          <cell r="D116" t="str">
            <v>牛市</v>
          </cell>
          <cell r="E116" t="str">
            <v>牛市</v>
          </cell>
          <cell r="F116" t="str">
            <v>宽货币宽信用</v>
          </cell>
          <cell r="G116" t="str">
            <v>主动去库存</v>
          </cell>
          <cell r="H116" t="str">
            <v>双紧</v>
          </cell>
          <cell r="I116" t="str">
            <v>过热</v>
          </cell>
          <cell r="J116" t="str">
            <v>产能周期上行,主动补库存</v>
          </cell>
          <cell r="K116">
            <v>-0.125</v>
          </cell>
          <cell r="L116">
            <v>3.0303030303030304E-2</v>
          </cell>
          <cell r="N116">
            <v>0.41176470588235292</v>
          </cell>
          <cell r="O116">
            <v>0.66666666666666663</v>
          </cell>
          <cell r="P116">
            <v>0.25</v>
          </cell>
          <cell r="Q116">
            <v>-0.15151515151515152</v>
          </cell>
          <cell r="S116">
            <v>-0.17647058823529413</v>
          </cell>
          <cell r="T116">
            <v>0.66666666666666663</v>
          </cell>
        </row>
        <row r="117">
          <cell r="A117">
            <v>42643</v>
          </cell>
          <cell r="B117">
            <v>-1.7347421308850679</v>
          </cell>
          <cell r="C117">
            <v>3.3245341614906998</v>
          </cell>
          <cell r="D117" t="str">
            <v>熊市</v>
          </cell>
          <cell r="E117" t="str">
            <v>熊市</v>
          </cell>
          <cell r="F117" t="str">
            <v>宽货币宽信用</v>
          </cell>
          <cell r="G117" t="str">
            <v>主动去库存</v>
          </cell>
          <cell r="I117" t="str">
            <v>过热</v>
          </cell>
          <cell r="J117" t="str">
            <v>产能周期上行,主动补库存</v>
          </cell>
          <cell r="K117">
            <v>-0.2</v>
          </cell>
          <cell r="L117">
            <v>0</v>
          </cell>
          <cell r="N117">
            <v>0.375</v>
          </cell>
          <cell r="O117">
            <v>0.5</v>
          </cell>
          <cell r="P117">
            <v>0.2</v>
          </cell>
          <cell r="Q117">
            <v>-0.1875</v>
          </cell>
          <cell r="S117">
            <v>-0.25</v>
          </cell>
          <cell r="T117">
            <v>0.5</v>
          </cell>
        </row>
        <row r="118">
          <cell r="A118">
            <v>42613</v>
          </cell>
          <cell r="B118">
            <v>4.725805742378304</v>
          </cell>
          <cell r="C118">
            <v>-9.6735817805382993</v>
          </cell>
          <cell r="D118" t="str">
            <v>牛市</v>
          </cell>
          <cell r="E118" t="str">
            <v>牛市</v>
          </cell>
          <cell r="F118" t="str">
            <v>宽货币宽信用</v>
          </cell>
          <cell r="G118" t="str">
            <v>主动去库存</v>
          </cell>
          <cell r="I118" t="str">
            <v>过热</v>
          </cell>
          <cell r="J118" t="str">
            <v>产能周期上行,主动补库存</v>
          </cell>
          <cell r="K118">
            <v>-0.21428571428571427</v>
          </cell>
          <cell r="L118">
            <v>0</v>
          </cell>
          <cell r="N118">
            <v>0.4</v>
          </cell>
          <cell r="O118">
            <v>1</v>
          </cell>
          <cell r="P118">
            <v>0.14285714285714285</v>
          </cell>
          <cell r="Q118">
            <v>-0.22580645161290322</v>
          </cell>
          <cell r="S118">
            <v>-0.33333333333333331</v>
          </cell>
          <cell r="T118">
            <v>0</v>
          </cell>
        </row>
        <row r="119">
          <cell r="A119">
            <v>42582</v>
          </cell>
          <cell r="B119">
            <v>0.52687785035064605</v>
          </cell>
          <cell r="C119">
            <v>-13.285714285714301</v>
          </cell>
          <cell r="D119" t="str">
            <v>震荡</v>
          </cell>
          <cell r="E119" t="str">
            <v>牛市</v>
          </cell>
          <cell r="F119" t="str">
            <v>宽货币宽信用</v>
          </cell>
          <cell r="G119" t="str">
            <v>主动去库存</v>
          </cell>
          <cell r="I119" t="str">
            <v>过热</v>
          </cell>
          <cell r="J119" t="str">
            <v>产能周期上行,主动补库存</v>
          </cell>
          <cell r="K119">
            <v>-0.30769230769230771</v>
          </cell>
          <cell r="L119">
            <v>-3.3333333333333333E-2</v>
          </cell>
          <cell r="N119">
            <v>0.4</v>
          </cell>
          <cell r="O119">
            <v>1</v>
          </cell>
          <cell r="P119">
            <v>0.15384615384615385</v>
          </cell>
          <cell r="Q119">
            <v>-0.23333333333333334</v>
          </cell>
          <cell r="S119">
            <v>-0.4</v>
          </cell>
          <cell r="T119">
            <v>0</v>
          </cell>
        </row>
        <row r="120">
          <cell r="A120">
            <v>42551</v>
          </cell>
          <cell r="B120">
            <v>3.4699851044972099</v>
          </cell>
          <cell r="C120">
            <v>1.8847619047619</v>
          </cell>
          <cell r="D120" t="str">
            <v>牛市</v>
          </cell>
          <cell r="E120" t="str">
            <v>震荡</v>
          </cell>
          <cell r="F120" t="str">
            <v>宽货币宽信用</v>
          </cell>
          <cell r="G120" t="str">
            <v>主动去库存</v>
          </cell>
          <cell r="I120" t="str">
            <v>过热</v>
          </cell>
          <cell r="J120" t="str">
            <v>产能周期上行,主动补库存</v>
          </cell>
          <cell r="K120">
            <v>-0.33333333333333331</v>
          </cell>
          <cell r="L120">
            <v>-3.4482758620689655E-2</v>
          </cell>
          <cell r="N120">
            <v>0.33333333333333331</v>
          </cell>
          <cell r="O120">
            <v>1</v>
          </cell>
          <cell r="P120">
            <v>0.25</v>
          </cell>
          <cell r="Q120">
            <v>-0.20689655172413793</v>
          </cell>
          <cell r="S120">
            <v>-0.26666666666666666</v>
          </cell>
          <cell r="T120">
            <v>0</v>
          </cell>
        </row>
        <row r="121">
          <cell r="A121">
            <v>42521</v>
          </cell>
          <cell r="B121">
            <v>-0.46341606450495998</v>
          </cell>
          <cell r="C121">
            <v>2.1371428571429001</v>
          </cell>
          <cell r="D121" t="str">
            <v>震荡</v>
          </cell>
          <cell r="E121" t="str">
            <v>熊市</v>
          </cell>
          <cell r="F121" t="str">
            <v>宽货币宽信用</v>
          </cell>
          <cell r="G121" t="str">
            <v>主动去库存</v>
          </cell>
          <cell r="I121" t="str">
            <v>过热</v>
          </cell>
          <cell r="J121" t="str">
            <v>产能周期上行,被动去库存</v>
          </cell>
          <cell r="K121">
            <v>-0.27272727272727271</v>
          </cell>
          <cell r="L121">
            <v>0</v>
          </cell>
          <cell r="N121">
            <v>0.33333333333333331</v>
          </cell>
          <cell r="O121">
            <v>1</v>
          </cell>
          <cell r="P121">
            <v>0.36363636363636365</v>
          </cell>
          <cell r="Q121">
            <v>-0.17857142857142858</v>
          </cell>
          <cell r="S121">
            <v>-0.2</v>
          </cell>
          <cell r="T121">
            <v>0</v>
          </cell>
        </row>
        <row r="122">
          <cell r="A122">
            <v>42490</v>
          </cell>
          <cell r="B122">
            <v>-1.860109341971695</v>
          </cell>
          <cell r="C122">
            <v>5.0826086956522003</v>
          </cell>
          <cell r="D122" t="str">
            <v>熊市</v>
          </cell>
          <cell r="E122" t="str">
            <v>熊市</v>
          </cell>
          <cell r="F122" t="str">
            <v>宽货币宽信用</v>
          </cell>
          <cell r="G122" t="str">
            <v>主动去库存</v>
          </cell>
          <cell r="I122" t="str">
            <v>过热</v>
          </cell>
          <cell r="J122" t="str">
            <v>产能周期上行,被动去库存</v>
          </cell>
          <cell r="K122">
            <v>-0.4</v>
          </cell>
          <cell r="L122">
            <v>-3.7037037037037035E-2</v>
          </cell>
          <cell r="N122">
            <v>0.26666666666666666</v>
          </cell>
          <cell r="O122">
            <v>0.18181818181818182</v>
          </cell>
          <cell r="P122">
            <v>0.4</v>
          </cell>
          <cell r="Q122">
            <v>-0.18518518518518517</v>
          </cell>
          <cell r="S122">
            <v>-0.13333333333333333</v>
          </cell>
          <cell r="T122">
            <v>-0.36363636363636365</v>
          </cell>
        </row>
        <row r="123">
          <cell r="A123">
            <v>42460</v>
          </cell>
          <cell r="B123">
            <v>16.43022543014564</v>
          </cell>
          <cell r="C123">
            <v>0.60183574879220003</v>
          </cell>
          <cell r="D123" t="str">
            <v>牛市</v>
          </cell>
          <cell r="E123" t="str">
            <v>震荡</v>
          </cell>
          <cell r="F123" t="str">
            <v>宽货币宽信用</v>
          </cell>
          <cell r="G123" t="str">
            <v>主动去库存</v>
          </cell>
          <cell r="I123" t="str">
            <v>过热</v>
          </cell>
          <cell r="J123" t="str">
            <v>产能周期上行,被动去库存</v>
          </cell>
          <cell r="K123">
            <v>-0.33333333333333331</v>
          </cell>
          <cell r="L123">
            <v>0</v>
          </cell>
          <cell r="N123">
            <v>0.3125</v>
          </cell>
          <cell r="O123">
            <v>0.18181818181818182</v>
          </cell>
          <cell r="P123">
            <v>0.55555555555555558</v>
          </cell>
          <cell r="Q123">
            <v>-0.15384615384615385</v>
          </cell>
          <cell r="S123">
            <v>-0.1875</v>
          </cell>
          <cell r="T123">
            <v>-0.36363636363636365</v>
          </cell>
        </row>
        <row r="124">
          <cell r="A124">
            <v>42429</v>
          </cell>
          <cell r="B124">
            <v>-2.6861913048833408</v>
          </cell>
          <cell r="C124">
            <v>2.6220555555556002</v>
          </cell>
          <cell r="D124" t="str">
            <v>熊市</v>
          </cell>
          <cell r="E124" t="str">
            <v>熊市</v>
          </cell>
          <cell r="F124" t="str">
            <v>宽货币宽信用</v>
          </cell>
          <cell r="G124" t="str">
            <v>主动去库存</v>
          </cell>
          <cell r="I124" t="str">
            <v>滞涨</v>
          </cell>
          <cell r="J124" t="str">
            <v>产能周期下行,被动去库存</v>
          </cell>
          <cell r="K124">
            <v>-0.25</v>
          </cell>
          <cell r="L124">
            <v>0.04</v>
          </cell>
          <cell r="N124">
            <v>0.42857142857142855</v>
          </cell>
          <cell r="O124">
            <v>0.18181818181818182</v>
          </cell>
          <cell r="P124">
            <v>0.5</v>
          </cell>
          <cell r="Q124">
            <v>-0.2</v>
          </cell>
          <cell r="S124">
            <v>-0.14285714285714285</v>
          </cell>
          <cell r="T124">
            <v>-0.36363636363636365</v>
          </cell>
        </row>
        <row r="125">
          <cell r="A125">
            <v>42400</v>
          </cell>
          <cell r="B125">
            <v>-27.557180861300829</v>
          </cell>
          <cell r="C125">
            <v>-11.5460652173913</v>
          </cell>
          <cell r="D125" t="str">
            <v>熊市</v>
          </cell>
          <cell r="E125" t="str">
            <v>牛市</v>
          </cell>
          <cell r="F125" t="str">
            <v>宽货币宽信用</v>
          </cell>
          <cell r="G125" t="str">
            <v>主动去库存</v>
          </cell>
          <cell r="I125" t="str">
            <v>滞涨</v>
          </cell>
          <cell r="J125" t="str">
            <v>产能周期下行,主动去库存</v>
          </cell>
          <cell r="K125">
            <v>-0.42857142857142855</v>
          </cell>
          <cell r="L125">
            <v>0</v>
          </cell>
          <cell r="N125">
            <v>0.33333333333333331</v>
          </cell>
          <cell r="O125">
            <v>0.17857142857142858</v>
          </cell>
          <cell r="P125">
            <v>0.42857142857142855</v>
          </cell>
          <cell r="Q125">
            <v>-0.25</v>
          </cell>
          <cell r="S125">
            <v>-0.33333333333333331</v>
          </cell>
          <cell r="T125">
            <v>0.2857142857142857</v>
          </cell>
        </row>
        <row r="126">
          <cell r="A126">
            <v>42369</v>
          </cell>
          <cell r="B126">
            <v>5.3346948619639996</v>
          </cell>
          <cell r="C126">
            <v>-17.751863354037301</v>
          </cell>
          <cell r="D126" t="str">
            <v>牛市</v>
          </cell>
          <cell r="E126" t="str">
            <v>牛市</v>
          </cell>
          <cell r="F126" t="str">
            <v>宽货币宽信用</v>
          </cell>
          <cell r="G126" t="str">
            <v>主动去库存</v>
          </cell>
          <cell r="I126" t="str">
            <v>滞涨</v>
          </cell>
          <cell r="J126" t="str">
            <v>产能周期下行,主动去库存</v>
          </cell>
          <cell r="K126">
            <v>-0.66666666666666663</v>
          </cell>
          <cell r="L126">
            <v>-4.3478260869565216E-2</v>
          </cell>
          <cell r="N126">
            <v>0.2</v>
          </cell>
          <cell r="O126">
            <v>0.14814814814814814</v>
          </cell>
          <cell r="P126">
            <v>0.66666666666666663</v>
          </cell>
          <cell r="Q126">
            <v>-0.21739130434782608</v>
          </cell>
          <cell r="S126">
            <v>-0.2</v>
          </cell>
          <cell r="T126">
            <v>0.33333333333333331</v>
          </cell>
        </row>
        <row r="127">
          <cell r="A127">
            <v>42338</v>
          </cell>
          <cell r="B127">
            <v>6.2075221779242158</v>
          </cell>
          <cell r="C127">
            <v>3.3803174603174999</v>
          </cell>
          <cell r="D127" t="str">
            <v>牛市</v>
          </cell>
          <cell r="E127" t="str">
            <v>熊市</v>
          </cell>
          <cell r="F127" t="str">
            <v>宽货币宽信用</v>
          </cell>
          <cell r="G127" t="str">
            <v>主动去库存</v>
          </cell>
          <cell r="I127" t="str">
            <v>滞涨</v>
          </cell>
          <cell r="J127" t="str">
            <v>产能周期下行,主动去库存</v>
          </cell>
          <cell r="K127">
            <v>-1</v>
          </cell>
          <cell r="L127">
            <v>-9.0909090909090912E-2</v>
          </cell>
          <cell r="N127">
            <v>0.2</v>
          </cell>
          <cell r="O127">
            <v>0.11538461538461539</v>
          </cell>
          <cell r="P127">
            <v>0.6</v>
          </cell>
          <cell r="Q127">
            <v>-0.27272727272727271</v>
          </cell>
          <cell r="S127">
            <v>-0.6</v>
          </cell>
          <cell r="T127">
            <v>0.30769230769230771</v>
          </cell>
        </row>
        <row r="128">
          <cell r="A128">
            <v>42308</v>
          </cell>
          <cell r="B128">
            <v>17.101640519707018</v>
          </cell>
          <cell r="C128">
            <v>-23.252222222222201</v>
          </cell>
          <cell r="D128" t="str">
            <v>牛市</v>
          </cell>
          <cell r="E128" t="str">
            <v>牛市</v>
          </cell>
          <cell r="F128" t="str">
            <v>宽货币宽信用</v>
          </cell>
          <cell r="G128" t="str">
            <v>主动去库存</v>
          </cell>
          <cell r="I128" t="str">
            <v>滞涨</v>
          </cell>
          <cell r="J128" t="str">
            <v>产能周期下行,主动去库存</v>
          </cell>
          <cell r="K128">
            <v>-1</v>
          </cell>
          <cell r="L128">
            <v>-4.7619047619047616E-2</v>
          </cell>
          <cell r="N128">
            <v>0.6</v>
          </cell>
          <cell r="O128">
            <v>0.16</v>
          </cell>
          <cell r="P128">
            <v>0.5</v>
          </cell>
          <cell r="Q128">
            <v>-0.33333333333333331</v>
          </cell>
          <cell r="S128">
            <v>-1</v>
          </cell>
          <cell r="T128">
            <v>0.28000000000000003</v>
          </cell>
        </row>
        <row r="129">
          <cell r="A129">
            <v>42277</v>
          </cell>
          <cell r="B129">
            <v>-5.9193731722912561</v>
          </cell>
          <cell r="C129">
            <v>-15.6028571428572</v>
          </cell>
          <cell r="D129" t="str">
            <v>熊市</v>
          </cell>
          <cell r="E129" t="str">
            <v>牛市</v>
          </cell>
          <cell r="F129" t="str">
            <v>宽货币宽信用</v>
          </cell>
          <cell r="G129" t="str">
            <v>主动去库存</v>
          </cell>
          <cell r="I129" t="str">
            <v>滞涨</v>
          </cell>
          <cell r="J129" t="str">
            <v>产能周期下行,主动去库存</v>
          </cell>
        </row>
        <row r="130">
          <cell r="A130">
            <v>42247</v>
          </cell>
          <cell r="B130">
            <v>-15.34644855348151</v>
          </cell>
          <cell r="C130">
            <v>-2.5812008281573</v>
          </cell>
          <cell r="D130" t="str">
            <v>熊市</v>
          </cell>
          <cell r="E130" t="str">
            <v>牛市</v>
          </cell>
          <cell r="F130" t="str">
            <v>宽货币宽信用</v>
          </cell>
          <cell r="G130" t="str">
            <v>主动去库存</v>
          </cell>
          <cell r="I130" t="str">
            <v>衰退</v>
          </cell>
          <cell r="J130" t="str">
            <v>产能周期下行,主动去库存</v>
          </cell>
        </row>
        <row r="131">
          <cell r="A131">
            <v>42216</v>
          </cell>
          <cell r="B131">
            <v>-15.77186539178458</v>
          </cell>
          <cell r="C131">
            <v>-10.450227743271199</v>
          </cell>
          <cell r="D131" t="str">
            <v>熊市</v>
          </cell>
          <cell r="E131" t="str">
            <v>牛市</v>
          </cell>
          <cell r="F131" t="str">
            <v>宽货币宽信用</v>
          </cell>
          <cell r="G131" t="str">
            <v>主动去库存</v>
          </cell>
          <cell r="I131" t="str">
            <v>衰退</v>
          </cell>
          <cell r="J131" t="str">
            <v>产能周期下行,主动去库存</v>
          </cell>
        </row>
        <row r="132">
          <cell r="A132">
            <v>42185</v>
          </cell>
          <cell r="B132">
            <v>-10.52091608688832</v>
          </cell>
          <cell r="C132">
            <v>16.505619047619</v>
          </cell>
          <cell r="D132" t="str">
            <v>熊市</v>
          </cell>
          <cell r="E132" t="str">
            <v>熊市</v>
          </cell>
          <cell r="F132" t="str">
            <v>宽货币宽信用</v>
          </cell>
          <cell r="G132" t="str">
            <v>主动补库存</v>
          </cell>
          <cell r="I132" t="str">
            <v>复苏</v>
          </cell>
          <cell r="J132" t="str">
            <v>产能周期下行,主动去库存</v>
          </cell>
        </row>
        <row r="133">
          <cell r="A133">
            <v>42155</v>
          </cell>
          <cell r="B133">
            <v>15.04493796444957</v>
          </cell>
          <cell r="C133">
            <v>-9.0775238095238002</v>
          </cell>
          <cell r="D133" t="str">
            <v>牛市</v>
          </cell>
          <cell r="E133" t="str">
            <v>牛市</v>
          </cell>
          <cell r="F133" t="str">
            <v>宽货币紧信用</v>
          </cell>
          <cell r="G133" t="str">
            <v>主动补库存</v>
          </cell>
          <cell r="I133" t="str">
            <v>复苏</v>
          </cell>
          <cell r="J133" t="str">
            <v>产能周期下行,主动去库存</v>
          </cell>
        </row>
        <row r="134">
          <cell r="A134">
            <v>42124</v>
          </cell>
          <cell r="B134">
            <v>18.96374696552606</v>
          </cell>
          <cell r="C134">
            <v>2.8731601731601999</v>
          </cell>
          <cell r="D134" t="str">
            <v>牛市</v>
          </cell>
          <cell r="E134" t="str">
            <v>熊市</v>
          </cell>
          <cell r="F134" t="str">
            <v>宽货币紧信用</v>
          </cell>
          <cell r="G134" t="str">
            <v>主动补库存</v>
          </cell>
          <cell r="I134" t="str">
            <v>复苏</v>
          </cell>
          <cell r="J134" t="str">
            <v>产能周期下行,主动去库存</v>
          </cell>
        </row>
        <row r="135">
          <cell r="A135">
            <v>42094</v>
          </cell>
          <cell r="B135">
            <v>18.781488155255509</v>
          </cell>
          <cell r="C135">
            <v>10.471069518716501</v>
          </cell>
          <cell r="D135" t="str">
            <v>牛市</v>
          </cell>
          <cell r="E135" t="str">
            <v>熊市</v>
          </cell>
          <cell r="F135" t="str">
            <v>宽货币紧信用</v>
          </cell>
          <cell r="G135" t="str">
            <v>主动补库存</v>
          </cell>
          <cell r="I135" t="str">
            <v>衰退</v>
          </cell>
          <cell r="J135" t="str">
            <v>产能周期下行,主动去库存</v>
          </cell>
        </row>
        <row r="136">
          <cell r="A136">
            <v>42063</v>
          </cell>
          <cell r="B136">
            <v>6.2532348262002788</v>
          </cell>
          <cell r="C136">
            <v>-14.3280392156862</v>
          </cell>
          <cell r="D136" t="str">
            <v>牛市</v>
          </cell>
          <cell r="E136" t="str">
            <v>牛市</v>
          </cell>
          <cell r="F136" t="str">
            <v>宽货币紧信用</v>
          </cell>
          <cell r="G136" t="str">
            <v>主动补库存</v>
          </cell>
          <cell r="I136" t="str">
            <v>衰退</v>
          </cell>
          <cell r="J136" t="str">
            <v>产能周期下行,主动去库存</v>
          </cell>
        </row>
        <row r="137">
          <cell r="A137">
            <v>42035</v>
          </cell>
          <cell r="B137">
            <v>1.966177581590661</v>
          </cell>
          <cell r="C137">
            <v>-14.5844927536232</v>
          </cell>
          <cell r="D137" t="str">
            <v>牛市</v>
          </cell>
          <cell r="E137" t="str">
            <v>牛市</v>
          </cell>
          <cell r="F137" t="str">
            <v>宽货币紧信用</v>
          </cell>
          <cell r="G137" t="str">
            <v>主动补库存</v>
          </cell>
          <cell r="I137" t="str">
            <v>衰退</v>
          </cell>
          <cell r="J137" t="str">
            <v>产能周期下行,主动去库存</v>
          </cell>
        </row>
        <row r="138">
          <cell r="A138">
            <v>42004</v>
          </cell>
          <cell r="B138">
            <v>11.23774981655095</v>
          </cell>
          <cell r="C138">
            <v>9.7558260869564997</v>
          </cell>
          <cell r="D138" t="str">
            <v>牛市</v>
          </cell>
          <cell r="E138" t="str">
            <v>熊市</v>
          </cell>
          <cell r="F138" t="str">
            <v>宽货币紧信用</v>
          </cell>
          <cell r="G138" t="str">
            <v>主动补库存</v>
          </cell>
          <cell r="I138" t="str">
            <v>衰退</v>
          </cell>
          <cell r="J138" t="str">
            <v>产能周期下行,主动去库存</v>
          </cell>
        </row>
        <row r="139">
          <cell r="A139">
            <v>41973</v>
          </cell>
          <cell r="B139">
            <v>9.0157128204432109</v>
          </cell>
          <cell r="C139">
            <v>-25.628</v>
          </cell>
          <cell r="D139" t="str">
            <v>牛市</v>
          </cell>
          <cell r="E139" t="str">
            <v>牛市</v>
          </cell>
          <cell r="F139" t="str">
            <v>宽货币紧信用</v>
          </cell>
          <cell r="G139" t="str">
            <v>主动补库存</v>
          </cell>
          <cell r="I139" t="str">
            <v>衰退</v>
          </cell>
          <cell r="J139" t="str">
            <v>产能周期下行,主动去库存</v>
          </cell>
        </row>
        <row r="140">
          <cell r="A140">
            <v>41943</v>
          </cell>
          <cell r="B140">
            <v>2.0739901964825531</v>
          </cell>
          <cell r="C140">
            <v>-31.466818181818201</v>
          </cell>
          <cell r="D140" t="str">
            <v>牛市</v>
          </cell>
          <cell r="E140" t="str">
            <v>牛市</v>
          </cell>
          <cell r="F140" t="str">
            <v>宽货币紧信用</v>
          </cell>
          <cell r="G140" t="str">
            <v>被动补库存</v>
          </cell>
          <cell r="I140" t="str">
            <v>衰退</v>
          </cell>
          <cell r="J140" t="str">
            <v>产能周期下行,主动去库存</v>
          </cell>
        </row>
        <row r="141">
          <cell r="A141">
            <v>41912</v>
          </cell>
          <cell r="B141">
            <v>9.6784693902478072</v>
          </cell>
          <cell r="C141">
            <v>-9.0484199134199006</v>
          </cell>
          <cell r="D141" t="str">
            <v>牛市</v>
          </cell>
          <cell r="E141" t="str">
            <v>牛市</v>
          </cell>
          <cell r="F141" t="str">
            <v>宽货币紧信用</v>
          </cell>
          <cell r="G141" t="str">
            <v>被动补库存</v>
          </cell>
          <cell r="I141" t="str">
            <v>衰退</v>
          </cell>
          <cell r="J141" t="str">
            <v>产能周期下行,主动去库存</v>
          </cell>
        </row>
        <row r="142">
          <cell r="A142">
            <v>41882</v>
          </cell>
          <cell r="B142">
            <v>2.8302960759482589</v>
          </cell>
          <cell r="C142">
            <v>3.9569772256729001</v>
          </cell>
          <cell r="D142" t="str">
            <v>牛市</v>
          </cell>
          <cell r="E142" t="str">
            <v>熊市</v>
          </cell>
          <cell r="F142" t="str">
            <v>宽货币紧信用</v>
          </cell>
          <cell r="G142" t="str">
            <v>被动补库存</v>
          </cell>
          <cell r="I142" t="str">
            <v>衰退</v>
          </cell>
          <cell r="J142" t="str">
            <v>产能周期下行,主动去库存</v>
          </cell>
        </row>
        <row r="143">
          <cell r="A143">
            <v>41851</v>
          </cell>
          <cell r="B143">
            <v>8.5715214004806413</v>
          </cell>
          <cell r="C143">
            <v>15.4597608695652</v>
          </cell>
          <cell r="D143" t="str">
            <v>牛市</v>
          </cell>
          <cell r="E143" t="str">
            <v>熊市</v>
          </cell>
          <cell r="F143" t="str">
            <v>宽货币紧信用</v>
          </cell>
          <cell r="G143" t="str">
            <v>被动补库存</v>
          </cell>
          <cell r="I143" t="str">
            <v>滞涨</v>
          </cell>
          <cell r="J143" t="str">
            <v>产能周期下行,被动补库存</v>
          </cell>
        </row>
        <row r="144">
          <cell r="A144">
            <v>41820</v>
          </cell>
          <cell r="B144">
            <v>3.079712584468012</v>
          </cell>
          <cell r="C144">
            <v>-13.0643571428571</v>
          </cell>
          <cell r="D144" t="str">
            <v>牛市</v>
          </cell>
          <cell r="E144" t="str">
            <v>牛市</v>
          </cell>
          <cell r="F144" t="str">
            <v>宽货币紧信用</v>
          </cell>
          <cell r="G144" t="str">
            <v>被动补库存</v>
          </cell>
          <cell r="I144" t="str">
            <v>过热</v>
          </cell>
          <cell r="J144" t="str">
            <v>产能周期下行,主动补库存</v>
          </cell>
        </row>
        <row r="145">
          <cell r="A145">
            <v>41790</v>
          </cell>
          <cell r="B145">
            <v>1.492692557126873</v>
          </cell>
          <cell r="C145">
            <v>-20.32</v>
          </cell>
          <cell r="D145" t="str">
            <v>牛市</v>
          </cell>
          <cell r="E145" t="str">
            <v>牛市</v>
          </cell>
          <cell r="F145" t="str">
            <v>宽货币紧信用</v>
          </cell>
          <cell r="G145" t="str">
            <v>被动补库存</v>
          </cell>
          <cell r="I145" t="str">
            <v>过热</v>
          </cell>
          <cell r="J145" t="str">
            <v>产能周期下行,主动补库存</v>
          </cell>
        </row>
        <row r="146">
          <cell r="A146">
            <v>41759</v>
          </cell>
          <cell r="B146">
            <v>-0.76764701517843503</v>
          </cell>
          <cell r="C146">
            <v>-11.854761904761901</v>
          </cell>
          <cell r="D146" t="str">
            <v>震荡</v>
          </cell>
          <cell r="E146" t="str">
            <v>牛市</v>
          </cell>
          <cell r="F146" t="str">
            <v>宽货币紧信用</v>
          </cell>
          <cell r="G146" t="str">
            <v>被动补库存</v>
          </cell>
          <cell r="I146" t="str">
            <v>过热</v>
          </cell>
          <cell r="J146" t="str">
            <v>产能周期下行,主动补库存</v>
          </cell>
        </row>
        <row r="147">
          <cell r="A147">
            <v>41729</v>
          </cell>
          <cell r="B147">
            <v>-2.7917406664213411</v>
          </cell>
          <cell r="C147">
            <v>2.2511484593837001</v>
          </cell>
          <cell r="D147" t="str">
            <v>熊市</v>
          </cell>
          <cell r="E147" t="str">
            <v>熊市</v>
          </cell>
          <cell r="F147" t="str">
            <v>紧货币紧信用</v>
          </cell>
          <cell r="G147" t="str">
            <v>主动去库存</v>
          </cell>
          <cell r="I147" t="str">
            <v>复苏</v>
          </cell>
          <cell r="J147" t="str">
            <v>产能周期下行,主动补库存</v>
          </cell>
        </row>
        <row r="148">
          <cell r="A148">
            <v>41698</v>
          </cell>
          <cell r="B148">
            <v>0.86772018646912796</v>
          </cell>
          <cell r="C148">
            <v>-8.0112566844920003</v>
          </cell>
          <cell r="D148" t="str">
            <v>震荡</v>
          </cell>
          <cell r="E148" t="str">
            <v>牛市</v>
          </cell>
          <cell r="F148" t="str">
            <v>紧货币紧信用</v>
          </cell>
          <cell r="G148" t="str">
            <v>主动去库存</v>
          </cell>
          <cell r="I148" t="str">
            <v>衰退</v>
          </cell>
          <cell r="J148" t="str">
            <v>产能周期下行,主动补库存</v>
          </cell>
        </row>
        <row r="149">
          <cell r="A149">
            <v>41670</v>
          </cell>
          <cell r="B149">
            <v>-1.197924065255608</v>
          </cell>
          <cell r="C149">
            <v>1.3213636363637</v>
          </cell>
          <cell r="D149" t="str">
            <v>熊市</v>
          </cell>
          <cell r="E149" t="str">
            <v>震荡</v>
          </cell>
          <cell r="F149" t="str">
            <v>紧货币紧信用</v>
          </cell>
          <cell r="G149" t="str">
            <v>主动去库存</v>
          </cell>
          <cell r="I149" t="str">
            <v>衰退</v>
          </cell>
          <cell r="J149" t="str">
            <v>产能周期下行,主动补库存</v>
          </cell>
        </row>
        <row r="150">
          <cell r="A150">
            <v>41639</v>
          </cell>
          <cell r="B150">
            <v>-3.9460120334387301</v>
          </cell>
          <cell r="C150">
            <v>8.5901731601730997</v>
          </cell>
          <cell r="D150" t="str">
            <v>熊市</v>
          </cell>
          <cell r="E150" t="str">
            <v>熊市</v>
          </cell>
          <cell r="F150" t="str">
            <v>紧货币紧信用</v>
          </cell>
          <cell r="G150" t="str">
            <v>主动去库存</v>
          </cell>
          <cell r="I150" t="str">
            <v>衰退</v>
          </cell>
          <cell r="J150" t="str">
            <v>产能周期下行,主动补库存</v>
          </cell>
        </row>
        <row r="151">
          <cell r="A151">
            <v>41608</v>
          </cell>
          <cell r="B151">
            <v>5.245033397032361</v>
          </cell>
          <cell r="C151">
            <v>34.996190476190499</v>
          </cell>
          <cell r="D151" t="str">
            <v>牛市</v>
          </cell>
          <cell r="E151" t="str">
            <v>熊市</v>
          </cell>
          <cell r="F151" t="str">
            <v>紧货币紧信用</v>
          </cell>
          <cell r="G151" t="str">
            <v>主动去库存</v>
          </cell>
          <cell r="I151" t="str">
            <v>衰退</v>
          </cell>
          <cell r="J151" t="str">
            <v>产能周期下行,主动补库存</v>
          </cell>
        </row>
        <row r="152">
          <cell r="A152">
            <v>41578</v>
          </cell>
          <cell r="B152">
            <v>-2.8042317796420488</v>
          </cell>
          <cell r="C152">
            <v>6.48</v>
          </cell>
          <cell r="D152" t="str">
            <v>熊市</v>
          </cell>
          <cell r="E152" t="str">
            <v>熊市</v>
          </cell>
          <cell r="F152" t="str">
            <v>紧货币紧信用</v>
          </cell>
          <cell r="G152" t="str">
            <v>主动去库存</v>
          </cell>
          <cell r="I152" t="str">
            <v>衰退</v>
          </cell>
          <cell r="J152" t="str">
            <v>产能周期下行,主动补库存</v>
          </cell>
        </row>
        <row r="153">
          <cell r="A153">
            <v>41547</v>
          </cell>
          <cell r="B153">
            <v>5.4048369096063507</v>
          </cell>
          <cell r="C153">
            <v>13.5490909090909</v>
          </cell>
          <cell r="D153" t="str">
            <v>牛市</v>
          </cell>
          <cell r="E153" t="str">
            <v>熊市</v>
          </cell>
          <cell r="F153" t="str">
            <v>紧货币紧信用</v>
          </cell>
          <cell r="G153" t="str">
            <v>主动去库存</v>
          </cell>
          <cell r="I153" t="str">
            <v>滞涨</v>
          </cell>
          <cell r="J153" t="str">
            <v>产能周期下行,主动补库存</v>
          </cell>
        </row>
        <row r="154">
          <cell r="A154">
            <v>41517</v>
          </cell>
          <cell r="B154">
            <v>6.6020783024532488</v>
          </cell>
          <cell r="C154">
            <v>27.858735177865601</v>
          </cell>
          <cell r="D154" t="str">
            <v>牛市</v>
          </cell>
          <cell r="E154" t="str">
            <v>熊市</v>
          </cell>
          <cell r="F154" t="str">
            <v>紧货币紧信用</v>
          </cell>
          <cell r="G154" t="str">
            <v>主动去库存</v>
          </cell>
          <cell r="I154" t="str">
            <v>过热</v>
          </cell>
          <cell r="J154" t="str">
            <v>产能周期下行,主动补库存</v>
          </cell>
        </row>
        <row r="155">
          <cell r="A155">
            <v>41486</v>
          </cell>
          <cell r="B155">
            <v>3.7627719258704171</v>
          </cell>
          <cell r="C155">
            <v>11.9869107551488</v>
          </cell>
          <cell r="D155" t="str">
            <v>牛市</v>
          </cell>
          <cell r="E155" t="str">
            <v>熊市</v>
          </cell>
          <cell r="F155" t="str">
            <v>紧货币紧信用</v>
          </cell>
          <cell r="G155" t="str">
            <v>主动去库存</v>
          </cell>
          <cell r="I155" t="str">
            <v>过热</v>
          </cell>
          <cell r="J155" t="str">
            <v>产能周期下行,被动去库存</v>
          </cell>
        </row>
        <row r="156">
          <cell r="A156">
            <v>41455</v>
          </cell>
          <cell r="B156">
            <v>-14.997738136432121</v>
          </cell>
          <cell r="C156">
            <v>9.0111722488038009</v>
          </cell>
          <cell r="D156" t="str">
            <v>熊市</v>
          </cell>
          <cell r="E156" t="str">
            <v>熊市</v>
          </cell>
          <cell r="F156" t="str">
            <v>紧货币紧信用</v>
          </cell>
          <cell r="G156" t="str">
            <v>主动去库存</v>
          </cell>
          <cell r="I156" t="str">
            <v>过热</v>
          </cell>
          <cell r="J156" t="str">
            <v>产能周期下行,被动去库存</v>
          </cell>
        </row>
        <row r="157">
          <cell r="A157">
            <v>41425</v>
          </cell>
          <cell r="B157">
            <v>9.7979906200596911</v>
          </cell>
          <cell r="C157">
            <v>-3.573051948052</v>
          </cell>
          <cell r="D157" t="str">
            <v>牛市</v>
          </cell>
          <cell r="E157" t="str">
            <v>牛市</v>
          </cell>
          <cell r="F157" t="str">
            <v>紧货币宽信用</v>
          </cell>
          <cell r="G157" t="str">
            <v>主动去库存</v>
          </cell>
          <cell r="I157" t="str">
            <v>复苏</v>
          </cell>
          <cell r="J157" t="str">
            <v>产能周期下行,被动去库存</v>
          </cell>
        </row>
        <row r="158">
          <cell r="A158">
            <v>41394</v>
          </cell>
          <cell r="B158">
            <v>-2.0890106033861628</v>
          </cell>
          <cell r="C158">
            <v>-11.8695238095238</v>
          </cell>
          <cell r="D158" t="str">
            <v>熊市</v>
          </cell>
          <cell r="E158" t="str">
            <v>牛市</v>
          </cell>
          <cell r="F158" t="str">
            <v>紧货币宽信用</v>
          </cell>
          <cell r="G158" t="str">
            <v>主动去库存</v>
          </cell>
          <cell r="I158" t="str">
            <v>复苏</v>
          </cell>
          <cell r="J158" t="str">
            <v>产能周期下行,被动去库存</v>
          </cell>
        </row>
        <row r="159">
          <cell r="A159">
            <v>41364</v>
          </cell>
          <cell r="B159">
            <v>-5.3591550873242388</v>
          </cell>
          <cell r="C159">
            <v>-0.85509803921570005</v>
          </cell>
          <cell r="D159" t="str">
            <v>熊市</v>
          </cell>
          <cell r="E159" t="str">
            <v>震荡</v>
          </cell>
          <cell r="F159" t="str">
            <v>紧货币宽信用</v>
          </cell>
          <cell r="G159" t="str">
            <v>主动去库存</v>
          </cell>
          <cell r="I159" t="str">
            <v>复苏</v>
          </cell>
          <cell r="J159" t="str">
            <v>产能周期下行,被动去库存</v>
          </cell>
        </row>
        <row r="160">
          <cell r="A160">
            <v>41333</v>
          </cell>
          <cell r="B160">
            <v>1.26804026638818</v>
          </cell>
          <cell r="C160">
            <v>-0.60732620320849995</v>
          </cell>
          <cell r="D160" t="str">
            <v>牛市</v>
          </cell>
          <cell r="E160" t="str">
            <v>震荡</v>
          </cell>
          <cell r="F160" t="str">
            <v>紧货币宽信用</v>
          </cell>
          <cell r="G160" t="str">
            <v>主动去库存</v>
          </cell>
          <cell r="I160" t="str">
            <v>过热</v>
          </cell>
          <cell r="J160" t="str">
            <v>产能周期下行,被动去库存</v>
          </cell>
        </row>
        <row r="161">
          <cell r="A161">
            <v>41305</v>
          </cell>
          <cell r="B161">
            <v>5.0916680160486498</v>
          </cell>
          <cell r="C161">
            <v>1.6471861471861</v>
          </cell>
          <cell r="D161" t="str">
            <v>牛市</v>
          </cell>
          <cell r="E161" t="str">
            <v>震荡</v>
          </cell>
          <cell r="F161" t="str">
            <v>紧货币宽信用</v>
          </cell>
          <cell r="G161" t="str">
            <v>主动去库存</v>
          </cell>
          <cell r="I161" t="str">
            <v>过热</v>
          </cell>
          <cell r="J161" t="str">
            <v>产能周期下行,被动去库存</v>
          </cell>
        </row>
        <row r="162">
          <cell r="A162">
            <v>41274</v>
          </cell>
          <cell r="B162">
            <v>15.042379459157379</v>
          </cell>
          <cell r="C162">
            <v>2.9205411255412002</v>
          </cell>
          <cell r="D162" t="str">
            <v>牛市</v>
          </cell>
          <cell r="E162" t="str">
            <v>熊市</v>
          </cell>
          <cell r="F162" t="str">
            <v>紧货币宽信用</v>
          </cell>
          <cell r="G162" t="str">
            <v>主动去库存</v>
          </cell>
          <cell r="I162" t="str">
            <v>过热</v>
          </cell>
          <cell r="J162" t="str">
            <v>产能周期下行,被动去库存</v>
          </cell>
        </row>
        <row r="163">
          <cell r="A163">
            <v>41243</v>
          </cell>
          <cell r="B163">
            <v>-5.9600393183521332</v>
          </cell>
          <cell r="C163">
            <v>2.3058080808080001</v>
          </cell>
          <cell r="D163" t="str">
            <v>熊市</v>
          </cell>
          <cell r="E163" t="str">
            <v>熊市</v>
          </cell>
          <cell r="F163" t="str">
            <v>紧货币宽信用</v>
          </cell>
          <cell r="G163" t="str">
            <v>主动去库存</v>
          </cell>
          <cell r="I163" t="str">
            <v>过热</v>
          </cell>
          <cell r="J163" t="str">
            <v>产能周期下行,被动去库存</v>
          </cell>
        </row>
        <row r="164">
          <cell r="A164">
            <v>41213</v>
          </cell>
          <cell r="B164">
            <v>-0.91418432193174504</v>
          </cell>
          <cell r="C164">
            <v>5.6088888888888997</v>
          </cell>
          <cell r="D164" t="str">
            <v>震荡</v>
          </cell>
          <cell r="E164" t="str">
            <v>熊市</v>
          </cell>
          <cell r="F164" t="str">
            <v>紧货币宽信用</v>
          </cell>
          <cell r="G164" t="str">
            <v>主动去库存</v>
          </cell>
          <cell r="I164" t="str">
            <v>过热</v>
          </cell>
          <cell r="J164" t="str">
            <v>产能周期下行,被动去库存</v>
          </cell>
        </row>
        <row r="165">
          <cell r="A165">
            <v>41182</v>
          </cell>
          <cell r="B165">
            <v>2.390298400987775</v>
          </cell>
          <cell r="C165">
            <v>13.009275362318901</v>
          </cell>
          <cell r="D165" t="str">
            <v>牛市</v>
          </cell>
          <cell r="E165" t="str">
            <v>熊市</v>
          </cell>
          <cell r="F165" t="str">
            <v>紧货币宽信用</v>
          </cell>
          <cell r="G165" t="str">
            <v>主动去库存</v>
          </cell>
          <cell r="I165" t="str">
            <v>复苏</v>
          </cell>
          <cell r="J165" t="str">
            <v>产能周期下行,被动去库存</v>
          </cell>
        </row>
        <row r="166">
          <cell r="A166">
            <v>41152</v>
          </cell>
          <cell r="B166">
            <v>-2.4177296966059001</v>
          </cell>
          <cell r="C166">
            <v>5.5573913043478003</v>
          </cell>
          <cell r="D166" t="str">
            <v>熊市</v>
          </cell>
          <cell r="E166" t="str">
            <v>熊市</v>
          </cell>
          <cell r="F166" t="str">
            <v>紧货币宽信用</v>
          </cell>
          <cell r="G166" t="str">
            <v>主动补库存</v>
          </cell>
          <cell r="I166" t="str">
            <v>衰退</v>
          </cell>
          <cell r="J166" t="str">
            <v>产能周期下行,主动去库存</v>
          </cell>
        </row>
        <row r="167">
          <cell r="A167">
            <v>41121</v>
          </cell>
          <cell r="B167">
            <v>-5.5393318802712788</v>
          </cell>
          <cell r="C167">
            <v>-8.3915000000000006</v>
          </cell>
          <cell r="D167" t="str">
            <v>熊市</v>
          </cell>
          <cell r="E167" t="str">
            <v>牛市</v>
          </cell>
          <cell r="F167" t="str">
            <v>紧货币宽信用</v>
          </cell>
          <cell r="G167" t="str">
            <v>主动补库存</v>
          </cell>
          <cell r="I167" t="str">
            <v>衰退</v>
          </cell>
          <cell r="J167" t="str">
            <v>产能周期下行,主动去库存</v>
          </cell>
        </row>
        <row r="168">
          <cell r="A168">
            <v>41090</v>
          </cell>
          <cell r="B168">
            <v>-5.0787622195509101</v>
          </cell>
          <cell r="C168">
            <v>-6.7366818181817996</v>
          </cell>
          <cell r="D168" t="str">
            <v>熊市</v>
          </cell>
          <cell r="E168" t="str">
            <v>牛市</v>
          </cell>
          <cell r="F168" t="str">
            <v>宽货币宽信用</v>
          </cell>
          <cell r="G168" t="str">
            <v>主动补库存</v>
          </cell>
          <cell r="I168" t="str">
            <v>衰退</v>
          </cell>
          <cell r="J168" t="str">
            <v>产能周期下行,主动去库存</v>
          </cell>
        </row>
        <row r="169">
          <cell r="A169">
            <v>41060</v>
          </cell>
          <cell r="B169">
            <v>-4.2343992804932E-2</v>
          </cell>
          <cell r="C169">
            <v>-9.9560287081339993</v>
          </cell>
          <cell r="D169" t="str">
            <v>震荡</v>
          </cell>
          <cell r="E169" t="str">
            <v>牛市</v>
          </cell>
          <cell r="F169" t="str">
            <v>宽货币紧信用</v>
          </cell>
          <cell r="G169" t="str">
            <v>主动补库存</v>
          </cell>
          <cell r="I169" t="str">
            <v>衰退</v>
          </cell>
          <cell r="J169" t="str">
            <v>产能周期下行,主动去库存</v>
          </cell>
        </row>
        <row r="170">
          <cell r="A170">
            <v>41029</v>
          </cell>
          <cell r="B170">
            <v>5.9095212802808117</v>
          </cell>
          <cell r="C170">
            <v>-0.52970251716250005</v>
          </cell>
          <cell r="D170" t="str">
            <v>牛市</v>
          </cell>
          <cell r="E170" t="str">
            <v>震荡</v>
          </cell>
          <cell r="F170" t="str">
            <v>宽货币紧信用</v>
          </cell>
          <cell r="G170" t="str">
            <v>主动补库存</v>
          </cell>
          <cell r="I170" t="str">
            <v>衰退</v>
          </cell>
          <cell r="J170" t="str">
            <v>产能周期下行,主动去库存</v>
          </cell>
        </row>
        <row r="171">
          <cell r="A171">
            <v>40999</v>
          </cell>
          <cell r="B171">
            <v>-6.8880762914331379</v>
          </cell>
          <cell r="C171">
            <v>2.9405797101450002</v>
          </cell>
          <cell r="D171" t="str">
            <v>熊市</v>
          </cell>
          <cell r="E171" t="str">
            <v>熊市</v>
          </cell>
          <cell r="F171" t="str">
            <v>宽货币紧信用</v>
          </cell>
          <cell r="G171" t="str">
            <v>主动补库存</v>
          </cell>
          <cell r="I171" t="str">
            <v>衰退</v>
          </cell>
          <cell r="J171" t="str">
            <v>产能周期下行,主动去库存</v>
          </cell>
        </row>
        <row r="172">
          <cell r="A172">
            <v>40968</v>
          </cell>
          <cell r="B172">
            <v>7.1089637588007557</v>
          </cell>
          <cell r="C172">
            <v>10.776862745098001</v>
          </cell>
          <cell r="D172" t="str">
            <v>牛市</v>
          </cell>
          <cell r="E172" t="str">
            <v>熊市</v>
          </cell>
          <cell r="F172" t="str">
            <v>宽货币紧信用</v>
          </cell>
          <cell r="G172" t="str">
            <v>主动补库存</v>
          </cell>
          <cell r="I172" t="str">
            <v>衰退</v>
          </cell>
          <cell r="J172" t="str">
            <v>产能周期下行,主动去库存</v>
          </cell>
        </row>
        <row r="173">
          <cell r="A173">
            <v>40939</v>
          </cell>
          <cell r="B173">
            <v>3.2413778166379692</v>
          </cell>
          <cell r="C173">
            <v>-6.8839641943733998</v>
          </cell>
          <cell r="D173" t="str">
            <v>牛市</v>
          </cell>
          <cell r="E173" t="str">
            <v>牛市</v>
          </cell>
          <cell r="F173" t="str">
            <v>宽货币紧信用</v>
          </cell>
          <cell r="G173" t="str">
            <v>主动补库存</v>
          </cell>
          <cell r="I173" t="str">
            <v>衰退</v>
          </cell>
          <cell r="J173" t="str">
            <v>产能周期下行,主动去库存</v>
          </cell>
        </row>
        <row r="174">
          <cell r="A174">
            <v>40908</v>
          </cell>
          <cell r="B174">
            <v>-7.2623860987349298</v>
          </cell>
          <cell r="C174">
            <v>-17.729565217391301</v>
          </cell>
          <cell r="D174" t="str">
            <v>熊市</v>
          </cell>
          <cell r="E174" t="str">
            <v>牛市</v>
          </cell>
          <cell r="F174" t="str">
            <v>宽货币紧信用</v>
          </cell>
          <cell r="G174" t="str">
            <v>被动补库存</v>
          </cell>
          <cell r="I174" t="str">
            <v>衰退</v>
          </cell>
          <cell r="J174" t="str">
            <v>产能周期下行,主动去库存</v>
          </cell>
        </row>
        <row r="175">
          <cell r="A175">
            <v>40877</v>
          </cell>
          <cell r="B175">
            <v>-5.050242012244353</v>
          </cell>
          <cell r="C175">
            <v>-13.0077777777778</v>
          </cell>
          <cell r="D175" t="str">
            <v>熊市</v>
          </cell>
          <cell r="E175" t="str">
            <v>牛市</v>
          </cell>
          <cell r="F175" t="str">
            <v>宽货币紧信用</v>
          </cell>
          <cell r="G175" t="str">
            <v>被动补库存</v>
          </cell>
          <cell r="I175" t="str">
            <v>衰退</v>
          </cell>
          <cell r="J175" t="str">
            <v>产能周期下行,主动去库存</v>
          </cell>
        </row>
        <row r="176">
          <cell r="A176">
            <v>40847</v>
          </cell>
          <cell r="B176">
            <v>4.3136687758885541</v>
          </cell>
          <cell r="C176">
            <v>-23.5226984126984</v>
          </cell>
          <cell r="D176" t="str">
            <v>牛市</v>
          </cell>
          <cell r="E176" t="str">
            <v>牛市</v>
          </cell>
          <cell r="F176" t="str">
            <v>紧货币紧信用</v>
          </cell>
          <cell r="G176" t="str">
            <v>被动补库存</v>
          </cell>
          <cell r="I176" t="str">
            <v>衰退</v>
          </cell>
          <cell r="J176" t="str">
            <v>产能周期下行,主动去库存</v>
          </cell>
        </row>
        <row r="177">
          <cell r="A177">
            <v>40816</v>
          </cell>
          <cell r="B177">
            <v>-8.8790554461960749</v>
          </cell>
          <cell r="C177">
            <v>1.5048240165632001</v>
          </cell>
          <cell r="D177" t="str">
            <v>熊市</v>
          </cell>
          <cell r="E177" t="str">
            <v>震荡</v>
          </cell>
          <cell r="F177" t="str">
            <v>紧货币紧信用</v>
          </cell>
          <cell r="G177" t="str">
            <v>被动补库存</v>
          </cell>
          <cell r="I177" t="str">
            <v>衰退</v>
          </cell>
          <cell r="J177" t="str">
            <v>产能周期下行,主动去库存</v>
          </cell>
        </row>
        <row r="178">
          <cell r="A178">
            <v>40786</v>
          </cell>
          <cell r="B178">
            <v>-4.5905219015482999</v>
          </cell>
          <cell r="C178">
            <v>2.6656521739130001</v>
          </cell>
          <cell r="D178" t="str">
            <v>熊市</v>
          </cell>
          <cell r="E178" t="str">
            <v>熊市</v>
          </cell>
          <cell r="F178" t="str">
            <v>紧货币紧信用</v>
          </cell>
          <cell r="G178" t="str">
            <v>被动补库存</v>
          </cell>
          <cell r="I178" t="str">
            <v>衰退</v>
          </cell>
          <cell r="J178" t="str">
            <v>产能周期下行,被动补库存</v>
          </cell>
        </row>
        <row r="179">
          <cell r="A179">
            <v>40755</v>
          </cell>
          <cell r="B179">
            <v>-1.0225879085944509</v>
          </cell>
          <cell r="C179">
            <v>6.9547619047618996</v>
          </cell>
          <cell r="D179" t="str">
            <v>熊市</v>
          </cell>
          <cell r="E179" t="str">
            <v>熊市</v>
          </cell>
          <cell r="F179" t="str">
            <v>紧货币紧信用</v>
          </cell>
          <cell r="G179" t="str">
            <v>被动补库存</v>
          </cell>
          <cell r="I179" t="str">
            <v>滞涨</v>
          </cell>
          <cell r="J179" t="str">
            <v>产能周期下行,被动补库存</v>
          </cell>
        </row>
        <row r="180">
          <cell r="A180">
            <v>40724</v>
          </cell>
          <cell r="B180">
            <v>2.4037830723389071</v>
          </cell>
          <cell r="C180">
            <v>6.2547619047619003</v>
          </cell>
          <cell r="D180" t="str">
            <v>牛市</v>
          </cell>
          <cell r="E180" t="str">
            <v>熊市</v>
          </cell>
          <cell r="F180" t="str">
            <v>紧货币紧信用</v>
          </cell>
          <cell r="G180" t="str">
            <v>被动补库存</v>
          </cell>
          <cell r="I180" t="str">
            <v>过热</v>
          </cell>
          <cell r="J180" t="str">
            <v>产能周期下行,被动补库存</v>
          </cell>
        </row>
        <row r="181">
          <cell r="A181">
            <v>40694</v>
          </cell>
          <cell r="B181">
            <v>-5.9862132546239959</v>
          </cell>
          <cell r="C181">
            <v>-5.1445238095238004</v>
          </cell>
          <cell r="D181" t="str">
            <v>熊市</v>
          </cell>
          <cell r="E181" t="str">
            <v>牛市</v>
          </cell>
          <cell r="F181" t="str">
            <v>紧货币紧信用</v>
          </cell>
          <cell r="G181" t="str">
            <v>被动补库存</v>
          </cell>
          <cell r="I181" t="str">
            <v>过热</v>
          </cell>
          <cell r="J181" t="str">
            <v>产能周期下行,被动补库存</v>
          </cell>
        </row>
        <row r="182">
          <cell r="A182">
            <v>40663</v>
          </cell>
          <cell r="B182">
            <v>-1.3641957482069329</v>
          </cell>
          <cell r="C182">
            <v>-0.71152173913039996</v>
          </cell>
          <cell r="D182" t="str">
            <v>熊市</v>
          </cell>
          <cell r="E182" t="str">
            <v>震荡</v>
          </cell>
          <cell r="F182" t="str">
            <v>紧货币紧信用</v>
          </cell>
          <cell r="G182" t="str">
            <v>被动补库存</v>
          </cell>
          <cell r="I182" t="str">
            <v>过热</v>
          </cell>
          <cell r="J182" t="str">
            <v>产能周期下行,被动补库存</v>
          </cell>
        </row>
        <row r="183">
          <cell r="A183">
            <v>40633</v>
          </cell>
          <cell r="B183">
            <v>0.19017037510877199</v>
          </cell>
          <cell r="C183">
            <v>-13.8797282608696</v>
          </cell>
          <cell r="D183" t="str">
            <v>震荡</v>
          </cell>
          <cell r="E183" t="str">
            <v>牛市</v>
          </cell>
          <cell r="F183" t="str">
            <v>紧货币紧信用</v>
          </cell>
          <cell r="G183" t="str">
            <v>被动补库存</v>
          </cell>
          <cell r="I183" t="str">
            <v>过热</v>
          </cell>
          <cell r="J183" t="str">
            <v>产能周期下行,被动补库存</v>
          </cell>
        </row>
        <row r="184">
          <cell r="A184">
            <v>40602</v>
          </cell>
          <cell r="B184">
            <v>5.3113636155169379</v>
          </cell>
          <cell r="C184">
            <v>10.1495833333333</v>
          </cell>
          <cell r="D184" t="str">
            <v>牛市</v>
          </cell>
          <cell r="E184" t="str">
            <v>熊市</v>
          </cell>
          <cell r="F184" t="str">
            <v>紧货币紧信用</v>
          </cell>
          <cell r="G184" t="str">
            <v>被动补库存</v>
          </cell>
          <cell r="I184" t="str">
            <v>过热</v>
          </cell>
          <cell r="J184" t="str">
            <v>产能周期下行,被动补库存</v>
          </cell>
        </row>
        <row r="185">
          <cell r="A185">
            <v>40574</v>
          </cell>
          <cell r="B185">
            <v>-2.0329280515564072</v>
          </cell>
          <cell r="C185">
            <v>8.3888405797101999</v>
          </cell>
          <cell r="D185" t="str">
            <v>熊市</v>
          </cell>
          <cell r="E185" t="str">
            <v>熊市</v>
          </cell>
          <cell r="F185" t="str">
            <v>紧货币紧信用</v>
          </cell>
          <cell r="G185" t="str">
            <v>被动补库存</v>
          </cell>
          <cell r="I185" t="str">
            <v>过热</v>
          </cell>
          <cell r="J185" t="str">
            <v>产能周期下行,被动补库存</v>
          </cell>
        </row>
        <row r="186">
          <cell r="A186">
            <v>40543</v>
          </cell>
          <cell r="B186">
            <v>-0.88950301865811998</v>
          </cell>
          <cell r="C186">
            <v>-4.0130830039526</v>
          </cell>
          <cell r="D186" t="str">
            <v>震荡</v>
          </cell>
          <cell r="E186" t="str">
            <v>牛市</v>
          </cell>
          <cell r="F186" t="str">
            <v>紧货币紧信用</v>
          </cell>
          <cell r="G186" t="str">
            <v>主动补库存</v>
          </cell>
          <cell r="I186" t="str">
            <v>过热</v>
          </cell>
          <cell r="J186" t="str">
            <v>产能周期下行,被动补库存</v>
          </cell>
        </row>
        <row r="187">
          <cell r="A187">
            <v>40512</v>
          </cell>
          <cell r="B187">
            <v>-4.2456609191278147</v>
          </cell>
          <cell r="C187">
            <v>36.662673796791502</v>
          </cell>
          <cell r="D187" t="str">
            <v>熊市</v>
          </cell>
          <cell r="E187" t="str">
            <v>熊市</v>
          </cell>
          <cell r="F187" t="str">
            <v>紧货币紧信用</v>
          </cell>
          <cell r="G187" t="str">
            <v>主动补库存</v>
          </cell>
          <cell r="I187" t="str">
            <v>过热</v>
          </cell>
          <cell r="J187" t="str">
            <v>产能周期上行,被动补库存</v>
          </cell>
        </row>
        <row r="188">
          <cell r="A188">
            <v>40482</v>
          </cell>
          <cell r="B188">
            <v>12.009215124344189</v>
          </cell>
          <cell r="C188">
            <v>21.6250534759358</v>
          </cell>
          <cell r="D188" t="str">
            <v>牛市</v>
          </cell>
          <cell r="E188" t="str">
            <v>熊市</v>
          </cell>
          <cell r="F188" t="str">
            <v>紧货币紧信用</v>
          </cell>
          <cell r="G188" t="str">
            <v>主动补库存</v>
          </cell>
          <cell r="I188" t="str">
            <v>滞涨</v>
          </cell>
          <cell r="J188" t="str">
            <v>产能周期上行,被动补库存</v>
          </cell>
        </row>
        <row r="189">
          <cell r="A189">
            <v>40451</v>
          </cell>
          <cell r="B189">
            <v>1.064926308036618</v>
          </cell>
          <cell r="C189">
            <v>5.1231818181818003</v>
          </cell>
          <cell r="D189" t="str">
            <v>牛市</v>
          </cell>
          <cell r="E189" t="str">
            <v>熊市</v>
          </cell>
          <cell r="F189" t="str">
            <v>紧货币紧信用</v>
          </cell>
          <cell r="G189" t="str">
            <v>主动补库存</v>
          </cell>
          <cell r="I189" t="str">
            <v>滞涨</v>
          </cell>
          <cell r="J189" t="str">
            <v>产能周期上行,被动补库存</v>
          </cell>
        </row>
        <row r="190">
          <cell r="A190">
            <v>40421</v>
          </cell>
          <cell r="B190">
            <v>2.5407969860142732</v>
          </cell>
          <cell r="C190">
            <v>2.11</v>
          </cell>
          <cell r="D190" t="str">
            <v>牛市</v>
          </cell>
          <cell r="E190" t="str">
            <v>熊市</v>
          </cell>
        </row>
        <row r="191">
          <cell r="A191">
            <v>40390</v>
          </cell>
          <cell r="B191">
            <v>11.866384340456669</v>
          </cell>
          <cell r="C191">
            <v>-8.2090476190476007</v>
          </cell>
          <cell r="D191" t="str">
            <v>牛市</v>
          </cell>
          <cell r="E191" t="str">
            <v>牛市</v>
          </cell>
        </row>
        <row r="192">
          <cell r="A192">
            <v>40359</v>
          </cell>
          <cell r="B192">
            <v>-7.6506119310571838</v>
          </cell>
          <cell r="C192">
            <v>5.8210476190475999</v>
          </cell>
          <cell r="D192" t="str">
            <v>熊市</v>
          </cell>
          <cell r="E192" t="str">
            <v>熊市</v>
          </cell>
        </row>
        <row r="193">
          <cell r="A193">
            <v>40329</v>
          </cell>
          <cell r="B193">
            <v>-8.3030861037104398</v>
          </cell>
          <cell r="C193">
            <v>-19.166285714285699</v>
          </cell>
          <cell r="D193" t="str">
            <v>熊市</v>
          </cell>
          <cell r="E193" t="str">
            <v>牛市</v>
          </cell>
        </row>
        <row r="194">
          <cell r="A194">
            <v>40298</v>
          </cell>
          <cell r="B194">
            <v>-7.6926722890442809</v>
          </cell>
          <cell r="C194">
            <v>4.5855900621118</v>
          </cell>
          <cell r="D194" t="str">
            <v>熊市</v>
          </cell>
          <cell r="E194" t="str">
            <v>熊市</v>
          </cell>
        </row>
        <row r="195">
          <cell r="A195">
            <v>40268</v>
          </cell>
          <cell r="B195">
            <v>2.5550184672956551</v>
          </cell>
          <cell r="C195">
            <v>-6.8665984654732002</v>
          </cell>
          <cell r="D195" t="str">
            <v>牛市</v>
          </cell>
          <cell r="E195" t="str">
            <v>牛市</v>
          </cell>
        </row>
        <row r="196">
          <cell r="A196">
            <v>40237</v>
          </cell>
          <cell r="B196">
            <v>3.0999694842707819</v>
          </cell>
          <cell r="C196">
            <v>-16.9182058823529</v>
          </cell>
          <cell r="D196" t="str">
            <v>牛市</v>
          </cell>
          <cell r="E196" t="str">
            <v>牛市</v>
          </cell>
        </row>
        <row r="197">
          <cell r="A197">
            <v>40209</v>
          </cell>
          <cell r="B197">
            <v>-8.5718015819445963</v>
          </cell>
          <cell r="C197">
            <v>1.4182826086957001</v>
          </cell>
          <cell r="D197" t="str">
            <v>熊市</v>
          </cell>
          <cell r="E197" t="str">
            <v>震荡</v>
          </cell>
        </row>
        <row r="198">
          <cell r="A198">
            <v>40178</v>
          </cell>
          <cell r="B198">
            <v>2.9649181150660331</v>
          </cell>
          <cell r="C198">
            <v>-4.9476397515528001</v>
          </cell>
          <cell r="D198" t="str">
            <v>牛市</v>
          </cell>
          <cell r="E198" t="str">
            <v>牛市</v>
          </cell>
        </row>
        <row r="199">
          <cell r="A199">
            <v>40147</v>
          </cell>
          <cell r="B199">
            <v>8.4831374991479436</v>
          </cell>
          <cell r="C199">
            <v>1.6581512605041999</v>
          </cell>
          <cell r="D199" t="str">
            <v>牛市</v>
          </cell>
          <cell r="E199" t="str">
            <v>震荡</v>
          </cell>
        </row>
        <row r="200">
          <cell r="A200">
            <v>40117</v>
          </cell>
          <cell r="B200">
            <v>9.361587919299609</v>
          </cell>
          <cell r="C200">
            <v>18.289923273657202</v>
          </cell>
          <cell r="D200" t="str">
            <v>牛市</v>
          </cell>
          <cell r="E200" t="str">
            <v>熊市</v>
          </cell>
        </row>
        <row r="201">
          <cell r="A201">
            <v>40086</v>
          </cell>
          <cell r="B201">
            <v>5.0738071703708263</v>
          </cell>
          <cell r="C201">
            <v>-2.9375983436853002</v>
          </cell>
          <cell r="D201" t="str">
            <v>牛市</v>
          </cell>
          <cell r="E201" t="str">
            <v>牛市</v>
          </cell>
        </row>
        <row r="202">
          <cell r="A202">
            <v>40056</v>
          </cell>
          <cell r="B202">
            <v>-21.213033418416511</v>
          </cell>
          <cell r="C202">
            <v>12.448033126294</v>
          </cell>
          <cell r="D202" t="str">
            <v>熊市</v>
          </cell>
          <cell r="E202" t="str">
            <v>熊市</v>
          </cell>
        </row>
        <row r="203">
          <cell r="A203">
            <v>40025</v>
          </cell>
          <cell r="B203">
            <v>16.251667871823951</v>
          </cell>
          <cell r="C203">
            <v>21.5202569169961</v>
          </cell>
          <cell r="D203" t="str">
            <v>牛市</v>
          </cell>
          <cell r="E203" t="str">
            <v>熊市</v>
          </cell>
        </row>
        <row r="204">
          <cell r="A204">
            <v>39994</v>
          </cell>
          <cell r="B204">
            <v>11.57404538211598</v>
          </cell>
          <cell r="C204">
            <v>11.4898803827751</v>
          </cell>
          <cell r="D204" t="str">
            <v>牛市</v>
          </cell>
          <cell r="E204" t="str">
            <v>熊市</v>
          </cell>
        </row>
        <row r="205">
          <cell r="A205">
            <v>39964</v>
          </cell>
          <cell r="B205">
            <v>5.4172014571134746</v>
          </cell>
          <cell r="C205">
            <v>-11.4857894736842</v>
          </cell>
          <cell r="D205" t="str">
            <v>牛市</v>
          </cell>
          <cell r="E205" t="str">
            <v>牛市</v>
          </cell>
        </row>
        <row r="206">
          <cell r="A206">
            <v>39933</v>
          </cell>
          <cell r="B206">
            <v>4.9179933081584073</v>
          </cell>
          <cell r="C206">
            <v>1.8</v>
          </cell>
          <cell r="D206" t="str">
            <v>牛市</v>
          </cell>
          <cell r="E206" t="str">
            <v>震荡</v>
          </cell>
        </row>
        <row r="207">
          <cell r="A207">
            <v>39903</v>
          </cell>
          <cell r="B207">
            <v>18.38774091015075</v>
          </cell>
          <cell r="C207">
            <v>-3.7919047619047999</v>
          </cell>
          <cell r="D207" t="str">
            <v>牛市</v>
          </cell>
          <cell r="E207" t="str">
            <v>牛市</v>
          </cell>
        </row>
        <row r="208">
          <cell r="A208">
            <v>39872</v>
          </cell>
          <cell r="B208">
            <v>5.7331828074874007</v>
          </cell>
          <cell r="C208">
            <v>31.152492997198902</v>
          </cell>
          <cell r="D208" t="str">
            <v>牛市</v>
          </cell>
          <cell r="E208" t="str">
            <v>熊市</v>
          </cell>
        </row>
        <row r="209">
          <cell r="A209">
            <v>39844</v>
          </cell>
          <cell r="B209">
            <v>13.14412357343096</v>
          </cell>
          <cell r="C209">
            <v>2.4159335038363001</v>
          </cell>
          <cell r="D209" t="str">
            <v>牛市</v>
          </cell>
          <cell r="E209" t="str">
            <v>熊市</v>
          </cell>
        </row>
        <row r="210">
          <cell r="A210">
            <v>39813</v>
          </cell>
          <cell r="B210">
            <v>1.4628722997557519</v>
          </cell>
          <cell r="C210">
            <v>-15.1730217391304</v>
          </cell>
          <cell r="D210" t="str">
            <v>牛市</v>
          </cell>
          <cell r="E210" t="str">
            <v>牛市</v>
          </cell>
        </row>
        <row r="211">
          <cell r="A211">
            <v>39782</v>
          </cell>
          <cell r="B211">
            <v>12.63705375756617</v>
          </cell>
          <cell r="C211">
            <v>-18.836500000000001</v>
          </cell>
          <cell r="D211" t="str">
            <v>牛市</v>
          </cell>
          <cell r="E211" t="str">
            <v>牛市</v>
          </cell>
        </row>
        <row r="212">
          <cell r="A212">
            <v>39752</v>
          </cell>
          <cell r="B212">
            <v>-25.748628997696581</v>
          </cell>
          <cell r="C212">
            <v>-72.582714285714303</v>
          </cell>
          <cell r="D212" t="str">
            <v>熊市</v>
          </cell>
          <cell r="E212" t="str">
            <v>牛市</v>
          </cell>
        </row>
        <row r="213">
          <cell r="A213">
            <v>39721</v>
          </cell>
          <cell r="B213">
            <v>-6.61651660953875</v>
          </cell>
          <cell r="C213">
            <v>-49.573809523809501</v>
          </cell>
          <cell r="D213" t="str">
            <v>熊市</v>
          </cell>
          <cell r="E213" t="str">
            <v>牛市</v>
          </cell>
        </row>
        <row r="214">
          <cell r="A214">
            <v>39691</v>
          </cell>
          <cell r="B214">
            <v>-17.10106888997937</v>
          </cell>
          <cell r="C214">
            <v>-4.7817805383023</v>
          </cell>
          <cell r="D214" t="str">
            <v>熊市</v>
          </cell>
          <cell r="E214" t="str">
            <v>牛市</v>
          </cell>
        </row>
        <row r="215">
          <cell r="A215">
            <v>39660</v>
          </cell>
          <cell r="B215">
            <v>3.0455231961990541</v>
          </cell>
          <cell r="C215">
            <v>12.900804347826099</v>
          </cell>
          <cell r="D215" t="str">
            <v>牛市</v>
          </cell>
          <cell r="E215" t="str">
            <v>熊市</v>
          </cell>
        </row>
        <row r="216">
          <cell r="A216">
            <v>39629</v>
          </cell>
          <cell r="B216">
            <v>-22.414807405538092</v>
          </cell>
          <cell r="C216">
            <v>19.106214285714302</v>
          </cell>
          <cell r="D216" t="str">
            <v>熊市</v>
          </cell>
          <cell r="E216" t="str">
            <v>熊市</v>
          </cell>
        </row>
        <row r="217">
          <cell r="A217">
            <v>39599</v>
          </cell>
          <cell r="B217">
            <v>-7.5468323049154806</v>
          </cell>
          <cell r="C217">
            <v>10.163809523809499</v>
          </cell>
          <cell r="D217" t="str">
            <v>熊市</v>
          </cell>
          <cell r="E217" t="str">
            <v>熊市</v>
          </cell>
        </row>
        <row r="218">
          <cell r="A218">
            <v>39568</v>
          </cell>
          <cell r="B218">
            <v>2.6680251701053099</v>
          </cell>
          <cell r="C218">
            <v>-7.2123809523808999</v>
          </cell>
          <cell r="D218" t="str">
            <v>牛市</v>
          </cell>
          <cell r="E218" t="str">
            <v>牛市</v>
          </cell>
        </row>
        <row r="219">
          <cell r="A219">
            <v>39538</v>
          </cell>
          <cell r="B219">
            <v>-19.11566884014794</v>
          </cell>
          <cell r="C219">
            <v>-4.0371428571429</v>
          </cell>
          <cell r="D219" t="str">
            <v>熊市</v>
          </cell>
          <cell r="E219" t="str">
            <v>牛市</v>
          </cell>
        </row>
        <row r="220">
          <cell r="A220">
            <v>39507</v>
          </cell>
          <cell r="B220">
            <v>3.424329356043355</v>
          </cell>
          <cell r="C220">
            <v>-19.639545454545502</v>
          </cell>
          <cell r="D220" t="str">
            <v>牛市</v>
          </cell>
          <cell r="E220" t="str">
            <v>牛市</v>
          </cell>
        </row>
        <row r="221">
          <cell r="A221">
            <v>39478</v>
          </cell>
          <cell r="B221">
            <v>-11.08793550407114</v>
          </cell>
          <cell r="C221">
            <v>-11.505692640692599</v>
          </cell>
          <cell r="D221" t="str">
            <v>熊市</v>
          </cell>
          <cell r="E221" t="str">
            <v>牛市</v>
          </cell>
        </row>
        <row r="222">
          <cell r="A222">
            <v>39447</v>
          </cell>
          <cell r="B222">
            <v>14.859034207454521</v>
          </cell>
          <cell r="C222">
            <v>-8.1483982683982994</v>
          </cell>
          <cell r="D222" t="str">
            <v>牛市</v>
          </cell>
          <cell r="E222" t="str">
            <v>牛市</v>
          </cell>
        </row>
        <row r="223">
          <cell r="A223">
            <v>39416</v>
          </cell>
          <cell r="B223">
            <v>-14.53131517454452</v>
          </cell>
          <cell r="C223">
            <v>11.0147474747475</v>
          </cell>
          <cell r="D223" t="str">
            <v>熊市</v>
          </cell>
          <cell r="E223" t="str">
            <v>熊市</v>
          </cell>
        </row>
        <row r="224">
          <cell r="A224">
            <v>39386</v>
          </cell>
          <cell r="B224">
            <v>-1.4492371373879771</v>
          </cell>
          <cell r="C224">
            <v>3.3447979797979999</v>
          </cell>
          <cell r="D224" t="str">
            <v>熊市</v>
          </cell>
          <cell r="E224" t="str">
            <v>熊市</v>
          </cell>
        </row>
        <row r="225">
          <cell r="A225">
            <v>39355</v>
          </cell>
          <cell r="B225">
            <v>4.8266799083907337</v>
          </cell>
          <cell r="C225">
            <v>11.5749604743083</v>
          </cell>
          <cell r="D225" t="str">
            <v>牛市</v>
          </cell>
          <cell r="E225" t="str">
            <v>熊市</v>
          </cell>
        </row>
        <row r="226">
          <cell r="A226">
            <v>39325</v>
          </cell>
          <cell r="B226">
            <v>15.61178914084773</v>
          </cell>
          <cell r="C226">
            <v>-14.1585968379447</v>
          </cell>
          <cell r="D226" t="str">
            <v>牛市</v>
          </cell>
          <cell r="E226" t="str">
            <v>牛市</v>
          </cell>
        </row>
        <row r="227">
          <cell r="A227">
            <v>39294</v>
          </cell>
          <cell r="B227">
            <v>19.487496614026711</v>
          </cell>
          <cell r="C227">
            <v>13.2805844155844</v>
          </cell>
          <cell r="D227" t="str">
            <v>牛市</v>
          </cell>
          <cell r="E227" t="str">
            <v>熊市</v>
          </cell>
        </row>
        <row r="228">
          <cell r="A228">
            <v>39263</v>
          </cell>
          <cell r="B228">
            <v>-8.7839079269089098</v>
          </cell>
          <cell r="C228">
            <v>41.175476190476203</v>
          </cell>
          <cell r="D228" t="str">
            <v>熊市</v>
          </cell>
          <cell r="E228" t="str">
            <v>熊市</v>
          </cell>
        </row>
        <row r="229">
          <cell r="A229">
            <v>39233</v>
          </cell>
          <cell r="B229">
            <v>10.03251689576971</v>
          </cell>
          <cell r="C229">
            <v>35.2181884057971</v>
          </cell>
          <cell r="D229" t="str">
            <v>牛市</v>
          </cell>
          <cell r="E229" t="str">
            <v>熊市</v>
          </cell>
        </row>
        <row r="230">
          <cell r="A230">
            <v>39202</v>
          </cell>
          <cell r="B230">
            <v>29.154446009859861</v>
          </cell>
          <cell r="C230">
            <v>23.1630237154151</v>
          </cell>
          <cell r="D230" t="str">
            <v>牛市</v>
          </cell>
          <cell r="E230" t="str">
            <v>熊市</v>
          </cell>
        </row>
        <row r="231">
          <cell r="A231">
            <v>39172</v>
          </cell>
          <cell r="B231">
            <v>12.00026397433925</v>
          </cell>
          <cell r="C231">
            <v>19.148101604278001</v>
          </cell>
          <cell r="D231" t="str">
            <v>牛市</v>
          </cell>
          <cell r="E231" t="str">
            <v>熊市</v>
          </cell>
        </row>
        <row r="232">
          <cell r="A232">
            <v>39141</v>
          </cell>
          <cell r="B232">
            <v>10.35012291086144</v>
          </cell>
          <cell r="C232">
            <v>8.0488529411765004</v>
          </cell>
          <cell r="D232" t="str">
            <v>牛市</v>
          </cell>
          <cell r="E232" t="str">
            <v>熊市</v>
          </cell>
        </row>
        <row r="233">
          <cell r="A233">
            <v>39113</v>
          </cell>
          <cell r="B233">
            <v>18.606424013833081</v>
          </cell>
          <cell r="C233">
            <v>0.47089130434780002</v>
          </cell>
          <cell r="D233" t="str">
            <v>牛市</v>
          </cell>
          <cell r="E233" t="str">
            <v>震荡</v>
          </cell>
        </row>
        <row r="234">
          <cell r="A234">
            <v>39082</v>
          </cell>
          <cell r="B234">
            <v>13.990770711636641</v>
          </cell>
          <cell r="C234">
            <v>3.8830632411066999</v>
          </cell>
          <cell r="D234" t="str">
            <v>牛市</v>
          </cell>
          <cell r="E234" t="str">
            <v>熊市</v>
          </cell>
        </row>
        <row r="235">
          <cell r="A235">
            <v>39051</v>
          </cell>
          <cell r="B235">
            <v>11.987553533202361</v>
          </cell>
          <cell r="C235">
            <v>2.7212121212121998</v>
          </cell>
          <cell r="D235" t="str">
            <v>牛市</v>
          </cell>
          <cell r="E235" t="str">
            <v>熊市</v>
          </cell>
        </row>
        <row r="236">
          <cell r="A236">
            <v>39021</v>
          </cell>
          <cell r="B236">
            <v>2.2219003338026919</v>
          </cell>
          <cell r="C236">
            <v>-16.8825757575758</v>
          </cell>
          <cell r="D236" t="str">
            <v>牛市</v>
          </cell>
          <cell r="E236" t="str">
            <v>牛市</v>
          </cell>
        </row>
        <row r="237">
          <cell r="A237">
            <v>38990</v>
          </cell>
          <cell r="B237">
            <v>4.7396317461610602</v>
          </cell>
          <cell r="C237">
            <v>-11.965177865612601</v>
          </cell>
          <cell r="D237" t="str">
            <v>牛市</v>
          </cell>
          <cell r="E237" t="str">
            <v>牛市</v>
          </cell>
        </row>
        <row r="238">
          <cell r="A238">
            <v>38960</v>
          </cell>
          <cell r="B238">
            <v>3.7282663042330091</v>
          </cell>
          <cell r="C238">
            <v>3.8808488612835998</v>
          </cell>
          <cell r="D238" t="str">
            <v>牛市</v>
          </cell>
          <cell r="E238" t="str">
            <v>熊市</v>
          </cell>
        </row>
        <row r="239">
          <cell r="A239">
            <v>38929</v>
          </cell>
          <cell r="B239">
            <v>-5.3855439124323947</v>
          </cell>
          <cell r="C239">
            <v>11.388874458874501</v>
          </cell>
          <cell r="D239" t="str">
            <v>熊市</v>
          </cell>
          <cell r="E239" t="str">
            <v>熊市</v>
          </cell>
        </row>
        <row r="240">
          <cell r="A240">
            <v>38898</v>
          </cell>
          <cell r="B240">
            <v>3.7753559040965681</v>
          </cell>
          <cell r="C240">
            <v>8.4419191919191992</v>
          </cell>
          <cell r="D240" t="str">
            <v>牛市</v>
          </cell>
          <cell r="E240" t="str">
            <v>熊市</v>
          </cell>
        </row>
        <row r="241">
          <cell r="A241">
            <v>38868</v>
          </cell>
          <cell r="B241">
            <v>19.749219184930151</v>
          </cell>
          <cell r="C241">
            <v>2.8644444444444002</v>
          </cell>
          <cell r="D241" t="str">
            <v>牛市</v>
          </cell>
          <cell r="E241" t="str">
            <v>熊市</v>
          </cell>
        </row>
        <row r="242">
          <cell r="A242">
            <v>38837</v>
          </cell>
          <cell r="B242">
            <v>11.04557049832149</v>
          </cell>
          <cell r="C242">
            <v>7.0278260869564999</v>
          </cell>
          <cell r="D242" t="str">
            <v>牛市</v>
          </cell>
          <cell r="E242" t="str">
            <v>熊市</v>
          </cell>
        </row>
        <row r="243">
          <cell r="A243">
            <v>38807</v>
          </cell>
          <cell r="B243">
            <v>2.0414763784119132</v>
          </cell>
          <cell r="C243">
            <v>-1.7578260869564999</v>
          </cell>
          <cell r="D243" t="str">
            <v>牛市</v>
          </cell>
          <cell r="E243" t="str">
            <v>震荡</v>
          </cell>
        </row>
        <row r="244">
          <cell r="A244">
            <v>38776</v>
          </cell>
          <cell r="B244">
            <v>3.1450484320926519</v>
          </cell>
          <cell r="C244">
            <v>-9.2668421052631995</v>
          </cell>
          <cell r="D244" t="str">
            <v>牛市</v>
          </cell>
          <cell r="E244" t="str">
            <v>牛市</v>
          </cell>
        </row>
        <row r="245">
          <cell r="A245">
            <v>38748</v>
          </cell>
          <cell r="B245">
            <v>8.7632366884648025</v>
          </cell>
          <cell r="C245">
            <v>-20.6931578947368</v>
          </cell>
          <cell r="D245" t="str">
            <v>牛市</v>
          </cell>
          <cell r="E245" t="str">
            <v>牛市</v>
          </cell>
        </row>
        <row r="246">
          <cell r="A246">
            <v>38717</v>
          </cell>
          <cell r="B246">
            <v>4.5096546190432827</v>
          </cell>
          <cell r="C246">
            <v>-3.4313636363636002</v>
          </cell>
          <cell r="D246" t="str">
            <v>牛市</v>
          </cell>
          <cell r="E246" t="str">
            <v>牛市</v>
          </cell>
        </row>
        <row r="247">
          <cell r="A247">
            <v>38686</v>
          </cell>
          <cell r="B247">
            <v>0.207151416187878</v>
          </cell>
          <cell r="C247">
            <v>28.004696969696901</v>
          </cell>
          <cell r="D247" t="str">
            <v>震荡</v>
          </cell>
          <cell r="E247" t="str">
            <v>熊市</v>
          </cell>
        </row>
        <row r="248">
          <cell r="A248">
            <v>38656</v>
          </cell>
          <cell r="B248">
            <v>-5.5253453268511787</v>
          </cell>
          <cell r="C248">
            <v>-35.828333333333298</v>
          </cell>
          <cell r="D248" t="str">
            <v>熊市</v>
          </cell>
          <cell r="E248" t="str">
            <v>牛市</v>
          </cell>
        </row>
        <row r="249">
          <cell r="A249">
            <v>38625</v>
          </cell>
          <cell r="B249">
            <v>0.449658121806356</v>
          </cell>
          <cell r="C249">
            <v>2.3032608695652002</v>
          </cell>
          <cell r="D249" t="str">
            <v>震荡</v>
          </cell>
          <cell r="E249" t="str">
            <v>熊市</v>
          </cell>
        </row>
        <row r="250">
          <cell r="A250">
            <v>38595</v>
          </cell>
          <cell r="B250">
            <v>9.8016584931009927</v>
          </cell>
          <cell r="C250">
            <v>-7.6387370600414002</v>
          </cell>
          <cell r="D250" t="str">
            <v>牛市</v>
          </cell>
          <cell r="E250" t="str">
            <v>牛市</v>
          </cell>
        </row>
        <row r="251">
          <cell r="A251">
            <v>38564</v>
          </cell>
          <cell r="B251">
            <v>-2.4235108241786039</v>
          </cell>
          <cell r="C251">
            <v>-25.5195238095238</v>
          </cell>
          <cell r="D251" t="str">
            <v>熊市</v>
          </cell>
          <cell r="E251" t="str">
            <v>牛市</v>
          </cell>
        </row>
        <row r="252">
          <cell r="A252">
            <v>38533</v>
          </cell>
          <cell r="B252">
            <v>1.0757244092617519</v>
          </cell>
          <cell r="C252">
            <v>-20.870555555555601</v>
          </cell>
          <cell r="D252" t="str">
            <v>牛市</v>
          </cell>
          <cell r="E252" t="str">
            <v>牛市</v>
          </cell>
        </row>
        <row r="253">
          <cell r="A253">
            <v>38503</v>
          </cell>
          <cell r="B253">
            <v>-6.6532597396532021</v>
          </cell>
          <cell r="C253">
            <v>-20.399444444444399</v>
          </cell>
          <cell r="D253" t="str">
            <v>熊市</v>
          </cell>
          <cell r="E253" t="str">
            <v>牛市</v>
          </cell>
        </row>
        <row r="254">
          <cell r="A254">
            <v>38472</v>
          </cell>
          <cell r="B254">
            <v>-3.5041496266320982</v>
          </cell>
          <cell r="C254">
            <v>-46.693913043478297</v>
          </cell>
          <cell r="D254" t="str">
            <v>熊市</v>
          </cell>
          <cell r="E254" t="str">
            <v>牛市</v>
          </cell>
        </row>
        <row r="255">
          <cell r="A255">
            <v>38442</v>
          </cell>
          <cell r="B255">
            <v>-11.033767738899741</v>
          </cell>
          <cell r="C255">
            <v>-29.136086956521702</v>
          </cell>
          <cell r="D255" t="str">
            <v>熊市</v>
          </cell>
          <cell r="E255" t="str">
            <v>牛市</v>
          </cell>
        </row>
        <row r="256">
          <cell r="A256">
            <v>38411</v>
          </cell>
          <cell r="B256">
            <v>9.8261264751749113</v>
          </cell>
          <cell r="C256">
            <v>-22.86</v>
          </cell>
          <cell r="D256" t="str">
            <v>牛市</v>
          </cell>
          <cell r="E256" t="str">
            <v>牛市</v>
          </cell>
        </row>
        <row r="257">
          <cell r="A257">
            <v>38383</v>
          </cell>
          <cell r="B257">
            <v>-6.5926808522967137</v>
          </cell>
          <cell r="C257">
            <v>-14.762173913043499</v>
          </cell>
          <cell r="D257" t="str">
            <v>熊市</v>
          </cell>
          <cell r="E257" t="str">
            <v>牛市</v>
          </cell>
        </row>
        <row r="258">
          <cell r="A258">
            <v>38352</v>
          </cell>
          <cell r="B258">
            <v>-7.0597806957649007</v>
          </cell>
          <cell r="C258">
            <v>-4.4555533596838002</v>
          </cell>
          <cell r="D258" t="str">
            <v>熊市</v>
          </cell>
          <cell r="E258" t="str">
            <v>牛市</v>
          </cell>
        </row>
        <row r="259">
          <cell r="A259">
            <v>38321</v>
          </cell>
          <cell r="B259">
            <v>2.7561575216792051</v>
          </cell>
          <cell r="C259">
            <v>21.7471717171717</v>
          </cell>
          <cell r="D259" t="str">
            <v>牛市</v>
          </cell>
          <cell r="E259" t="str">
            <v>熊市</v>
          </cell>
        </row>
        <row r="260">
          <cell r="A260">
            <v>38291</v>
          </cell>
          <cell r="B260">
            <v>-5.7268996407965496</v>
          </cell>
          <cell r="C260">
            <v>-14.425808080808</v>
          </cell>
          <cell r="D260" t="str">
            <v>熊市</v>
          </cell>
          <cell r="E260" t="str">
            <v>牛市</v>
          </cell>
        </row>
        <row r="261">
          <cell r="A261">
            <v>38260</v>
          </cell>
          <cell r="B261">
            <v>5.1577329134208467</v>
          </cell>
          <cell r="C261">
            <v>33.138636363636301</v>
          </cell>
          <cell r="D261" t="str">
            <v>牛市</v>
          </cell>
          <cell r="E261" t="str">
            <v>熊市</v>
          </cell>
        </row>
        <row r="262">
          <cell r="A262">
            <v>38230</v>
          </cell>
          <cell r="B262">
            <v>-4.8801460015897291</v>
          </cell>
          <cell r="C262">
            <v>18.4709090909091</v>
          </cell>
          <cell r="D262" t="str">
            <v>熊市</v>
          </cell>
          <cell r="E262" t="str">
            <v>熊市</v>
          </cell>
        </row>
        <row r="263">
          <cell r="A263">
            <v>38199</v>
          </cell>
          <cell r="B263">
            <v>-0.892143775975068</v>
          </cell>
          <cell r="C263">
            <v>33.507272727272699</v>
          </cell>
          <cell r="D263" t="str">
            <v>震荡</v>
          </cell>
          <cell r="E263" t="str">
            <v>熊市</v>
          </cell>
        </row>
        <row r="264">
          <cell r="A264">
            <v>38168</v>
          </cell>
          <cell r="B264">
            <v>-11.53417616134977</v>
          </cell>
          <cell r="C264">
            <v>1.4556565656566001</v>
          </cell>
          <cell r="D264" t="str">
            <v>熊市</v>
          </cell>
          <cell r="E264" t="str">
            <v>震荡</v>
          </cell>
        </row>
        <row r="265">
          <cell r="A265">
            <v>38138</v>
          </cell>
          <cell r="B265">
            <v>-2.3972091718631372</v>
          </cell>
          <cell r="C265">
            <v>13.4581746031746</v>
          </cell>
          <cell r="D265" t="str">
            <v>熊市</v>
          </cell>
          <cell r="E265" t="str">
            <v>熊市</v>
          </cell>
        </row>
        <row r="266">
          <cell r="A266">
            <v>38107</v>
          </cell>
          <cell r="B266">
            <v>-9.6376260460906806</v>
          </cell>
          <cell r="C266">
            <v>28.7648447204969</v>
          </cell>
          <cell r="D266" t="str">
            <v>熊市</v>
          </cell>
          <cell r="E266" t="str">
            <v>熊市</v>
          </cell>
        </row>
        <row r="267">
          <cell r="A267">
            <v>38077</v>
          </cell>
          <cell r="B267">
            <v>3.26168046538168</v>
          </cell>
          <cell r="C267">
            <v>5.1428695652174001</v>
          </cell>
          <cell r="D267" t="str">
            <v>牛市</v>
          </cell>
          <cell r="E267" t="str">
            <v>熊市</v>
          </cell>
        </row>
        <row r="268">
          <cell r="A268">
            <v>38046</v>
          </cell>
          <cell r="B268">
            <v>7.6793349435083362</v>
          </cell>
          <cell r="C268">
            <v>4.2802222222221999</v>
          </cell>
          <cell r="D268" t="str">
            <v>牛市</v>
          </cell>
          <cell r="E268" t="str">
            <v>熊市</v>
          </cell>
        </row>
        <row r="269">
          <cell r="A269">
            <v>38017</v>
          </cell>
          <cell r="B269">
            <v>7.685796910634096</v>
          </cell>
          <cell r="C269">
            <v>0.52516908212559998</v>
          </cell>
          <cell r="D269" t="str">
            <v>牛市</v>
          </cell>
          <cell r="E269" t="str">
            <v>震荡</v>
          </cell>
        </row>
        <row r="270">
          <cell r="A270">
            <v>37986</v>
          </cell>
          <cell r="B270">
            <v>2.9608280666766231</v>
          </cell>
          <cell r="C270">
            <v>18.756292906178501</v>
          </cell>
          <cell r="D270" t="str">
            <v>牛市</v>
          </cell>
          <cell r="E270" t="str">
            <v>熊市</v>
          </cell>
        </row>
        <row r="271">
          <cell r="A271">
            <v>37955</v>
          </cell>
          <cell r="B271">
            <v>2.1279522571891718</v>
          </cell>
          <cell r="C271">
            <v>23.803538011695899</v>
          </cell>
          <cell r="D271" t="str">
            <v>牛市</v>
          </cell>
          <cell r="E271" t="str">
            <v>熊市</v>
          </cell>
        </row>
        <row r="272">
          <cell r="A272">
            <v>37925</v>
          </cell>
          <cell r="B272">
            <v>-4.1759294063772421</v>
          </cell>
          <cell r="C272">
            <v>31.0486111111111</v>
          </cell>
          <cell r="D272" t="str">
            <v>熊市</v>
          </cell>
          <cell r="E272" t="str">
            <v>熊市</v>
          </cell>
        </row>
        <row r="273">
          <cell r="A273">
            <v>37894</v>
          </cell>
          <cell r="B273">
            <v>-4.4038155819377449</v>
          </cell>
          <cell r="C273">
            <v>15.2230555555556</v>
          </cell>
          <cell r="D273" t="str">
            <v>熊市</v>
          </cell>
          <cell r="E273" t="str">
            <v>熊市</v>
          </cell>
        </row>
        <row r="274">
          <cell r="A274">
            <v>37864</v>
          </cell>
          <cell r="B274">
            <v>-3.01931391309797</v>
          </cell>
          <cell r="C274">
            <v>-5.9014975845411</v>
          </cell>
          <cell r="D274" t="str">
            <v>熊市</v>
          </cell>
          <cell r="E274" t="str">
            <v>牛市</v>
          </cell>
        </row>
        <row r="275">
          <cell r="A275">
            <v>37833</v>
          </cell>
          <cell r="B275">
            <v>-1.6446175095763691</v>
          </cell>
          <cell r="C275">
            <v>4.7281086956521996</v>
          </cell>
          <cell r="D275" t="str">
            <v>熊市</v>
          </cell>
          <cell r="E275" t="str">
            <v>熊市</v>
          </cell>
        </row>
        <row r="276">
          <cell r="A276">
            <v>37802</v>
          </cell>
          <cell r="B276">
            <v>-6.7399573814398099</v>
          </cell>
          <cell r="C276">
            <v>6.6055526315788997</v>
          </cell>
          <cell r="D276" t="str">
            <v>熊市</v>
          </cell>
          <cell r="E276" t="str">
            <v>熊市</v>
          </cell>
        </row>
        <row r="277">
          <cell r="A277">
            <v>37772</v>
          </cell>
          <cell r="B277">
            <v>4.3940377229108059</v>
          </cell>
          <cell r="C277">
            <v>-17.886290726816998</v>
          </cell>
          <cell r="D277" t="str">
            <v>牛市</v>
          </cell>
          <cell r="E277" t="str">
            <v>牛市</v>
          </cell>
        </row>
        <row r="278">
          <cell r="A278">
            <v>37741</v>
          </cell>
          <cell r="B278">
            <v>-1.371381627335946</v>
          </cell>
          <cell r="C278">
            <v>-6.6004761904761997</v>
          </cell>
          <cell r="D278" t="str">
            <v>熊市</v>
          </cell>
          <cell r="E278" t="str">
            <v>牛市</v>
          </cell>
        </row>
        <row r="279">
          <cell r="A279">
            <v>37711</v>
          </cell>
          <cell r="B279">
            <v>-1.5079090628798379</v>
          </cell>
          <cell r="C279">
            <v>-10.6895798319328</v>
          </cell>
          <cell r="D279" t="str">
            <v>熊市</v>
          </cell>
          <cell r="E279" t="str">
            <v>牛市</v>
          </cell>
        </row>
        <row r="280">
          <cell r="A280">
            <v>37680</v>
          </cell>
          <cell r="B280">
            <v>1.0006099410163181</v>
          </cell>
          <cell r="C280">
            <v>5.3148395721926001</v>
          </cell>
          <cell r="D280" t="str">
            <v>牛市</v>
          </cell>
          <cell r="E280" t="str">
            <v>熊市</v>
          </cell>
        </row>
        <row r="281">
          <cell r="A281">
            <v>37652</v>
          </cell>
          <cell r="B281">
            <v>9.9618915147784612</v>
          </cell>
          <cell r="C281">
            <v>-12.1745454545455</v>
          </cell>
          <cell r="D281" t="str">
            <v>牛市</v>
          </cell>
          <cell r="E281" t="str">
            <v>牛市</v>
          </cell>
        </row>
        <row r="282">
          <cell r="A282">
            <v>37621</v>
          </cell>
          <cell r="B282">
            <v>-5.4468961187091027</v>
          </cell>
          <cell r="C282">
            <v>-4.2764285714285997</v>
          </cell>
          <cell r="D282" t="str">
            <v>熊市</v>
          </cell>
          <cell r="E282" t="str">
            <v>牛市</v>
          </cell>
        </row>
        <row r="283">
          <cell r="A283">
            <v>37590</v>
          </cell>
          <cell r="B283">
            <v>-6.7172030225605104</v>
          </cell>
          <cell r="C283">
            <v>22.386428571428599</v>
          </cell>
          <cell r="D283" t="str">
            <v>熊市</v>
          </cell>
          <cell r="E283" t="str">
            <v>熊市</v>
          </cell>
        </row>
        <row r="284">
          <cell r="A284">
            <v>37560</v>
          </cell>
          <cell r="B284">
            <v>-5.1838332449555917</v>
          </cell>
          <cell r="C284">
            <v>-9.4819565217391002</v>
          </cell>
          <cell r="D284" t="str">
            <v>熊市</v>
          </cell>
          <cell r="E284" t="str">
            <v>牛市</v>
          </cell>
        </row>
        <row r="285">
          <cell r="A285">
            <v>37529</v>
          </cell>
          <cell r="B285">
            <v>-5.5987590395966977</v>
          </cell>
          <cell r="C285">
            <v>5.4045755693580997</v>
          </cell>
          <cell r="D285" t="str">
            <v>熊市</v>
          </cell>
          <cell r="E285" t="str">
            <v>熊市</v>
          </cell>
        </row>
        <row r="286">
          <cell r="A286">
            <v>37499</v>
          </cell>
          <cell r="B286">
            <v>0.73744044288311095</v>
          </cell>
          <cell r="C286">
            <v>39.681946169772303</v>
          </cell>
          <cell r="D286" t="str">
            <v>震荡</v>
          </cell>
          <cell r="E286" t="str">
            <v>熊市</v>
          </cell>
        </row>
        <row r="287">
          <cell r="A287">
            <v>37468</v>
          </cell>
          <cell r="B287">
            <v>-4.0648959029585416</v>
          </cell>
          <cell r="C287">
            <v>19.611934782608699</v>
          </cell>
          <cell r="D287" t="str">
            <v>熊市</v>
          </cell>
          <cell r="E287" t="str">
            <v>熊市</v>
          </cell>
        </row>
        <row r="288">
          <cell r="A288">
            <v>37437</v>
          </cell>
          <cell r="B288">
            <v>13.31458302719961</v>
          </cell>
          <cell r="C288">
            <v>3.6385000000000001</v>
          </cell>
          <cell r="D288" t="str">
            <v>牛市</v>
          </cell>
          <cell r="E288" t="str">
            <v>熊市</v>
          </cell>
        </row>
        <row r="289">
          <cell r="A289">
            <v>37407</v>
          </cell>
          <cell r="B289">
            <v>-8.6060265237574463</v>
          </cell>
          <cell r="C289">
            <v>-19.3683333333333</v>
          </cell>
          <cell r="D289" t="str">
            <v>熊市</v>
          </cell>
          <cell r="E289" t="str">
            <v>牛市</v>
          </cell>
        </row>
        <row r="290">
          <cell r="A290">
            <v>37376</v>
          </cell>
          <cell r="B290">
            <v>4.1384082167802969</v>
          </cell>
          <cell r="C290">
            <v>-33.023571428571501</v>
          </cell>
          <cell r="D290" t="str">
            <v>牛市</v>
          </cell>
          <cell r="E290" t="str">
            <v>牛市</v>
          </cell>
        </row>
        <row r="291">
          <cell r="A291">
            <v>37346</v>
          </cell>
          <cell r="B291">
            <v>6.8197863275113049</v>
          </cell>
          <cell r="C291">
            <v>-17.535742296918698</v>
          </cell>
          <cell r="D291" t="str">
            <v>牛市</v>
          </cell>
          <cell r="E291" t="str">
            <v>牛市</v>
          </cell>
        </row>
        <row r="292">
          <cell r="A292">
            <v>37315</v>
          </cell>
          <cell r="B292">
            <v>2.9822514842246721</v>
          </cell>
          <cell r="C292">
            <v>-17.575352941176501</v>
          </cell>
          <cell r="D292" t="str">
            <v>牛市</v>
          </cell>
          <cell r="E292" t="str">
            <v>牛市</v>
          </cell>
        </row>
        <row r="293">
          <cell r="A293">
            <v>37287</v>
          </cell>
          <cell r="B293">
            <v>-11.249145564817709</v>
          </cell>
          <cell r="C293">
            <v>0</v>
          </cell>
          <cell r="D293" t="str">
            <v>熊市</v>
          </cell>
          <cell r="E293" t="str">
            <v>震荡</v>
          </cell>
        </row>
        <row r="294">
          <cell r="A294">
            <v>37256</v>
          </cell>
          <cell r="B294">
            <v>-6.5689471532158787</v>
          </cell>
          <cell r="C294">
            <v>0</v>
          </cell>
          <cell r="D294" t="str">
            <v>熊市</v>
          </cell>
          <cell r="E294" t="str">
            <v>震荡</v>
          </cell>
        </row>
        <row r="295">
          <cell r="A295">
            <v>37225</v>
          </cell>
          <cell r="B295">
            <v>4.0911632834466651</v>
          </cell>
          <cell r="C295">
            <v>0</v>
          </cell>
          <cell r="D295" t="str">
            <v>牛市</v>
          </cell>
          <cell r="E295" t="str">
            <v>震荡</v>
          </cell>
        </row>
        <row r="296">
          <cell r="A296">
            <v>37195</v>
          </cell>
          <cell r="B296">
            <v>-4.8544813820146802</v>
          </cell>
          <cell r="C296">
            <v>0</v>
          </cell>
          <cell r="D296" t="str">
            <v>熊市</v>
          </cell>
          <cell r="E296" t="str">
            <v>震荡</v>
          </cell>
        </row>
        <row r="297">
          <cell r="A297">
            <v>37164</v>
          </cell>
          <cell r="B297">
            <v>-5.3243806087296024</v>
          </cell>
          <cell r="C297">
            <v>0</v>
          </cell>
          <cell r="D297" t="str">
            <v>熊市</v>
          </cell>
          <cell r="E297" t="str">
            <v>震荡</v>
          </cell>
        </row>
        <row r="298">
          <cell r="A298">
            <v>37134</v>
          </cell>
          <cell r="B298">
            <v>-3.4884314444367308</v>
          </cell>
          <cell r="C298">
            <v>0</v>
          </cell>
          <cell r="D298" t="str">
            <v>熊市</v>
          </cell>
          <cell r="E298" t="str">
            <v>震荡</v>
          </cell>
        </row>
        <row r="299">
          <cell r="A299">
            <v>37103</v>
          </cell>
          <cell r="B299">
            <v>-13.54229526601392</v>
          </cell>
          <cell r="C299">
            <v>0</v>
          </cell>
          <cell r="D299" t="str">
            <v>熊市</v>
          </cell>
          <cell r="E299" t="str">
            <v>震荡</v>
          </cell>
        </row>
        <row r="300">
          <cell r="A300">
            <v>37072</v>
          </cell>
          <cell r="B300">
            <v>0.59985031258254795</v>
          </cell>
          <cell r="C300">
            <v>0</v>
          </cell>
          <cell r="D300" t="str">
            <v>震荡</v>
          </cell>
          <cell r="E300" t="str">
            <v>震荡</v>
          </cell>
        </row>
        <row r="301">
          <cell r="A301">
            <v>37042</v>
          </cell>
          <cell r="B301">
            <v>3.7484421680733511</v>
          </cell>
          <cell r="C301">
            <v>0</v>
          </cell>
          <cell r="D301" t="str">
            <v>牛市</v>
          </cell>
          <cell r="E301" t="str">
            <v>震荡</v>
          </cell>
        </row>
        <row r="302">
          <cell r="A302">
            <v>37011</v>
          </cell>
          <cell r="B302">
            <v>-0.45896884094460799</v>
          </cell>
          <cell r="C302">
            <v>0</v>
          </cell>
          <cell r="D302" t="str">
            <v>震荡</v>
          </cell>
          <cell r="E302" t="str">
            <v>震荡</v>
          </cell>
        </row>
        <row r="303">
          <cell r="A303">
            <v>36981</v>
          </cell>
          <cell r="B303">
            <v>7.6507750072955902</v>
          </cell>
          <cell r="C303">
            <v>0</v>
          </cell>
          <cell r="D303" t="str">
            <v>牛市</v>
          </cell>
          <cell r="E303" t="str">
            <v>震荡</v>
          </cell>
        </row>
        <row r="304">
          <cell r="A304">
            <v>36950</v>
          </cell>
          <cell r="B304">
            <v>-5.9608682761835778</v>
          </cell>
          <cell r="C304">
            <v>0</v>
          </cell>
          <cell r="D304" t="str">
            <v>熊市</v>
          </cell>
          <cell r="E304" t="str">
            <v>震荡</v>
          </cell>
        </row>
        <row r="305">
          <cell r="A305">
            <v>36922</v>
          </cell>
          <cell r="B305">
            <v>-1.005323423496119</v>
          </cell>
          <cell r="C305">
            <v>0</v>
          </cell>
          <cell r="D305" t="str">
            <v>熊市</v>
          </cell>
          <cell r="E305" t="str">
            <v>震荡</v>
          </cell>
        </row>
        <row r="306">
          <cell r="A306">
            <v>36891</v>
          </cell>
          <cell r="B306">
            <v>-0.184919577261346</v>
          </cell>
          <cell r="C306">
            <v>0</v>
          </cell>
          <cell r="D306" t="str">
            <v>震荡</v>
          </cell>
          <cell r="E306" t="str">
            <v>震荡</v>
          </cell>
        </row>
        <row r="307">
          <cell r="A307">
            <v>36860</v>
          </cell>
          <cell r="B307">
            <v>5.3667992843410932</v>
          </cell>
          <cell r="C307">
            <v>0</v>
          </cell>
          <cell r="D307" t="str">
            <v>牛市</v>
          </cell>
          <cell r="E307" t="str">
            <v>震荡</v>
          </cell>
        </row>
        <row r="308">
          <cell r="A308">
            <v>36830</v>
          </cell>
          <cell r="B308">
            <v>2.7546565831199721</v>
          </cell>
          <cell r="C308">
            <v>0</v>
          </cell>
          <cell r="D308" t="str">
            <v>牛市</v>
          </cell>
          <cell r="E308" t="str">
            <v>震荡</v>
          </cell>
        </row>
        <row r="309">
          <cell r="A309">
            <v>36799</v>
          </cell>
          <cell r="B309">
            <v>-4.5478798302419996</v>
          </cell>
          <cell r="C309">
            <v>0</v>
          </cell>
          <cell r="D309" t="str">
            <v>熊市</v>
          </cell>
          <cell r="E309" t="str">
            <v>震荡</v>
          </cell>
        </row>
        <row r="310">
          <cell r="A310">
            <v>36769</v>
          </cell>
          <cell r="B310">
            <v>-0.54867333707937704</v>
          </cell>
          <cell r="C310">
            <v>0</v>
          </cell>
          <cell r="D310" t="str">
            <v>震荡</v>
          </cell>
          <cell r="E310" t="str">
            <v>震荡</v>
          </cell>
        </row>
        <row r="311">
          <cell r="A311">
            <v>36738</v>
          </cell>
          <cell r="B311">
            <v>4.228043919577761</v>
          </cell>
          <cell r="C311">
            <v>0</v>
          </cell>
          <cell r="D311" t="str">
            <v>牛市</v>
          </cell>
          <cell r="E311" t="str">
            <v>震荡</v>
          </cell>
        </row>
        <row r="312">
          <cell r="A312">
            <v>36707</v>
          </cell>
          <cell r="B312">
            <v>2.6250789356055151</v>
          </cell>
          <cell r="C312">
            <v>0</v>
          </cell>
          <cell r="D312" t="str">
            <v>牛市</v>
          </cell>
          <cell r="E312" t="str">
            <v>震荡</v>
          </cell>
        </row>
        <row r="313">
          <cell r="A313">
            <v>36677</v>
          </cell>
          <cell r="B313">
            <v>2.84395124782223</v>
          </cell>
          <cell r="C313">
            <v>0</v>
          </cell>
          <cell r="D313" t="str">
            <v>牛市</v>
          </cell>
          <cell r="E313" t="str">
            <v>震荡</v>
          </cell>
        </row>
        <row r="314">
          <cell r="A314">
            <v>36646</v>
          </cell>
          <cell r="B314">
            <v>1.297090147899864</v>
          </cell>
          <cell r="C314">
            <v>0</v>
          </cell>
          <cell r="D314" t="str">
            <v>牛市</v>
          </cell>
          <cell r="E314" t="str">
            <v>震荡</v>
          </cell>
        </row>
        <row r="315">
          <cell r="A315">
            <v>36616</v>
          </cell>
          <cell r="B315">
            <v>5.5353635301618187</v>
          </cell>
          <cell r="C315">
            <v>0</v>
          </cell>
          <cell r="D315" t="str">
            <v>牛市</v>
          </cell>
          <cell r="E315" t="str">
            <v>震荡</v>
          </cell>
        </row>
        <row r="316">
          <cell r="A316">
            <v>36585</v>
          </cell>
          <cell r="B316">
            <v>12.20791142833661</v>
          </cell>
          <cell r="C316">
            <v>0</v>
          </cell>
          <cell r="D316" t="str">
            <v>牛市</v>
          </cell>
          <cell r="E316" t="str">
            <v>震荡</v>
          </cell>
        </row>
        <row r="317">
          <cell r="A317">
            <v>36556</v>
          </cell>
          <cell r="B317">
            <v>16.078659999999999</v>
          </cell>
          <cell r="C317">
            <v>0</v>
          </cell>
          <cell r="D317" t="str">
            <v>牛市</v>
          </cell>
          <cell r="E317" t="str">
            <v>震荡</v>
          </cell>
        </row>
        <row r="318">
          <cell r="A318">
            <v>36525</v>
          </cell>
          <cell r="B318">
            <v>-4.9696682187020453</v>
          </cell>
          <cell r="C318">
            <v>0</v>
          </cell>
          <cell r="D318" t="str">
            <v>熊市</v>
          </cell>
          <cell r="E318" t="str">
            <v>震荡</v>
          </cell>
        </row>
        <row r="319">
          <cell r="A319">
            <v>36494</v>
          </cell>
          <cell r="B319">
            <v>-4.3578918475282276</v>
          </cell>
          <cell r="C319">
            <v>0</v>
          </cell>
          <cell r="D319" t="str">
            <v>熊市</v>
          </cell>
          <cell r="E319" t="str">
            <v>震荡</v>
          </cell>
        </row>
        <row r="320">
          <cell r="A320">
            <v>36464</v>
          </cell>
          <cell r="B320">
            <v>-4.6405691457994092</v>
          </cell>
          <cell r="C320">
            <v>0</v>
          </cell>
          <cell r="D320" t="str">
            <v>熊市</v>
          </cell>
          <cell r="E320" t="str">
            <v>震荡</v>
          </cell>
        </row>
        <row r="321">
          <cell r="A321">
            <v>36433</v>
          </cell>
          <cell r="B321">
            <v>-2.579958621704042</v>
          </cell>
          <cell r="C321">
            <v>0</v>
          </cell>
          <cell r="D321" t="str">
            <v>熊市</v>
          </cell>
          <cell r="E321" t="str">
            <v>震荡</v>
          </cell>
        </row>
        <row r="322">
          <cell r="A322">
            <v>36403</v>
          </cell>
          <cell r="B322">
            <v>0.77872567242789503</v>
          </cell>
          <cell r="C322">
            <v>0</v>
          </cell>
          <cell r="D322" t="str">
            <v>震荡</v>
          </cell>
          <cell r="E322" t="str">
            <v>震荡</v>
          </cell>
        </row>
        <row r="323">
          <cell r="A323">
            <v>36372</v>
          </cell>
          <cell r="B323">
            <v>-6.3070702377352381</v>
          </cell>
          <cell r="C323">
            <v>0</v>
          </cell>
          <cell r="D323" t="str">
            <v>熊市</v>
          </cell>
          <cell r="E323" t="str">
            <v>震荡</v>
          </cell>
        </row>
        <row r="324">
          <cell r="A324">
            <v>36341</v>
          </cell>
          <cell r="B324">
            <v>35.858607685578043</v>
          </cell>
          <cell r="C324">
            <v>0</v>
          </cell>
          <cell r="D324" t="str">
            <v>牛市</v>
          </cell>
          <cell r="E324" t="str">
            <v>震荡</v>
          </cell>
        </row>
        <row r="325">
          <cell r="A325">
            <v>36311</v>
          </cell>
          <cell r="B325">
            <v>11.34484813853658</v>
          </cell>
          <cell r="C325">
            <v>0</v>
          </cell>
          <cell r="D325" t="str">
            <v>牛市</v>
          </cell>
          <cell r="E325" t="str">
            <v>震荡</v>
          </cell>
        </row>
        <row r="326">
          <cell r="A326">
            <v>36280</v>
          </cell>
          <cell r="B326">
            <v>-3.6307479171255079</v>
          </cell>
          <cell r="C326">
            <v>0</v>
          </cell>
          <cell r="D326" t="str">
            <v>熊市</v>
          </cell>
          <cell r="E326" t="str">
            <v>震荡</v>
          </cell>
        </row>
        <row r="327">
          <cell r="A327">
            <v>36250</v>
          </cell>
          <cell r="B327">
            <v>6.489843166847221</v>
          </cell>
          <cell r="C327">
            <v>0</v>
          </cell>
          <cell r="D327" t="str">
            <v>牛市</v>
          </cell>
          <cell r="E327" t="str">
            <v>震荡</v>
          </cell>
        </row>
        <row r="328">
          <cell r="A328">
            <v>36219</v>
          </cell>
          <cell r="B328">
            <v>-4.2891373820839931</v>
          </cell>
          <cell r="C328">
            <v>0</v>
          </cell>
          <cell r="D328" t="str">
            <v>熊市</v>
          </cell>
          <cell r="E328" t="str">
            <v>震荡</v>
          </cell>
        </row>
        <row r="329">
          <cell r="A329">
            <v>36191</v>
          </cell>
          <cell r="B329">
            <v>-0.434033204011882</v>
          </cell>
          <cell r="C329">
            <v>0</v>
          </cell>
          <cell r="D329" t="str">
            <v>震荡</v>
          </cell>
          <cell r="E329" t="str">
            <v>震荡</v>
          </cell>
        </row>
        <row r="330">
          <cell r="A330">
            <v>36160</v>
          </cell>
          <cell r="B330">
            <v>-8.4244090572695907</v>
          </cell>
          <cell r="C330">
            <v>0</v>
          </cell>
          <cell r="D330" t="str">
            <v>熊市</v>
          </cell>
          <cell r="E330" t="str">
            <v>震荡</v>
          </cell>
        </row>
        <row r="331">
          <cell r="A331">
            <v>36129</v>
          </cell>
          <cell r="B331">
            <v>2.1863355709942369</v>
          </cell>
          <cell r="C331">
            <v>0</v>
          </cell>
          <cell r="D331" t="str">
            <v>牛市</v>
          </cell>
          <cell r="E331" t="str">
            <v>震荡</v>
          </cell>
        </row>
        <row r="332">
          <cell r="A332">
            <v>36099</v>
          </cell>
          <cell r="B332">
            <v>-0.96588967097688905</v>
          </cell>
          <cell r="C332">
            <v>0</v>
          </cell>
          <cell r="D332" t="str">
            <v>震荡</v>
          </cell>
          <cell r="E332" t="str">
            <v>震荡</v>
          </cell>
        </row>
        <row r="333">
          <cell r="A333">
            <v>36068</v>
          </cell>
          <cell r="B333">
            <v>7.4261280841855104</v>
          </cell>
          <cell r="C333">
            <v>0</v>
          </cell>
          <cell r="D333" t="str">
            <v>牛市</v>
          </cell>
          <cell r="E333" t="str">
            <v>震荡</v>
          </cell>
        </row>
        <row r="334">
          <cell r="A334">
            <v>36038</v>
          </cell>
          <cell r="B334">
            <v>-12.07658407727042</v>
          </cell>
          <cell r="C334">
            <v>0</v>
          </cell>
          <cell r="D334" t="str">
            <v>熊市</v>
          </cell>
          <cell r="E334" t="str">
            <v>震荡</v>
          </cell>
        </row>
        <row r="335">
          <cell r="A335">
            <v>36007</v>
          </cell>
          <cell r="B335">
            <v>-1.3535360077954219</v>
          </cell>
          <cell r="C335">
            <v>0</v>
          </cell>
          <cell r="D335" t="str">
            <v>熊市</v>
          </cell>
          <cell r="E335" t="str">
            <v>震荡</v>
          </cell>
        </row>
        <row r="336">
          <cell r="A336">
            <v>35976</v>
          </cell>
          <cell r="B336">
            <v>-4.9398829781610738</v>
          </cell>
          <cell r="C336">
            <v>0</v>
          </cell>
          <cell r="D336" t="str">
            <v>熊市</v>
          </cell>
          <cell r="E336" t="str">
            <v>震荡</v>
          </cell>
        </row>
        <row r="337">
          <cell r="A337">
            <v>35946</v>
          </cell>
          <cell r="B337">
            <v>5.306505443504216</v>
          </cell>
          <cell r="C337">
            <v>0</v>
          </cell>
          <cell r="D337" t="str">
            <v>牛市</v>
          </cell>
          <cell r="E337" t="str">
            <v>震荡</v>
          </cell>
        </row>
        <row r="338">
          <cell r="A338">
            <v>35915</v>
          </cell>
          <cell r="B338">
            <v>10.24736527278584</v>
          </cell>
          <cell r="C338">
            <v>0</v>
          </cell>
          <cell r="D338" t="str">
            <v>牛市</v>
          </cell>
          <cell r="E338" t="str">
            <v>震荡</v>
          </cell>
        </row>
        <row r="339">
          <cell r="A339">
            <v>35885</v>
          </cell>
          <cell r="B339">
            <v>2.3194573614972169</v>
          </cell>
          <cell r="C339">
            <v>0</v>
          </cell>
          <cell r="D339" t="str">
            <v>牛市</v>
          </cell>
          <cell r="E339" t="str">
            <v>震荡</v>
          </cell>
        </row>
        <row r="340">
          <cell r="A340">
            <v>35854</v>
          </cell>
          <cell r="B340">
            <v>-2.822584790976848</v>
          </cell>
          <cell r="C340">
            <v>0</v>
          </cell>
          <cell r="D340" t="str">
            <v>熊市</v>
          </cell>
          <cell r="E340" t="str">
            <v>震荡</v>
          </cell>
        </row>
        <row r="341">
          <cell r="A341">
            <v>35826</v>
          </cell>
          <cell r="B341">
            <v>2.416351813974996</v>
          </cell>
          <cell r="C341">
            <v>0</v>
          </cell>
          <cell r="D341" t="str">
            <v>牛市</v>
          </cell>
          <cell r="E341" t="str">
            <v>震荡</v>
          </cell>
        </row>
        <row r="342">
          <cell r="A342">
            <v>35795</v>
          </cell>
          <cell r="B342">
            <v>6.7658924565409571</v>
          </cell>
          <cell r="C342">
            <v>0</v>
          </cell>
          <cell r="D342" t="str">
            <v>牛市</v>
          </cell>
          <cell r="E342" t="str">
            <v>震荡</v>
          </cell>
        </row>
        <row r="343">
          <cell r="A343">
            <v>35764</v>
          </cell>
          <cell r="B343">
            <v>-4.7341855529347718</v>
          </cell>
          <cell r="C343">
            <v>0</v>
          </cell>
          <cell r="D343" t="str">
            <v>熊市</v>
          </cell>
          <cell r="E343" t="str">
            <v>震荡</v>
          </cell>
        </row>
        <row r="344">
          <cell r="A344">
            <v>35734</v>
          </cell>
          <cell r="B344">
            <v>14.496798377988799</v>
          </cell>
          <cell r="C344">
            <v>0</v>
          </cell>
          <cell r="D344" t="str">
            <v>牛市</v>
          </cell>
          <cell r="E344" t="str">
            <v>震荡</v>
          </cell>
        </row>
        <row r="345">
          <cell r="A345">
            <v>35703</v>
          </cell>
          <cell r="B345">
            <v>-10.61560015388485</v>
          </cell>
          <cell r="C345">
            <v>0</v>
          </cell>
          <cell r="D345" t="str">
            <v>熊市</v>
          </cell>
          <cell r="E345" t="str">
            <v>震荡</v>
          </cell>
        </row>
        <row r="346">
          <cell r="A346">
            <v>35673</v>
          </cell>
          <cell r="B346">
            <v>-1.5537157706267659</v>
          </cell>
          <cell r="C346">
            <v>0</v>
          </cell>
          <cell r="D346" t="str">
            <v>熊市</v>
          </cell>
          <cell r="E346" t="str">
            <v>震荡</v>
          </cell>
        </row>
        <row r="347">
          <cell r="A347">
            <v>35642</v>
          </cell>
          <cell r="B347">
            <v>-6.0521208632433954</v>
          </cell>
          <cell r="C347">
            <v>0</v>
          </cell>
          <cell r="D347" t="str">
            <v>熊市</v>
          </cell>
          <cell r="E347" t="str">
            <v>震荡</v>
          </cell>
        </row>
        <row r="348">
          <cell r="A348">
            <v>35611</v>
          </cell>
          <cell r="B348">
            <v>-1.6810777723005581</v>
          </cell>
          <cell r="C348">
            <v>0</v>
          </cell>
          <cell r="D348" t="str">
            <v>熊市</v>
          </cell>
          <cell r="E348" t="str">
            <v>震荡</v>
          </cell>
        </row>
        <row r="349">
          <cell r="A349">
            <v>35581</v>
          </cell>
          <cell r="B349">
            <v>-9.2597138453761492</v>
          </cell>
          <cell r="C349">
            <v>0</v>
          </cell>
          <cell r="D349" t="str">
            <v>熊市</v>
          </cell>
          <cell r="E349" t="str">
            <v>震荡</v>
          </cell>
        </row>
        <row r="350">
          <cell r="A350">
            <v>35550</v>
          </cell>
          <cell r="B350">
            <v>10.41559226769237</v>
          </cell>
          <cell r="C350">
            <v>0</v>
          </cell>
          <cell r="D350" t="str">
            <v>牛市</v>
          </cell>
          <cell r="E350" t="str">
            <v>震荡</v>
          </cell>
        </row>
        <row r="351">
          <cell r="A351">
            <v>35520</v>
          </cell>
          <cell r="B351">
            <v>18.838867786379598</v>
          </cell>
          <cell r="C351">
            <v>0</v>
          </cell>
          <cell r="D351" t="str">
            <v>牛市</v>
          </cell>
          <cell r="E351" t="str">
            <v>震荡</v>
          </cell>
        </row>
        <row r="352">
          <cell r="A352">
            <v>35489</v>
          </cell>
          <cell r="B352">
            <v>5.108156739717554</v>
          </cell>
          <cell r="C352">
            <v>0</v>
          </cell>
          <cell r="D352" t="str">
            <v>牛市</v>
          </cell>
          <cell r="E352" t="str">
            <v>震荡</v>
          </cell>
        </row>
        <row r="353">
          <cell r="A353">
            <v>35461</v>
          </cell>
          <cell r="B353">
            <v>7.2910247704302664</v>
          </cell>
          <cell r="C353">
            <v>0</v>
          </cell>
          <cell r="D353" t="str">
            <v>牛市</v>
          </cell>
          <cell r="E353" t="str">
            <v>震荡</v>
          </cell>
        </row>
        <row r="354">
          <cell r="A354">
            <v>35430</v>
          </cell>
          <cell r="B354">
            <v>-15.90692535333479</v>
          </cell>
          <cell r="C354">
            <v>0</v>
          </cell>
          <cell r="D354" t="str">
            <v>熊市</v>
          </cell>
          <cell r="E354" t="str">
            <v>震荡</v>
          </cell>
        </row>
        <row r="355">
          <cell r="A355">
            <v>35399</v>
          </cell>
          <cell r="B355">
            <v>10.88683466306669</v>
          </cell>
          <cell r="C355">
            <v>0</v>
          </cell>
          <cell r="D355" t="str">
            <v>牛市</v>
          </cell>
          <cell r="E355" t="str">
            <v>震荡</v>
          </cell>
        </row>
        <row r="356">
          <cell r="A356">
            <v>35369</v>
          </cell>
          <cell r="B356">
            <v>20.211047167306869</v>
          </cell>
          <cell r="C356">
            <v>0</v>
          </cell>
          <cell r="D356" t="str">
            <v>牛市</v>
          </cell>
          <cell r="E356" t="str">
            <v>震荡</v>
          </cell>
        </row>
        <row r="357">
          <cell r="A357">
            <v>35338</v>
          </cell>
          <cell r="B357">
            <v>5.7630605342110153</v>
          </cell>
          <cell r="C357">
            <v>0</v>
          </cell>
          <cell r="D357" t="str">
            <v>牛市</v>
          </cell>
          <cell r="E357" t="str">
            <v>震荡</v>
          </cell>
        </row>
        <row r="358">
          <cell r="A358">
            <v>35308</v>
          </cell>
          <cell r="B358">
            <v>0.55189619045092098</v>
          </cell>
          <cell r="C358">
            <v>0</v>
          </cell>
          <cell r="D358" t="str">
            <v>震荡</v>
          </cell>
          <cell r="E358" t="str">
            <v>震荡</v>
          </cell>
        </row>
        <row r="359">
          <cell r="A359">
            <v>35277</v>
          </cell>
          <cell r="B359">
            <v>16.675299564942389</v>
          </cell>
          <cell r="C359">
            <v>0</v>
          </cell>
          <cell r="D359" t="str">
            <v>牛市</v>
          </cell>
          <cell r="E359" t="str">
            <v>震荡</v>
          </cell>
        </row>
        <row r="360">
          <cell r="A360">
            <v>35246</v>
          </cell>
          <cell r="B360">
            <v>20.373800910024841</v>
          </cell>
          <cell r="C360">
            <v>0</v>
          </cell>
          <cell r="D360" t="str">
            <v>牛市</v>
          </cell>
          <cell r="E360" t="str">
            <v>震荡</v>
          </cell>
        </row>
        <row r="361">
          <cell r="A361">
            <v>35216</v>
          </cell>
          <cell r="B361">
            <v>-3.993289995157367</v>
          </cell>
          <cell r="C361">
            <v>0</v>
          </cell>
          <cell r="D361" t="str">
            <v>熊市</v>
          </cell>
          <cell r="E361" t="str">
            <v>震荡</v>
          </cell>
        </row>
        <row r="362">
          <cell r="A362">
            <v>35185</v>
          </cell>
          <cell r="B362">
            <v>30.627728602396601</v>
          </cell>
          <cell r="C362">
            <v>0</v>
          </cell>
          <cell r="D362" t="str">
            <v>牛市</v>
          </cell>
          <cell r="E362" t="str">
            <v>震荡</v>
          </cell>
        </row>
        <row r="363">
          <cell r="A363">
            <v>35155</v>
          </cell>
          <cell r="B363">
            <v>1.0139709103924071</v>
          </cell>
          <cell r="C363">
            <v>0</v>
          </cell>
          <cell r="D363" t="str">
            <v>牛市</v>
          </cell>
          <cell r="E363" t="str">
            <v>震荡</v>
          </cell>
        </row>
        <row r="364">
          <cell r="A364">
            <v>35124</v>
          </cell>
          <cell r="B364">
            <v>2.8057452863016081</v>
          </cell>
          <cell r="C364">
            <v>0</v>
          </cell>
          <cell r="D364" t="str">
            <v>牛市</v>
          </cell>
          <cell r="E364" t="str">
            <v>震荡</v>
          </cell>
        </row>
        <row r="365">
          <cell r="A365">
            <v>35095</v>
          </cell>
          <cell r="B365">
            <v>-3.3737402839418391</v>
          </cell>
          <cell r="C365">
            <v>0</v>
          </cell>
          <cell r="D365" t="str">
            <v>熊市</v>
          </cell>
          <cell r="E365" t="str">
            <v>震荡</v>
          </cell>
        </row>
        <row r="366">
          <cell r="A366">
            <v>35064</v>
          </cell>
          <cell r="B366">
            <v>-13.24037355164177</v>
          </cell>
          <cell r="C366">
            <v>0</v>
          </cell>
          <cell r="D366" t="str">
            <v>熊市</v>
          </cell>
          <cell r="E366" t="str">
            <v>震荡</v>
          </cell>
        </row>
        <row r="367">
          <cell r="A367">
            <v>35033</v>
          </cell>
          <cell r="B367">
            <v>-9.9371688251037309</v>
          </cell>
          <cell r="C367">
            <v>0</v>
          </cell>
          <cell r="D367" t="str">
            <v>熊市</v>
          </cell>
          <cell r="E367" t="str">
            <v>震荡</v>
          </cell>
        </row>
        <row r="368">
          <cell r="A368">
            <v>35003</v>
          </cell>
          <cell r="B368">
            <v>-0.15117902662419999</v>
          </cell>
          <cell r="C368">
            <v>0</v>
          </cell>
          <cell r="D368" t="str">
            <v>震荡</v>
          </cell>
          <cell r="E368" t="str">
            <v>震荡</v>
          </cell>
        </row>
        <row r="369">
          <cell r="A369">
            <v>34972</v>
          </cell>
          <cell r="B369">
            <v>-0.24067925511333099</v>
          </cell>
          <cell r="C369">
            <v>0</v>
          </cell>
          <cell r="D369" t="str">
            <v>震荡</v>
          </cell>
          <cell r="E369" t="str">
            <v>震荡</v>
          </cell>
        </row>
        <row r="370">
          <cell r="A370">
            <v>34942</v>
          </cell>
          <cell r="B370">
            <v>5.4072736517145374</v>
          </cell>
          <cell r="C370">
            <v>0</v>
          </cell>
          <cell r="G370"/>
          <cell r="H370"/>
          <cell r="L370"/>
          <cell r="M370"/>
        </row>
        <row r="371">
          <cell r="A371">
            <v>34911</v>
          </cell>
          <cell r="B371">
            <v>7.5341421192585187</v>
          </cell>
          <cell r="C371">
            <v>0</v>
          </cell>
          <cell r="G371"/>
          <cell r="H371"/>
          <cell r="L371"/>
          <cell r="M371"/>
        </row>
        <row r="372">
          <cell r="A372">
            <v>34880</v>
          </cell>
          <cell r="B372">
            <v>-8.48036118677493</v>
          </cell>
          <cell r="C372">
            <v>0</v>
          </cell>
          <cell r="G372"/>
          <cell r="H372"/>
          <cell r="L372"/>
          <cell r="M372"/>
        </row>
        <row r="373">
          <cell r="A373">
            <v>34850</v>
          </cell>
          <cell r="B373">
            <v>19.510359296986231</v>
          </cell>
          <cell r="C373">
            <v>0</v>
          </cell>
          <cell r="G373"/>
          <cell r="H373"/>
          <cell r="L373"/>
          <cell r="M373"/>
        </row>
        <row r="374">
          <cell r="A374">
            <v>34819</v>
          </cell>
          <cell r="B374">
            <v>-10.05469530795073</v>
          </cell>
          <cell r="C374">
            <v>0</v>
          </cell>
          <cell r="G374"/>
          <cell r="H374"/>
          <cell r="L374"/>
          <cell r="M374"/>
        </row>
        <row r="375">
          <cell r="A375">
            <v>34789</v>
          </cell>
          <cell r="B375">
            <v>13.8283431344733</v>
          </cell>
          <cell r="C375">
            <v>0</v>
          </cell>
          <cell r="G375"/>
          <cell r="H375"/>
          <cell r="L375"/>
          <cell r="M375"/>
        </row>
        <row r="376">
          <cell r="A376">
            <v>34758</v>
          </cell>
          <cell r="B376">
            <v>-1.2398152373558819</v>
          </cell>
          <cell r="C376">
            <v>0</v>
          </cell>
          <cell r="G376"/>
          <cell r="H376"/>
          <cell r="L376"/>
          <cell r="M376"/>
        </row>
        <row r="377">
          <cell r="A377">
            <v>34730</v>
          </cell>
          <cell r="B377">
            <v>-11.847834740425609</v>
          </cell>
          <cell r="C377">
            <v>0</v>
          </cell>
          <cell r="G377"/>
          <cell r="H377"/>
          <cell r="L377"/>
          <cell r="M377"/>
        </row>
        <row r="378">
          <cell r="A378">
            <v>34699</v>
          </cell>
          <cell r="B378">
            <v>-5.3292510847424301</v>
          </cell>
          <cell r="C378">
            <v>0</v>
          </cell>
          <cell r="G378"/>
          <cell r="H378"/>
          <cell r="L378"/>
          <cell r="M378"/>
        </row>
        <row r="379">
          <cell r="A379">
            <v>34668</v>
          </cell>
          <cell r="B379">
            <v>3.0753265942822332</v>
          </cell>
          <cell r="C379">
            <v>0</v>
          </cell>
          <cell r="G379"/>
          <cell r="H379"/>
          <cell r="L379"/>
          <cell r="M379"/>
        </row>
        <row r="380">
          <cell r="A380">
            <v>34638</v>
          </cell>
          <cell r="B380">
            <v>-17.812159148833789</v>
          </cell>
          <cell r="C380">
            <v>0</v>
          </cell>
          <cell r="G380"/>
          <cell r="H380"/>
          <cell r="L380"/>
          <cell r="M380"/>
        </row>
        <row r="381">
          <cell r="A381">
            <v>34607</v>
          </cell>
          <cell r="B381">
            <v>3.6282588086672098</v>
          </cell>
          <cell r="C381">
            <v>0</v>
          </cell>
          <cell r="G381"/>
          <cell r="H381"/>
          <cell r="L381"/>
          <cell r="M381"/>
        </row>
        <row r="382">
          <cell r="A382">
            <v>34577</v>
          </cell>
          <cell r="B382">
            <v>114.4012427361051</v>
          </cell>
          <cell r="C382">
            <v>0</v>
          </cell>
          <cell r="G382"/>
          <cell r="H382"/>
          <cell r="L382"/>
          <cell r="M382"/>
        </row>
        <row r="383">
          <cell r="A383">
            <v>34546</v>
          </cell>
          <cell r="B383">
            <v>-25.913246657249442</v>
          </cell>
          <cell r="C383">
            <v>0</v>
          </cell>
          <cell r="G383"/>
          <cell r="H383"/>
          <cell r="L383"/>
          <cell r="M383"/>
        </row>
        <row r="384">
          <cell r="A384">
            <v>34515</v>
          </cell>
          <cell r="B384">
            <v>-15.687643793082909</v>
          </cell>
          <cell r="C384">
            <v>0</v>
          </cell>
          <cell r="G384"/>
          <cell r="H384"/>
          <cell r="L384"/>
          <cell r="M384"/>
        </row>
        <row r="385">
          <cell r="A385">
            <v>34485</v>
          </cell>
          <cell r="B385">
            <v>-2.0786081356052968</v>
          </cell>
          <cell r="C385">
            <v>0</v>
          </cell>
          <cell r="G385"/>
          <cell r="H385"/>
          <cell r="L385"/>
          <cell r="M385"/>
        </row>
        <row r="386">
          <cell r="A386">
            <v>34454</v>
          </cell>
          <cell r="B386">
            <v>-15.506636719133111</v>
          </cell>
          <cell r="C386">
            <v>0</v>
          </cell>
          <cell r="G386"/>
          <cell r="H386"/>
          <cell r="L386"/>
          <cell r="M386"/>
        </row>
        <row r="387">
          <cell r="A387">
            <v>34424</v>
          </cell>
          <cell r="B387">
            <v>-9.1996540984549728</v>
          </cell>
          <cell r="C387">
            <v>0</v>
          </cell>
          <cell r="G387"/>
          <cell r="H387"/>
          <cell r="L387"/>
          <cell r="M387"/>
        </row>
        <row r="388">
          <cell r="A388">
            <v>34393</v>
          </cell>
          <cell r="B388">
            <v>1.962930098246523</v>
          </cell>
          <cell r="C388">
            <v>0</v>
          </cell>
          <cell r="G388"/>
          <cell r="H388"/>
          <cell r="L388"/>
          <cell r="M388"/>
        </row>
        <row r="389">
          <cell r="A389">
            <v>34365</v>
          </cell>
          <cell r="B389">
            <v>-10.975512151082571</v>
          </cell>
          <cell r="C389">
            <v>0</v>
          </cell>
          <cell r="G389"/>
          <cell r="H389"/>
          <cell r="L389"/>
          <cell r="M389"/>
        </row>
        <row r="390">
          <cell r="A390">
            <v>34334</v>
          </cell>
          <cell r="B390">
            <v>-8.562387320879763</v>
          </cell>
          <cell r="C390">
            <v>0</v>
          </cell>
          <cell r="G390"/>
          <cell r="H390"/>
          <cell r="L390"/>
          <cell r="M390"/>
        </row>
        <row r="391">
          <cell r="A391">
            <v>34303</v>
          </cell>
          <cell r="B391">
            <v>16.193124384169689</v>
          </cell>
          <cell r="C391">
            <v>0</v>
          </cell>
          <cell r="G391"/>
          <cell r="H391"/>
          <cell r="L391"/>
          <cell r="M391"/>
        </row>
        <row r="392">
          <cell r="A392">
            <v>34273</v>
          </cell>
          <cell r="B392">
            <v>-7.6504234147835417</v>
          </cell>
          <cell r="C392">
            <v>0</v>
          </cell>
          <cell r="G392"/>
          <cell r="H392"/>
          <cell r="L392"/>
          <cell r="M392"/>
        </row>
        <row r="393">
          <cell r="A393">
            <v>34242</v>
          </cell>
          <cell r="B393">
            <v>-2.2868390743299911</v>
          </cell>
          <cell r="C393">
            <v>0</v>
          </cell>
          <cell r="G393"/>
          <cell r="H393"/>
          <cell r="L393"/>
          <cell r="M393"/>
        </row>
        <row r="394">
          <cell r="A394">
            <v>34212</v>
          </cell>
          <cell r="B394">
            <v>7.4930215016313921</v>
          </cell>
          <cell r="C394">
            <v>0</v>
          </cell>
          <cell r="G394"/>
          <cell r="H394"/>
          <cell r="L394"/>
          <cell r="M394"/>
        </row>
        <row r="395">
          <cell r="A395">
            <v>34181</v>
          </cell>
          <cell r="B395">
            <v>-9.1798668019547094</v>
          </cell>
          <cell r="C395">
            <v>0</v>
          </cell>
          <cell r="G395"/>
          <cell r="H395"/>
          <cell r="L395"/>
          <cell r="M395"/>
        </row>
        <row r="396">
          <cell r="A396">
            <v>34150</v>
          </cell>
          <cell r="B396">
            <v>6.9112567681502961</v>
          </cell>
          <cell r="C396">
            <v>0</v>
          </cell>
          <cell r="G396"/>
          <cell r="H396"/>
          <cell r="L396"/>
          <cell r="M396"/>
        </row>
        <row r="397">
          <cell r="A397">
            <v>34120</v>
          </cell>
          <cell r="B397">
            <v>-26.06167669306835</v>
          </cell>
          <cell r="C397">
            <v>0</v>
          </cell>
          <cell r="G397"/>
          <cell r="H397"/>
          <cell r="L397"/>
          <cell r="M397"/>
        </row>
        <row r="398">
          <cell r="A398">
            <v>34089</v>
          </cell>
          <cell r="B398">
            <v>31.596922560216068</v>
          </cell>
          <cell r="C398">
            <v>0</v>
          </cell>
          <cell r="G398"/>
          <cell r="H398"/>
          <cell r="L398"/>
          <cell r="M398"/>
        </row>
        <row r="399">
          <cell r="A399">
            <v>34059</v>
          </cell>
          <cell r="B399">
            <v>-19.624080247239309</v>
          </cell>
          <cell r="C399">
            <v>0</v>
          </cell>
          <cell r="G399"/>
          <cell r="H399"/>
          <cell r="L399"/>
          <cell r="M399"/>
        </row>
        <row r="400">
          <cell r="A400">
            <v>34028</v>
          </cell>
          <cell r="B400">
            <v>17.714901350713699</v>
          </cell>
          <cell r="C400">
            <v>0</v>
          </cell>
          <cell r="G400"/>
          <cell r="H400"/>
          <cell r="L400"/>
          <cell r="M400"/>
        </row>
        <row r="401">
          <cell r="A401">
            <v>34000</v>
          </cell>
          <cell r="B401">
            <v>48.766481035789042</v>
          </cell>
          <cell r="C401">
            <v>0</v>
          </cell>
          <cell r="G401"/>
          <cell r="H401"/>
          <cell r="L401"/>
          <cell r="M401"/>
        </row>
        <row r="402">
          <cell r="A402">
            <v>33969</v>
          </cell>
          <cell r="B402">
            <v>13.7398828120005</v>
          </cell>
          <cell r="C402">
            <v>0</v>
          </cell>
          <cell r="G402"/>
          <cell r="H402"/>
          <cell r="L402"/>
          <cell r="M402"/>
        </row>
        <row r="403">
          <cell r="A403">
            <v>33938</v>
          </cell>
          <cell r="B403">
            <v>13.99759795548893</v>
          </cell>
          <cell r="C403">
            <v>0</v>
          </cell>
          <cell r="G403"/>
          <cell r="H403"/>
          <cell r="L403"/>
          <cell r="M403"/>
        </row>
        <row r="404">
          <cell r="A404">
            <v>33908</v>
          </cell>
          <cell r="B404">
            <v>-21.09715365526187</v>
          </cell>
          <cell r="C404">
            <v>0</v>
          </cell>
          <cell r="G404"/>
          <cell r="H404"/>
          <cell r="L404"/>
          <cell r="M404"/>
        </row>
        <row r="405">
          <cell r="A405">
            <v>33877</v>
          </cell>
          <cell r="B405">
            <v>-5.8829213812441337</v>
          </cell>
          <cell r="C405">
            <v>0</v>
          </cell>
          <cell r="G405"/>
          <cell r="H405"/>
          <cell r="L405"/>
          <cell r="M405"/>
        </row>
        <row r="406">
          <cell r="A406">
            <v>33847</v>
          </cell>
          <cell r="B406">
            <v>-15.6147253441122</v>
          </cell>
          <cell r="C406">
            <v>0</v>
          </cell>
          <cell r="G406"/>
          <cell r="H406"/>
          <cell r="L406"/>
          <cell r="M406"/>
        </row>
        <row r="407">
          <cell r="A407">
            <v>33816</v>
          </cell>
          <cell r="B407">
            <v>0.99692033233227995</v>
          </cell>
          <cell r="C407">
            <v>0</v>
          </cell>
          <cell r="G407"/>
          <cell r="H407"/>
          <cell r="L407"/>
          <cell r="M407"/>
        </row>
        <row r="408">
          <cell r="A408">
            <v>33785</v>
          </cell>
          <cell r="B408">
            <v>-1.9912554928847499</v>
          </cell>
          <cell r="C408">
            <v>0</v>
          </cell>
          <cell r="G408"/>
          <cell r="H408"/>
          <cell r="L408"/>
          <cell r="M408"/>
        </row>
        <row r="409">
          <cell r="A409">
            <v>33755</v>
          </cell>
          <cell r="B409">
            <v>93.807138970610552</v>
          </cell>
          <cell r="C409">
            <v>0</v>
          </cell>
          <cell r="G409"/>
          <cell r="H409"/>
          <cell r="L409"/>
          <cell r="M409"/>
        </row>
        <row r="410">
          <cell r="A410">
            <v>33724</v>
          </cell>
          <cell r="B410">
            <v>47.471420719285149</v>
          </cell>
          <cell r="C410">
            <v>0</v>
          </cell>
          <cell r="G410"/>
          <cell r="H410"/>
          <cell r="L410"/>
          <cell r="M410"/>
        </row>
        <row r="411">
          <cell r="A411">
            <v>33694</v>
          </cell>
          <cell r="B411">
            <v>20.010197126800669</v>
          </cell>
          <cell r="C411">
            <v>0</v>
          </cell>
          <cell r="G411"/>
          <cell r="H411"/>
          <cell r="L411"/>
          <cell r="M411"/>
        </row>
        <row r="412">
          <cell r="A412">
            <v>33663</v>
          </cell>
          <cell r="B412">
            <v>5.1555568282968567</v>
          </cell>
          <cell r="C412">
            <v>0</v>
          </cell>
          <cell r="G412"/>
          <cell r="H412"/>
          <cell r="L412"/>
          <cell r="M412"/>
        </row>
        <row r="413">
          <cell r="A413">
            <v>33634</v>
          </cell>
          <cell r="B413">
            <v>4.4954187159770154</v>
          </cell>
          <cell r="C413">
            <v>0</v>
          </cell>
          <cell r="G413"/>
          <cell r="H413"/>
          <cell r="L413"/>
          <cell r="M413"/>
        </row>
        <row r="414">
          <cell r="A414">
            <v>33603</v>
          </cell>
          <cell r="B414">
            <v>9.2604365524093577</v>
          </cell>
          <cell r="C414">
            <v>0</v>
          </cell>
          <cell r="G414"/>
          <cell r="H414"/>
          <cell r="L414"/>
          <cell r="M414"/>
        </row>
        <row r="415">
          <cell r="A415">
            <v>33572</v>
          </cell>
          <cell r="B415">
            <v>19.329119013532711</v>
          </cell>
          <cell r="C415">
            <v>0</v>
          </cell>
          <cell r="G415"/>
          <cell r="H415"/>
          <cell r="L415"/>
          <cell r="M415"/>
        </row>
        <row r="416">
          <cell r="A416">
            <v>33542</v>
          </cell>
          <cell r="B416">
            <v>65.675610649468169</v>
          </cell>
          <cell r="C416">
            <v>0</v>
          </cell>
          <cell r="G416"/>
          <cell r="H416"/>
          <cell r="L416"/>
          <cell r="M416"/>
        </row>
        <row r="417">
          <cell r="A417">
            <v>33511</v>
          </cell>
          <cell r="B417">
            <v>-6.2325011322177826</v>
          </cell>
          <cell r="C417">
            <v>0</v>
          </cell>
          <cell r="G417"/>
          <cell r="H417"/>
          <cell r="L417"/>
          <cell r="M417"/>
        </row>
        <row r="418">
          <cell r="A418">
            <v>33481</v>
          </cell>
          <cell r="B418">
            <v>-17.240557723738089</v>
          </cell>
          <cell r="C418">
            <v>0</v>
          </cell>
          <cell r="G418"/>
          <cell r="H418"/>
          <cell r="L418"/>
          <cell r="M418"/>
        </row>
        <row r="419">
          <cell r="A419">
            <v>33450</v>
          </cell>
          <cell r="B419">
            <v>-5.9067304528178699</v>
          </cell>
          <cell r="C419">
            <v>0</v>
          </cell>
          <cell r="G419"/>
          <cell r="H419"/>
          <cell r="L419"/>
          <cell r="M419"/>
        </row>
        <row r="420">
          <cell r="A420">
            <v>33419</v>
          </cell>
          <cell r="B420">
            <v>5.5631366253321524</v>
          </cell>
          <cell r="C420">
            <v>0</v>
          </cell>
          <cell r="G420"/>
          <cell r="H420"/>
          <cell r="L420"/>
          <cell r="M420"/>
        </row>
        <row r="421">
          <cell r="A421">
            <v>33389</v>
          </cell>
          <cell r="B421">
            <v>-4.1964439612309574</v>
          </cell>
          <cell r="C421">
            <v>0</v>
          </cell>
          <cell r="G421"/>
          <cell r="H421"/>
          <cell r="L421"/>
          <cell r="M421"/>
        </row>
        <row r="422">
          <cell r="A422">
            <v>33358</v>
          </cell>
          <cell r="B422">
            <v>-5.7286992432897268</v>
          </cell>
          <cell r="C422">
            <v>0</v>
          </cell>
          <cell r="G422"/>
          <cell r="H422"/>
          <cell r="L422"/>
          <cell r="M422"/>
        </row>
        <row r="423">
          <cell r="A423">
            <v>33328</v>
          </cell>
          <cell r="B423">
            <v>-9.6383691485444629</v>
          </cell>
          <cell r="C423">
            <v>0</v>
          </cell>
          <cell r="G423"/>
          <cell r="H423"/>
          <cell r="L423"/>
          <cell r="M423"/>
        </row>
        <row r="424">
          <cell r="A424">
            <v>33297</v>
          </cell>
          <cell r="B424">
            <v>2.3390379845158371</v>
          </cell>
          <cell r="C424">
            <v>0</v>
          </cell>
          <cell r="G424"/>
          <cell r="H424"/>
          <cell r="L424"/>
          <cell r="M424"/>
        </row>
        <row r="425">
          <cell r="A425">
            <v>33269</v>
          </cell>
          <cell r="B425">
            <v>1.849351273143379</v>
          </cell>
          <cell r="C425">
            <v>0</v>
          </cell>
          <cell r="G425"/>
          <cell r="H425"/>
          <cell r="L425"/>
          <cell r="M425"/>
        </row>
        <row r="426">
          <cell r="G426"/>
          <cell r="H426"/>
          <cell r="L426"/>
          <cell r="M426"/>
        </row>
        <row r="427">
          <cell r="G427"/>
          <cell r="H427"/>
          <cell r="L427"/>
          <cell r="M427"/>
        </row>
        <row r="428">
          <cell r="G428"/>
          <cell r="H428"/>
          <cell r="L428"/>
          <cell r="M428"/>
        </row>
        <row r="429">
          <cell r="G429"/>
          <cell r="H429"/>
          <cell r="L429"/>
          <cell r="M429"/>
        </row>
        <row r="430">
          <cell r="G430"/>
          <cell r="H430"/>
          <cell r="L430"/>
          <cell r="M430"/>
        </row>
        <row r="431">
          <cell r="G431"/>
          <cell r="H431"/>
          <cell r="L431"/>
          <cell r="M431"/>
        </row>
        <row r="432">
          <cell r="G432"/>
          <cell r="H432"/>
          <cell r="L432"/>
          <cell r="M432"/>
        </row>
        <row r="433">
          <cell r="G433"/>
          <cell r="H433"/>
          <cell r="L433"/>
          <cell r="M433"/>
        </row>
        <row r="434">
          <cell r="G434"/>
          <cell r="H434"/>
          <cell r="L434"/>
          <cell r="M434"/>
        </row>
        <row r="435">
          <cell r="G435"/>
          <cell r="H435"/>
          <cell r="L435"/>
          <cell r="M435"/>
        </row>
        <row r="436">
          <cell r="G436"/>
          <cell r="H436"/>
          <cell r="L436"/>
          <cell r="M436"/>
        </row>
        <row r="437">
          <cell r="G437"/>
          <cell r="H437"/>
          <cell r="L437"/>
          <cell r="M437"/>
        </row>
        <row r="438">
          <cell r="G438"/>
          <cell r="H438"/>
          <cell r="L438"/>
          <cell r="M438"/>
        </row>
        <row r="439">
          <cell r="G439"/>
          <cell r="H439"/>
          <cell r="L439"/>
          <cell r="M439"/>
        </row>
        <row r="440">
          <cell r="G440"/>
          <cell r="H440"/>
          <cell r="L440"/>
          <cell r="M440"/>
        </row>
        <row r="441">
          <cell r="G441"/>
          <cell r="H441"/>
          <cell r="L441"/>
          <cell r="M441"/>
        </row>
        <row r="442">
          <cell r="G442"/>
          <cell r="H442"/>
          <cell r="L442"/>
          <cell r="M442"/>
        </row>
        <row r="443">
          <cell r="G443"/>
          <cell r="H443"/>
          <cell r="L443"/>
          <cell r="M443"/>
        </row>
        <row r="444">
          <cell r="G444"/>
          <cell r="H444"/>
          <cell r="L444"/>
          <cell r="M444"/>
        </row>
        <row r="445">
          <cell r="G445"/>
          <cell r="H445"/>
          <cell r="L445"/>
          <cell r="M445"/>
        </row>
        <row r="446">
          <cell r="G446"/>
          <cell r="H446"/>
          <cell r="L446"/>
          <cell r="M446"/>
        </row>
        <row r="447">
          <cell r="G447"/>
          <cell r="H447"/>
          <cell r="L447"/>
          <cell r="M447"/>
        </row>
        <row r="448">
          <cell r="G448"/>
          <cell r="H448"/>
          <cell r="L448"/>
          <cell r="M448"/>
        </row>
        <row r="449">
          <cell r="G449"/>
          <cell r="H449"/>
          <cell r="L449"/>
          <cell r="M449"/>
        </row>
        <row r="450">
          <cell r="G450"/>
          <cell r="H450"/>
          <cell r="L450"/>
          <cell r="M450"/>
        </row>
        <row r="451">
          <cell r="G451"/>
          <cell r="H451"/>
          <cell r="L451"/>
          <cell r="M451"/>
        </row>
        <row r="452">
          <cell r="G452"/>
          <cell r="H452"/>
          <cell r="L452"/>
          <cell r="M452"/>
        </row>
        <row r="453">
          <cell r="G453"/>
          <cell r="H453"/>
          <cell r="L453"/>
          <cell r="M453"/>
        </row>
        <row r="454">
          <cell r="G454"/>
          <cell r="H454"/>
          <cell r="L454"/>
          <cell r="M454"/>
        </row>
        <row r="455">
          <cell r="G455"/>
          <cell r="H455"/>
          <cell r="L455"/>
          <cell r="M455"/>
        </row>
        <row r="456">
          <cell r="G456"/>
          <cell r="H456"/>
          <cell r="L456"/>
          <cell r="M456"/>
        </row>
        <row r="457">
          <cell r="G457"/>
          <cell r="H457"/>
          <cell r="L457"/>
          <cell r="M457"/>
        </row>
        <row r="458">
          <cell r="G458"/>
          <cell r="H458"/>
          <cell r="L458"/>
          <cell r="M458"/>
        </row>
        <row r="459">
          <cell r="G459"/>
          <cell r="H459"/>
          <cell r="L459"/>
          <cell r="M459"/>
        </row>
        <row r="460">
          <cell r="G460"/>
          <cell r="H460"/>
          <cell r="L460"/>
          <cell r="M460"/>
        </row>
        <row r="461">
          <cell r="G461"/>
          <cell r="H461"/>
          <cell r="L461"/>
          <cell r="M461"/>
        </row>
        <row r="462">
          <cell r="G462"/>
          <cell r="H462"/>
          <cell r="L462"/>
          <cell r="M462"/>
        </row>
        <row r="463">
          <cell r="G463"/>
          <cell r="H463"/>
          <cell r="L463"/>
          <cell r="M463"/>
        </row>
        <row r="464">
          <cell r="G464"/>
          <cell r="H464"/>
          <cell r="L464"/>
          <cell r="M464"/>
        </row>
        <row r="465">
          <cell r="G465"/>
          <cell r="H465"/>
          <cell r="L465"/>
          <cell r="M465"/>
        </row>
        <row r="466">
          <cell r="G466"/>
          <cell r="H466"/>
          <cell r="L466"/>
          <cell r="M466"/>
        </row>
        <row r="467">
          <cell r="G467"/>
          <cell r="H467"/>
          <cell r="L467"/>
          <cell r="M467"/>
        </row>
        <row r="468">
          <cell r="G468"/>
          <cell r="H468"/>
          <cell r="L468"/>
          <cell r="M468"/>
        </row>
        <row r="469">
          <cell r="G469"/>
          <cell r="H469"/>
          <cell r="L469"/>
          <cell r="M469"/>
        </row>
        <row r="470">
          <cell r="G470"/>
          <cell r="H470"/>
          <cell r="L470"/>
          <cell r="M470"/>
        </row>
        <row r="471">
          <cell r="G471"/>
          <cell r="H471"/>
          <cell r="L471"/>
          <cell r="M471"/>
        </row>
        <row r="472">
          <cell r="G472"/>
          <cell r="H472"/>
          <cell r="L472"/>
          <cell r="M472"/>
        </row>
        <row r="473">
          <cell r="G473"/>
          <cell r="H473"/>
          <cell r="L473"/>
          <cell r="M473"/>
        </row>
        <row r="474">
          <cell r="G474"/>
          <cell r="H474"/>
          <cell r="L474"/>
          <cell r="M474"/>
        </row>
        <row r="475">
          <cell r="G475"/>
          <cell r="H475"/>
          <cell r="L475"/>
          <cell r="M475"/>
        </row>
        <row r="476">
          <cell r="G476"/>
          <cell r="H476"/>
          <cell r="L476"/>
          <cell r="M476"/>
        </row>
        <row r="477">
          <cell r="G477"/>
          <cell r="H477"/>
          <cell r="L477"/>
          <cell r="M477"/>
        </row>
        <row r="478">
          <cell r="G478"/>
          <cell r="H478"/>
          <cell r="L478"/>
          <cell r="M478"/>
        </row>
        <row r="479">
          <cell r="G479"/>
          <cell r="H479"/>
          <cell r="L479"/>
          <cell r="M479"/>
        </row>
        <row r="480">
          <cell r="G480"/>
          <cell r="H480"/>
          <cell r="L480"/>
          <cell r="M480"/>
        </row>
        <row r="481">
          <cell r="G481"/>
          <cell r="H481"/>
          <cell r="L481"/>
          <cell r="M481"/>
        </row>
        <row r="482">
          <cell r="G482"/>
          <cell r="H482"/>
          <cell r="L482"/>
          <cell r="M482"/>
        </row>
        <row r="483">
          <cell r="G483"/>
          <cell r="H483"/>
          <cell r="L483"/>
          <cell r="M483"/>
        </row>
        <row r="484">
          <cell r="G484"/>
          <cell r="H484"/>
          <cell r="L484"/>
          <cell r="M484"/>
        </row>
        <row r="485">
          <cell r="G485"/>
          <cell r="H485"/>
          <cell r="L485"/>
          <cell r="M485"/>
        </row>
        <row r="486">
          <cell r="G486"/>
          <cell r="H486"/>
          <cell r="L486"/>
          <cell r="M486"/>
        </row>
        <row r="487">
          <cell r="G487"/>
          <cell r="H487"/>
          <cell r="L487"/>
          <cell r="M487"/>
        </row>
        <row r="488">
          <cell r="G488"/>
          <cell r="H488"/>
          <cell r="L488"/>
          <cell r="M488"/>
        </row>
        <row r="489">
          <cell r="G489"/>
          <cell r="H489"/>
          <cell r="L489"/>
          <cell r="M489"/>
        </row>
        <row r="490">
          <cell r="G490"/>
          <cell r="H490"/>
          <cell r="L490"/>
          <cell r="M490"/>
        </row>
        <row r="491">
          <cell r="G491"/>
          <cell r="H491"/>
          <cell r="L491"/>
          <cell r="M491"/>
        </row>
        <row r="492">
          <cell r="G492"/>
          <cell r="H492"/>
          <cell r="L492"/>
          <cell r="M492"/>
        </row>
        <row r="493">
          <cell r="G493"/>
          <cell r="H493"/>
          <cell r="L493"/>
          <cell r="M493"/>
        </row>
        <row r="494">
          <cell r="G494"/>
          <cell r="H494"/>
          <cell r="L494"/>
          <cell r="M494"/>
        </row>
        <row r="495">
          <cell r="G495"/>
          <cell r="H495"/>
          <cell r="L495"/>
          <cell r="M495"/>
        </row>
        <row r="496">
          <cell r="G496"/>
          <cell r="H496"/>
          <cell r="L496"/>
          <cell r="M496"/>
        </row>
        <row r="497">
          <cell r="G497"/>
          <cell r="H497"/>
          <cell r="L497"/>
          <cell r="M497"/>
        </row>
        <row r="498">
          <cell r="G498"/>
          <cell r="H498"/>
          <cell r="L498"/>
          <cell r="M498"/>
        </row>
        <row r="499">
          <cell r="G499"/>
          <cell r="H499"/>
          <cell r="L499"/>
          <cell r="M499"/>
        </row>
        <row r="500">
          <cell r="G500"/>
          <cell r="H500"/>
          <cell r="L500"/>
          <cell r="M500"/>
        </row>
        <row r="501">
          <cell r="G501"/>
          <cell r="H501"/>
          <cell r="L501"/>
          <cell r="M501"/>
        </row>
        <row r="502">
          <cell r="G502"/>
          <cell r="H502"/>
          <cell r="L502"/>
          <cell r="M502"/>
        </row>
        <row r="503">
          <cell r="G503"/>
          <cell r="H503"/>
          <cell r="L503"/>
          <cell r="M503"/>
        </row>
        <row r="504">
          <cell r="G504"/>
          <cell r="H504"/>
          <cell r="L504"/>
          <cell r="M504"/>
        </row>
        <row r="505">
          <cell r="G505"/>
          <cell r="H505"/>
          <cell r="L505"/>
          <cell r="M505"/>
        </row>
        <row r="506">
          <cell r="G506"/>
          <cell r="H506"/>
          <cell r="L506"/>
          <cell r="M506"/>
        </row>
        <row r="507">
          <cell r="G507"/>
          <cell r="H507"/>
          <cell r="L507"/>
          <cell r="M507"/>
        </row>
        <row r="508">
          <cell r="G508"/>
          <cell r="H508"/>
          <cell r="L508"/>
          <cell r="M508"/>
        </row>
        <row r="509">
          <cell r="G509"/>
          <cell r="H509"/>
          <cell r="L509"/>
          <cell r="M509"/>
        </row>
        <row r="510">
          <cell r="G510"/>
          <cell r="H510"/>
          <cell r="L510"/>
          <cell r="M510"/>
        </row>
        <row r="511">
          <cell r="G511"/>
          <cell r="H511"/>
          <cell r="L511"/>
          <cell r="M511"/>
        </row>
        <row r="512">
          <cell r="G512"/>
          <cell r="H512"/>
          <cell r="L512"/>
          <cell r="M512"/>
        </row>
        <row r="513">
          <cell r="G513"/>
          <cell r="H513"/>
          <cell r="L513"/>
          <cell r="M513"/>
        </row>
        <row r="514">
          <cell r="G514"/>
          <cell r="H514"/>
          <cell r="L514"/>
          <cell r="M514"/>
        </row>
        <row r="515">
          <cell r="G515"/>
          <cell r="H515"/>
          <cell r="L515"/>
          <cell r="M515"/>
        </row>
        <row r="516">
          <cell r="G516"/>
          <cell r="H516"/>
          <cell r="L516"/>
          <cell r="M516"/>
        </row>
        <row r="517">
          <cell r="G517"/>
          <cell r="H517"/>
          <cell r="L517"/>
          <cell r="M517"/>
        </row>
        <row r="518">
          <cell r="G518"/>
          <cell r="H518"/>
          <cell r="L518"/>
          <cell r="M518"/>
        </row>
        <row r="519">
          <cell r="G519"/>
          <cell r="H519"/>
          <cell r="L519"/>
          <cell r="M519"/>
        </row>
        <row r="520">
          <cell r="G520"/>
          <cell r="H520"/>
          <cell r="L520"/>
          <cell r="M520"/>
        </row>
        <row r="521">
          <cell r="G521"/>
          <cell r="H521"/>
          <cell r="L521"/>
          <cell r="M521"/>
        </row>
        <row r="522">
          <cell r="G522"/>
          <cell r="H522"/>
          <cell r="L522"/>
          <cell r="M522"/>
        </row>
        <row r="523">
          <cell r="G523"/>
          <cell r="H523"/>
          <cell r="L523"/>
          <cell r="M523"/>
        </row>
        <row r="524">
          <cell r="G524"/>
          <cell r="H524"/>
          <cell r="L524"/>
          <cell r="M524"/>
        </row>
        <row r="525">
          <cell r="G525"/>
          <cell r="H525"/>
          <cell r="L525"/>
          <cell r="M525"/>
        </row>
        <row r="526">
          <cell r="G526"/>
          <cell r="H526"/>
          <cell r="L526"/>
          <cell r="M526"/>
        </row>
        <row r="527">
          <cell r="G527"/>
          <cell r="H527"/>
          <cell r="L527"/>
          <cell r="M527"/>
        </row>
        <row r="528">
          <cell r="G528"/>
          <cell r="H528"/>
          <cell r="L528"/>
          <cell r="M528"/>
        </row>
        <row r="529">
          <cell r="G529"/>
          <cell r="H529"/>
          <cell r="L529"/>
          <cell r="M529"/>
        </row>
        <row r="530">
          <cell r="G530"/>
          <cell r="H530"/>
          <cell r="L530"/>
          <cell r="M530"/>
        </row>
        <row r="531">
          <cell r="G531"/>
          <cell r="H531"/>
          <cell r="L531"/>
          <cell r="M531"/>
        </row>
        <row r="532">
          <cell r="G532"/>
          <cell r="H532"/>
          <cell r="L532"/>
          <cell r="M532"/>
        </row>
        <row r="533">
          <cell r="G533"/>
          <cell r="H533"/>
          <cell r="L533"/>
          <cell r="M533"/>
        </row>
        <row r="534">
          <cell r="G534"/>
          <cell r="H534"/>
          <cell r="L534"/>
          <cell r="M534"/>
        </row>
        <row r="535">
          <cell r="G535"/>
          <cell r="H535"/>
          <cell r="L535"/>
          <cell r="M535"/>
        </row>
        <row r="536">
          <cell r="G536"/>
          <cell r="H536"/>
          <cell r="L536"/>
          <cell r="M536"/>
        </row>
        <row r="537">
          <cell r="G537"/>
          <cell r="H537"/>
          <cell r="L537"/>
          <cell r="M537"/>
        </row>
        <row r="538">
          <cell r="G538"/>
          <cell r="H538"/>
          <cell r="L538"/>
          <cell r="M538"/>
        </row>
        <row r="539">
          <cell r="G539"/>
          <cell r="H539"/>
          <cell r="L539"/>
          <cell r="M539"/>
        </row>
        <row r="540">
          <cell r="G540"/>
          <cell r="H540"/>
          <cell r="L540"/>
          <cell r="M540"/>
        </row>
        <row r="541">
          <cell r="G541"/>
          <cell r="H541"/>
          <cell r="L541"/>
          <cell r="M541"/>
        </row>
        <row r="542">
          <cell r="G542"/>
          <cell r="H542"/>
          <cell r="L542"/>
          <cell r="M542"/>
        </row>
        <row r="543">
          <cell r="G543"/>
          <cell r="H543"/>
          <cell r="L543"/>
          <cell r="M543"/>
        </row>
        <row r="544">
          <cell r="G544"/>
          <cell r="H544"/>
          <cell r="L544"/>
          <cell r="M544"/>
        </row>
        <row r="545">
          <cell r="G545"/>
          <cell r="H545"/>
          <cell r="L545"/>
          <cell r="M545"/>
        </row>
        <row r="546">
          <cell r="G546"/>
          <cell r="H546"/>
          <cell r="L546"/>
          <cell r="M546"/>
        </row>
        <row r="547">
          <cell r="G547"/>
          <cell r="H547"/>
          <cell r="L547"/>
          <cell r="M547"/>
        </row>
        <row r="548">
          <cell r="G548"/>
          <cell r="H548"/>
          <cell r="L548"/>
          <cell r="M548"/>
        </row>
        <row r="549">
          <cell r="G549"/>
          <cell r="H549"/>
          <cell r="L549"/>
          <cell r="M549"/>
        </row>
        <row r="550">
          <cell r="G550"/>
          <cell r="H550"/>
          <cell r="L550"/>
          <cell r="M550"/>
        </row>
        <row r="551">
          <cell r="G551"/>
          <cell r="H551"/>
          <cell r="L551"/>
          <cell r="M551"/>
        </row>
        <row r="552">
          <cell r="G552"/>
          <cell r="H552"/>
          <cell r="L552"/>
          <cell r="M552"/>
        </row>
        <row r="553">
          <cell r="G553"/>
          <cell r="H553"/>
          <cell r="L553"/>
          <cell r="M553"/>
        </row>
        <row r="554">
          <cell r="G554"/>
          <cell r="H554"/>
          <cell r="L554"/>
          <cell r="M554"/>
        </row>
        <row r="555">
          <cell r="G555"/>
          <cell r="H555"/>
          <cell r="L555"/>
          <cell r="M555"/>
        </row>
        <row r="556">
          <cell r="G556"/>
          <cell r="H556"/>
          <cell r="L556"/>
          <cell r="M556"/>
        </row>
        <row r="557">
          <cell r="G557"/>
          <cell r="H557"/>
          <cell r="L557"/>
          <cell r="M557"/>
        </row>
        <row r="558">
          <cell r="G558"/>
          <cell r="H558"/>
          <cell r="L558"/>
          <cell r="M558"/>
        </row>
        <row r="559">
          <cell r="G559"/>
          <cell r="H559"/>
          <cell r="L559"/>
          <cell r="M559"/>
        </row>
        <row r="560">
          <cell r="G560"/>
          <cell r="H560"/>
          <cell r="L560"/>
          <cell r="M560"/>
        </row>
        <row r="561">
          <cell r="G561"/>
          <cell r="H561"/>
          <cell r="L561"/>
          <cell r="M561"/>
        </row>
        <row r="562">
          <cell r="G562"/>
          <cell r="H562"/>
          <cell r="L562"/>
          <cell r="M562"/>
        </row>
        <row r="563">
          <cell r="G563"/>
          <cell r="H563"/>
          <cell r="L563"/>
          <cell r="M563"/>
        </row>
        <row r="564">
          <cell r="G564"/>
          <cell r="H564"/>
          <cell r="L564"/>
          <cell r="M564"/>
        </row>
        <row r="565">
          <cell r="G565"/>
          <cell r="H565"/>
          <cell r="L565"/>
          <cell r="M565"/>
        </row>
        <row r="566">
          <cell r="G566"/>
          <cell r="H566"/>
          <cell r="L566"/>
          <cell r="M566"/>
        </row>
        <row r="567">
          <cell r="G567"/>
          <cell r="H567"/>
          <cell r="L567"/>
          <cell r="M567"/>
        </row>
        <row r="568">
          <cell r="G568"/>
          <cell r="H568"/>
          <cell r="L568"/>
          <cell r="M568"/>
        </row>
        <row r="569">
          <cell r="G569"/>
          <cell r="H569"/>
          <cell r="L569"/>
          <cell r="M569"/>
        </row>
        <row r="570">
          <cell r="G570"/>
          <cell r="H570"/>
          <cell r="L570"/>
          <cell r="M570"/>
        </row>
        <row r="571">
          <cell r="G571"/>
          <cell r="H571"/>
          <cell r="L571"/>
          <cell r="M571"/>
        </row>
        <row r="572">
          <cell r="G572"/>
          <cell r="H572"/>
          <cell r="L572"/>
          <cell r="M572"/>
        </row>
        <row r="573">
          <cell r="G573"/>
          <cell r="H573"/>
          <cell r="L573"/>
          <cell r="M573"/>
        </row>
        <row r="574">
          <cell r="G574"/>
          <cell r="H574"/>
          <cell r="L574"/>
          <cell r="M574"/>
        </row>
        <row r="575">
          <cell r="G575"/>
          <cell r="H575"/>
          <cell r="L575"/>
          <cell r="M575"/>
        </row>
        <row r="576">
          <cell r="G576"/>
          <cell r="H576"/>
          <cell r="L576"/>
          <cell r="M576"/>
        </row>
        <row r="577">
          <cell r="G577"/>
          <cell r="H577"/>
          <cell r="L577"/>
          <cell r="M577"/>
        </row>
        <row r="578">
          <cell r="G578"/>
          <cell r="H578"/>
          <cell r="L578"/>
          <cell r="M578"/>
        </row>
        <row r="579">
          <cell r="G579"/>
          <cell r="H579"/>
          <cell r="L579"/>
          <cell r="M579"/>
        </row>
        <row r="580">
          <cell r="G580"/>
          <cell r="H580"/>
          <cell r="L580"/>
          <cell r="M580"/>
        </row>
        <row r="581">
          <cell r="G581"/>
          <cell r="H581"/>
          <cell r="L581"/>
          <cell r="M581"/>
        </row>
        <row r="582">
          <cell r="G582"/>
          <cell r="H582"/>
          <cell r="L582"/>
          <cell r="M582"/>
        </row>
        <row r="583">
          <cell r="G583"/>
          <cell r="H583"/>
          <cell r="L583"/>
          <cell r="M583"/>
        </row>
        <row r="584">
          <cell r="G584"/>
          <cell r="H584"/>
          <cell r="L584"/>
          <cell r="M584"/>
        </row>
        <row r="585">
          <cell r="G585"/>
          <cell r="H585"/>
          <cell r="L585"/>
          <cell r="M585"/>
        </row>
        <row r="586">
          <cell r="G586"/>
          <cell r="H586"/>
          <cell r="L586"/>
          <cell r="M586"/>
        </row>
        <row r="587">
          <cell r="G587"/>
          <cell r="H587"/>
          <cell r="L587"/>
          <cell r="M587"/>
        </row>
        <row r="588">
          <cell r="G588"/>
          <cell r="H588"/>
          <cell r="L588"/>
          <cell r="M588"/>
        </row>
        <row r="589">
          <cell r="G589"/>
          <cell r="H589"/>
          <cell r="L589"/>
          <cell r="M589"/>
        </row>
        <row r="590">
          <cell r="G590"/>
          <cell r="H590"/>
          <cell r="L590"/>
          <cell r="M590"/>
        </row>
        <row r="591">
          <cell r="G591"/>
          <cell r="H591"/>
          <cell r="L591"/>
          <cell r="M591"/>
        </row>
        <row r="592">
          <cell r="G592"/>
          <cell r="H592"/>
          <cell r="L592"/>
          <cell r="M592"/>
        </row>
        <row r="593">
          <cell r="G593"/>
          <cell r="H593"/>
          <cell r="L593"/>
          <cell r="M593"/>
        </row>
        <row r="594">
          <cell r="G594"/>
          <cell r="H594"/>
          <cell r="L594"/>
          <cell r="M594"/>
        </row>
        <row r="595">
          <cell r="G595"/>
          <cell r="H595"/>
          <cell r="L595"/>
          <cell r="M595"/>
        </row>
        <row r="596">
          <cell r="G596"/>
          <cell r="H596"/>
          <cell r="L596"/>
          <cell r="M596"/>
        </row>
        <row r="597">
          <cell r="G597"/>
          <cell r="H597"/>
          <cell r="L597"/>
          <cell r="M597"/>
        </row>
        <row r="598">
          <cell r="G598"/>
          <cell r="H598"/>
          <cell r="L598"/>
          <cell r="M598"/>
        </row>
        <row r="599">
          <cell r="G599"/>
          <cell r="H599"/>
          <cell r="L599"/>
          <cell r="M599"/>
        </row>
        <row r="600">
          <cell r="G600"/>
          <cell r="H600"/>
          <cell r="L600"/>
          <cell r="M600"/>
        </row>
        <row r="601">
          <cell r="G601"/>
          <cell r="H601"/>
          <cell r="L601"/>
          <cell r="M601"/>
        </row>
        <row r="602">
          <cell r="G602"/>
          <cell r="H602"/>
          <cell r="L602"/>
          <cell r="M602"/>
        </row>
        <row r="603">
          <cell r="G603"/>
          <cell r="H603"/>
          <cell r="L603"/>
          <cell r="M603"/>
        </row>
        <row r="604">
          <cell r="G604"/>
          <cell r="H604"/>
          <cell r="L604"/>
          <cell r="M604"/>
        </row>
        <row r="605">
          <cell r="G605"/>
          <cell r="H605"/>
          <cell r="L605"/>
          <cell r="M605"/>
        </row>
        <row r="606">
          <cell r="G606"/>
          <cell r="H606"/>
          <cell r="L606"/>
          <cell r="M606"/>
        </row>
        <row r="607">
          <cell r="G607"/>
          <cell r="H607"/>
          <cell r="L607"/>
          <cell r="M607"/>
        </row>
        <row r="608">
          <cell r="G608"/>
          <cell r="H608"/>
          <cell r="L608"/>
          <cell r="M608"/>
        </row>
        <row r="609">
          <cell r="G609"/>
          <cell r="H609"/>
          <cell r="L609"/>
          <cell r="M609"/>
        </row>
        <row r="610">
          <cell r="G610"/>
          <cell r="H610"/>
          <cell r="L610"/>
          <cell r="M610"/>
        </row>
        <row r="611">
          <cell r="G611"/>
          <cell r="H611"/>
          <cell r="L611"/>
          <cell r="M611"/>
        </row>
        <row r="612">
          <cell r="G612"/>
          <cell r="H612"/>
          <cell r="L612"/>
          <cell r="M612"/>
        </row>
        <row r="613">
          <cell r="G613"/>
          <cell r="H613"/>
          <cell r="L613"/>
          <cell r="M613"/>
        </row>
        <row r="614">
          <cell r="G614"/>
          <cell r="H614"/>
          <cell r="L614"/>
          <cell r="M614"/>
        </row>
        <row r="615">
          <cell r="G615"/>
          <cell r="H615"/>
          <cell r="L615"/>
          <cell r="M615"/>
        </row>
        <row r="616">
          <cell r="G616"/>
          <cell r="H616"/>
          <cell r="L616"/>
          <cell r="M616"/>
        </row>
        <row r="617">
          <cell r="G617"/>
          <cell r="H617"/>
          <cell r="L617"/>
          <cell r="M617"/>
        </row>
        <row r="618">
          <cell r="G618"/>
          <cell r="H618"/>
          <cell r="L618"/>
          <cell r="M618"/>
        </row>
        <row r="619">
          <cell r="G619"/>
          <cell r="H619"/>
          <cell r="L619"/>
          <cell r="M619"/>
        </row>
        <row r="620">
          <cell r="G620"/>
          <cell r="H620"/>
          <cell r="L620"/>
          <cell r="M620"/>
        </row>
        <row r="621">
          <cell r="G621"/>
          <cell r="H621"/>
          <cell r="L621"/>
          <cell r="M621"/>
        </row>
        <row r="622">
          <cell r="G622"/>
          <cell r="H622"/>
          <cell r="L622"/>
          <cell r="M622"/>
        </row>
        <row r="623">
          <cell r="G623"/>
          <cell r="H623"/>
          <cell r="L623"/>
          <cell r="M623"/>
        </row>
        <row r="624">
          <cell r="G624"/>
          <cell r="H624"/>
          <cell r="L624"/>
          <cell r="M624"/>
        </row>
        <row r="625">
          <cell r="G625"/>
          <cell r="H625"/>
          <cell r="L625"/>
          <cell r="M625"/>
        </row>
        <row r="626">
          <cell r="G626"/>
          <cell r="H626"/>
          <cell r="L626"/>
          <cell r="M626"/>
        </row>
        <row r="627">
          <cell r="G627"/>
          <cell r="H627"/>
          <cell r="L627"/>
          <cell r="M627"/>
        </row>
        <row r="628">
          <cell r="G628"/>
          <cell r="H628"/>
          <cell r="L628"/>
          <cell r="M628"/>
        </row>
        <row r="629">
          <cell r="G629"/>
          <cell r="H629"/>
          <cell r="L629"/>
          <cell r="M629"/>
        </row>
        <row r="630">
          <cell r="G630"/>
          <cell r="H630"/>
          <cell r="L630"/>
          <cell r="M630"/>
        </row>
        <row r="631">
          <cell r="G631"/>
          <cell r="H631"/>
          <cell r="L631"/>
          <cell r="M631"/>
        </row>
        <row r="632">
          <cell r="G632"/>
          <cell r="H632"/>
          <cell r="L632"/>
          <cell r="M632"/>
        </row>
        <row r="633">
          <cell r="G633"/>
          <cell r="H633"/>
          <cell r="L633"/>
          <cell r="M633"/>
        </row>
        <row r="634">
          <cell r="G634"/>
          <cell r="H634"/>
          <cell r="L634"/>
          <cell r="M634"/>
        </row>
        <row r="635">
          <cell r="G635"/>
          <cell r="H635"/>
          <cell r="L635"/>
          <cell r="M635"/>
        </row>
        <row r="636">
          <cell r="G636"/>
          <cell r="H636"/>
          <cell r="L636"/>
          <cell r="M636"/>
        </row>
        <row r="637">
          <cell r="G637"/>
          <cell r="H637"/>
          <cell r="L637"/>
          <cell r="M637"/>
        </row>
        <row r="638">
          <cell r="G638"/>
          <cell r="H638"/>
          <cell r="L638"/>
          <cell r="M638"/>
        </row>
        <row r="639">
          <cell r="G639"/>
          <cell r="H639"/>
          <cell r="L639"/>
          <cell r="M639"/>
        </row>
        <row r="640">
          <cell r="G640"/>
          <cell r="H640"/>
          <cell r="L640"/>
          <cell r="M640"/>
        </row>
        <row r="641">
          <cell r="G641"/>
          <cell r="H641"/>
          <cell r="L641"/>
          <cell r="M641"/>
        </row>
        <row r="642">
          <cell r="G642"/>
          <cell r="H642"/>
          <cell r="L642"/>
          <cell r="M642"/>
        </row>
        <row r="643">
          <cell r="G643"/>
          <cell r="H643"/>
          <cell r="L643"/>
          <cell r="M643"/>
        </row>
        <row r="644">
          <cell r="G644"/>
          <cell r="H644"/>
          <cell r="L644"/>
          <cell r="M644"/>
        </row>
        <row r="645">
          <cell r="G645"/>
          <cell r="H645"/>
          <cell r="L645"/>
          <cell r="M645"/>
        </row>
        <row r="646">
          <cell r="G646"/>
          <cell r="H646"/>
          <cell r="L646"/>
          <cell r="M646"/>
        </row>
        <row r="647">
          <cell r="G647"/>
          <cell r="H647"/>
          <cell r="L647"/>
          <cell r="M647"/>
        </row>
        <row r="648">
          <cell r="G648"/>
          <cell r="H648"/>
          <cell r="L648"/>
          <cell r="M648"/>
        </row>
        <row r="649">
          <cell r="G649"/>
          <cell r="H649"/>
          <cell r="L649"/>
          <cell r="M649"/>
        </row>
        <row r="650">
          <cell r="G650"/>
          <cell r="H650"/>
          <cell r="L650"/>
          <cell r="M650"/>
        </row>
        <row r="651">
          <cell r="G651"/>
          <cell r="H651"/>
          <cell r="L651"/>
          <cell r="M651"/>
        </row>
        <row r="652">
          <cell r="G652"/>
          <cell r="H652"/>
          <cell r="L652"/>
          <cell r="M652"/>
        </row>
        <row r="653">
          <cell r="G653"/>
          <cell r="H653"/>
          <cell r="L653"/>
          <cell r="M653"/>
        </row>
        <row r="654">
          <cell r="G654"/>
          <cell r="H654"/>
          <cell r="L654"/>
          <cell r="M654"/>
        </row>
        <row r="655">
          <cell r="G655"/>
          <cell r="H655"/>
          <cell r="L655"/>
          <cell r="M655"/>
        </row>
        <row r="656">
          <cell r="G656"/>
          <cell r="H656"/>
          <cell r="L656"/>
          <cell r="M656"/>
        </row>
        <row r="657">
          <cell r="G657"/>
          <cell r="H657"/>
          <cell r="L657"/>
          <cell r="M657"/>
        </row>
        <row r="658">
          <cell r="G658"/>
          <cell r="H658"/>
          <cell r="L658"/>
          <cell r="M658"/>
        </row>
        <row r="659">
          <cell r="G659"/>
          <cell r="H659"/>
          <cell r="L659"/>
          <cell r="M659"/>
        </row>
        <row r="660">
          <cell r="G660"/>
          <cell r="H660"/>
          <cell r="L660"/>
          <cell r="M660"/>
        </row>
        <row r="661">
          <cell r="G661"/>
          <cell r="H661"/>
          <cell r="L661"/>
          <cell r="M661"/>
        </row>
        <row r="662">
          <cell r="G662"/>
          <cell r="H662"/>
          <cell r="L662"/>
          <cell r="M662"/>
        </row>
        <row r="663">
          <cell r="G663"/>
          <cell r="H663"/>
          <cell r="L663"/>
          <cell r="M663"/>
        </row>
        <row r="664">
          <cell r="G664"/>
          <cell r="H664"/>
          <cell r="L664"/>
          <cell r="M664"/>
        </row>
        <row r="665">
          <cell r="G665"/>
          <cell r="H665"/>
          <cell r="L665"/>
          <cell r="M665"/>
        </row>
        <row r="666">
          <cell r="G666"/>
          <cell r="H666"/>
          <cell r="L666"/>
          <cell r="M666"/>
        </row>
        <row r="667">
          <cell r="G667"/>
          <cell r="H667"/>
          <cell r="L667"/>
          <cell r="M667"/>
        </row>
        <row r="668">
          <cell r="G668"/>
          <cell r="H668"/>
          <cell r="L668"/>
          <cell r="M668"/>
        </row>
        <row r="669">
          <cell r="G669"/>
          <cell r="H669"/>
          <cell r="L669"/>
          <cell r="M669"/>
        </row>
        <row r="670">
          <cell r="G670"/>
          <cell r="H670"/>
          <cell r="L670"/>
          <cell r="M670"/>
        </row>
        <row r="671">
          <cell r="G671"/>
          <cell r="H671"/>
          <cell r="L671"/>
          <cell r="M671"/>
        </row>
        <row r="672">
          <cell r="G672"/>
          <cell r="H672"/>
          <cell r="L672"/>
          <cell r="M672"/>
        </row>
        <row r="673">
          <cell r="G673"/>
          <cell r="H673"/>
          <cell r="L673"/>
          <cell r="M673"/>
        </row>
        <row r="674">
          <cell r="G674"/>
          <cell r="H674"/>
          <cell r="L674"/>
          <cell r="M674"/>
        </row>
        <row r="675">
          <cell r="G675"/>
          <cell r="H675"/>
          <cell r="L675"/>
          <cell r="M675"/>
        </row>
        <row r="676">
          <cell r="G676"/>
          <cell r="H676"/>
          <cell r="L676"/>
          <cell r="M676"/>
        </row>
        <row r="677">
          <cell r="G677"/>
          <cell r="H677"/>
          <cell r="L677"/>
          <cell r="M677"/>
        </row>
        <row r="678">
          <cell r="G678"/>
          <cell r="H678"/>
          <cell r="L678"/>
          <cell r="M678"/>
        </row>
        <row r="679">
          <cell r="G679"/>
          <cell r="H679"/>
          <cell r="L679"/>
          <cell r="M679"/>
        </row>
        <row r="680">
          <cell r="G680"/>
          <cell r="H680"/>
          <cell r="L680"/>
          <cell r="M680"/>
        </row>
        <row r="681">
          <cell r="G681"/>
          <cell r="H681"/>
          <cell r="L681"/>
          <cell r="M681"/>
        </row>
        <row r="682">
          <cell r="G682"/>
          <cell r="H682"/>
          <cell r="L682"/>
          <cell r="M682"/>
        </row>
        <row r="683">
          <cell r="G683"/>
          <cell r="H683"/>
          <cell r="L683"/>
          <cell r="M683"/>
        </row>
        <row r="684">
          <cell r="G684"/>
          <cell r="H684"/>
          <cell r="L684"/>
          <cell r="M684"/>
        </row>
        <row r="685">
          <cell r="G685"/>
          <cell r="H685"/>
          <cell r="L685"/>
          <cell r="M685"/>
        </row>
        <row r="686">
          <cell r="G686"/>
          <cell r="H686"/>
          <cell r="L686"/>
          <cell r="M686"/>
        </row>
        <row r="687">
          <cell r="G687"/>
          <cell r="H687"/>
          <cell r="L687"/>
          <cell r="M687"/>
        </row>
        <row r="688">
          <cell r="G688"/>
          <cell r="H688"/>
          <cell r="L688"/>
          <cell r="M688"/>
        </row>
        <row r="689">
          <cell r="G689"/>
          <cell r="H689"/>
          <cell r="L689"/>
          <cell r="M689"/>
        </row>
        <row r="690">
          <cell r="G690"/>
          <cell r="H690"/>
          <cell r="L690"/>
          <cell r="M690"/>
        </row>
        <row r="691">
          <cell r="G691"/>
          <cell r="H691"/>
          <cell r="L691"/>
          <cell r="M691"/>
        </row>
        <row r="692">
          <cell r="G692"/>
          <cell r="H692"/>
          <cell r="L692"/>
          <cell r="M692"/>
        </row>
        <row r="693">
          <cell r="G693"/>
          <cell r="H693"/>
          <cell r="L693"/>
          <cell r="M693"/>
        </row>
        <row r="694">
          <cell r="G694"/>
          <cell r="H694"/>
          <cell r="L694"/>
          <cell r="M694"/>
        </row>
        <row r="695">
          <cell r="G695"/>
          <cell r="H695"/>
          <cell r="L695"/>
          <cell r="M695"/>
        </row>
        <row r="696">
          <cell r="G696"/>
          <cell r="H696"/>
          <cell r="L696"/>
          <cell r="M696"/>
        </row>
        <row r="697">
          <cell r="G697"/>
          <cell r="H697"/>
          <cell r="L697"/>
          <cell r="M697"/>
        </row>
        <row r="698">
          <cell r="G698"/>
          <cell r="H698"/>
          <cell r="L698"/>
          <cell r="M698"/>
        </row>
        <row r="699">
          <cell r="G699"/>
          <cell r="H699"/>
          <cell r="L699"/>
          <cell r="M699"/>
        </row>
        <row r="700">
          <cell r="G700"/>
          <cell r="H700"/>
          <cell r="L700"/>
          <cell r="M700"/>
        </row>
        <row r="701">
          <cell r="G701"/>
          <cell r="H701"/>
          <cell r="L701"/>
          <cell r="M701"/>
        </row>
        <row r="702">
          <cell r="G702"/>
          <cell r="H702"/>
          <cell r="L702"/>
          <cell r="M702"/>
        </row>
        <row r="703">
          <cell r="G703"/>
          <cell r="H703"/>
          <cell r="L703"/>
          <cell r="M703"/>
        </row>
        <row r="704">
          <cell r="G704"/>
          <cell r="H704"/>
          <cell r="L704"/>
          <cell r="M704"/>
        </row>
        <row r="705">
          <cell r="G705"/>
          <cell r="H705"/>
          <cell r="L705"/>
          <cell r="M705"/>
        </row>
        <row r="706">
          <cell r="G706"/>
          <cell r="H706"/>
          <cell r="L706"/>
          <cell r="M706"/>
        </row>
        <row r="707">
          <cell r="G707"/>
          <cell r="H707"/>
          <cell r="L707"/>
          <cell r="M707"/>
        </row>
        <row r="708">
          <cell r="G708"/>
          <cell r="H708"/>
          <cell r="L708"/>
          <cell r="M708"/>
        </row>
        <row r="709">
          <cell r="G709"/>
          <cell r="H709"/>
          <cell r="L709"/>
          <cell r="M709"/>
        </row>
        <row r="710">
          <cell r="G710"/>
          <cell r="H710"/>
          <cell r="L710"/>
          <cell r="M710"/>
        </row>
        <row r="711">
          <cell r="G711"/>
          <cell r="H711"/>
          <cell r="L711"/>
          <cell r="M711"/>
        </row>
        <row r="712">
          <cell r="G712"/>
          <cell r="H712"/>
          <cell r="L712"/>
          <cell r="M712"/>
        </row>
        <row r="713">
          <cell r="G713"/>
          <cell r="H713"/>
          <cell r="L713"/>
          <cell r="M713"/>
        </row>
        <row r="714">
          <cell r="G714"/>
          <cell r="H714"/>
          <cell r="L714"/>
          <cell r="M714"/>
        </row>
        <row r="715">
          <cell r="G715"/>
          <cell r="H715"/>
          <cell r="L715"/>
          <cell r="M715"/>
        </row>
        <row r="716">
          <cell r="G716"/>
          <cell r="H716"/>
          <cell r="L716"/>
          <cell r="M716"/>
        </row>
        <row r="717">
          <cell r="G717"/>
          <cell r="H717"/>
          <cell r="L717"/>
          <cell r="M717"/>
        </row>
        <row r="718">
          <cell r="G718"/>
          <cell r="H718"/>
          <cell r="L718"/>
          <cell r="M718"/>
        </row>
        <row r="719">
          <cell r="G719"/>
          <cell r="H719"/>
          <cell r="L719"/>
          <cell r="M719"/>
        </row>
        <row r="720">
          <cell r="G720"/>
          <cell r="H720"/>
          <cell r="L720"/>
          <cell r="M720"/>
        </row>
        <row r="721">
          <cell r="G721"/>
          <cell r="H721"/>
          <cell r="L721"/>
          <cell r="M721"/>
        </row>
        <row r="722">
          <cell r="G722"/>
          <cell r="H722"/>
          <cell r="L722"/>
          <cell r="M722"/>
        </row>
        <row r="723">
          <cell r="G723"/>
          <cell r="H723"/>
          <cell r="L723"/>
          <cell r="M723"/>
        </row>
        <row r="724">
          <cell r="G724"/>
          <cell r="H724"/>
          <cell r="L724"/>
          <cell r="M724"/>
        </row>
        <row r="725">
          <cell r="G725"/>
          <cell r="H725"/>
          <cell r="L725"/>
          <cell r="M725"/>
        </row>
        <row r="726">
          <cell r="G726"/>
          <cell r="H726"/>
          <cell r="L726"/>
          <cell r="M726"/>
        </row>
        <row r="727">
          <cell r="G727"/>
          <cell r="H727"/>
          <cell r="L727"/>
          <cell r="M727"/>
        </row>
        <row r="728">
          <cell r="G728"/>
          <cell r="H728"/>
          <cell r="L728"/>
          <cell r="M728"/>
        </row>
        <row r="729">
          <cell r="G729"/>
          <cell r="H729"/>
          <cell r="L729"/>
          <cell r="M729"/>
        </row>
        <row r="730">
          <cell r="G730"/>
          <cell r="H730"/>
          <cell r="L730"/>
          <cell r="M730"/>
        </row>
        <row r="731">
          <cell r="G731"/>
          <cell r="H731"/>
          <cell r="L731"/>
          <cell r="M731"/>
        </row>
        <row r="732">
          <cell r="G732"/>
          <cell r="H732"/>
          <cell r="L732"/>
          <cell r="M732"/>
        </row>
        <row r="733">
          <cell r="G733"/>
          <cell r="H733"/>
          <cell r="L733"/>
          <cell r="M733"/>
        </row>
        <row r="734">
          <cell r="G734"/>
          <cell r="H734"/>
          <cell r="L734"/>
          <cell r="M734"/>
        </row>
        <row r="735">
          <cell r="G735"/>
          <cell r="H735"/>
          <cell r="L735"/>
          <cell r="M735"/>
        </row>
        <row r="736">
          <cell r="G736"/>
          <cell r="H736"/>
          <cell r="L736"/>
          <cell r="M736"/>
        </row>
        <row r="737">
          <cell r="G737"/>
          <cell r="H737"/>
          <cell r="L737"/>
          <cell r="M737"/>
        </row>
        <row r="738">
          <cell r="G738"/>
          <cell r="H738"/>
          <cell r="L738"/>
          <cell r="M738"/>
        </row>
        <row r="739">
          <cell r="G739"/>
          <cell r="H739"/>
          <cell r="L739"/>
          <cell r="M739"/>
        </row>
        <row r="740">
          <cell r="G740"/>
          <cell r="H740"/>
          <cell r="L740"/>
          <cell r="M740"/>
        </row>
        <row r="741">
          <cell r="G741"/>
          <cell r="H741"/>
          <cell r="L741"/>
          <cell r="M741"/>
        </row>
        <row r="742">
          <cell r="G742"/>
          <cell r="H742"/>
          <cell r="L742"/>
          <cell r="M742"/>
        </row>
        <row r="743">
          <cell r="G743"/>
          <cell r="H743"/>
          <cell r="L743"/>
          <cell r="M743"/>
        </row>
        <row r="744">
          <cell r="G744"/>
          <cell r="H744"/>
          <cell r="L744"/>
          <cell r="M744"/>
        </row>
        <row r="745">
          <cell r="G745"/>
          <cell r="H745"/>
          <cell r="L745"/>
          <cell r="M745"/>
        </row>
        <row r="746">
          <cell r="G746"/>
          <cell r="H746"/>
          <cell r="L746"/>
          <cell r="M746"/>
        </row>
        <row r="747">
          <cell r="G747"/>
          <cell r="H747"/>
          <cell r="L747"/>
          <cell r="M747"/>
        </row>
        <row r="748">
          <cell r="G748"/>
          <cell r="H748"/>
          <cell r="L748"/>
          <cell r="M748"/>
        </row>
        <row r="749">
          <cell r="G749"/>
          <cell r="H749"/>
          <cell r="L749"/>
          <cell r="M749"/>
        </row>
        <row r="750">
          <cell r="G750"/>
          <cell r="H750"/>
          <cell r="L750"/>
          <cell r="M750"/>
        </row>
        <row r="751">
          <cell r="G751"/>
          <cell r="H751"/>
          <cell r="L751"/>
          <cell r="M751"/>
        </row>
        <row r="752">
          <cell r="G752"/>
          <cell r="H752"/>
          <cell r="L752"/>
          <cell r="M752"/>
        </row>
        <row r="753">
          <cell r="G753"/>
          <cell r="H753"/>
          <cell r="L753"/>
          <cell r="M753"/>
        </row>
        <row r="754">
          <cell r="G754"/>
          <cell r="H754"/>
          <cell r="L754"/>
          <cell r="M754"/>
        </row>
        <row r="755">
          <cell r="G755"/>
          <cell r="H755"/>
          <cell r="L755"/>
          <cell r="M755"/>
        </row>
        <row r="756">
          <cell r="G756"/>
          <cell r="H756"/>
          <cell r="L756"/>
          <cell r="M756"/>
        </row>
        <row r="757">
          <cell r="G757"/>
          <cell r="H757"/>
          <cell r="L757"/>
          <cell r="M757"/>
        </row>
        <row r="758">
          <cell r="G758"/>
          <cell r="H758"/>
          <cell r="L758"/>
          <cell r="M758"/>
        </row>
        <row r="759">
          <cell r="G759"/>
          <cell r="H759"/>
          <cell r="L759"/>
          <cell r="M759"/>
        </row>
        <row r="760">
          <cell r="G760"/>
          <cell r="H760"/>
          <cell r="L760"/>
          <cell r="M760"/>
        </row>
        <row r="761">
          <cell r="G761"/>
          <cell r="H761"/>
          <cell r="L761"/>
          <cell r="M761"/>
        </row>
        <row r="762">
          <cell r="G762"/>
          <cell r="H762"/>
          <cell r="L762"/>
          <cell r="M762"/>
        </row>
        <row r="763">
          <cell r="G763"/>
          <cell r="H763"/>
          <cell r="L763"/>
          <cell r="M763"/>
        </row>
        <row r="764">
          <cell r="G764"/>
          <cell r="H764"/>
          <cell r="L764"/>
          <cell r="M764"/>
        </row>
        <row r="765">
          <cell r="G765"/>
          <cell r="H765"/>
          <cell r="L765"/>
          <cell r="M765"/>
        </row>
        <row r="766">
          <cell r="G766"/>
          <cell r="H766"/>
          <cell r="L766"/>
          <cell r="M766"/>
        </row>
        <row r="767">
          <cell r="G767"/>
          <cell r="H767"/>
          <cell r="L767"/>
          <cell r="M767"/>
        </row>
        <row r="768">
          <cell r="G768"/>
          <cell r="H768"/>
          <cell r="L768"/>
          <cell r="M768"/>
        </row>
        <row r="769">
          <cell r="G769"/>
          <cell r="H769"/>
          <cell r="L769"/>
          <cell r="M769"/>
        </row>
        <row r="770">
          <cell r="G770"/>
          <cell r="H770"/>
          <cell r="L770"/>
          <cell r="M770"/>
        </row>
        <row r="771">
          <cell r="G771"/>
          <cell r="H771"/>
          <cell r="L771"/>
          <cell r="M771"/>
        </row>
        <row r="772">
          <cell r="G772"/>
          <cell r="H772"/>
          <cell r="L772"/>
          <cell r="M772"/>
        </row>
        <row r="773">
          <cell r="G773"/>
          <cell r="H773"/>
          <cell r="L773"/>
          <cell r="M773"/>
        </row>
        <row r="774">
          <cell r="G774"/>
          <cell r="H774"/>
          <cell r="L774"/>
          <cell r="M774"/>
        </row>
        <row r="775">
          <cell r="G775"/>
          <cell r="H775"/>
          <cell r="L775"/>
          <cell r="M775"/>
        </row>
        <row r="776">
          <cell r="G776"/>
          <cell r="H776"/>
          <cell r="L776"/>
          <cell r="M776"/>
        </row>
        <row r="777">
          <cell r="G777"/>
          <cell r="H777"/>
          <cell r="L777"/>
          <cell r="M777"/>
        </row>
        <row r="778">
          <cell r="G778"/>
          <cell r="H778"/>
          <cell r="L778"/>
          <cell r="M778"/>
        </row>
        <row r="779">
          <cell r="G779"/>
          <cell r="H779"/>
          <cell r="L779"/>
          <cell r="M779"/>
        </row>
        <row r="780">
          <cell r="G780"/>
          <cell r="H780"/>
          <cell r="L780"/>
          <cell r="M780"/>
        </row>
        <row r="781">
          <cell r="G781"/>
          <cell r="H781"/>
          <cell r="L781"/>
          <cell r="M781"/>
        </row>
        <row r="782">
          <cell r="G782"/>
          <cell r="H782"/>
          <cell r="L782"/>
          <cell r="M782"/>
        </row>
        <row r="783">
          <cell r="G783"/>
          <cell r="H783"/>
          <cell r="L783"/>
          <cell r="M783"/>
        </row>
        <row r="784">
          <cell r="G784"/>
          <cell r="H784"/>
          <cell r="L784"/>
          <cell r="M784"/>
        </row>
        <row r="785">
          <cell r="G785"/>
          <cell r="H785"/>
          <cell r="L785"/>
          <cell r="M785"/>
        </row>
        <row r="786">
          <cell r="G786"/>
          <cell r="H786"/>
          <cell r="L786"/>
          <cell r="M786"/>
        </row>
        <row r="787">
          <cell r="G787"/>
          <cell r="H787"/>
          <cell r="L787"/>
          <cell r="M787"/>
        </row>
        <row r="788">
          <cell r="G788"/>
          <cell r="H788"/>
          <cell r="L788"/>
          <cell r="M788"/>
        </row>
        <row r="789">
          <cell r="G789"/>
          <cell r="H789"/>
          <cell r="L789"/>
          <cell r="M789"/>
        </row>
        <row r="790">
          <cell r="G790"/>
          <cell r="H790"/>
          <cell r="L790"/>
          <cell r="M790"/>
        </row>
        <row r="791">
          <cell r="G791"/>
          <cell r="H791"/>
          <cell r="L791"/>
          <cell r="M791"/>
        </row>
        <row r="792">
          <cell r="G792"/>
          <cell r="H792"/>
          <cell r="L792"/>
          <cell r="M792"/>
        </row>
        <row r="793">
          <cell r="G793"/>
          <cell r="H793"/>
          <cell r="L793"/>
          <cell r="M793"/>
        </row>
        <row r="794">
          <cell r="G794"/>
          <cell r="H794"/>
          <cell r="L794"/>
          <cell r="M794"/>
        </row>
        <row r="795">
          <cell r="G795"/>
          <cell r="H795"/>
          <cell r="L795"/>
          <cell r="M795"/>
        </row>
        <row r="796">
          <cell r="G796"/>
          <cell r="H796"/>
          <cell r="L796"/>
          <cell r="M796"/>
        </row>
        <row r="797">
          <cell r="G797"/>
          <cell r="H797"/>
          <cell r="L797"/>
          <cell r="M797"/>
        </row>
        <row r="798">
          <cell r="G798"/>
          <cell r="H798"/>
          <cell r="L798"/>
          <cell r="M798"/>
        </row>
        <row r="799">
          <cell r="G799"/>
          <cell r="H799"/>
          <cell r="L799"/>
          <cell r="M799"/>
        </row>
        <row r="800">
          <cell r="G800"/>
          <cell r="H800"/>
          <cell r="L800"/>
          <cell r="M800"/>
        </row>
        <row r="801">
          <cell r="G801"/>
          <cell r="H801"/>
          <cell r="L801"/>
          <cell r="M801"/>
        </row>
        <row r="802">
          <cell r="G802"/>
          <cell r="H802"/>
          <cell r="L802"/>
          <cell r="M802"/>
        </row>
        <row r="803">
          <cell r="G803"/>
          <cell r="H803"/>
          <cell r="L803"/>
          <cell r="M803"/>
        </row>
        <row r="804">
          <cell r="G804"/>
          <cell r="H804"/>
          <cell r="L804"/>
          <cell r="M804"/>
        </row>
        <row r="805">
          <cell r="G805"/>
          <cell r="H805"/>
          <cell r="L805"/>
          <cell r="M805"/>
        </row>
        <row r="806">
          <cell r="G806"/>
          <cell r="H806"/>
          <cell r="L806"/>
          <cell r="M806"/>
        </row>
        <row r="807">
          <cell r="G807"/>
          <cell r="H807"/>
          <cell r="L807"/>
          <cell r="M807"/>
        </row>
        <row r="808">
          <cell r="G808"/>
          <cell r="H808"/>
          <cell r="L808"/>
          <cell r="M808"/>
        </row>
        <row r="809">
          <cell r="G809"/>
          <cell r="H809"/>
          <cell r="L809"/>
          <cell r="M809"/>
        </row>
        <row r="810">
          <cell r="G810"/>
          <cell r="H810"/>
          <cell r="L810"/>
          <cell r="M810"/>
        </row>
        <row r="811">
          <cell r="G811"/>
          <cell r="H811"/>
          <cell r="L811"/>
          <cell r="M811"/>
        </row>
        <row r="812">
          <cell r="G812"/>
          <cell r="H812"/>
          <cell r="L812"/>
          <cell r="M812"/>
        </row>
        <row r="813">
          <cell r="G813"/>
          <cell r="H813"/>
          <cell r="L813"/>
          <cell r="M813"/>
        </row>
        <row r="814">
          <cell r="G814"/>
          <cell r="H814"/>
          <cell r="L814"/>
          <cell r="M814"/>
        </row>
        <row r="815">
          <cell r="G815"/>
          <cell r="H815"/>
          <cell r="L815"/>
          <cell r="M815"/>
        </row>
        <row r="816">
          <cell r="G816"/>
          <cell r="H816"/>
          <cell r="L816"/>
          <cell r="M816"/>
        </row>
        <row r="817">
          <cell r="G817"/>
          <cell r="H817"/>
          <cell r="L817"/>
          <cell r="M817"/>
        </row>
        <row r="818">
          <cell r="G818"/>
          <cell r="H818"/>
          <cell r="L818"/>
          <cell r="M818"/>
        </row>
        <row r="819">
          <cell r="G819"/>
          <cell r="H819"/>
          <cell r="L819"/>
          <cell r="M819"/>
        </row>
        <row r="820">
          <cell r="G820"/>
          <cell r="H820"/>
          <cell r="L820"/>
          <cell r="M820"/>
        </row>
        <row r="821">
          <cell r="G821"/>
          <cell r="H821"/>
          <cell r="L821"/>
          <cell r="M821"/>
        </row>
        <row r="822">
          <cell r="G822"/>
          <cell r="H822"/>
          <cell r="L822"/>
          <cell r="M822"/>
        </row>
        <row r="823">
          <cell r="G823"/>
          <cell r="H823"/>
          <cell r="L823"/>
          <cell r="M823"/>
        </row>
        <row r="824">
          <cell r="G824"/>
          <cell r="H824"/>
          <cell r="L824"/>
          <cell r="M824"/>
        </row>
        <row r="825">
          <cell r="G825"/>
          <cell r="H825"/>
          <cell r="L825"/>
          <cell r="M825"/>
        </row>
        <row r="826">
          <cell r="G826"/>
          <cell r="H826"/>
          <cell r="L826"/>
          <cell r="M826"/>
        </row>
        <row r="827">
          <cell r="G827"/>
          <cell r="H827"/>
          <cell r="L827"/>
          <cell r="M827"/>
        </row>
        <row r="828">
          <cell r="G828"/>
          <cell r="H828"/>
          <cell r="L828"/>
          <cell r="M828"/>
        </row>
        <row r="829">
          <cell r="G829"/>
          <cell r="H829"/>
          <cell r="L829"/>
          <cell r="M829"/>
        </row>
        <row r="830">
          <cell r="G830"/>
          <cell r="H830"/>
          <cell r="L830"/>
          <cell r="M830"/>
        </row>
        <row r="831">
          <cell r="G831"/>
          <cell r="H831"/>
          <cell r="L831"/>
          <cell r="M831"/>
        </row>
        <row r="832">
          <cell r="G832"/>
          <cell r="H832"/>
          <cell r="L832"/>
          <cell r="M832"/>
        </row>
        <row r="833">
          <cell r="G833"/>
          <cell r="H833"/>
          <cell r="L833"/>
          <cell r="M833"/>
        </row>
        <row r="834">
          <cell r="G834"/>
          <cell r="H834"/>
          <cell r="L834"/>
          <cell r="M834"/>
        </row>
        <row r="835">
          <cell r="G835"/>
          <cell r="H835"/>
          <cell r="L835"/>
          <cell r="M835"/>
        </row>
        <row r="836">
          <cell r="G836"/>
          <cell r="H836"/>
          <cell r="L836"/>
          <cell r="M836"/>
        </row>
        <row r="837">
          <cell r="G837"/>
          <cell r="H837"/>
          <cell r="L837"/>
          <cell r="M837"/>
        </row>
        <row r="838">
          <cell r="G838"/>
          <cell r="H838"/>
          <cell r="L838"/>
          <cell r="M838"/>
        </row>
        <row r="839">
          <cell r="G839"/>
          <cell r="H839"/>
          <cell r="L839"/>
          <cell r="M839"/>
        </row>
        <row r="840">
          <cell r="G840"/>
          <cell r="H840"/>
          <cell r="L840"/>
          <cell r="M840"/>
        </row>
        <row r="841">
          <cell r="G841"/>
          <cell r="H841"/>
          <cell r="L841"/>
          <cell r="M841"/>
        </row>
        <row r="842">
          <cell r="G842"/>
          <cell r="H842"/>
          <cell r="L842"/>
          <cell r="M842"/>
        </row>
        <row r="843">
          <cell r="G843"/>
          <cell r="H843"/>
          <cell r="L843"/>
          <cell r="M843"/>
        </row>
        <row r="844">
          <cell r="G844"/>
          <cell r="H844"/>
          <cell r="L844"/>
          <cell r="M844"/>
        </row>
        <row r="845">
          <cell r="G845"/>
          <cell r="H845"/>
          <cell r="L845"/>
          <cell r="M845"/>
        </row>
        <row r="846">
          <cell r="G846"/>
          <cell r="H846"/>
          <cell r="L846"/>
          <cell r="M846"/>
        </row>
        <row r="847">
          <cell r="G847"/>
          <cell r="H847"/>
          <cell r="L847"/>
          <cell r="M847"/>
        </row>
        <row r="848">
          <cell r="G848"/>
          <cell r="H848"/>
          <cell r="L848"/>
          <cell r="M848"/>
        </row>
        <row r="849">
          <cell r="G849"/>
          <cell r="H849"/>
          <cell r="L849"/>
          <cell r="M849"/>
        </row>
        <row r="850">
          <cell r="G850"/>
          <cell r="H850"/>
          <cell r="L850"/>
          <cell r="M850"/>
        </row>
        <row r="851">
          <cell r="G851"/>
          <cell r="H851"/>
          <cell r="L851"/>
          <cell r="M851"/>
        </row>
        <row r="852">
          <cell r="G852"/>
          <cell r="H852"/>
          <cell r="L852"/>
          <cell r="M852"/>
        </row>
        <row r="853">
          <cell r="G853"/>
          <cell r="H853"/>
          <cell r="L853"/>
          <cell r="M853"/>
        </row>
        <row r="854">
          <cell r="G854"/>
          <cell r="H854"/>
          <cell r="L854"/>
          <cell r="M854"/>
        </row>
        <row r="855">
          <cell r="G855"/>
          <cell r="H855"/>
          <cell r="L855"/>
          <cell r="M855"/>
        </row>
        <row r="856">
          <cell r="G856"/>
          <cell r="H856"/>
          <cell r="L856"/>
          <cell r="M856"/>
        </row>
        <row r="857">
          <cell r="G857"/>
          <cell r="H857"/>
          <cell r="L857"/>
          <cell r="M857"/>
        </row>
        <row r="858">
          <cell r="G858"/>
          <cell r="H858"/>
          <cell r="L858"/>
          <cell r="M858"/>
        </row>
        <row r="859">
          <cell r="G859"/>
          <cell r="H859"/>
          <cell r="L859"/>
          <cell r="M859"/>
        </row>
        <row r="860">
          <cell r="G860"/>
          <cell r="H860"/>
          <cell r="L860"/>
          <cell r="M860"/>
        </row>
        <row r="861">
          <cell r="G861"/>
          <cell r="H861"/>
          <cell r="L861"/>
          <cell r="M861"/>
        </row>
        <row r="862">
          <cell r="G862"/>
          <cell r="H862"/>
          <cell r="L862"/>
          <cell r="M862"/>
        </row>
        <row r="863">
          <cell r="G863"/>
          <cell r="H863"/>
          <cell r="L863"/>
          <cell r="M863"/>
        </row>
        <row r="864">
          <cell r="G864"/>
          <cell r="H864"/>
          <cell r="L864"/>
          <cell r="M864"/>
        </row>
        <row r="865">
          <cell r="G865"/>
          <cell r="H865"/>
          <cell r="L865"/>
          <cell r="M865"/>
        </row>
        <row r="866">
          <cell r="G866"/>
          <cell r="H866"/>
          <cell r="L866"/>
          <cell r="M866"/>
        </row>
        <row r="867">
          <cell r="G867"/>
          <cell r="H867"/>
          <cell r="L867"/>
          <cell r="M867"/>
        </row>
        <row r="868">
          <cell r="G868"/>
          <cell r="H868"/>
          <cell r="L868"/>
          <cell r="M868"/>
        </row>
        <row r="869">
          <cell r="G869"/>
          <cell r="H869"/>
          <cell r="L869"/>
          <cell r="M869"/>
        </row>
        <row r="870">
          <cell r="G870"/>
          <cell r="H870"/>
          <cell r="L870"/>
          <cell r="M870"/>
        </row>
        <row r="871">
          <cell r="G871"/>
          <cell r="H871"/>
          <cell r="L871"/>
          <cell r="M871"/>
        </row>
        <row r="872">
          <cell r="G872"/>
          <cell r="H872"/>
          <cell r="L872"/>
          <cell r="M872"/>
        </row>
        <row r="873">
          <cell r="G873"/>
          <cell r="H873"/>
          <cell r="L873"/>
          <cell r="M873"/>
        </row>
        <row r="874">
          <cell r="G874"/>
          <cell r="H874"/>
          <cell r="L874"/>
          <cell r="M874"/>
        </row>
        <row r="875">
          <cell r="G875"/>
          <cell r="H875"/>
          <cell r="L875"/>
          <cell r="M875"/>
        </row>
        <row r="876">
          <cell r="G876"/>
          <cell r="H876"/>
          <cell r="L876"/>
          <cell r="M876"/>
        </row>
        <row r="877">
          <cell r="G877"/>
          <cell r="H877"/>
          <cell r="L877"/>
          <cell r="M877"/>
        </row>
        <row r="878">
          <cell r="G878"/>
          <cell r="H878"/>
          <cell r="L878"/>
          <cell r="M878"/>
        </row>
        <row r="879">
          <cell r="G879"/>
          <cell r="H879"/>
          <cell r="L879"/>
          <cell r="M879"/>
        </row>
        <row r="880">
          <cell r="G880"/>
          <cell r="H880"/>
          <cell r="L880"/>
          <cell r="M880"/>
        </row>
        <row r="881">
          <cell r="G881"/>
          <cell r="H881"/>
          <cell r="L881"/>
          <cell r="M881"/>
        </row>
        <row r="882">
          <cell r="G882"/>
          <cell r="H882"/>
          <cell r="L882"/>
          <cell r="M882"/>
        </row>
        <row r="883">
          <cell r="G883"/>
          <cell r="H883"/>
          <cell r="L883"/>
          <cell r="M883"/>
        </row>
        <row r="884">
          <cell r="G884"/>
          <cell r="H884"/>
          <cell r="L884"/>
          <cell r="M884"/>
        </row>
        <row r="885">
          <cell r="G885"/>
          <cell r="H885"/>
          <cell r="L885"/>
          <cell r="M885"/>
        </row>
        <row r="886">
          <cell r="G886"/>
          <cell r="H886"/>
          <cell r="L886"/>
          <cell r="M886"/>
        </row>
        <row r="887">
          <cell r="G887"/>
          <cell r="H887"/>
          <cell r="L887"/>
          <cell r="M887"/>
        </row>
        <row r="888">
          <cell r="G888"/>
          <cell r="H888"/>
          <cell r="L888"/>
          <cell r="M888"/>
        </row>
        <row r="889">
          <cell r="G889"/>
          <cell r="H889"/>
          <cell r="L889"/>
          <cell r="M889"/>
        </row>
        <row r="890">
          <cell r="G890"/>
          <cell r="H890"/>
          <cell r="L890"/>
          <cell r="M890"/>
        </row>
        <row r="891">
          <cell r="G891"/>
          <cell r="H891"/>
          <cell r="L891"/>
          <cell r="M891"/>
        </row>
        <row r="892">
          <cell r="G892"/>
          <cell r="H892"/>
          <cell r="L892"/>
          <cell r="M892"/>
        </row>
        <row r="893">
          <cell r="G893"/>
          <cell r="H893"/>
          <cell r="L893"/>
          <cell r="M893"/>
        </row>
        <row r="894">
          <cell r="G894"/>
          <cell r="H894"/>
          <cell r="L894"/>
          <cell r="M894"/>
        </row>
        <row r="895">
          <cell r="G895"/>
          <cell r="H895"/>
          <cell r="L895"/>
          <cell r="M895"/>
        </row>
        <row r="896">
          <cell r="G896"/>
          <cell r="H896"/>
          <cell r="L896"/>
          <cell r="M896"/>
        </row>
        <row r="897">
          <cell r="G897"/>
          <cell r="H897"/>
          <cell r="L897"/>
          <cell r="M897"/>
        </row>
        <row r="898">
          <cell r="G898"/>
          <cell r="H898"/>
          <cell r="L898"/>
          <cell r="M898"/>
        </row>
        <row r="899">
          <cell r="G899"/>
          <cell r="H899"/>
          <cell r="L899"/>
          <cell r="M899"/>
        </row>
        <row r="900">
          <cell r="G900"/>
          <cell r="H900"/>
          <cell r="L900"/>
          <cell r="M900"/>
        </row>
        <row r="901">
          <cell r="G901"/>
          <cell r="H901"/>
          <cell r="L901"/>
          <cell r="M901"/>
        </row>
        <row r="902">
          <cell r="G902"/>
          <cell r="H902"/>
          <cell r="L902"/>
          <cell r="M902"/>
        </row>
        <row r="903">
          <cell r="G903"/>
          <cell r="H903"/>
          <cell r="L903"/>
          <cell r="M903"/>
        </row>
        <row r="904">
          <cell r="G904"/>
          <cell r="H904"/>
          <cell r="L904"/>
          <cell r="M904"/>
        </row>
        <row r="905">
          <cell r="G905"/>
          <cell r="H905"/>
          <cell r="L905"/>
          <cell r="M905"/>
        </row>
        <row r="906">
          <cell r="G906"/>
          <cell r="H906"/>
          <cell r="L906"/>
          <cell r="M906"/>
        </row>
        <row r="907">
          <cell r="G907"/>
          <cell r="H907"/>
          <cell r="L907"/>
          <cell r="M907"/>
        </row>
        <row r="908">
          <cell r="G908"/>
          <cell r="H908"/>
          <cell r="L908"/>
          <cell r="M908"/>
        </row>
        <row r="909">
          <cell r="G909"/>
          <cell r="H909"/>
          <cell r="L909"/>
          <cell r="M909"/>
        </row>
        <row r="910">
          <cell r="G910"/>
          <cell r="H910"/>
          <cell r="L910"/>
          <cell r="M910"/>
        </row>
        <row r="911">
          <cell r="G911"/>
          <cell r="H911"/>
          <cell r="L911"/>
          <cell r="M911"/>
        </row>
        <row r="912">
          <cell r="G912"/>
          <cell r="H912"/>
          <cell r="L912"/>
          <cell r="M912"/>
        </row>
        <row r="913">
          <cell r="G913"/>
          <cell r="H913"/>
          <cell r="L913"/>
          <cell r="M913"/>
        </row>
        <row r="914">
          <cell r="G914"/>
          <cell r="H914"/>
          <cell r="L914"/>
          <cell r="M914"/>
        </row>
        <row r="915">
          <cell r="G915"/>
          <cell r="H915"/>
          <cell r="L915"/>
          <cell r="M915"/>
        </row>
        <row r="916">
          <cell r="G916"/>
          <cell r="H916"/>
          <cell r="L916"/>
          <cell r="M916"/>
        </row>
        <row r="917">
          <cell r="G917"/>
          <cell r="H917"/>
          <cell r="L917"/>
          <cell r="M917"/>
        </row>
        <row r="918">
          <cell r="G918"/>
          <cell r="H918"/>
          <cell r="L918"/>
          <cell r="M918"/>
        </row>
        <row r="919">
          <cell r="G919"/>
          <cell r="H919"/>
          <cell r="L919"/>
          <cell r="M919"/>
        </row>
        <row r="920">
          <cell r="G920"/>
          <cell r="H920"/>
          <cell r="L920"/>
          <cell r="M920"/>
        </row>
        <row r="921">
          <cell r="G921"/>
          <cell r="H921"/>
          <cell r="L921"/>
          <cell r="M921"/>
        </row>
        <row r="922">
          <cell r="G922"/>
          <cell r="H922"/>
          <cell r="L922"/>
          <cell r="M922"/>
        </row>
        <row r="923">
          <cell r="G923"/>
          <cell r="H923"/>
          <cell r="L923"/>
          <cell r="M923"/>
        </row>
        <row r="924">
          <cell r="G924"/>
          <cell r="H924"/>
          <cell r="L924"/>
          <cell r="M924"/>
        </row>
        <row r="925">
          <cell r="G925"/>
          <cell r="H925"/>
          <cell r="L925"/>
          <cell r="M925"/>
        </row>
        <row r="926">
          <cell r="G926"/>
          <cell r="H926"/>
          <cell r="L926"/>
          <cell r="M926"/>
        </row>
        <row r="927">
          <cell r="G927"/>
          <cell r="H927"/>
          <cell r="L927"/>
          <cell r="M927"/>
        </row>
        <row r="928">
          <cell r="G928"/>
          <cell r="H928"/>
          <cell r="L928"/>
          <cell r="M928"/>
        </row>
        <row r="929">
          <cell r="G929"/>
          <cell r="H929"/>
          <cell r="L929"/>
          <cell r="M929"/>
        </row>
        <row r="930">
          <cell r="G930"/>
          <cell r="H930"/>
          <cell r="L930"/>
          <cell r="M930"/>
        </row>
        <row r="931">
          <cell r="G931"/>
          <cell r="H931"/>
          <cell r="L931"/>
          <cell r="M931"/>
        </row>
        <row r="932">
          <cell r="G932"/>
          <cell r="H932"/>
          <cell r="L932"/>
          <cell r="M932"/>
        </row>
        <row r="933">
          <cell r="G933"/>
          <cell r="H933"/>
          <cell r="L933"/>
          <cell r="M933"/>
        </row>
        <row r="934">
          <cell r="G934"/>
          <cell r="H934"/>
          <cell r="L934"/>
          <cell r="M934"/>
        </row>
        <row r="935">
          <cell r="G935"/>
          <cell r="H935"/>
          <cell r="L935"/>
          <cell r="M935"/>
        </row>
        <row r="936">
          <cell r="G936"/>
          <cell r="H936"/>
          <cell r="L936"/>
          <cell r="M936"/>
        </row>
        <row r="937">
          <cell r="G937"/>
          <cell r="H937"/>
          <cell r="L937"/>
          <cell r="M937"/>
        </row>
        <row r="938">
          <cell r="G938"/>
          <cell r="H938"/>
          <cell r="L938"/>
          <cell r="M938"/>
        </row>
        <row r="939">
          <cell r="G939"/>
          <cell r="H939"/>
          <cell r="L939"/>
          <cell r="M939"/>
        </row>
        <row r="940">
          <cell r="G940"/>
          <cell r="H940"/>
          <cell r="L940"/>
          <cell r="M940"/>
        </row>
        <row r="941">
          <cell r="G941"/>
          <cell r="H941"/>
          <cell r="L941"/>
          <cell r="M941"/>
        </row>
        <row r="942">
          <cell r="G942"/>
          <cell r="H942"/>
          <cell r="L942"/>
          <cell r="M942"/>
        </row>
        <row r="943">
          <cell r="G943"/>
          <cell r="H943"/>
          <cell r="L943"/>
          <cell r="M943"/>
        </row>
        <row r="944">
          <cell r="G944"/>
          <cell r="H944"/>
          <cell r="L944"/>
          <cell r="M944"/>
        </row>
        <row r="945">
          <cell r="G945"/>
          <cell r="H945"/>
          <cell r="L945"/>
          <cell r="M945"/>
        </row>
        <row r="946">
          <cell r="G946"/>
          <cell r="H946"/>
          <cell r="L946"/>
          <cell r="M946"/>
        </row>
        <row r="947">
          <cell r="G947"/>
          <cell r="H947"/>
          <cell r="L947"/>
          <cell r="M947"/>
        </row>
        <row r="948">
          <cell r="G948"/>
          <cell r="H948"/>
          <cell r="L948"/>
          <cell r="M948"/>
        </row>
        <row r="949">
          <cell r="G949"/>
          <cell r="H949"/>
          <cell r="L949"/>
          <cell r="M949"/>
        </row>
        <row r="950">
          <cell r="G950"/>
          <cell r="H950"/>
          <cell r="L950"/>
          <cell r="M950"/>
        </row>
        <row r="951">
          <cell r="G951"/>
          <cell r="H951"/>
          <cell r="L951"/>
          <cell r="M951"/>
        </row>
        <row r="952">
          <cell r="G952"/>
          <cell r="H952"/>
          <cell r="L952"/>
          <cell r="M952"/>
        </row>
        <row r="953">
          <cell r="G953"/>
          <cell r="H953"/>
          <cell r="L953"/>
          <cell r="M953"/>
        </row>
        <row r="954">
          <cell r="G954"/>
          <cell r="H954"/>
          <cell r="L954"/>
          <cell r="M954"/>
        </row>
        <row r="955">
          <cell r="G955"/>
          <cell r="H955"/>
          <cell r="L955"/>
          <cell r="M955"/>
        </row>
        <row r="956">
          <cell r="G956"/>
          <cell r="H956"/>
          <cell r="L956"/>
          <cell r="M956"/>
        </row>
        <row r="957">
          <cell r="G957"/>
          <cell r="H957"/>
          <cell r="L957"/>
          <cell r="M957"/>
        </row>
        <row r="958">
          <cell r="G958"/>
          <cell r="H958"/>
          <cell r="L958"/>
          <cell r="M958"/>
        </row>
        <row r="959">
          <cell r="G959"/>
          <cell r="H959"/>
          <cell r="L959"/>
          <cell r="M959"/>
        </row>
        <row r="960">
          <cell r="G960"/>
          <cell r="H960"/>
          <cell r="L960"/>
          <cell r="M960"/>
        </row>
        <row r="961">
          <cell r="G961"/>
          <cell r="H961"/>
          <cell r="L961"/>
          <cell r="M961"/>
        </row>
        <row r="962">
          <cell r="G962"/>
          <cell r="H962"/>
          <cell r="L962"/>
          <cell r="M962"/>
        </row>
        <row r="963">
          <cell r="G963"/>
          <cell r="H963"/>
          <cell r="L963"/>
          <cell r="M963"/>
        </row>
        <row r="964">
          <cell r="G964"/>
          <cell r="H964"/>
          <cell r="L964"/>
          <cell r="M964"/>
        </row>
        <row r="965">
          <cell r="G965"/>
          <cell r="H965"/>
          <cell r="L965"/>
          <cell r="M965"/>
        </row>
        <row r="966">
          <cell r="G966"/>
          <cell r="H966"/>
          <cell r="L966"/>
          <cell r="M966"/>
        </row>
        <row r="967">
          <cell r="G967"/>
          <cell r="H967"/>
          <cell r="L967"/>
          <cell r="M967"/>
        </row>
        <row r="968">
          <cell r="G968"/>
          <cell r="H968"/>
          <cell r="L968"/>
          <cell r="M968"/>
        </row>
        <row r="969">
          <cell r="G969"/>
          <cell r="H969"/>
          <cell r="L969"/>
          <cell r="M969"/>
        </row>
        <row r="970">
          <cell r="G970"/>
          <cell r="H970"/>
          <cell r="L970"/>
          <cell r="M970"/>
        </row>
        <row r="971">
          <cell r="G971"/>
          <cell r="H971"/>
          <cell r="L971"/>
          <cell r="M971"/>
        </row>
        <row r="972">
          <cell r="G972"/>
          <cell r="H972"/>
          <cell r="L972"/>
          <cell r="M972"/>
        </row>
        <row r="973">
          <cell r="G973"/>
          <cell r="H973"/>
          <cell r="L973"/>
          <cell r="M973"/>
        </row>
        <row r="974">
          <cell r="G974"/>
          <cell r="H974"/>
          <cell r="L974"/>
          <cell r="M974"/>
        </row>
        <row r="975">
          <cell r="G975"/>
          <cell r="H975"/>
          <cell r="L975"/>
          <cell r="M975"/>
        </row>
        <row r="976">
          <cell r="G976"/>
          <cell r="H976"/>
          <cell r="L976"/>
          <cell r="M976"/>
        </row>
        <row r="977">
          <cell r="G977"/>
          <cell r="H977"/>
          <cell r="L977"/>
          <cell r="M977"/>
        </row>
        <row r="978">
          <cell r="G978"/>
          <cell r="H978"/>
          <cell r="L978"/>
          <cell r="M978"/>
        </row>
        <row r="979">
          <cell r="G979"/>
          <cell r="H979"/>
          <cell r="L979"/>
          <cell r="M979"/>
        </row>
        <row r="980">
          <cell r="G980"/>
          <cell r="H980"/>
          <cell r="L980"/>
          <cell r="M980"/>
        </row>
        <row r="981">
          <cell r="G981"/>
          <cell r="H981"/>
          <cell r="L981"/>
          <cell r="M981"/>
        </row>
        <row r="982">
          <cell r="G982"/>
          <cell r="H982"/>
          <cell r="L982"/>
          <cell r="M982"/>
        </row>
        <row r="983">
          <cell r="G983"/>
          <cell r="H983"/>
          <cell r="L983"/>
          <cell r="M983"/>
        </row>
        <row r="984">
          <cell r="G984"/>
          <cell r="H984"/>
          <cell r="L984"/>
          <cell r="M984"/>
        </row>
        <row r="985">
          <cell r="G985"/>
          <cell r="H985"/>
          <cell r="L985"/>
          <cell r="M985"/>
        </row>
        <row r="986">
          <cell r="G986"/>
          <cell r="H986"/>
          <cell r="L986"/>
          <cell r="M986"/>
        </row>
        <row r="987">
          <cell r="G987"/>
          <cell r="H987"/>
          <cell r="L987"/>
          <cell r="M987"/>
        </row>
        <row r="988">
          <cell r="G988"/>
          <cell r="H988"/>
          <cell r="L988"/>
          <cell r="M988"/>
        </row>
        <row r="989">
          <cell r="G989"/>
          <cell r="H989"/>
          <cell r="L989"/>
          <cell r="M989"/>
        </row>
        <row r="990">
          <cell r="G990"/>
          <cell r="H990"/>
          <cell r="L990"/>
          <cell r="M990"/>
        </row>
        <row r="991">
          <cell r="G991"/>
          <cell r="H991"/>
          <cell r="L991"/>
          <cell r="M991"/>
        </row>
        <row r="992">
          <cell r="G992"/>
          <cell r="H992"/>
          <cell r="L992"/>
          <cell r="M992"/>
        </row>
        <row r="993">
          <cell r="G993"/>
          <cell r="H993"/>
          <cell r="L993"/>
          <cell r="M993"/>
        </row>
        <row r="994">
          <cell r="G994"/>
          <cell r="H994"/>
          <cell r="L994"/>
          <cell r="M994"/>
        </row>
        <row r="995">
          <cell r="G995"/>
          <cell r="H995"/>
          <cell r="L995"/>
          <cell r="M995"/>
        </row>
        <row r="996">
          <cell r="G996"/>
          <cell r="H996"/>
          <cell r="L996"/>
          <cell r="M996"/>
        </row>
        <row r="997">
          <cell r="G997"/>
          <cell r="H997"/>
          <cell r="L997"/>
          <cell r="M997"/>
        </row>
        <row r="998">
          <cell r="G998"/>
          <cell r="H998"/>
          <cell r="L998"/>
          <cell r="M998"/>
        </row>
        <row r="999">
          <cell r="G999"/>
          <cell r="H999"/>
          <cell r="L999"/>
          <cell r="M999"/>
        </row>
        <row r="1000">
          <cell r="G1000"/>
          <cell r="H1000"/>
          <cell r="L1000"/>
          <cell r="M1000"/>
        </row>
        <row r="1001">
          <cell r="G1001"/>
          <cell r="H1001"/>
          <cell r="L1001"/>
          <cell r="M1001"/>
        </row>
        <row r="1002">
          <cell r="G1002"/>
          <cell r="H1002"/>
          <cell r="L1002"/>
          <cell r="M1002"/>
        </row>
        <row r="1003">
          <cell r="G1003"/>
          <cell r="H1003"/>
          <cell r="L1003"/>
          <cell r="M1003"/>
        </row>
        <row r="1004">
          <cell r="G1004"/>
          <cell r="H1004"/>
          <cell r="L1004"/>
          <cell r="M1004"/>
        </row>
        <row r="1005">
          <cell r="G1005"/>
          <cell r="H1005"/>
          <cell r="L1005"/>
          <cell r="M1005"/>
        </row>
        <row r="1006">
          <cell r="G1006"/>
          <cell r="H1006"/>
          <cell r="L1006"/>
          <cell r="M1006"/>
        </row>
        <row r="1007">
          <cell r="G1007"/>
          <cell r="H1007"/>
          <cell r="L1007"/>
          <cell r="M1007"/>
        </row>
        <row r="1008">
          <cell r="G1008"/>
          <cell r="H1008"/>
          <cell r="L1008"/>
          <cell r="M1008"/>
        </row>
        <row r="1009">
          <cell r="G1009"/>
          <cell r="H1009"/>
          <cell r="L1009"/>
          <cell r="M1009"/>
        </row>
        <row r="1010">
          <cell r="G1010"/>
          <cell r="H1010"/>
          <cell r="L1010"/>
          <cell r="M1010"/>
        </row>
        <row r="1011">
          <cell r="G1011"/>
          <cell r="H1011"/>
          <cell r="L1011"/>
          <cell r="M1011"/>
        </row>
        <row r="1012">
          <cell r="G1012"/>
          <cell r="H1012"/>
          <cell r="L1012"/>
          <cell r="M1012"/>
        </row>
        <row r="1013">
          <cell r="G1013"/>
          <cell r="H1013"/>
          <cell r="L1013"/>
          <cell r="M1013"/>
        </row>
        <row r="1014">
          <cell r="G1014"/>
          <cell r="H1014"/>
          <cell r="L1014"/>
          <cell r="M1014"/>
        </row>
        <row r="1015">
          <cell r="G1015"/>
          <cell r="H1015"/>
          <cell r="L1015"/>
          <cell r="M1015"/>
        </row>
        <row r="1016">
          <cell r="G1016"/>
          <cell r="H1016"/>
          <cell r="L1016"/>
          <cell r="M1016"/>
        </row>
        <row r="1017">
          <cell r="G1017"/>
          <cell r="H1017"/>
          <cell r="L1017"/>
          <cell r="M1017"/>
        </row>
        <row r="1018">
          <cell r="G1018"/>
          <cell r="H1018"/>
          <cell r="L1018"/>
          <cell r="M1018"/>
        </row>
        <row r="1019">
          <cell r="G1019"/>
          <cell r="H1019"/>
          <cell r="L1019"/>
          <cell r="M1019"/>
        </row>
        <row r="1020">
          <cell r="G1020"/>
          <cell r="H1020"/>
          <cell r="L1020"/>
          <cell r="M1020"/>
        </row>
        <row r="1021">
          <cell r="G1021"/>
          <cell r="H1021"/>
          <cell r="L1021"/>
          <cell r="M1021"/>
        </row>
        <row r="1022">
          <cell r="G1022"/>
          <cell r="H1022"/>
          <cell r="L1022"/>
          <cell r="M1022"/>
        </row>
        <row r="1023">
          <cell r="G1023"/>
          <cell r="H1023"/>
          <cell r="L1023"/>
          <cell r="M1023"/>
        </row>
        <row r="1024">
          <cell r="G1024"/>
          <cell r="H1024"/>
          <cell r="L1024"/>
          <cell r="M1024"/>
        </row>
        <row r="1025">
          <cell r="G1025"/>
          <cell r="H1025"/>
          <cell r="L1025"/>
          <cell r="M1025"/>
        </row>
        <row r="1026">
          <cell r="G1026"/>
          <cell r="H1026"/>
          <cell r="L1026"/>
          <cell r="M1026"/>
        </row>
        <row r="1027">
          <cell r="G1027"/>
          <cell r="H1027"/>
          <cell r="L1027"/>
          <cell r="M1027"/>
        </row>
        <row r="1028">
          <cell r="G1028"/>
          <cell r="H1028"/>
          <cell r="L1028"/>
          <cell r="M1028"/>
        </row>
        <row r="1029">
          <cell r="G1029"/>
          <cell r="H1029"/>
          <cell r="L1029"/>
          <cell r="M1029"/>
        </row>
        <row r="1030">
          <cell r="G1030"/>
          <cell r="H1030"/>
          <cell r="L1030"/>
          <cell r="M1030"/>
        </row>
        <row r="1031">
          <cell r="G1031"/>
          <cell r="H1031"/>
          <cell r="L1031"/>
          <cell r="M1031"/>
        </row>
        <row r="1032">
          <cell r="G1032"/>
          <cell r="H1032"/>
          <cell r="L1032"/>
          <cell r="M1032"/>
        </row>
        <row r="1033">
          <cell r="G1033"/>
          <cell r="H1033"/>
          <cell r="L1033"/>
          <cell r="M1033"/>
        </row>
        <row r="1034">
          <cell r="G1034"/>
          <cell r="H1034"/>
          <cell r="L1034"/>
          <cell r="M1034"/>
        </row>
        <row r="1035">
          <cell r="G1035"/>
          <cell r="H1035"/>
          <cell r="L1035"/>
          <cell r="M1035"/>
        </row>
        <row r="1036">
          <cell r="G1036"/>
          <cell r="H1036"/>
          <cell r="L1036"/>
          <cell r="M1036"/>
        </row>
        <row r="1037">
          <cell r="G1037"/>
          <cell r="H1037"/>
          <cell r="L1037"/>
          <cell r="M1037"/>
        </row>
        <row r="1038">
          <cell r="G1038"/>
          <cell r="H1038"/>
          <cell r="L1038"/>
          <cell r="M1038"/>
        </row>
        <row r="1039">
          <cell r="G1039"/>
          <cell r="H1039"/>
          <cell r="L1039"/>
          <cell r="M1039"/>
        </row>
        <row r="1040">
          <cell r="G1040"/>
          <cell r="H1040"/>
          <cell r="L1040"/>
          <cell r="M1040"/>
        </row>
        <row r="1041">
          <cell r="G1041"/>
          <cell r="H1041"/>
          <cell r="L1041"/>
          <cell r="M1041"/>
        </row>
        <row r="1042">
          <cell r="G1042"/>
          <cell r="H1042"/>
          <cell r="L1042"/>
          <cell r="M1042"/>
        </row>
        <row r="1043">
          <cell r="G1043"/>
          <cell r="H1043"/>
          <cell r="L1043"/>
          <cell r="M1043"/>
        </row>
        <row r="1044">
          <cell r="G1044"/>
          <cell r="H1044"/>
          <cell r="L1044"/>
          <cell r="M1044"/>
        </row>
        <row r="1045">
          <cell r="G1045"/>
          <cell r="H1045"/>
          <cell r="L1045"/>
          <cell r="M1045"/>
        </row>
        <row r="1046">
          <cell r="G1046"/>
          <cell r="H1046"/>
          <cell r="L1046"/>
          <cell r="M1046"/>
        </row>
        <row r="1047">
          <cell r="G1047"/>
          <cell r="H1047"/>
          <cell r="L1047"/>
          <cell r="M1047"/>
        </row>
        <row r="1048">
          <cell r="G1048"/>
          <cell r="H1048"/>
          <cell r="L1048"/>
          <cell r="M1048"/>
        </row>
        <row r="1049">
          <cell r="G1049"/>
          <cell r="H1049"/>
          <cell r="L1049"/>
          <cell r="M1049"/>
        </row>
        <row r="1050">
          <cell r="G1050"/>
          <cell r="H1050"/>
          <cell r="L1050"/>
          <cell r="M1050"/>
        </row>
        <row r="1051">
          <cell r="G1051"/>
          <cell r="H1051"/>
          <cell r="L1051"/>
          <cell r="M1051"/>
        </row>
        <row r="1052">
          <cell r="G1052"/>
          <cell r="H1052"/>
          <cell r="L1052"/>
          <cell r="M1052"/>
        </row>
        <row r="1053">
          <cell r="G1053"/>
          <cell r="H1053"/>
          <cell r="L1053"/>
          <cell r="M1053"/>
        </row>
        <row r="1054">
          <cell r="G1054"/>
          <cell r="H1054"/>
          <cell r="L1054"/>
          <cell r="M1054"/>
        </row>
        <row r="1055">
          <cell r="G1055"/>
          <cell r="H1055"/>
          <cell r="L1055"/>
          <cell r="M1055"/>
        </row>
        <row r="1056">
          <cell r="G1056"/>
          <cell r="H1056"/>
          <cell r="L1056"/>
          <cell r="M1056"/>
        </row>
        <row r="1057">
          <cell r="G1057"/>
          <cell r="H1057"/>
          <cell r="L1057"/>
          <cell r="M1057"/>
        </row>
        <row r="1058">
          <cell r="G1058"/>
          <cell r="H1058"/>
          <cell r="L1058"/>
          <cell r="M1058"/>
        </row>
        <row r="1059">
          <cell r="G1059"/>
          <cell r="H1059"/>
          <cell r="L1059"/>
          <cell r="M1059"/>
        </row>
        <row r="1060">
          <cell r="G1060"/>
          <cell r="H1060"/>
          <cell r="L1060"/>
          <cell r="M1060"/>
        </row>
        <row r="1061">
          <cell r="G1061"/>
          <cell r="H1061"/>
          <cell r="L1061"/>
          <cell r="M1061"/>
        </row>
        <row r="1062">
          <cell r="G1062"/>
          <cell r="H1062"/>
          <cell r="L1062"/>
          <cell r="M1062"/>
        </row>
        <row r="1063">
          <cell r="G1063"/>
          <cell r="H1063"/>
          <cell r="L1063"/>
          <cell r="M1063"/>
        </row>
        <row r="1064">
          <cell r="G1064"/>
          <cell r="H1064"/>
          <cell r="L1064"/>
          <cell r="M1064"/>
        </row>
        <row r="1065">
          <cell r="G1065"/>
          <cell r="H1065"/>
          <cell r="L1065"/>
          <cell r="M1065"/>
        </row>
        <row r="1066">
          <cell r="G1066"/>
          <cell r="H1066"/>
          <cell r="L1066"/>
          <cell r="M1066"/>
        </row>
        <row r="1067">
          <cell r="G1067"/>
          <cell r="H1067"/>
          <cell r="L1067"/>
          <cell r="M1067"/>
        </row>
        <row r="1068">
          <cell r="G1068"/>
          <cell r="H1068"/>
          <cell r="L1068"/>
          <cell r="M1068"/>
        </row>
        <row r="1069">
          <cell r="G1069"/>
          <cell r="H1069"/>
          <cell r="L1069"/>
          <cell r="M1069"/>
        </row>
        <row r="1070">
          <cell r="G1070"/>
          <cell r="H1070"/>
          <cell r="L1070"/>
          <cell r="M1070"/>
        </row>
        <row r="1071">
          <cell r="G1071"/>
          <cell r="H1071"/>
          <cell r="L1071"/>
          <cell r="M1071"/>
        </row>
        <row r="1072">
          <cell r="G1072"/>
          <cell r="H1072"/>
          <cell r="L1072"/>
          <cell r="M1072"/>
        </row>
        <row r="1073">
          <cell r="G1073"/>
          <cell r="H1073"/>
          <cell r="L1073"/>
          <cell r="M1073"/>
        </row>
        <row r="1074">
          <cell r="G1074"/>
          <cell r="H1074"/>
          <cell r="L1074"/>
          <cell r="M1074"/>
        </row>
        <row r="1075">
          <cell r="G1075"/>
          <cell r="H1075"/>
          <cell r="L1075"/>
          <cell r="M1075"/>
        </row>
        <row r="1076">
          <cell r="G1076"/>
          <cell r="H1076"/>
          <cell r="L1076"/>
          <cell r="M1076"/>
        </row>
        <row r="1077">
          <cell r="G1077"/>
          <cell r="H1077"/>
          <cell r="L1077"/>
          <cell r="M1077"/>
        </row>
        <row r="1078">
          <cell r="G1078"/>
          <cell r="H1078"/>
          <cell r="L1078"/>
          <cell r="M1078"/>
        </row>
        <row r="1079">
          <cell r="G1079"/>
          <cell r="H1079"/>
          <cell r="L1079"/>
          <cell r="M1079"/>
        </row>
        <row r="1080">
          <cell r="G1080"/>
          <cell r="H1080"/>
          <cell r="L1080"/>
          <cell r="M1080"/>
        </row>
        <row r="1081">
          <cell r="G1081"/>
          <cell r="H1081"/>
          <cell r="L1081"/>
          <cell r="M1081"/>
        </row>
        <row r="1082">
          <cell r="G1082"/>
          <cell r="H1082"/>
          <cell r="L1082"/>
          <cell r="M1082"/>
        </row>
        <row r="1083">
          <cell r="G1083"/>
          <cell r="H1083"/>
          <cell r="L1083"/>
          <cell r="M1083"/>
        </row>
        <row r="1084">
          <cell r="G1084"/>
          <cell r="H1084"/>
          <cell r="L1084"/>
          <cell r="M1084"/>
        </row>
        <row r="1085">
          <cell r="G1085"/>
          <cell r="H1085"/>
          <cell r="L1085"/>
          <cell r="M1085"/>
        </row>
        <row r="1086">
          <cell r="G1086"/>
          <cell r="H1086"/>
          <cell r="L1086"/>
          <cell r="M1086"/>
        </row>
        <row r="1087">
          <cell r="G1087"/>
          <cell r="H1087"/>
          <cell r="L1087"/>
          <cell r="M1087"/>
        </row>
        <row r="1088">
          <cell r="G1088"/>
          <cell r="H1088"/>
          <cell r="L1088"/>
          <cell r="M1088"/>
        </row>
        <row r="1089">
          <cell r="G1089"/>
          <cell r="H1089"/>
          <cell r="L1089"/>
          <cell r="M1089"/>
        </row>
        <row r="1090">
          <cell r="G1090"/>
          <cell r="H1090"/>
          <cell r="L1090"/>
          <cell r="M1090"/>
        </row>
        <row r="1091">
          <cell r="G1091"/>
          <cell r="H1091"/>
          <cell r="L1091"/>
          <cell r="M1091"/>
        </row>
        <row r="1092">
          <cell r="G1092"/>
          <cell r="H1092"/>
          <cell r="L1092"/>
          <cell r="M1092"/>
        </row>
        <row r="1093">
          <cell r="G1093"/>
          <cell r="H1093"/>
          <cell r="L1093"/>
          <cell r="M1093"/>
        </row>
        <row r="1094">
          <cell r="G1094"/>
          <cell r="H1094"/>
          <cell r="L1094"/>
          <cell r="M1094"/>
        </row>
        <row r="1095">
          <cell r="G1095"/>
          <cell r="H1095"/>
          <cell r="L1095"/>
          <cell r="M1095"/>
        </row>
        <row r="1096">
          <cell r="G1096"/>
          <cell r="H1096"/>
          <cell r="L1096"/>
          <cell r="M1096"/>
        </row>
        <row r="1097">
          <cell r="G1097"/>
          <cell r="H1097"/>
          <cell r="L1097"/>
          <cell r="M1097"/>
        </row>
        <row r="1098">
          <cell r="G1098"/>
          <cell r="H1098"/>
          <cell r="L1098"/>
          <cell r="M1098"/>
        </row>
        <row r="1099">
          <cell r="G1099"/>
          <cell r="H1099"/>
          <cell r="L1099"/>
          <cell r="M1099"/>
        </row>
        <row r="1100">
          <cell r="G1100"/>
          <cell r="H1100"/>
          <cell r="L1100"/>
          <cell r="M1100"/>
        </row>
        <row r="1101">
          <cell r="G1101"/>
          <cell r="H1101"/>
          <cell r="L1101"/>
          <cell r="M1101"/>
        </row>
        <row r="1102">
          <cell r="G1102"/>
          <cell r="H1102"/>
          <cell r="L1102"/>
          <cell r="M1102"/>
        </row>
        <row r="1103">
          <cell r="G1103"/>
          <cell r="H1103"/>
          <cell r="L1103"/>
          <cell r="M1103"/>
        </row>
        <row r="1104">
          <cell r="G1104"/>
          <cell r="H1104"/>
          <cell r="L1104"/>
          <cell r="M1104"/>
        </row>
        <row r="1105">
          <cell r="G1105"/>
          <cell r="H1105"/>
          <cell r="L1105"/>
          <cell r="M1105"/>
        </row>
        <row r="1106">
          <cell r="G1106"/>
          <cell r="H1106"/>
          <cell r="L1106"/>
          <cell r="M1106"/>
        </row>
        <row r="1107">
          <cell r="G1107"/>
          <cell r="H1107"/>
          <cell r="L1107"/>
          <cell r="M1107"/>
        </row>
        <row r="1108">
          <cell r="G1108"/>
          <cell r="H1108"/>
          <cell r="L1108"/>
          <cell r="M1108"/>
        </row>
        <row r="1109">
          <cell r="G1109"/>
          <cell r="H1109"/>
          <cell r="L1109"/>
          <cell r="M1109"/>
        </row>
        <row r="1110">
          <cell r="G1110"/>
          <cell r="H1110"/>
          <cell r="L1110"/>
          <cell r="M1110"/>
        </row>
        <row r="1111">
          <cell r="G1111"/>
          <cell r="H1111"/>
          <cell r="L1111"/>
          <cell r="M1111"/>
        </row>
        <row r="1112">
          <cell r="G1112"/>
          <cell r="H1112"/>
          <cell r="L1112"/>
          <cell r="M1112"/>
        </row>
        <row r="1113">
          <cell r="G1113"/>
          <cell r="H1113"/>
          <cell r="L1113"/>
          <cell r="M1113"/>
        </row>
        <row r="1114">
          <cell r="G1114"/>
          <cell r="H1114"/>
          <cell r="L1114"/>
          <cell r="M1114"/>
        </row>
        <row r="1115">
          <cell r="G1115"/>
          <cell r="H1115"/>
          <cell r="L1115"/>
          <cell r="M1115"/>
        </row>
        <row r="1116">
          <cell r="G1116"/>
          <cell r="H1116"/>
          <cell r="L1116"/>
          <cell r="M1116"/>
        </row>
        <row r="1117">
          <cell r="G1117"/>
          <cell r="H1117"/>
          <cell r="L1117"/>
          <cell r="M1117"/>
        </row>
        <row r="1118">
          <cell r="G1118"/>
          <cell r="H1118"/>
          <cell r="L1118"/>
          <cell r="M1118"/>
        </row>
        <row r="1119">
          <cell r="G1119"/>
          <cell r="H1119"/>
          <cell r="L1119"/>
          <cell r="M1119"/>
        </row>
        <row r="1120">
          <cell r="G1120"/>
          <cell r="H1120"/>
          <cell r="L1120"/>
          <cell r="M1120"/>
        </row>
        <row r="1121">
          <cell r="G1121"/>
          <cell r="H1121"/>
          <cell r="L1121"/>
          <cell r="M1121"/>
        </row>
        <row r="1122">
          <cell r="G1122"/>
          <cell r="H1122"/>
          <cell r="L1122"/>
          <cell r="M1122"/>
        </row>
        <row r="1123">
          <cell r="G1123"/>
          <cell r="H1123"/>
          <cell r="L1123"/>
          <cell r="M1123"/>
        </row>
        <row r="1124">
          <cell r="G1124"/>
          <cell r="H1124"/>
          <cell r="L1124"/>
          <cell r="M1124"/>
        </row>
        <row r="1125">
          <cell r="G1125"/>
          <cell r="H1125"/>
          <cell r="L1125"/>
          <cell r="M1125"/>
        </row>
        <row r="1126">
          <cell r="G1126"/>
          <cell r="H1126"/>
          <cell r="L1126"/>
          <cell r="M1126"/>
        </row>
        <row r="1127">
          <cell r="G1127"/>
          <cell r="H1127"/>
          <cell r="L1127"/>
          <cell r="M1127"/>
        </row>
        <row r="1128">
          <cell r="G1128"/>
          <cell r="H1128"/>
          <cell r="L1128"/>
          <cell r="M1128"/>
        </row>
        <row r="1129">
          <cell r="G1129"/>
          <cell r="H1129"/>
          <cell r="L1129"/>
          <cell r="M1129"/>
        </row>
        <row r="1130">
          <cell r="G1130"/>
          <cell r="H1130"/>
          <cell r="L1130"/>
          <cell r="M1130"/>
        </row>
        <row r="1131">
          <cell r="G1131"/>
          <cell r="H1131"/>
          <cell r="L1131"/>
          <cell r="M1131"/>
        </row>
        <row r="1132">
          <cell r="G1132"/>
          <cell r="H1132"/>
          <cell r="L1132"/>
          <cell r="M1132"/>
        </row>
        <row r="1133">
          <cell r="G1133"/>
          <cell r="H1133"/>
          <cell r="L1133"/>
          <cell r="M1133"/>
        </row>
        <row r="1134">
          <cell r="G1134"/>
          <cell r="H1134"/>
          <cell r="L1134"/>
          <cell r="M1134"/>
        </row>
        <row r="1135">
          <cell r="G1135"/>
          <cell r="H1135"/>
          <cell r="L1135"/>
          <cell r="M1135"/>
        </row>
        <row r="1136">
          <cell r="G1136"/>
          <cell r="H1136"/>
          <cell r="L1136"/>
          <cell r="M1136"/>
        </row>
        <row r="1137">
          <cell r="G1137"/>
          <cell r="H1137"/>
          <cell r="L1137"/>
          <cell r="M1137"/>
        </row>
        <row r="1138">
          <cell r="G1138"/>
          <cell r="H1138"/>
          <cell r="L1138"/>
          <cell r="M1138"/>
        </row>
        <row r="1139">
          <cell r="G1139"/>
          <cell r="H1139"/>
          <cell r="L1139"/>
          <cell r="M1139"/>
        </row>
        <row r="1140">
          <cell r="G1140"/>
          <cell r="H1140"/>
          <cell r="L1140"/>
          <cell r="M1140"/>
        </row>
        <row r="1141">
          <cell r="G1141"/>
          <cell r="H1141"/>
          <cell r="L1141"/>
          <cell r="M1141"/>
        </row>
        <row r="1142">
          <cell r="G1142"/>
          <cell r="H1142"/>
          <cell r="L1142"/>
          <cell r="M1142"/>
        </row>
        <row r="1143">
          <cell r="G1143"/>
          <cell r="H1143"/>
          <cell r="L1143"/>
          <cell r="M1143"/>
        </row>
        <row r="1144">
          <cell r="G1144"/>
          <cell r="H1144"/>
          <cell r="L1144"/>
          <cell r="M1144"/>
        </row>
        <row r="1145">
          <cell r="G1145"/>
          <cell r="H1145"/>
          <cell r="L1145"/>
          <cell r="M1145"/>
        </row>
        <row r="1146">
          <cell r="G1146"/>
          <cell r="H1146"/>
          <cell r="L1146"/>
          <cell r="M1146"/>
        </row>
        <row r="1147">
          <cell r="G1147"/>
          <cell r="H1147"/>
          <cell r="L1147"/>
          <cell r="M1147"/>
        </row>
        <row r="1148">
          <cell r="G1148"/>
          <cell r="H1148"/>
          <cell r="L1148"/>
          <cell r="M1148"/>
        </row>
        <row r="1149">
          <cell r="G1149"/>
          <cell r="H1149"/>
          <cell r="L1149"/>
          <cell r="M1149"/>
        </row>
        <row r="1150">
          <cell r="G1150"/>
          <cell r="H1150"/>
          <cell r="L1150"/>
          <cell r="M1150"/>
        </row>
        <row r="1151">
          <cell r="G1151"/>
          <cell r="H1151"/>
          <cell r="L1151"/>
          <cell r="M1151"/>
        </row>
        <row r="1152">
          <cell r="G1152"/>
          <cell r="H1152"/>
          <cell r="L1152"/>
          <cell r="M1152"/>
        </row>
        <row r="1153">
          <cell r="G1153"/>
          <cell r="H1153"/>
          <cell r="L1153"/>
          <cell r="M1153"/>
        </row>
        <row r="1154">
          <cell r="G1154"/>
          <cell r="H1154"/>
          <cell r="L1154"/>
          <cell r="M1154"/>
        </row>
        <row r="1155">
          <cell r="G1155"/>
          <cell r="H1155"/>
          <cell r="L1155"/>
          <cell r="M1155"/>
        </row>
        <row r="1156">
          <cell r="G1156"/>
          <cell r="H1156"/>
          <cell r="L1156"/>
          <cell r="M1156"/>
        </row>
        <row r="1157">
          <cell r="G1157"/>
          <cell r="H1157"/>
          <cell r="L1157"/>
          <cell r="M1157"/>
        </row>
        <row r="1158">
          <cell r="G1158"/>
          <cell r="H1158"/>
          <cell r="L1158"/>
          <cell r="M1158"/>
        </row>
        <row r="1159">
          <cell r="G1159"/>
          <cell r="H1159"/>
          <cell r="L1159"/>
          <cell r="M1159"/>
        </row>
        <row r="1160">
          <cell r="G1160"/>
          <cell r="H1160"/>
          <cell r="L1160"/>
          <cell r="M1160"/>
        </row>
        <row r="1161">
          <cell r="G1161"/>
          <cell r="H1161"/>
          <cell r="L1161"/>
          <cell r="M1161"/>
        </row>
        <row r="1162">
          <cell r="G1162"/>
          <cell r="H1162"/>
          <cell r="L1162"/>
          <cell r="M1162"/>
        </row>
        <row r="1163">
          <cell r="G1163"/>
          <cell r="H1163"/>
          <cell r="L1163"/>
          <cell r="M1163"/>
        </row>
        <row r="1164">
          <cell r="G1164"/>
          <cell r="H1164"/>
          <cell r="L1164"/>
          <cell r="M1164"/>
        </row>
        <row r="1165">
          <cell r="G1165"/>
          <cell r="H1165"/>
          <cell r="L1165"/>
          <cell r="M1165"/>
        </row>
        <row r="1166">
          <cell r="G1166"/>
          <cell r="H1166"/>
          <cell r="L1166"/>
          <cell r="M1166"/>
        </row>
        <row r="1167">
          <cell r="G1167"/>
          <cell r="H1167"/>
          <cell r="L1167"/>
          <cell r="M1167"/>
        </row>
        <row r="1168">
          <cell r="G1168"/>
          <cell r="H1168"/>
          <cell r="L1168"/>
          <cell r="M1168"/>
        </row>
        <row r="1169">
          <cell r="G1169"/>
          <cell r="H1169"/>
          <cell r="L1169"/>
          <cell r="M1169"/>
        </row>
        <row r="1170">
          <cell r="G1170"/>
          <cell r="H1170"/>
          <cell r="L1170"/>
          <cell r="M1170"/>
        </row>
        <row r="1171">
          <cell r="G1171"/>
          <cell r="H1171"/>
          <cell r="L1171"/>
          <cell r="M1171"/>
        </row>
        <row r="1172">
          <cell r="G1172"/>
          <cell r="H1172"/>
          <cell r="L1172"/>
          <cell r="M1172"/>
        </row>
        <row r="1173">
          <cell r="G1173"/>
          <cell r="H1173"/>
          <cell r="L1173"/>
          <cell r="M1173"/>
        </row>
        <row r="1174">
          <cell r="G1174"/>
          <cell r="H1174"/>
          <cell r="L1174"/>
          <cell r="M1174"/>
        </row>
        <row r="1175">
          <cell r="G1175"/>
          <cell r="H1175"/>
          <cell r="L1175"/>
          <cell r="M1175"/>
        </row>
        <row r="1176">
          <cell r="G1176"/>
          <cell r="H1176"/>
          <cell r="L1176"/>
          <cell r="M1176"/>
        </row>
        <row r="1177">
          <cell r="G1177"/>
          <cell r="H1177"/>
          <cell r="L1177"/>
          <cell r="M1177"/>
        </row>
        <row r="1178">
          <cell r="G1178"/>
          <cell r="H1178"/>
          <cell r="L1178"/>
          <cell r="M1178"/>
        </row>
        <row r="1179">
          <cell r="G1179"/>
          <cell r="H1179"/>
          <cell r="L1179"/>
          <cell r="M1179"/>
        </row>
        <row r="1180">
          <cell r="G1180"/>
          <cell r="H1180"/>
          <cell r="L1180"/>
          <cell r="M1180"/>
        </row>
        <row r="1181">
          <cell r="G1181"/>
          <cell r="H1181"/>
          <cell r="L1181"/>
          <cell r="M1181"/>
        </row>
        <row r="1182">
          <cell r="G1182"/>
          <cell r="H1182"/>
          <cell r="L1182"/>
          <cell r="M1182"/>
        </row>
        <row r="1183">
          <cell r="G1183"/>
          <cell r="H1183"/>
          <cell r="L1183"/>
          <cell r="M1183"/>
        </row>
        <row r="1184">
          <cell r="G1184"/>
          <cell r="H1184"/>
          <cell r="L1184"/>
          <cell r="M1184"/>
        </row>
        <row r="1185">
          <cell r="G1185"/>
          <cell r="H1185"/>
          <cell r="L1185"/>
          <cell r="M1185"/>
        </row>
        <row r="1186">
          <cell r="G1186"/>
          <cell r="H1186"/>
          <cell r="L1186"/>
          <cell r="M1186"/>
        </row>
        <row r="1187">
          <cell r="G1187"/>
          <cell r="H1187"/>
          <cell r="L1187"/>
          <cell r="M1187"/>
        </row>
        <row r="1188">
          <cell r="G1188"/>
          <cell r="H1188"/>
          <cell r="L1188"/>
          <cell r="M1188"/>
        </row>
        <row r="1189">
          <cell r="G1189"/>
          <cell r="H1189"/>
          <cell r="L1189"/>
          <cell r="M1189"/>
        </row>
        <row r="1190">
          <cell r="G1190"/>
          <cell r="H1190"/>
          <cell r="L1190"/>
          <cell r="M1190"/>
        </row>
        <row r="1191">
          <cell r="G1191"/>
          <cell r="H1191"/>
          <cell r="L1191"/>
          <cell r="M1191"/>
        </row>
        <row r="1192">
          <cell r="G1192"/>
          <cell r="H1192"/>
          <cell r="L1192"/>
          <cell r="M1192"/>
        </row>
        <row r="1193">
          <cell r="G1193"/>
          <cell r="H1193"/>
          <cell r="L1193"/>
          <cell r="M1193"/>
        </row>
        <row r="1194">
          <cell r="G1194"/>
          <cell r="H1194"/>
          <cell r="L1194"/>
          <cell r="M1194"/>
        </row>
        <row r="1195">
          <cell r="G1195"/>
          <cell r="H1195"/>
          <cell r="L1195"/>
          <cell r="M1195"/>
        </row>
        <row r="1196">
          <cell r="G1196"/>
          <cell r="H1196"/>
          <cell r="L1196"/>
          <cell r="M1196"/>
        </row>
        <row r="1197">
          <cell r="G1197"/>
          <cell r="H1197"/>
          <cell r="L1197"/>
          <cell r="M1197"/>
        </row>
        <row r="1198">
          <cell r="G1198"/>
          <cell r="H1198"/>
          <cell r="L1198"/>
          <cell r="M1198"/>
        </row>
        <row r="1199">
          <cell r="G1199"/>
          <cell r="H1199"/>
          <cell r="L1199"/>
          <cell r="M1199"/>
        </row>
        <row r="1200">
          <cell r="G1200"/>
          <cell r="H1200"/>
          <cell r="L1200"/>
          <cell r="M1200"/>
        </row>
        <row r="1201">
          <cell r="G1201"/>
          <cell r="H1201"/>
          <cell r="L1201"/>
          <cell r="M1201"/>
        </row>
        <row r="1202">
          <cell r="G1202"/>
          <cell r="H1202"/>
          <cell r="L1202"/>
          <cell r="M1202"/>
        </row>
        <row r="1203">
          <cell r="G1203"/>
          <cell r="H1203"/>
          <cell r="L1203"/>
          <cell r="M1203"/>
        </row>
        <row r="1204">
          <cell r="G1204"/>
          <cell r="H1204"/>
          <cell r="L1204"/>
          <cell r="M1204"/>
        </row>
        <row r="1205">
          <cell r="G1205"/>
          <cell r="H1205"/>
          <cell r="L1205"/>
          <cell r="M1205"/>
        </row>
        <row r="1206">
          <cell r="G1206"/>
          <cell r="H1206"/>
          <cell r="L1206"/>
          <cell r="M1206"/>
        </row>
        <row r="1207">
          <cell r="G1207"/>
          <cell r="H1207"/>
          <cell r="L1207"/>
          <cell r="M1207"/>
        </row>
        <row r="1208">
          <cell r="G1208"/>
          <cell r="H1208"/>
          <cell r="L1208"/>
          <cell r="M1208"/>
        </row>
        <row r="1209">
          <cell r="G1209"/>
          <cell r="H1209"/>
          <cell r="L1209"/>
          <cell r="M1209"/>
        </row>
        <row r="1210">
          <cell r="G1210"/>
          <cell r="H1210"/>
          <cell r="L1210"/>
          <cell r="M1210"/>
        </row>
        <row r="1211">
          <cell r="G1211"/>
          <cell r="H1211"/>
          <cell r="L1211"/>
          <cell r="M1211"/>
        </row>
        <row r="1212">
          <cell r="G1212"/>
          <cell r="H1212"/>
          <cell r="L1212"/>
          <cell r="M1212"/>
        </row>
        <row r="1213">
          <cell r="G1213"/>
          <cell r="H1213"/>
          <cell r="L1213"/>
          <cell r="M1213"/>
        </row>
        <row r="1214">
          <cell r="G1214"/>
          <cell r="H1214"/>
          <cell r="L1214"/>
          <cell r="M1214"/>
        </row>
        <row r="1215">
          <cell r="G1215"/>
          <cell r="H1215"/>
          <cell r="L1215"/>
          <cell r="M1215"/>
        </row>
        <row r="1216">
          <cell r="G1216"/>
          <cell r="H1216"/>
          <cell r="L1216"/>
          <cell r="M1216"/>
        </row>
        <row r="1217">
          <cell r="G1217"/>
          <cell r="H1217"/>
          <cell r="L1217"/>
          <cell r="M1217"/>
        </row>
        <row r="1218">
          <cell r="G1218"/>
          <cell r="H1218"/>
          <cell r="L1218"/>
          <cell r="M1218"/>
        </row>
        <row r="1219">
          <cell r="G1219"/>
          <cell r="H1219"/>
          <cell r="L1219"/>
          <cell r="M1219"/>
        </row>
        <row r="1220">
          <cell r="G1220"/>
          <cell r="H1220"/>
          <cell r="L1220"/>
          <cell r="M1220"/>
        </row>
        <row r="1221">
          <cell r="G1221"/>
          <cell r="H1221"/>
          <cell r="L1221"/>
          <cell r="M1221"/>
        </row>
        <row r="1222">
          <cell r="G1222"/>
          <cell r="H1222"/>
          <cell r="L1222"/>
          <cell r="M1222"/>
        </row>
        <row r="1223">
          <cell r="G1223"/>
          <cell r="H1223"/>
          <cell r="L1223"/>
          <cell r="M1223"/>
        </row>
        <row r="1224">
          <cell r="G1224"/>
          <cell r="H1224"/>
          <cell r="L1224"/>
          <cell r="M1224"/>
        </row>
        <row r="1225">
          <cell r="G1225"/>
          <cell r="H1225"/>
          <cell r="L1225"/>
          <cell r="M1225"/>
        </row>
        <row r="1226">
          <cell r="G1226"/>
          <cell r="H1226"/>
          <cell r="L1226"/>
          <cell r="M1226"/>
        </row>
        <row r="1227">
          <cell r="G1227"/>
          <cell r="H1227"/>
          <cell r="L1227"/>
          <cell r="M1227"/>
        </row>
        <row r="1228">
          <cell r="G1228"/>
          <cell r="H1228"/>
          <cell r="L1228"/>
          <cell r="M1228"/>
        </row>
        <row r="1229">
          <cell r="G1229"/>
          <cell r="H1229"/>
          <cell r="L1229"/>
          <cell r="M1229"/>
        </row>
        <row r="1230">
          <cell r="G1230"/>
          <cell r="H1230"/>
          <cell r="L1230"/>
          <cell r="M1230"/>
        </row>
        <row r="1231">
          <cell r="G1231"/>
          <cell r="H1231"/>
          <cell r="L1231"/>
          <cell r="M1231"/>
        </row>
        <row r="1232">
          <cell r="G1232"/>
          <cell r="H1232"/>
          <cell r="L1232"/>
          <cell r="M1232"/>
        </row>
        <row r="1233">
          <cell r="G1233"/>
          <cell r="H1233"/>
          <cell r="L1233"/>
          <cell r="M1233"/>
        </row>
        <row r="1234">
          <cell r="G1234"/>
          <cell r="H1234"/>
          <cell r="L1234"/>
          <cell r="M1234"/>
        </row>
        <row r="1235">
          <cell r="G1235"/>
          <cell r="H1235"/>
          <cell r="L1235"/>
          <cell r="M1235"/>
        </row>
        <row r="1236">
          <cell r="G1236"/>
          <cell r="H1236"/>
          <cell r="L1236"/>
          <cell r="M1236"/>
        </row>
        <row r="1237">
          <cell r="G1237"/>
          <cell r="H1237"/>
          <cell r="L1237"/>
          <cell r="M1237"/>
        </row>
        <row r="1238">
          <cell r="G1238"/>
          <cell r="H1238"/>
          <cell r="L1238"/>
          <cell r="M1238"/>
        </row>
        <row r="1239">
          <cell r="G1239"/>
          <cell r="H1239"/>
          <cell r="L1239"/>
          <cell r="M1239"/>
        </row>
        <row r="1240">
          <cell r="G1240"/>
          <cell r="H1240"/>
          <cell r="L1240"/>
          <cell r="M1240"/>
        </row>
        <row r="1241">
          <cell r="G1241"/>
          <cell r="H1241"/>
          <cell r="L1241"/>
          <cell r="M1241"/>
        </row>
        <row r="1242">
          <cell r="G1242"/>
          <cell r="H1242"/>
          <cell r="L1242"/>
          <cell r="M1242"/>
        </row>
        <row r="1243">
          <cell r="G1243"/>
          <cell r="H1243"/>
          <cell r="L1243"/>
          <cell r="M1243"/>
        </row>
        <row r="1244">
          <cell r="G1244"/>
          <cell r="H1244"/>
          <cell r="L1244"/>
          <cell r="M1244"/>
        </row>
        <row r="1245">
          <cell r="G1245"/>
          <cell r="H1245"/>
          <cell r="L1245"/>
          <cell r="M1245"/>
        </row>
        <row r="1246">
          <cell r="G1246"/>
          <cell r="H1246"/>
          <cell r="L1246"/>
          <cell r="M1246"/>
        </row>
        <row r="1247">
          <cell r="G1247"/>
          <cell r="H1247"/>
          <cell r="L1247"/>
          <cell r="M1247"/>
        </row>
        <row r="1248">
          <cell r="G1248"/>
          <cell r="H1248"/>
          <cell r="L1248"/>
          <cell r="M1248"/>
        </row>
        <row r="1249">
          <cell r="G1249"/>
          <cell r="H1249"/>
          <cell r="L1249"/>
          <cell r="M1249"/>
        </row>
        <row r="1250">
          <cell r="G1250"/>
          <cell r="H1250"/>
          <cell r="L1250"/>
          <cell r="M1250"/>
        </row>
        <row r="1251">
          <cell r="G1251"/>
          <cell r="H1251"/>
          <cell r="L1251"/>
          <cell r="M1251"/>
        </row>
        <row r="1252">
          <cell r="G1252"/>
          <cell r="H1252"/>
          <cell r="L1252"/>
          <cell r="M1252"/>
        </row>
        <row r="1253">
          <cell r="G1253"/>
          <cell r="H1253"/>
          <cell r="L1253"/>
          <cell r="M1253"/>
        </row>
        <row r="1254">
          <cell r="G1254"/>
          <cell r="H1254"/>
          <cell r="L1254"/>
          <cell r="M1254"/>
        </row>
        <row r="1255">
          <cell r="G1255"/>
          <cell r="H1255"/>
          <cell r="L1255"/>
          <cell r="M1255"/>
        </row>
        <row r="1256">
          <cell r="G1256"/>
          <cell r="H1256"/>
          <cell r="L1256"/>
          <cell r="M1256"/>
        </row>
        <row r="1257">
          <cell r="G1257"/>
          <cell r="H1257"/>
          <cell r="L1257"/>
          <cell r="M1257"/>
        </row>
        <row r="1258">
          <cell r="G1258"/>
          <cell r="H1258"/>
          <cell r="L1258"/>
          <cell r="M1258"/>
        </row>
        <row r="1259">
          <cell r="G1259"/>
          <cell r="H1259"/>
          <cell r="L1259"/>
          <cell r="M1259"/>
        </row>
        <row r="1260">
          <cell r="G1260"/>
          <cell r="H1260"/>
          <cell r="L1260"/>
          <cell r="M1260"/>
        </row>
        <row r="1261">
          <cell r="G1261"/>
          <cell r="H1261"/>
          <cell r="L1261"/>
          <cell r="M1261"/>
        </row>
        <row r="1262">
          <cell r="G1262"/>
          <cell r="H1262"/>
          <cell r="L1262"/>
          <cell r="M1262"/>
        </row>
        <row r="1263">
          <cell r="G1263"/>
          <cell r="H1263"/>
          <cell r="L1263"/>
          <cell r="M1263"/>
        </row>
        <row r="1264">
          <cell r="G1264"/>
          <cell r="H1264"/>
          <cell r="L1264"/>
          <cell r="M1264"/>
        </row>
        <row r="1265">
          <cell r="G1265"/>
          <cell r="H1265"/>
          <cell r="L1265"/>
          <cell r="M1265"/>
        </row>
        <row r="1266">
          <cell r="G1266"/>
          <cell r="H1266"/>
          <cell r="L1266"/>
          <cell r="M1266"/>
        </row>
        <row r="1267">
          <cell r="G1267"/>
          <cell r="H1267"/>
          <cell r="L1267"/>
          <cell r="M1267"/>
        </row>
        <row r="1268">
          <cell r="G1268"/>
          <cell r="H1268"/>
          <cell r="L1268"/>
          <cell r="M1268"/>
        </row>
        <row r="1269">
          <cell r="G1269"/>
          <cell r="H1269"/>
          <cell r="L1269"/>
          <cell r="M1269"/>
        </row>
        <row r="1270">
          <cell r="G1270"/>
          <cell r="H1270"/>
          <cell r="L1270"/>
          <cell r="M1270"/>
        </row>
        <row r="1271">
          <cell r="G1271"/>
          <cell r="H1271"/>
          <cell r="L1271"/>
          <cell r="M1271"/>
        </row>
        <row r="1272">
          <cell r="G1272"/>
          <cell r="H1272"/>
          <cell r="L1272"/>
          <cell r="M1272"/>
        </row>
        <row r="1273">
          <cell r="G1273"/>
          <cell r="H1273"/>
          <cell r="L1273"/>
          <cell r="M1273"/>
        </row>
        <row r="1274">
          <cell r="G1274"/>
          <cell r="H1274"/>
          <cell r="L1274"/>
          <cell r="M1274"/>
        </row>
        <row r="1275">
          <cell r="G1275"/>
          <cell r="H1275"/>
          <cell r="L1275"/>
          <cell r="M1275"/>
        </row>
        <row r="1276">
          <cell r="G1276"/>
          <cell r="H1276"/>
          <cell r="L1276"/>
          <cell r="M1276"/>
        </row>
        <row r="1277">
          <cell r="G1277"/>
          <cell r="H1277"/>
          <cell r="L1277"/>
          <cell r="M1277"/>
        </row>
        <row r="1278">
          <cell r="G1278"/>
          <cell r="H1278"/>
          <cell r="L1278"/>
          <cell r="M1278"/>
        </row>
        <row r="1279">
          <cell r="G1279"/>
          <cell r="H1279"/>
          <cell r="L1279"/>
          <cell r="M1279"/>
        </row>
        <row r="1280">
          <cell r="G1280"/>
          <cell r="H1280"/>
          <cell r="L1280"/>
          <cell r="M1280"/>
        </row>
        <row r="1281">
          <cell r="G1281"/>
          <cell r="H1281"/>
          <cell r="L1281"/>
          <cell r="M1281"/>
        </row>
        <row r="1282">
          <cell r="G1282"/>
          <cell r="H1282"/>
          <cell r="L1282"/>
          <cell r="M1282"/>
        </row>
        <row r="1283">
          <cell r="G1283"/>
          <cell r="H1283"/>
          <cell r="L1283"/>
          <cell r="M1283"/>
        </row>
        <row r="1284">
          <cell r="G1284"/>
          <cell r="H1284"/>
          <cell r="L1284"/>
          <cell r="M1284"/>
        </row>
        <row r="1285">
          <cell r="G1285"/>
          <cell r="H1285"/>
          <cell r="L1285"/>
          <cell r="M1285"/>
        </row>
        <row r="1286">
          <cell r="G1286"/>
          <cell r="H1286"/>
          <cell r="L1286"/>
          <cell r="M1286"/>
        </row>
        <row r="1287">
          <cell r="G1287"/>
          <cell r="H1287"/>
          <cell r="L1287"/>
          <cell r="M1287"/>
        </row>
        <row r="1288">
          <cell r="G1288"/>
          <cell r="H1288"/>
          <cell r="L1288"/>
          <cell r="M1288"/>
        </row>
        <row r="1289">
          <cell r="G1289"/>
          <cell r="H1289"/>
          <cell r="L1289"/>
          <cell r="M1289"/>
        </row>
        <row r="1290">
          <cell r="G1290"/>
          <cell r="H1290"/>
          <cell r="L1290"/>
          <cell r="M1290"/>
        </row>
        <row r="1291">
          <cell r="G1291"/>
          <cell r="H1291"/>
          <cell r="L1291"/>
          <cell r="M1291"/>
        </row>
        <row r="1292">
          <cell r="G1292"/>
          <cell r="H1292"/>
          <cell r="L1292"/>
          <cell r="M1292"/>
        </row>
        <row r="1293">
          <cell r="G1293"/>
          <cell r="H1293"/>
          <cell r="L1293"/>
          <cell r="M1293"/>
        </row>
        <row r="1294">
          <cell r="G1294"/>
          <cell r="H1294"/>
          <cell r="L1294"/>
          <cell r="M1294"/>
        </row>
        <row r="1295">
          <cell r="G1295"/>
          <cell r="H1295"/>
          <cell r="L1295"/>
          <cell r="M1295"/>
        </row>
        <row r="1296">
          <cell r="G1296"/>
          <cell r="H1296"/>
          <cell r="L1296"/>
          <cell r="M1296"/>
        </row>
        <row r="1297">
          <cell r="G1297"/>
          <cell r="H1297"/>
          <cell r="L1297"/>
          <cell r="M1297"/>
        </row>
        <row r="1298">
          <cell r="G1298"/>
          <cell r="H1298"/>
          <cell r="L1298"/>
          <cell r="M1298"/>
        </row>
        <row r="1299">
          <cell r="G1299"/>
          <cell r="H1299"/>
          <cell r="L1299"/>
          <cell r="M1299"/>
        </row>
        <row r="1300">
          <cell r="G1300"/>
          <cell r="H1300"/>
          <cell r="L1300"/>
          <cell r="M1300"/>
        </row>
        <row r="1301">
          <cell r="G1301"/>
          <cell r="H1301"/>
          <cell r="L1301"/>
          <cell r="M1301"/>
        </row>
        <row r="1302">
          <cell r="G1302"/>
          <cell r="H1302"/>
          <cell r="L1302"/>
          <cell r="M1302"/>
        </row>
        <row r="1303">
          <cell r="G1303"/>
          <cell r="H1303"/>
          <cell r="L1303"/>
          <cell r="M1303"/>
        </row>
        <row r="1304">
          <cell r="G1304"/>
          <cell r="H1304"/>
          <cell r="L1304"/>
          <cell r="M1304"/>
        </row>
        <row r="1305">
          <cell r="G1305"/>
          <cell r="H1305"/>
          <cell r="L1305"/>
          <cell r="M1305"/>
        </row>
        <row r="1306">
          <cell r="G1306"/>
          <cell r="H1306"/>
          <cell r="L1306"/>
          <cell r="M1306"/>
        </row>
        <row r="1307">
          <cell r="G1307"/>
          <cell r="H1307"/>
          <cell r="L1307"/>
          <cell r="M1307"/>
        </row>
        <row r="1308">
          <cell r="G1308"/>
          <cell r="H1308"/>
          <cell r="L1308"/>
          <cell r="M1308"/>
        </row>
        <row r="1309">
          <cell r="G1309"/>
          <cell r="H1309"/>
          <cell r="L1309"/>
          <cell r="M1309"/>
        </row>
        <row r="1310">
          <cell r="G1310"/>
          <cell r="H1310"/>
          <cell r="L1310"/>
          <cell r="M1310"/>
        </row>
        <row r="1311">
          <cell r="G1311"/>
          <cell r="H1311"/>
          <cell r="L1311"/>
          <cell r="M1311"/>
        </row>
        <row r="1312">
          <cell r="G1312"/>
          <cell r="H1312"/>
          <cell r="L1312"/>
          <cell r="M1312"/>
        </row>
        <row r="1313">
          <cell r="G1313"/>
          <cell r="H1313"/>
          <cell r="L1313"/>
          <cell r="M1313"/>
        </row>
        <row r="1314">
          <cell r="G1314"/>
          <cell r="H1314"/>
          <cell r="L1314"/>
          <cell r="M1314"/>
        </row>
        <row r="1315">
          <cell r="G1315"/>
          <cell r="H1315"/>
          <cell r="L1315"/>
          <cell r="M1315"/>
        </row>
        <row r="1316">
          <cell r="G1316"/>
          <cell r="H1316"/>
          <cell r="L1316"/>
          <cell r="M1316"/>
        </row>
        <row r="1317">
          <cell r="G1317"/>
          <cell r="H1317"/>
          <cell r="L1317"/>
          <cell r="M1317"/>
        </row>
        <row r="1318">
          <cell r="G1318"/>
          <cell r="H1318"/>
          <cell r="L1318"/>
          <cell r="M1318"/>
        </row>
        <row r="1319">
          <cell r="G1319"/>
          <cell r="H1319"/>
          <cell r="L1319"/>
          <cell r="M1319"/>
        </row>
        <row r="1320">
          <cell r="G1320"/>
          <cell r="H1320"/>
          <cell r="L1320"/>
          <cell r="M1320"/>
        </row>
        <row r="1321">
          <cell r="G1321"/>
          <cell r="H1321"/>
          <cell r="L1321"/>
          <cell r="M1321"/>
        </row>
        <row r="1322">
          <cell r="G1322"/>
          <cell r="H1322"/>
          <cell r="L1322"/>
          <cell r="M1322"/>
        </row>
        <row r="1323">
          <cell r="G1323"/>
          <cell r="H1323"/>
          <cell r="L1323"/>
          <cell r="M1323"/>
        </row>
        <row r="1324">
          <cell r="G1324"/>
          <cell r="H1324"/>
          <cell r="L1324"/>
          <cell r="M1324"/>
        </row>
        <row r="1325">
          <cell r="G1325"/>
          <cell r="H1325"/>
          <cell r="L1325"/>
          <cell r="M1325"/>
        </row>
        <row r="1326">
          <cell r="G1326"/>
          <cell r="H1326"/>
          <cell r="L1326"/>
          <cell r="M1326"/>
        </row>
        <row r="1327">
          <cell r="G1327"/>
          <cell r="H1327"/>
          <cell r="L1327"/>
          <cell r="M1327"/>
        </row>
        <row r="1328">
          <cell r="G1328"/>
          <cell r="H1328"/>
          <cell r="L1328"/>
          <cell r="M1328"/>
        </row>
        <row r="1329">
          <cell r="G1329"/>
          <cell r="H1329"/>
          <cell r="L1329"/>
          <cell r="M1329"/>
        </row>
        <row r="1330">
          <cell r="G1330"/>
          <cell r="H1330"/>
          <cell r="L1330"/>
          <cell r="M1330"/>
        </row>
        <row r="1331">
          <cell r="G1331"/>
          <cell r="H1331"/>
          <cell r="L1331"/>
          <cell r="M1331"/>
        </row>
        <row r="1332">
          <cell r="G1332"/>
          <cell r="H1332"/>
          <cell r="L1332"/>
          <cell r="M1332"/>
        </row>
        <row r="1333">
          <cell r="G1333"/>
          <cell r="H1333"/>
          <cell r="L1333"/>
          <cell r="M1333"/>
        </row>
        <row r="1334">
          <cell r="G1334"/>
          <cell r="H1334"/>
          <cell r="L1334"/>
          <cell r="M1334"/>
        </row>
        <row r="1335">
          <cell r="G1335"/>
          <cell r="H1335"/>
          <cell r="L1335"/>
          <cell r="M1335"/>
        </row>
        <row r="1336">
          <cell r="G1336"/>
          <cell r="H1336"/>
          <cell r="L1336"/>
          <cell r="M1336"/>
        </row>
        <row r="1337">
          <cell r="G1337"/>
          <cell r="H1337"/>
          <cell r="L1337"/>
          <cell r="M1337"/>
        </row>
        <row r="1338">
          <cell r="G1338"/>
          <cell r="H1338"/>
          <cell r="L1338"/>
          <cell r="M1338"/>
        </row>
        <row r="1339">
          <cell r="G1339"/>
          <cell r="H1339"/>
          <cell r="L1339"/>
          <cell r="M1339"/>
        </row>
        <row r="1340">
          <cell r="G1340"/>
          <cell r="H1340"/>
          <cell r="L1340"/>
          <cell r="M1340"/>
        </row>
        <row r="1341">
          <cell r="G1341"/>
          <cell r="H1341"/>
          <cell r="L1341"/>
          <cell r="M1341"/>
        </row>
        <row r="1342">
          <cell r="G1342"/>
          <cell r="H1342"/>
          <cell r="L1342"/>
          <cell r="M1342"/>
        </row>
        <row r="1343">
          <cell r="G1343"/>
          <cell r="H1343"/>
          <cell r="L1343"/>
          <cell r="M1343"/>
        </row>
        <row r="1344">
          <cell r="G1344"/>
          <cell r="H1344"/>
          <cell r="L1344"/>
          <cell r="M1344"/>
        </row>
        <row r="1345">
          <cell r="G1345"/>
          <cell r="H1345"/>
          <cell r="L1345"/>
          <cell r="M1345"/>
        </row>
        <row r="1346">
          <cell r="G1346"/>
          <cell r="H1346"/>
          <cell r="L1346"/>
          <cell r="M1346"/>
        </row>
        <row r="1347">
          <cell r="G1347"/>
          <cell r="H1347"/>
          <cell r="L1347"/>
          <cell r="M1347"/>
        </row>
        <row r="1348">
          <cell r="G1348"/>
          <cell r="H1348"/>
          <cell r="L1348"/>
          <cell r="M1348"/>
        </row>
        <row r="1349">
          <cell r="G1349"/>
          <cell r="H1349"/>
          <cell r="L1349"/>
          <cell r="M1349"/>
        </row>
        <row r="1350">
          <cell r="G1350"/>
          <cell r="H1350"/>
          <cell r="L1350"/>
          <cell r="M1350"/>
        </row>
        <row r="1351">
          <cell r="G1351"/>
          <cell r="H1351"/>
          <cell r="L1351"/>
          <cell r="M1351"/>
        </row>
        <row r="1352">
          <cell r="G1352"/>
          <cell r="H1352"/>
          <cell r="L1352"/>
          <cell r="M1352"/>
        </row>
        <row r="1353">
          <cell r="G1353"/>
          <cell r="H1353"/>
          <cell r="L1353"/>
          <cell r="M1353"/>
        </row>
        <row r="1354">
          <cell r="G1354"/>
          <cell r="H1354"/>
          <cell r="L1354"/>
          <cell r="M1354"/>
        </row>
        <row r="1355">
          <cell r="G1355"/>
          <cell r="H1355"/>
          <cell r="L1355"/>
          <cell r="M1355"/>
        </row>
        <row r="1356">
          <cell r="G1356"/>
          <cell r="H1356"/>
          <cell r="L1356"/>
          <cell r="M1356"/>
        </row>
        <row r="1357">
          <cell r="G1357"/>
          <cell r="H1357"/>
          <cell r="L1357"/>
          <cell r="M1357"/>
        </row>
        <row r="1358">
          <cell r="G1358"/>
          <cell r="H1358"/>
          <cell r="L1358"/>
          <cell r="M1358"/>
        </row>
        <row r="1359">
          <cell r="G1359"/>
          <cell r="H1359"/>
          <cell r="L1359"/>
          <cell r="M1359"/>
        </row>
        <row r="1360">
          <cell r="G1360"/>
          <cell r="H1360"/>
          <cell r="L1360"/>
          <cell r="M1360"/>
        </row>
        <row r="1361">
          <cell r="G1361"/>
          <cell r="H1361"/>
          <cell r="L1361"/>
          <cell r="M1361"/>
        </row>
        <row r="1362">
          <cell r="G1362"/>
          <cell r="H1362"/>
          <cell r="L1362"/>
          <cell r="M1362"/>
        </row>
        <row r="1363">
          <cell r="G1363"/>
          <cell r="H1363"/>
          <cell r="L1363"/>
          <cell r="M1363"/>
        </row>
        <row r="1364">
          <cell r="G1364"/>
          <cell r="H1364"/>
          <cell r="L1364"/>
          <cell r="M1364"/>
        </row>
        <row r="1365">
          <cell r="G1365"/>
          <cell r="H1365"/>
          <cell r="L1365"/>
          <cell r="M1365"/>
        </row>
        <row r="1366">
          <cell r="G1366"/>
          <cell r="H1366"/>
          <cell r="L1366"/>
          <cell r="M1366"/>
        </row>
        <row r="1367">
          <cell r="G1367"/>
          <cell r="H1367"/>
          <cell r="L1367"/>
          <cell r="M1367"/>
        </row>
        <row r="1368">
          <cell r="G1368"/>
          <cell r="H1368"/>
          <cell r="L1368"/>
          <cell r="M1368"/>
        </row>
        <row r="1369">
          <cell r="G1369"/>
          <cell r="H1369"/>
          <cell r="L1369"/>
          <cell r="M1369"/>
        </row>
        <row r="1370">
          <cell r="G1370"/>
          <cell r="H1370"/>
          <cell r="L1370"/>
          <cell r="M1370"/>
        </row>
        <row r="1371">
          <cell r="G1371"/>
          <cell r="H1371"/>
          <cell r="L1371"/>
          <cell r="M1371"/>
        </row>
        <row r="1372">
          <cell r="G1372"/>
          <cell r="H1372"/>
          <cell r="L1372"/>
          <cell r="M1372"/>
        </row>
        <row r="1373">
          <cell r="G1373"/>
          <cell r="H1373"/>
          <cell r="L1373"/>
          <cell r="M1373"/>
        </row>
        <row r="1374">
          <cell r="G1374"/>
          <cell r="H1374"/>
          <cell r="L1374"/>
          <cell r="M1374"/>
        </row>
        <row r="1375">
          <cell r="G1375"/>
          <cell r="H1375"/>
          <cell r="L1375"/>
          <cell r="M1375"/>
        </row>
        <row r="1376">
          <cell r="G1376"/>
          <cell r="H1376"/>
          <cell r="L1376"/>
          <cell r="M1376"/>
        </row>
        <row r="1377">
          <cell r="G1377"/>
          <cell r="H1377"/>
          <cell r="L1377"/>
          <cell r="M1377"/>
        </row>
        <row r="1378">
          <cell r="G1378"/>
          <cell r="H1378"/>
          <cell r="L1378"/>
          <cell r="M1378"/>
        </row>
        <row r="1379">
          <cell r="G1379"/>
          <cell r="H1379"/>
          <cell r="L1379"/>
          <cell r="M1379"/>
        </row>
        <row r="1380">
          <cell r="G1380"/>
          <cell r="H1380"/>
          <cell r="L1380"/>
          <cell r="M1380"/>
        </row>
        <row r="1381">
          <cell r="G1381"/>
          <cell r="H1381"/>
          <cell r="L1381"/>
          <cell r="M1381"/>
        </row>
        <row r="1382">
          <cell r="G1382"/>
          <cell r="H1382"/>
          <cell r="L1382"/>
          <cell r="M1382"/>
        </row>
        <row r="1383">
          <cell r="G1383"/>
          <cell r="H1383"/>
          <cell r="L1383"/>
          <cell r="M1383"/>
        </row>
        <row r="1384">
          <cell r="G1384"/>
          <cell r="H1384"/>
          <cell r="L1384"/>
          <cell r="M1384"/>
        </row>
        <row r="1385">
          <cell r="G1385"/>
          <cell r="H1385"/>
          <cell r="L1385"/>
          <cell r="M1385"/>
        </row>
        <row r="1386">
          <cell r="G1386"/>
          <cell r="H1386"/>
          <cell r="L1386"/>
          <cell r="M1386"/>
        </row>
        <row r="1387">
          <cell r="G1387"/>
          <cell r="H1387"/>
          <cell r="L1387"/>
          <cell r="M1387"/>
        </row>
        <row r="1388">
          <cell r="G1388"/>
          <cell r="H1388"/>
          <cell r="L1388"/>
          <cell r="M1388"/>
        </row>
        <row r="1389">
          <cell r="G1389"/>
          <cell r="H1389"/>
          <cell r="L1389"/>
          <cell r="M1389"/>
        </row>
        <row r="1390">
          <cell r="G1390"/>
          <cell r="H1390"/>
          <cell r="L1390"/>
          <cell r="M1390"/>
        </row>
        <row r="1391">
          <cell r="G1391"/>
          <cell r="H1391"/>
          <cell r="L1391"/>
          <cell r="M1391"/>
        </row>
        <row r="1392">
          <cell r="G1392"/>
          <cell r="H1392"/>
          <cell r="L1392"/>
          <cell r="M1392"/>
        </row>
        <row r="1393">
          <cell r="G1393"/>
          <cell r="H1393"/>
          <cell r="L1393"/>
          <cell r="M1393"/>
        </row>
        <row r="1394">
          <cell r="G1394"/>
          <cell r="H1394"/>
          <cell r="L1394"/>
          <cell r="M1394"/>
        </row>
        <row r="1395">
          <cell r="G1395"/>
          <cell r="H1395"/>
          <cell r="L1395"/>
          <cell r="M1395"/>
        </row>
        <row r="1396">
          <cell r="G1396"/>
          <cell r="H1396"/>
          <cell r="L1396"/>
          <cell r="M1396"/>
        </row>
        <row r="1397">
          <cell r="G1397"/>
          <cell r="H1397"/>
          <cell r="L1397"/>
          <cell r="M1397"/>
        </row>
        <row r="1398">
          <cell r="G1398"/>
          <cell r="H1398"/>
          <cell r="L1398"/>
          <cell r="M1398"/>
        </row>
        <row r="1399">
          <cell r="G1399"/>
          <cell r="H1399"/>
          <cell r="L1399"/>
          <cell r="M1399"/>
        </row>
        <row r="1400">
          <cell r="G1400"/>
          <cell r="H1400"/>
          <cell r="L1400"/>
          <cell r="M1400"/>
        </row>
        <row r="1401">
          <cell r="G1401"/>
          <cell r="H1401"/>
          <cell r="L1401"/>
          <cell r="M1401"/>
        </row>
        <row r="1402">
          <cell r="G1402"/>
          <cell r="H1402"/>
          <cell r="L1402"/>
          <cell r="M1402"/>
        </row>
        <row r="1403">
          <cell r="G1403"/>
          <cell r="H1403"/>
          <cell r="L1403"/>
          <cell r="M1403"/>
        </row>
        <row r="1404">
          <cell r="G1404"/>
          <cell r="H1404"/>
          <cell r="L1404"/>
          <cell r="M1404"/>
        </row>
        <row r="1405">
          <cell r="G1405"/>
          <cell r="H1405"/>
          <cell r="L1405"/>
          <cell r="M1405"/>
        </row>
        <row r="1406">
          <cell r="G1406"/>
          <cell r="H1406"/>
          <cell r="L1406"/>
          <cell r="M1406"/>
        </row>
        <row r="1407">
          <cell r="G1407"/>
          <cell r="H1407"/>
          <cell r="L1407"/>
          <cell r="M1407"/>
        </row>
        <row r="1408">
          <cell r="G1408"/>
          <cell r="H1408"/>
          <cell r="L1408"/>
          <cell r="M1408"/>
        </row>
        <row r="1409">
          <cell r="G1409"/>
          <cell r="H1409"/>
          <cell r="L1409"/>
          <cell r="M1409"/>
        </row>
        <row r="1410">
          <cell r="G1410"/>
          <cell r="H1410"/>
          <cell r="L1410"/>
          <cell r="M1410"/>
        </row>
        <row r="1411">
          <cell r="G1411"/>
          <cell r="H1411"/>
          <cell r="L1411"/>
          <cell r="M1411"/>
        </row>
        <row r="1412">
          <cell r="G1412"/>
          <cell r="H1412"/>
          <cell r="L1412"/>
          <cell r="M1412"/>
        </row>
        <row r="1413">
          <cell r="G1413"/>
          <cell r="H1413"/>
          <cell r="L1413"/>
          <cell r="M1413"/>
        </row>
        <row r="1414">
          <cell r="G1414"/>
          <cell r="H1414"/>
          <cell r="L1414"/>
          <cell r="M1414"/>
        </row>
        <row r="1415">
          <cell r="G1415"/>
          <cell r="H1415"/>
          <cell r="L1415"/>
          <cell r="M1415"/>
        </row>
        <row r="1416">
          <cell r="G1416"/>
          <cell r="H1416"/>
          <cell r="L1416"/>
          <cell r="M1416"/>
        </row>
        <row r="1417">
          <cell r="G1417"/>
          <cell r="H1417"/>
          <cell r="L1417"/>
          <cell r="M1417"/>
        </row>
        <row r="1418">
          <cell r="G1418"/>
          <cell r="H1418"/>
          <cell r="L1418"/>
          <cell r="M1418"/>
        </row>
        <row r="1419">
          <cell r="G1419"/>
          <cell r="H1419"/>
          <cell r="L1419"/>
          <cell r="M1419"/>
        </row>
        <row r="1420">
          <cell r="G1420"/>
          <cell r="H1420"/>
          <cell r="L1420"/>
          <cell r="M1420"/>
        </row>
        <row r="1421">
          <cell r="G1421"/>
          <cell r="H1421"/>
          <cell r="L1421"/>
          <cell r="M1421"/>
        </row>
        <row r="1422">
          <cell r="G1422"/>
          <cell r="H1422"/>
          <cell r="L1422"/>
          <cell r="M1422"/>
        </row>
        <row r="1423">
          <cell r="G1423"/>
          <cell r="H1423"/>
          <cell r="L1423"/>
          <cell r="M1423"/>
        </row>
        <row r="1424">
          <cell r="G1424"/>
          <cell r="H1424"/>
          <cell r="L1424"/>
          <cell r="M1424"/>
        </row>
        <row r="1425">
          <cell r="G1425"/>
          <cell r="H1425"/>
          <cell r="L1425"/>
          <cell r="M1425"/>
        </row>
        <row r="1426">
          <cell r="G1426"/>
          <cell r="H1426"/>
          <cell r="L1426"/>
          <cell r="M1426"/>
        </row>
        <row r="1427">
          <cell r="G1427"/>
          <cell r="H1427"/>
          <cell r="L1427"/>
          <cell r="M1427"/>
        </row>
        <row r="1428">
          <cell r="G1428"/>
          <cell r="H1428"/>
          <cell r="L1428"/>
          <cell r="M1428"/>
        </row>
        <row r="1429">
          <cell r="G1429"/>
          <cell r="H1429"/>
          <cell r="L1429"/>
          <cell r="M1429"/>
        </row>
        <row r="1430">
          <cell r="G1430"/>
          <cell r="H1430"/>
          <cell r="L1430"/>
          <cell r="M1430"/>
        </row>
        <row r="1431">
          <cell r="G1431"/>
          <cell r="H1431"/>
          <cell r="L1431"/>
          <cell r="M1431"/>
        </row>
        <row r="1432">
          <cell r="G1432"/>
          <cell r="H1432"/>
          <cell r="L1432"/>
          <cell r="M1432"/>
        </row>
        <row r="1433">
          <cell r="G1433"/>
          <cell r="H1433"/>
          <cell r="L1433"/>
          <cell r="M1433"/>
        </row>
        <row r="1434">
          <cell r="G1434"/>
          <cell r="H1434"/>
          <cell r="L1434"/>
          <cell r="M1434"/>
        </row>
        <row r="1435">
          <cell r="G1435"/>
          <cell r="H1435"/>
          <cell r="L1435"/>
          <cell r="M1435"/>
        </row>
        <row r="1436">
          <cell r="G1436"/>
          <cell r="H1436"/>
          <cell r="L1436"/>
          <cell r="M1436"/>
        </row>
        <row r="1437">
          <cell r="G1437"/>
          <cell r="H1437"/>
          <cell r="L1437"/>
          <cell r="M1437"/>
        </row>
        <row r="1438">
          <cell r="G1438"/>
          <cell r="H1438"/>
          <cell r="L1438"/>
          <cell r="M1438"/>
        </row>
        <row r="1439">
          <cell r="G1439"/>
          <cell r="H1439"/>
          <cell r="L1439"/>
          <cell r="M1439"/>
        </row>
        <row r="1440">
          <cell r="G1440"/>
          <cell r="H1440"/>
          <cell r="L1440"/>
          <cell r="M1440"/>
        </row>
        <row r="1441">
          <cell r="G1441"/>
          <cell r="H1441"/>
          <cell r="L1441"/>
          <cell r="M1441"/>
        </row>
        <row r="1442">
          <cell r="G1442"/>
          <cell r="H1442"/>
          <cell r="L1442"/>
          <cell r="M1442"/>
        </row>
        <row r="1443">
          <cell r="G1443"/>
          <cell r="H1443"/>
          <cell r="L1443"/>
          <cell r="M1443"/>
        </row>
        <row r="1444">
          <cell r="G1444"/>
          <cell r="H1444"/>
          <cell r="L1444"/>
          <cell r="M1444"/>
        </row>
        <row r="1445">
          <cell r="G1445"/>
          <cell r="H1445"/>
          <cell r="L1445"/>
          <cell r="M1445"/>
        </row>
        <row r="1446">
          <cell r="G1446"/>
          <cell r="H1446"/>
          <cell r="L1446"/>
          <cell r="M1446"/>
        </row>
        <row r="1447">
          <cell r="G1447"/>
          <cell r="H1447"/>
          <cell r="L1447"/>
          <cell r="M1447"/>
        </row>
        <row r="1448">
          <cell r="G1448"/>
          <cell r="H1448"/>
          <cell r="L1448"/>
          <cell r="M1448"/>
        </row>
        <row r="1449">
          <cell r="G1449"/>
          <cell r="H1449"/>
          <cell r="L1449"/>
          <cell r="M1449"/>
        </row>
        <row r="1450">
          <cell r="G1450"/>
          <cell r="H1450"/>
          <cell r="L1450"/>
          <cell r="M1450"/>
        </row>
        <row r="1451">
          <cell r="G1451"/>
          <cell r="H1451"/>
          <cell r="L1451"/>
          <cell r="M1451"/>
        </row>
        <row r="1452">
          <cell r="G1452"/>
          <cell r="H1452"/>
          <cell r="L1452"/>
          <cell r="M1452"/>
        </row>
        <row r="1453">
          <cell r="G1453"/>
          <cell r="H1453"/>
          <cell r="L1453"/>
          <cell r="M1453"/>
        </row>
        <row r="1454">
          <cell r="G1454"/>
          <cell r="H1454"/>
          <cell r="L1454"/>
          <cell r="M1454"/>
        </row>
        <row r="1455">
          <cell r="G1455"/>
          <cell r="H1455"/>
          <cell r="L1455"/>
          <cell r="M1455"/>
        </row>
        <row r="1456">
          <cell r="G1456"/>
          <cell r="H1456"/>
          <cell r="L1456"/>
          <cell r="M1456"/>
        </row>
        <row r="1457">
          <cell r="G1457"/>
          <cell r="H1457"/>
          <cell r="L1457"/>
          <cell r="M1457"/>
        </row>
        <row r="1458">
          <cell r="G1458"/>
          <cell r="H1458"/>
          <cell r="L1458"/>
          <cell r="M1458"/>
        </row>
        <row r="1459">
          <cell r="G1459"/>
          <cell r="H1459"/>
          <cell r="L1459"/>
          <cell r="M1459"/>
        </row>
        <row r="1460">
          <cell r="G1460"/>
          <cell r="H1460"/>
          <cell r="L1460"/>
          <cell r="M1460"/>
        </row>
        <row r="1461">
          <cell r="G1461"/>
          <cell r="H1461"/>
          <cell r="L1461"/>
          <cell r="M1461"/>
        </row>
        <row r="1462">
          <cell r="G1462"/>
          <cell r="H1462"/>
          <cell r="L1462"/>
          <cell r="M1462"/>
        </row>
        <row r="1463">
          <cell r="G1463"/>
          <cell r="H1463"/>
          <cell r="L1463"/>
          <cell r="M1463"/>
        </row>
        <row r="1464">
          <cell r="G1464"/>
          <cell r="H1464"/>
          <cell r="L1464"/>
          <cell r="M1464"/>
        </row>
        <row r="1465">
          <cell r="G1465"/>
          <cell r="H1465"/>
          <cell r="L1465"/>
          <cell r="M1465"/>
        </row>
        <row r="1466">
          <cell r="G1466"/>
          <cell r="H1466"/>
          <cell r="L1466"/>
          <cell r="M1466"/>
        </row>
        <row r="1467">
          <cell r="G1467"/>
          <cell r="H1467"/>
          <cell r="L1467"/>
          <cell r="M1467"/>
        </row>
        <row r="1468">
          <cell r="G1468"/>
          <cell r="H1468"/>
          <cell r="L1468"/>
          <cell r="M1468"/>
        </row>
        <row r="1469">
          <cell r="G1469"/>
          <cell r="H1469"/>
          <cell r="L1469"/>
          <cell r="M1469"/>
        </row>
        <row r="1470">
          <cell r="G1470"/>
          <cell r="H1470"/>
          <cell r="L1470"/>
          <cell r="M1470"/>
        </row>
        <row r="1471">
          <cell r="G1471"/>
          <cell r="H1471"/>
          <cell r="L1471"/>
          <cell r="M1471"/>
        </row>
        <row r="1472">
          <cell r="G1472"/>
          <cell r="H1472"/>
          <cell r="L1472"/>
          <cell r="M1472"/>
        </row>
        <row r="1473">
          <cell r="G1473"/>
          <cell r="H1473"/>
          <cell r="L1473"/>
          <cell r="M1473"/>
        </row>
        <row r="1474">
          <cell r="G1474"/>
          <cell r="H1474"/>
          <cell r="L1474"/>
          <cell r="M1474"/>
        </row>
        <row r="1475">
          <cell r="G1475"/>
          <cell r="H1475"/>
          <cell r="L1475"/>
          <cell r="M1475"/>
        </row>
        <row r="1476">
          <cell r="G1476"/>
          <cell r="H1476"/>
          <cell r="L1476"/>
          <cell r="M1476"/>
        </row>
        <row r="1477">
          <cell r="G1477"/>
          <cell r="H1477"/>
          <cell r="L1477"/>
          <cell r="M1477"/>
        </row>
        <row r="1478">
          <cell r="G1478"/>
          <cell r="H1478"/>
          <cell r="L1478"/>
          <cell r="M1478"/>
        </row>
        <row r="1479">
          <cell r="G1479"/>
          <cell r="H1479"/>
          <cell r="L1479"/>
          <cell r="M1479"/>
        </row>
        <row r="1480">
          <cell r="G1480"/>
          <cell r="H1480"/>
          <cell r="L1480"/>
          <cell r="M1480"/>
        </row>
        <row r="1481">
          <cell r="G1481"/>
          <cell r="H1481"/>
          <cell r="L1481"/>
          <cell r="M1481"/>
        </row>
        <row r="1482">
          <cell r="G1482"/>
          <cell r="H1482"/>
          <cell r="L1482"/>
          <cell r="M1482"/>
        </row>
        <row r="1483">
          <cell r="G1483"/>
          <cell r="H1483"/>
          <cell r="L1483"/>
          <cell r="M1483"/>
        </row>
        <row r="1484">
          <cell r="G1484"/>
          <cell r="H1484"/>
          <cell r="L1484"/>
          <cell r="M1484"/>
        </row>
        <row r="1485">
          <cell r="G1485"/>
          <cell r="H1485"/>
          <cell r="L1485"/>
          <cell r="M1485"/>
        </row>
        <row r="1486">
          <cell r="G1486"/>
          <cell r="H1486"/>
          <cell r="L1486"/>
          <cell r="M1486"/>
        </row>
        <row r="1487">
          <cell r="G1487"/>
          <cell r="H1487"/>
          <cell r="L1487"/>
          <cell r="M1487"/>
        </row>
        <row r="1488">
          <cell r="G1488"/>
          <cell r="H1488"/>
          <cell r="L1488"/>
          <cell r="M1488"/>
        </row>
        <row r="1489">
          <cell r="G1489"/>
          <cell r="H1489"/>
          <cell r="L1489"/>
          <cell r="M1489"/>
        </row>
        <row r="1490">
          <cell r="G1490"/>
          <cell r="H1490"/>
          <cell r="L1490"/>
          <cell r="M1490"/>
        </row>
        <row r="1491">
          <cell r="G1491"/>
          <cell r="H1491"/>
          <cell r="L1491"/>
          <cell r="M1491"/>
        </row>
        <row r="1492">
          <cell r="G1492"/>
          <cell r="H1492"/>
          <cell r="L1492"/>
          <cell r="M1492"/>
        </row>
        <row r="1493">
          <cell r="G1493"/>
          <cell r="H1493"/>
          <cell r="L1493"/>
          <cell r="M1493"/>
        </row>
        <row r="1494">
          <cell r="G1494"/>
          <cell r="H1494"/>
          <cell r="L1494"/>
          <cell r="M1494"/>
        </row>
        <row r="1495">
          <cell r="G1495"/>
          <cell r="H1495"/>
          <cell r="L1495"/>
          <cell r="M1495"/>
        </row>
        <row r="1496">
          <cell r="G1496"/>
          <cell r="H1496"/>
          <cell r="L1496"/>
          <cell r="M1496"/>
        </row>
        <row r="1497">
          <cell r="G1497"/>
          <cell r="H1497"/>
          <cell r="L1497"/>
          <cell r="M1497"/>
        </row>
        <row r="1498">
          <cell r="G1498"/>
          <cell r="H1498"/>
          <cell r="L1498"/>
          <cell r="M1498"/>
        </row>
        <row r="1499">
          <cell r="G1499"/>
          <cell r="H1499"/>
          <cell r="L1499"/>
          <cell r="M1499"/>
        </row>
        <row r="1500">
          <cell r="G1500"/>
          <cell r="H1500"/>
          <cell r="L1500"/>
          <cell r="M1500"/>
        </row>
        <row r="1501">
          <cell r="G1501"/>
          <cell r="H1501"/>
          <cell r="L1501"/>
          <cell r="M1501"/>
        </row>
        <row r="1502">
          <cell r="G1502"/>
          <cell r="H1502"/>
          <cell r="L1502"/>
          <cell r="M1502"/>
        </row>
        <row r="1503">
          <cell r="G1503"/>
          <cell r="H1503"/>
          <cell r="L1503"/>
          <cell r="M1503"/>
        </row>
        <row r="1504">
          <cell r="G1504"/>
          <cell r="H1504"/>
          <cell r="L1504"/>
          <cell r="M1504"/>
        </row>
        <row r="1505">
          <cell r="G1505"/>
          <cell r="H1505"/>
          <cell r="L1505"/>
          <cell r="M1505"/>
        </row>
        <row r="1506">
          <cell r="G1506"/>
          <cell r="H1506"/>
          <cell r="L1506"/>
          <cell r="M1506"/>
        </row>
        <row r="1507">
          <cell r="G1507"/>
          <cell r="H1507"/>
          <cell r="L1507"/>
          <cell r="M1507"/>
        </row>
        <row r="1508">
          <cell r="G1508"/>
          <cell r="H1508"/>
          <cell r="L1508"/>
          <cell r="M1508"/>
        </row>
        <row r="1509">
          <cell r="G1509"/>
          <cell r="H1509"/>
          <cell r="L1509"/>
          <cell r="M1509"/>
        </row>
        <row r="1510">
          <cell r="G1510"/>
          <cell r="H1510"/>
          <cell r="L1510"/>
          <cell r="M1510"/>
        </row>
        <row r="1511">
          <cell r="G1511"/>
          <cell r="H1511"/>
          <cell r="L1511"/>
          <cell r="M1511"/>
        </row>
        <row r="1512">
          <cell r="G1512"/>
          <cell r="H1512"/>
          <cell r="L1512"/>
          <cell r="M1512"/>
        </row>
        <row r="1513">
          <cell r="G1513"/>
          <cell r="H1513"/>
          <cell r="L1513"/>
          <cell r="M1513"/>
        </row>
        <row r="1514">
          <cell r="G1514"/>
          <cell r="H1514"/>
          <cell r="L1514"/>
          <cell r="M1514"/>
        </row>
        <row r="1515">
          <cell r="G1515"/>
          <cell r="H1515"/>
          <cell r="L1515"/>
          <cell r="M1515"/>
        </row>
        <row r="1516">
          <cell r="G1516"/>
          <cell r="H1516"/>
          <cell r="L1516"/>
          <cell r="M1516"/>
        </row>
        <row r="1517">
          <cell r="G1517"/>
          <cell r="H1517"/>
          <cell r="L1517"/>
          <cell r="M1517"/>
        </row>
        <row r="1518">
          <cell r="G1518"/>
          <cell r="H1518"/>
          <cell r="L1518"/>
          <cell r="M1518"/>
        </row>
        <row r="1519">
          <cell r="G1519"/>
          <cell r="H1519"/>
          <cell r="L1519"/>
          <cell r="M1519"/>
        </row>
        <row r="1520">
          <cell r="G1520"/>
          <cell r="H1520"/>
          <cell r="L1520"/>
          <cell r="M1520"/>
        </row>
        <row r="1521">
          <cell r="G1521"/>
          <cell r="H1521"/>
          <cell r="L1521"/>
          <cell r="M1521"/>
        </row>
        <row r="1522">
          <cell r="G1522"/>
          <cell r="H1522"/>
          <cell r="L1522"/>
          <cell r="M1522"/>
        </row>
        <row r="1523">
          <cell r="G1523"/>
          <cell r="H1523"/>
          <cell r="L1523"/>
          <cell r="M1523"/>
        </row>
        <row r="1524">
          <cell r="G1524"/>
          <cell r="H1524"/>
          <cell r="L1524"/>
          <cell r="M1524"/>
        </row>
        <row r="1525">
          <cell r="G1525"/>
          <cell r="H1525"/>
          <cell r="L1525"/>
          <cell r="M1525"/>
        </row>
        <row r="1526">
          <cell r="G1526"/>
          <cell r="H1526"/>
          <cell r="L1526"/>
          <cell r="M1526"/>
        </row>
        <row r="1527">
          <cell r="G1527"/>
          <cell r="H1527"/>
          <cell r="L1527"/>
          <cell r="M1527"/>
        </row>
        <row r="1528">
          <cell r="G1528"/>
          <cell r="H1528"/>
          <cell r="L1528"/>
          <cell r="M1528"/>
        </row>
        <row r="1529">
          <cell r="G1529"/>
          <cell r="H1529"/>
          <cell r="L1529"/>
          <cell r="M1529"/>
        </row>
        <row r="1530">
          <cell r="G1530"/>
          <cell r="H1530"/>
          <cell r="L1530"/>
          <cell r="M1530"/>
        </row>
        <row r="1531">
          <cell r="G1531"/>
          <cell r="H1531"/>
          <cell r="L1531"/>
          <cell r="M1531"/>
        </row>
        <row r="1532">
          <cell r="G1532"/>
          <cell r="H1532"/>
          <cell r="L1532"/>
          <cell r="M1532"/>
        </row>
        <row r="1533">
          <cell r="G1533"/>
          <cell r="H1533"/>
          <cell r="L1533"/>
          <cell r="M1533"/>
        </row>
        <row r="1534">
          <cell r="G1534"/>
          <cell r="H1534"/>
          <cell r="L1534"/>
          <cell r="M1534"/>
        </row>
        <row r="1535">
          <cell r="G1535"/>
          <cell r="H1535"/>
          <cell r="L1535"/>
          <cell r="M1535"/>
        </row>
        <row r="1536">
          <cell r="G1536"/>
          <cell r="H1536"/>
          <cell r="L1536"/>
          <cell r="M1536"/>
        </row>
        <row r="1537">
          <cell r="G1537"/>
          <cell r="H1537"/>
          <cell r="L1537"/>
          <cell r="M1537"/>
        </row>
        <row r="1538">
          <cell r="G1538"/>
          <cell r="H1538"/>
          <cell r="L1538"/>
          <cell r="M1538"/>
        </row>
        <row r="1539">
          <cell r="G1539"/>
          <cell r="H1539"/>
          <cell r="L1539"/>
          <cell r="M1539"/>
        </row>
        <row r="1540">
          <cell r="G1540"/>
          <cell r="H1540"/>
          <cell r="L1540"/>
          <cell r="M1540"/>
        </row>
        <row r="1541">
          <cell r="G1541"/>
          <cell r="H1541"/>
          <cell r="L1541"/>
          <cell r="M1541"/>
        </row>
        <row r="1542">
          <cell r="G1542"/>
          <cell r="H1542"/>
          <cell r="L1542"/>
          <cell r="M1542"/>
        </row>
        <row r="1543">
          <cell r="G1543"/>
          <cell r="H1543"/>
          <cell r="L1543"/>
          <cell r="M1543"/>
        </row>
        <row r="1544">
          <cell r="G1544"/>
          <cell r="H1544"/>
          <cell r="L1544"/>
          <cell r="M1544"/>
        </row>
        <row r="1545">
          <cell r="G1545"/>
          <cell r="H1545"/>
          <cell r="L1545"/>
          <cell r="M1545"/>
        </row>
        <row r="1546">
          <cell r="G1546"/>
          <cell r="H1546"/>
          <cell r="L1546"/>
          <cell r="M1546"/>
        </row>
        <row r="1547">
          <cell r="G1547"/>
          <cell r="H1547"/>
          <cell r="L1547"/>
          <cell r="M1547"/>
        </row>
        <row r="1548">
          <cell r="G1548"/>
          <cell r="H1548"/>
          <cell r="L1548"/>
          <cell r="M1548"/>
        </row>
        <row r="1549">
          <cell r="G1549"/>
          <cell r="H1549"/>
          <cell r="L1549"/>
          <cell r="M1549"/>
        </row>
        <row r="1550">
          <cell r="G1550"/>
          <cell r="H1550"/>
          <cell r="L1550"/>
          <cell r="M1550"/>
        </row>
        <row r="1551">
          <cell r="G1551"/>
          <cell r="H1551"/>
          <cell r="L1551"/>
          <cell r="M1551"/>
        </row>
        <row r="1552">
          <cell r="G1552"/>
          <cell r="H1552"/>
          <cell r="L1552"/>
          <cell r="M1552"/>
        </row>
        <row r="1553">
          <cell r="G1553"/>
          <cell r="H1553"/>
          <cell r="L1553"/>
          <cell r="M1553"/>
        </row>
        <row r="1554">
          <cell r="G1554"/>
          <cell r="H1554"/>
          <cell r="L1554"/>
          <cell r="M1554"/>
        </row>
        <row r="1555">
          <cell r="G1555"/>
          <cell r="H1555"/>
          <cell r="L1555"/>
          <cell r="M1555"/>
        </row>
        <row r="1556">
          <cell r="G1556"/>
          <cell r="H1556"/>
          <cell r="L1556"/>
          <cell r="M1556"/>
        </row>
        <row r="1557">
          <cell r="G1557"/>
          <cell r="H1557"/>
          <cell r="L1557"/>
          <cell r="M1557"/>
        </row>
        <row r="1558">
          <cell r="G1558"/>
          <cell r="H1558"/>
          <cell r="L1558"/>
          <cell r="M1558"/>
        </row>
        <row r="1559">
          <cell r="G1559"/>
          <cell r="H1559"/>
          <cell r="L1559"/>
          <cell r="M1559"/>
        </row>
        <row r="1560">
          <cell r="G1560"/>
          <cell r="H1560"/>
          <cell r="L1560"/>
          <cell r="M1560"/>
        </row>
        <row r="1561">
          <cell r="G1561"/>
          <cell r="H1561"/>
          <cell r="L1561"/>
          <cell r="M1561"/>
        </row>
        <row r="1562">
          <cell r="G1562"/>
          <cell r="H1562"/>
          <cell r="L1562"/>
          <cell r="M1562"/>
        </row>
        <row r="1563">
          <cell r="G1563"/>
          <cell r="H1563"/>
          <cell r="L1563"/>
          <cell r="M1563"/>
        </row>
        <row r="1564">
          <cell r="G1564"/>
          <cell r="H1564"/>
          <cell r="L1564"/>
          <cell r="M1564"/>
        </row>
        <row r="1565">
          <cell r="G1565"/>
          <cell r="H1565"/>
          <cell r="L1565"/>
          <cell r="M1565"/>
        </row>
        <row r="1566">
          <cell r="G1566"/>
          <cell r="H1566"/>
          <cell r="L1566"/>
          <cell r="M1566"/>
        </row>
        <row r="1567">
          <cell r="G1567"/>
          <cell r="H1567"/>
          <cell r="L1567"/>
          <cell r="M1567"/>
        </row>
        <row r="1568">
          <cell r="G1568"/>
          <cell r="H1568"/>
          <cell r="L1568"/>
          <cell r="M1568"/>
        </row>
        <row r="1569">
          <cell r="G1569"/>
          <cell r="H1569"/>
          <cell r="L1569"/>
          <cell r="M1569"/>
        </row>
        <row r="1570">
          <cell r="G1570"/>
          <cell r="H1570"/>
          <cell r="L1570"/>
          <cell r="M1570"/>
        </row>
        <row r="1571">
          <cell r="G1571"/>
          <cell r="H1571"/>
          <cell r="L1571"/>
          <cell r="M1571"/>
        </row>
        <row r="1572">
          <cell r="G1572"/>
          <cell r="H1572"/>
          <cell r="L1572"/>
          <cell r="M1572"/>
        </row>
        <row r="1573">
          <cell r="G1573"/>
          <cell r="H1573"/>
          <cell r="L1573"/>
          <cell r="M1573"/>
        </row>
        <row r="1574">
          <cell r="G1574"/>
          <cell r="H1574"/>
          <cell r="L1574"/>
          <cell r="M1574"/>
        </row>
        <row r="1575">
          <cell r="G1575"/>
          <cell r="H1575"/>
          <cell r="L1575"/>
          <cell r="M1575"/>
        </row>
        <row r="1576">
          <cell r="G1576"/>
          <cell r="H1576"/>
          <cell r="L1576"/>
          <cell r="M1576"/>
        </row>
        <row r="1577">
          <cell r="G1577"/>
          <cell r="H1577"/>
          <cell r="L1577"/>
          <cell r="M1577"/>
        </row>
        <row r="1578">
          <cell r="G1578"/>
          <cell r="H1578"/>
          <cell r="L1578"/>
          <cell r="M1578"/>
        </row>
        <row r="1579">
          <cell r="G1579"/>
          <cell r="H1579"/>
          <cell r="L1579"/>
          <cell r="M1579"/>
        </row>
        <row r="1580">
          <cell r="G1580"/>
          <cell r="H1580"/>
          <cell r="L1580"/>
          <cell r="M1580"/>
        </row>
        <row r="1581">
          <cell r="G1581"/>
          <cell r="H1581"/>
          <cell r="L1581"/>
          <cell r="M1581"/>
        </row>
        <row r="1582">
          <cell r="G1582"/>
          <cell r="H1582"/>
          <cell r="L1582"/>
          <cell r="M1582"/>
        </row>
        <row r="1583">
          <cell r="G1583"/>
          <cell r="H1583"/>
          <cell r="L1583"/>
          <cell r="M1583"/>
        </row>
        <row r="1584">
          <cell r="G1584"/>
          <cell r="H1584"/>
          <cell r="L1584"/>
          <cell r="M1584"/>
        </row>
        <row r="1585">
          <cell r="G1585"/>
          <cell r="H1585"/>
          <cell r="L1585"/>
          <cell r="M1585"/>
        </row>
        <row r="1586">
          <cell r="G1586"/>
          <cell r="H1586"/>
          <cell r="L1586"/>
          <cell r="M1586"/>
        </row>
        <row r="1587">
          <cell r="G1587"/>
          <cell r="H1587"/>
          <cell r="L1587"/>
          <cell r="M1587"/>
        </row>
        <row r="1588">
          <cell r="G1588"/>
          <cell r="H1588"/>
          <cell r="L1588"/>
          <cell r="M1588"/>
        </row>
        <row r="1589">
          <cell r="G1589"/>
          <cell r="H1589"/>
          <cell r="L1589"/>
          <cell r="M1589"/>
        </row>
        <row r="1590">
          <cell r="G1590"/>
          <cell r="H1590"/>
          <cell r="L1590"/>
          <cell r="M1590"/>
        </row>
        <row r="1591">
          <cell r="G1591"/>
          <cell r="H1591"/>
          <cell r="L1591"/>
          <cell r="M1591"/>
        </row>
        <row r="1592">
          <cell r="G1592"/>
          <cell r="H1592"/>
          <cell r="L1592"/>
          <cell r="M1592"/>
        </row>
        <row r="1593">
          <cell r="G1593"/>
          <cell r="H1593"/>
          <cell r="L1593"/>
          <cell r="M1593"/>
        </row>
        <row r="1594">
          <cell r="G1594"/>
          <cell r="H1594"/>
          <cell r="L1594"/>
          <cell r="M1594"/>
        </row>
        <row r="1595">
          <cell r="G1595"/>
          <cell r="H1595"/>
          <cell r="L1595"/>
          <cell r="M1595"/>
        </row>
        <row r="1596">
          <cell r="G1596"/>
          <cell r="H1596"/>
          <cell r="L1596"/>
          <cell r="M1596"/>
        </row>
        <row r="1597">
          <cell r="G1597"/>
          <cell r="H1597"/>
          <cell r="L1597"/>
          <cell r="M1597"/>
        </row>
        <row r="1598">
          <cell r="G1598"/>
          <cell r="H1598"/>
          <cell r="L1598"/>
          <cell r="M1598"/>
        </row>
        <row r="1599">
          <cell r="G1599"/>
          <cell r="H1599"/>
          <cell r="L1599"/>
          <cell r="M1599"/>
        </row>
        <row r="1600">
          <cell r="G1600"/>
          <cell r="H1600"/>
          <cell r="L1600"/>
          <cell r="M1600"/>
        </row>
        <row r="1601">
          <cell r="G1601"/>
          <cell r="H1601"/>
          <cell r="L1601"/>
          <cell r="M1601"/>
        </row>
        <row r="1602">
          <cell r="G1602"/>
          <cell r="H1602"/>
          <cell r="L1602"/>
          <cell r="M1602"/>
        </row>
        <row r="1603">
          <cell r="G1603"/>
          <cell r="H1603"/>
          <cell r="L1603"/>
          <cell r="M1603"/>
        </row>
        <row r="1604">
          <cell r="G1604"/>
          <cell r="H1604"/>
          <cell r="L1604"/>
          <cell r="M1604"/>
        </row>
        <row r="1605">
          <cell r="G1605"/>
          <cell r="H1605"/>
          <cell r="L1605"/>
          <cell r="M1605"/>
        </row>
        <row r="1606">
          <cell r="G1606"/>
          <cell r="H1606"/>
          <cell r="L1606"/>
          <cell r="M1606"/>
        </row>
        <row r="1607">
          <cell r="G1607"/>
          <cell r="H1607"/>
          <cell r="L1607"/>
          <cell r="M1607"/>
        </row>
        <row r="1608">
          <cell r="G1608"/>
          <cell r="H1608"/>
          <cell r="L1608"/>
          <cell r="M1608"/>
        </row>
        <row r="1609">
          <cell r="G1609"/>
          <cell r="H1609"/>
          <cell r="L1609"/>
          <cell r="M1609"/>
        </row>
        <row r="1610">
          <cell r="G1610"/>
          <cell r="H1610"/>
          <cell r="L1610"/>
          <cell r="M1610"/>
        </row>
        <row r="1611">
          <cell r="G1611"/>
          <cell r="H1611"/>
          <cell r="L1611"/>
          <cell r="M1611"/>
        </row>
        <row r="1612">
          <cell r="G1612"/>
          <cell r="H1612"/>
          <cell r="L1612"/>
          <cell r="M1612"/>
        </row>
        <row r="1613">
          <cell r="G1613"/>
          <cell r="H1613"/>
          <cell r="L1613"/>
          <cell r="M1613"/>
        </row>
        <row r="1614">
          <cell r="G1614"/>
          <cell r="H1614"/>
          <cell r="L1614"/>
          <cell r="M1614"/>
        </row>
        <row r="1615">
          <cell r="G1615"/>
          <cell r="H1615"/>
          <cell r="L1615"/>
          <cell r="M1615"/>
        </row>
        <row r="1616">
          <cell r="G1616"/>
          <cell r="H1616"/>
          <cell r="L1616"/>
          <cell r="M1616"/>
        </row>
        <row r="1617">
          <cell r="G1617"/>
          <cell r="H1617"/>
          <cell r="L1617"/>
          <cell r="M1617"/>
        </row>
        <row r="1618">
          <cell r="G1618"/>
          <cell r="H1618"/>
          <cell r="L1618"/>
          <cell r="M1618"/>
        </row>
        <row r="1619">
          <cell r="G1619"/>
          <cell r="H1619"/>
          <cell r="L1619"/>
          <cell r="M1619"/>
        </row>
        <row r="1620">
          <cell r="G1620"/>
          <cell r="H1620"/>
          <cell r="L1620"/>
          <cell r="M1620"/>
        </row>
        <row r="1621">
          <cell r="G1621"/>
          <cell r="H1621"/>
          <cell r="L1621"/>
          <cell r="M1621"/>
        </row>
        <row r="1622">
          <cell r="G1622"/>
          <cell r="H1622"/>
          <cell r="L1622"/>
          <cell r="M1622"/>
        </row>
        <row r="1623">
          <cell r="G1623"/>
          <cell r="H1623"/>
          <cell r="L1623"/>
          <cell r="M1623"/>
        </row>
        <row r="1624">
          <cell r="G1624"/>
          <cell r="H1624"/>
          <cell r="L1624"/>
          <cell r="M1624"/>
        </row>
        <row r="1625">
          <cell r="G1625"/>
          <cell r="H1625"/>
          <cell r="L1625"/>
          <cell r="M1625"/>
        </row>
        <row r="1626">
          <cell r="G1626"/>
          <cell r="H1626"/>
          <cell r="L1626"/>
          <cell r="M1626"/>
        </row>
        <row r="1627">
          <cell r="G1627"/>
          <cell r="H1627"/>
          <cell r="L1627"/>
          <cell r="M1627"/>
        </row>
        <row r="1628">
          <cell r="G1628"/>
          <cell r="H1628"/>
          <cell r="L1628"/>
          <cell r="M1628"/>
        </row>
        <row r="1629">
          <cell r="G1629"/>
          <cell r="H1629"/>
          <cell r="L1629"/>
          <cell r="M1629"/>
        </row>
        <row r="1630">
          <cell r="G1630"/>
          <cell r="H1630"/>
          <cell r="L1630"/>
          <cell r="M1630"/>
        </row>
        <row r="1631">
          <cell r="G1631"/>
          <cell r="H1631"/>
          <cell r="L1631"/>
          <cell r="M1631"/>
        </row>
        <row r="1632">
          <cell r="G1632"/>
          <cell r="H1632"/>
          <cell r="L1632"/>
          <cell r="M1632"/>
        </row>
        <row r="1633">
          <cell r="G1633"/>
          <cell r="H1633"/>
          <cell r="L1633"/>
          <cell r="M1633"/>
        </row>
        <row r="1634">
          <cell r="G1634"/>
          <cell r="H1634"/>
          <cell r="L1634"/>
          <cell r="M1634"/>
        </row>
        <row r="1635">
          <cell r="G1635"/>
          <cell r="H1635"/>
          <cell r="L1635"/>
          <cell r="M1635"/>
        </row>
        <row r="1636">
          <cell r="G1636"/>
          <cell r="H1636"/>
          <cell r="L1636"/>
          <cell r="M1636"/>
        </row>
        <row r="1637">
          <cell r="G1637"/>
          <cell r="H1637"/>
          <cell r="L1637"/>
          <cell r="M1637"/>
        </row>
        <row r="1638">
          <cell r="G1638"/>
          <cell r="H1638"/>
          <cell r="L1638"/>
          <cell r="M1638"/>
        </row>
        <row r="1639">
          <cell r="G1639"/>
          <cell r="H1639"/>
          <cell r="L1639"/>
          <cell r="M1639"/>
        </row>
        <row r="1640">
          <cell r="G1640"/>
          <cell r="H1640"/>
          <cell r="L1640"/>
          <cell r="M1640"/>
        </row>
        <row r="1641">
          <cell r="G1641"/>
          <cell r="H1641"/>
          <cell r="L1641"/>
          <cell r="M1641"/>
        </row>
        <row r="1642">
          <cell r="G1642"/>
          <cell r="H1642"/>
          <cell r="L1642"/>
          <cell r="M1642"/>
        </row>
        <row r="1643">
          <cell r="G1643"/>
          <cell r="H1643"/>
          <cell r="L1643"/>
          <cell r="M1643"/>
        </row>
        <row r="1644">
          <cell r="G1644"/>
          <cell r="H1644"/>
          <cell r="L1644"/>
          <cell r="M1644"/>
        </row>
        <row r="1645">
          <cell r="G1645"/>
          <cell r="H1645"/>
          <cell r="L1645"/>
          <cell r="M1645"/>
        </row>
        <row r="1646">
          <cell r="G1646"/>
          <cell r="H1646"/>
          <cell r="L1646"/>
          <cell r="M1646"/>
        </row>
        <row r="1647">
          <cell r="G1647"/>
          <cell r="H1647"/>
          <cell r="L1647"/>
          <cell r="M1647"/>
        </row>
        <row r="1648">
          <cell r="G1648"/>
          <cell r="H1648"/>
          <cell r="L1648"/>
          <cell r="M1648"/>
        </row>
        <row r="1649">
          <cell r="G1649"/>
          <cell r="H1649"/>
          <cell r="L1649"/>
          <cell r="M1649"/>
        </row>
        <row r="1650">
          <cell r="G1650"/>
          <cell r="H1650"/>
          <cell r="L1650"/>
          <cell r="M1650"/>
        </row>
        <row r="1651">
          <cell r="G1651"/>
          <cell r="H1651"/>
          <cell r="L1651"/>
          <cell r="M1651"/>
        </row>
        <row r="1652">
          <cell r="G1652"/>
          <cell r="H1652"/>
          <cell r="L1652"/>
          <cell r="M1652"/>
        </row>
        <row r="1653">
          <cell r="G1653"/>
          <cell r="H1653"/>
          <cell r="L1653"/>
          <cell r="M1653"/>
        </row>
        <row r="1654">
          <cell r="G1654"/>
          <cell r="H1654"/>
          <cell r="L1654"/>
          <cell r="M1654"/>
        </row>
        <row r="1655">
          <cell r="G1655"/>
          <cell r="H1655"/>
          <cell r="L1655"/>
          <cell r="M1655"/>
        </row>
        <row r="1656">
          <cell r="G1656"/>
          <cell r="H1656"/>
          <cell r="L1656"/>
          <cell r="M1656"/>
        </row>
        <row r="1657">
          <cell r="G1657"/>
          <cell r="H1657"/>
          <cell r="L1657"/>
          <cell r="M1657"/>
        </row>
        <row r="1658">
          <cell r="G1658"/>
          <cell r="H1658"/>
          <cell r="L1658"/>
          <cell r="M1658"/>
        </row>
        <row r="1659">
          <cell r="G1659"/>
          <cell r="H1659"/>
          <cell r="L1659"/>
          <cell r="M1659"/>
        </row>
        <row r="1660">
          <cell r="G1660"/>
          <cell r="H1660"/>
          <cell r="L1660"/>
          <cell r="M1660"/>
        </row>
        <row r="1661">
          <cell r="G1661"/>
          <cell r="H1661"/>
          <cell r="L1661"/>
          <cell r="M1661"/>
        </row>
        <row r="1662">
          <cell r="G1662"/>
          <cell r="H1662"/>
          <cell r="L1662"/>
          <cell r="M1662"/>
        </row>
        <row r="1663">
          <cell r="G1663"/>
          <cell r="H1663"/>
          <cell r="L1663"/>
          <cell r="M1663"/>
        </row>
        <row r="1664">
          <cell r="G1664"/>
          <cell r="H1664"/>
          <cell r="L1664"/>
          <cell r="M1664"/>
        </row>
        <row r="1665">
          <cell r="G1665"/>
          <cell r="H1665"/>
          <cell r="L1665"/>
          <cell r="M1665"/>
        </row>
        <row r="1666">
          <cell r="G1666"/>
          <cell r="H1666"/>
          <cell r="L1666"/>
          <cell r="M1666"/>
        </row>
        <row r="1667">
          <cell r="G1667"/>
          <cell r="H1667"/>
          <cell r="L1667"/>
          <cell r="M1667"/>
        </row>
        <row r="1668">
          <cell r="G1668"/>
          <cell r="H1668"/>
          <cell r="L1668"/>
          <cell r="M1668"/>
        </row>
        <row r="1669">
          <cell r="G1669"/>
          <cell r="H1669"/>
          <cell r="L1669"/>
          <cell r="M1669"/>
        </row>
        <row r="1670">
          <cell r="G1670"/>
          <cell r="H1670"/>
          <cell r="L1670"/>
          <cell r="M1670"/>
        </row>
        <row r="1671">
          <cell r="G1671"/>
          <cell r="H1671"/>
          <cell r="L1671"/>
          <cell r="M1671"/>
        </row>
        <row r="1672">
          <cell r="G1672"/>
          <cell r="H1672"/>
          <cell r="L1672"/>
          <cell r="M1672"/>
        </row>
        <row r="1673">
          <cell r="G1673"/>
          <cell r="H1673"/>
          <cell r="L1673"/>
          <cell r="M1673"/>
        </row>
        <row r="1674">
          <cell r="G1674"/>
          <cell r="H1674"/>
          <cell r="L1674"/>
          <cell r="M1674"/>
        </row>
        <row r="1675">
          <cell r="G1675"/>
          <cell r="H1675"/>
          <cell r="L1675"/>
          <cell r="M1675"/>
        </row>
        <row r="1676">
          <cell r="G1676"/>
          <cell r="H1676"/>
          <cell r="L1676"/>
          <cell r="M1676"/>
        </row>
        <row r="1677">
          <cell r="G1677"/>
          <cell r="H1677"/>
          <cell r="L1677"/>
          <cell r="M1677"/>
        </row>
        <row r="1678">
          <cell r="G1678"/>
          <cell r="H1678"/>
          <cell r="L1678"/>
          <cell r="M1678"/>
        </row>
        <row r="1679">
          <cell r="G1679"/>
          <cell r="H1679"/>
          <cell r="L1679"/>
          <cell r="M1679"/>
        </row>
        <row r="1680">
          <cell r="G1680"/>
          <cell r="H1680"/>
          <cell r="L1680"/>
          <cell r="M1680"/>
        </row>
        <row r="1681">
          <cell r="G1681"/>
          <cell r="H1681"/>
          <cell r="L1681"/>
          <cell r="M1681"/>
        </row>
        <row r="1682">
          <cell r="G1682"/>
          <cell r="H1682"/>
          <cell r="L1682"/>
          <cell r="M1682"/>
        </row>
        <row r="1683">
          <cell r="G1683"/>
          <cell r="H1683"/>
          <cell r="L1683"/>
          <cell r="M1683"/>
        </row>
        <row r="1684">
          <cell r="G1684"/>
          <cell r="H1684"/>
          <cell r="L1684"/>
          <cell r="M1684"/>
        </row>
        <row r="1685">
          <cell r="G1685"/>
          <cell r="H1685"/>
          <cell r="L1685"/>
          <cell r="M1685"/>
        </row>
        <row r="1686">
          <cell r="G1686"/>
          <cell r="H1686"/>
          <cell r="L1686"/>
          <cell r="M1686"/>
        </row>
        <row r="1687">
          <cell r="G1687"/>
          <cell r="H1687"/>
          <cell r="L1687"/>
          <cell r="M1687"/>
        </row>
        <row r="1688">
          <cell r="G1688"/>
          <cell r="H1688"/>
          <cell r="L1688"/>
          <cell r="M1688"/>
        </row>
        <row r="1689">
          <cell r="G1689"/>
          <cell r="H1689"/>
          <cell r="L1689"/>
          <cell r="M1689"/>
        </row>
        <row r="1690">
          <cell r="G1690"/>
          <cell r="H1690"/>
          <cell r="L1690"/>
          <cell r="M1690"/>
        </row>
        <row r="1691">
          <cell r="G1691"/>
          <cell r="H1691"/>
          <cell r="L1691"/>
          <cell r="M1691"/>
        </row>
        <row r="1692">
          <cell r="G1692"/>
          <cell r="H1692"/>
          <cell r="L1692"/>
          <cell r="M1692"/>
        </row>
        <row r="1693">
          <cell r="G1693"/>
          <cell r="H1693"/>
          <cell r="L1693"/>
          <cell r="M1693"/>
        </row>
        <row r="1694">
          <cell r="G1694"/>
          <cell r="H1694"/>
          <cell r="L1694"/>
          <cell r="M1694"/>
        </row>
        <row r="1695">
          <cell r="G1695"/>
          <cell r="H1695"/>
          <cell r="L1695"/>
          <cell r="M1695"/>
        </row>
        <row r="1696">
          <cell r="G1696"/>
          <cell r="H1696"/>
          <cell r="L1696"/>
          <cell r="M1696"/>
        </row>
        <row r="1697">
          <cell r="G1697"/>
          <cell r="H1697"/>
          <cell r="L1697"/>
          <cell r="M1697"/>
        </row>
        <row r="1698">
          <cell r="G1698"/>
          <cell r="H1698"/>
          <cell r="L1698"/>
          <cell r="M1698"/>
        </row>
        <row r="1699">
          <cell r="G1699"/>
          <cell r="H1699"/>
          <cell r="L1699"/>
          <cell r="M1699"/>
        </row>
        <row r="1700">
          <cell r="G1700"/>
          <cell r="H1700"/>
          <cell r="L1700"/>
          <cell r="M1700"/>
        </row>
        <row r="1701">
          <cell r="G1701"/>
          <cell r="H1701"/>
          <cell r="L1701"/>
          <cell r="M1701"/>
        </row>
        <row r="1702">
          <cell r="G1702"/>
          <cell r="H1702"/>
          <cell r="L1702"/>
          <cell r="M1702"/>
        </row>
        <row r="1703">
          <cell r="G1703"/>
          <cell r="H1703"/>
          <cell r="L1703"/>
          <cell r="M1703"/>
        </row>
        <row r="1704">
          <cell r="G1704"/>
          <cell r="H1704"/>
          <cell r="L1704"/>
          <cell r="M1704"/>
        </row>
        <row r="1705">
          <cell r="G1705"/>
          <cell r="H1705"/>
          <cell r="L1705"/>
          <cell r="M1705"/>
        </row>
        <row r="1706">
          <cell r="G1706"/>
          <cell r="H1706"/>
          <cell r="L1706"/>
          <cell r="M1706"/>
        </row>
        <row r="1707">
          <cell r="G1707"/>
          <cell r="H1707"/>
          <cell r="L1707"/>
          <cell r="M1707"/>
        </row>
        <row r="1708">
          <cell r="G1708"/>
          <cell r="H1708"/>
          <cell r="L1708"/>
          <cell r="M1708"/>
        </row>
        <row r="1709">
          <cell r="G1709"/>
          <cell r="H1709"/>
          <cell r="L1709"/>
          <cell r="M1709"/>
        </row>
        <row r="1710">
          <cell r="G1710"/>
          <cell r="H1710"/>
          <cell r="L1710"/>
          <cell r="M1710"/>
        </row>
        <row r="1711">
          <cell r="G1711"/>
          <cell r="H1711"/>
          <cell r="L1711"/>
          <cell r="M1711"/>
        </row>
        <row r="1712">
          <cell r="G1712"/>
          <cell r="H1712"/>
          <cell r="L1712"/>
          <cell r="M1712"/>
        </row>
        <row r="1713">
          <cell r="G1713"/>
          <cell r="H1713"/>
          <cell r="L1713"/>
          <cell r="M1713"/>
        </row>
        <row r="1714">
          <cell r="G1714"/>
          <cell r="H1714"/>
          <cell r="L1714"/>
          <cell r="M1714"/>
        </row>
        <row r="1715">
          <cell r="G1715"/>
          <cell r="H1715"/>
          <cell r="L1715"/>
          <cell r="M1715"/>
        </row>
        <row r="1716">
          <cell r="G1716"/>
          <cell r="H1716"/>
          <cell r="L1716"/>
          <cell r="M1716"/>
        </row>
        <row r="1717">
          <cell r="G1717"/>
          <cell r="H1717"/>
          <cell r="L1717"/>
          <cell r="M1717"/>
        </row>
        <row r="1718">
          <cell r="G1718"/>
          <cell r="H1718"/>
          <cell r="L1718"/>
          <cell r="M1718"/>
        </row>
        <row r="1719">
          <cell r="G1719"/>
          <cell r="H1719"/>
          <cell r="L1719"/>
          <cell r="M1719"/>
        </row>
        <row r="1720">
          <cell r="G1720"/>
          <cell r="H1720"/>
          <cell r="L1720"/>
          <cell r="M1720"/>
        </row>
        <row r="1721">
          <cell r="G1721"/>
          <cell r="H1721"/>
          <cell r="L1721"/>
          <cell r="M1721"/>
        </row>
        <row r="1722">
          <cell r="G1722"/>
          <cell r="H1722"/>
          <cell r="L1722"/>
          <cell r="M1722"/>
        </row>
        <row r="1723">
          <cell r="G1723"/>
          <cell r="H1723"/>
          <cell r="L1723"/>
          <cell r="M1723"/>
        </row>
        <row r="1724">
          <cell r="G1724"/>
          <cell r="H1724"/>
          <cell r="L1724"/>
          <cell r="M1724"/>
        </row>
        <row r="1725">
          <cell r="G1725"/>
          <cell r="H1725"/>
          <cell r="L1725"/>
          <cell r="M1725"/>
        </row>
        <row r="1726">
          <cell r="G1726"/>
          <cell r="H1726"/>
          <cell r="L1726"/>
          <cell r="M1726"/>
        </row>
        <row r="1727">
          <cell r="G1727"/>
          <cell r="H1727"/>
          <cell r="L1727"/>
          <cell r="M1727"/>
        </row>
        <row r="1728">
          <cell r="G1728"/>
          <cell r="H1728"/>
          <cell r="L1728"/>
          <cell r="M1728"/>
        </row>
        <row r="1729">
          <cell r="G1729"/>
          <cell r="H1729"/>
          <cell r="L1729"/>
          <cell r="M1729"/>
        </row>
        <row r="1730">
          <cell r="G1730"/>
          <cell r="H1730"/>
          <cell r="L1730"/>
          <cell r="M1730"/>
        </row>
        <row r="1731">
          <cell r="G1731"/>
          <cell r="H1731"/>
          <cell r="L1731"/>
          <cell r="M1731"/>
        </row>
        <row r="1732">
          <cell r="G1732"/>
          <cell r="H1732"/>
          <cell r="L1732"/>
          <cell r="M1732"/>
        </row>
        <row r="1733">
          <cell r="G1733"/>
          <cell r="H1733"/>
          <cell r="L1733"/>
          <cell r="M1733"/>
        </row>
        <row r="1734">
          <cell r="G1734"/>
          <cell r="H1734"/>
          <cell r="L1734"/>
          <cell r="M1734"/>
        </row>
        <row r="1735">
          <cell r="G1735"/>
          <cell r="H1735"/>
          <cell r="L1735"/>
          <cell r="M1735"/>
        </row>
        <row r="1736">
          <cell r="G1736"/>
          <cell r="H1736"/>
          <cell r="L1736"/>
          <cell r="M1736"/>
        </row>
        <row r="1737">
          <cell r="G1737"/>
          <cell r="H1737"/>
          <cell r="L1737"/>
          <cell r="M1737"/>
        </row>
        <row r="1738">
          <cell r="G1738"/>
          <cell r="H1738"/>
          <cell r="L1738"/>
          <cell r="M1738"/>
        </row>
        <row r="1739">
          <cell r="G1739"/>
          <cell r="H1739"/>
          <cell r="L1739"/>
          <cell r="M1739"/>
        </row>
        <row r="1740">
          <cell r="G1740"/>
          <cell r="H1740"/>
          <cell r="L1740"/>
          <cell r="M1740"/>
        </row>
        <row r="1741">
          <cell r="G1741"/>
          <cell r="H1741"/>
          <cell r="L1741"/>
          <cell r="M1741"/>
        </row>
        <row r="1742">
          <cell r="G1742"/>
          <cell r="H1742"/>
          <cell r="L1742"/>
          <cell r="M1742"/>
        </row>
        <row r="1743">
          <cell r="G1743"/>
          <cell r="H1743"/>
          <cell r="L1743"/>
          <cell r="M1743"/>
        </row>
        <row r="1744">
          <cell r="G1744"/>
          <cell r="H1744"/>
          <cell r="L1744"/>
          <cell r="M1744"/>
        </row>
        <row r="1745">
          <cell r="G1745"/>
          <cell r="H1745"/>
          <cell r="L1745"/>
          <cell r="M1745"/>
        </row>
        <row r="1746">
          <cell r="G1746"/>
          <cell r="H1746"/>
          <cell r="L1746"/>
          <cell r="M1746"/>
        </row>
        <row r="1747">
          <cell r="G1747"/>
          <cell r="H1747"/>
          <cell r="L1747"/>
          <cell r="M1747"/>
        </row>
        <row r="1748">
          <cell r="G1748"/>
          <cell r="H1748"/>
          <cell r="L1748"/>
          <cell r="M1748"/>
        </row>
        <row r="1749">
          <cell r="G1749"/>
          <cell r="H1749"/>
          <cell r="L1749"/>
          <cell r="M1749"/>
        </row>
        <row r="1750">
          <cell r="G1750"/>
          <cell r="H1750"/>
          <cell r="L1750"/>
          <cell r="M1750"/>
        </row>
        <row r="1751">
          <cell r="G1751"/>
          <cell r="H1751"/>
          <cell r="L1751"/>
          <cell r="M1751"/>
        </row>
        <row r="1752">
          <cell r="G1752"/>
          <cell r="H1752"/>
          <cell r="L1752"/>
          <cell r="M1752"/>
        </row>
        <row r="1753">
          <cell r="G1753"/>
          <cell r="H1753"/>
          <cell r="L1753"/>
          <cell r="M1753"/>
        </row>
        <row r="1754">
          <cell r="G1754"/>
          <cell r="H1754"/>
          <cell r="L1754"/>
          <cell r="M1754"/>
        </row>
        <row r="1755">
          <cell r="G1755"/>
          <cell r="H1755"/>
          <cell r="L1755"/>
          <cell r="M1755"/>
        </row>
        <row r="1756">
          <cell r="G1756"/>
          <cell r="H1756"/>
          <cell r="L1756"/>
          <cell r="M1756"/>
        </row>
        <row r="1757">
          <cell r="G1757"/>
          <cell r="H1757"/>
          <cell r="L1757"/>
          <cell r="M1757"/>
        </row>
        <row r="1758">
          <cell r="G1758"/>
          <cell r="H1758"/>
          <cell r="L1758"/>
          <cell r="M1758"/>
        </row>
        <row r="1759">
          <cell r="G1759"/>
          <cell r="H1759"/>
          <cell r="L1759"/>
          <cell r="M1759"/>
        </row>
        <row r="1760">
          <cell r="G1760"/>
          <cell r="H1760"/>
          <cell r="L1760"/>
          <cell r="M1760"/>
        </row>
        <row r="1761">
          <cell r="G1761"/>
          <cell r="H1761"/>
          <cell r="L1761"/>
          <cell r="M1761"/>
        </row>
        <row r="1762">
          <cell r="G1762"/>
          <cell r="H1762"/>
          <cell r="L1762"/>
          <cell r="M1762"/>
        </row>
        <row r="1763">
          <cell r="G1763"/>
          <cell r="H1763"/>
          <cell r="L1763"/>
          <cell r="M1763"/>
        </row>
        <row r="1764">
          <cell r="G1764"/>
          <cell r="H1764"/>
          <cell r="L1764"/>
          <cell r="M1764"/>
        </row>
        <row r="1765">
          <cell r="G1765"/>
          <cell r="H1765"/>
          <cell r="L1765"/>
          <cell r="M1765"/>
        </row>
        <row r="1766">
          <cell r="G1766"/>
          <cell r="H1766"/>
          <cell r="L1766"/>
          <cell r="M1766"/>
        </row>
        <row r="1767">
          <cell r="G1767"/>
          <cell r="H1767"/>
          <cell r="L1767"/>
          <cell r="M1767"/>
        </row>
        <row r="1768">
          <cell r="G1768"/>
          <cell r="H1768"/>
          <cell r="L1768"/>
          <cell r="M1768"/>
        </row>
        <row r="1769">
          <cell r="G1769"/>
          <cell r="H1769"/>
          <cell r="L1769"/>
          <cell r="M1769"/>
        </row>
        <row r="1770">
          <cell r="G1770"/>
          <cell r="H1770"/>
          <cell r="L1770"/>
          <cell r="M1770"/>
        </row>
        <row r="1771">
          <cell r="G1771"/>
          <cell r="H1771"/>
          <cell r="L1771"/>
          <cell r="M1771"/>
        </row>
        <row r="1772">
          <cell r="G1772"/>
          <cell r="H1772"/>
          <cell r="L1772"/>
          <cell r="M1772"/>
        </row>
        <row r="1773">
          <cell r="G1773"/>
          <cell r="H1773"/>
          <cell r="L1773"/>
          <cell r="M1773"/>
        </row>
        <row r="1774">
          <cell r="G1774"/>
          <cell r="H1774"/>
          <cell r="L1774"/>
          <cell r="M1774"/>
        </row>
        <row r="1775">
          <cell r="G1775"/>
          <cell r="H1775"/>
          <cell r="L1775"/>
          <cell r="M1775"/>
        </row>
        <row r="1776">
          <cell r="G1776"/>
          <cell r="H1776"/>
          <cell r="L1776"/>
          <cell r="M1776"/>
        </row>
        <row r="1777">
          <cell r="G1777"/>
          <cell r="H1777"/>
          <cell r="L1777"/>
          <cell r="M1777"/>
        </row>
        <row r="1778">
          <cell r="G1778"/>
          <cell r="H1778"/>
          <cell r="L1778"/>
          <cell r="M1778"/>
        </row>
        <row r="1779">
          <cell r="G1779"/>
          <cell r="H1779"/>
          <cell r="L1779"/>
          <cell r="M1779"/>
        </row>
        <row r="1780">
          <cell r="G1780"/>
          <cell r="H1780"/>
          <cell r="L1780"/>
          <cell r="M1780"/>
        </row>
        <row r="1781">
          <cell r="G1781"/>
          <cell r="H1781"/>
          <cell r="L1781"/>
          <cell r="M1781"/>
        </row>
        <row r="1782">
          <cell r="G1782"/>
          <cell r="H1782"/>
          <cell r="L1782"/>
          <cell r="M1782"/>
        </row>
        <row r="1783">
          <cell r="G1783"/>
          <cell r="H1783"/>
          <cell r="L1783"/>
          <cell r="M1783"/>
        </row>
        <row r="1784">
          <cell r="G1784"/>
          <cell r="H1784"/>
          <cell r="L1784"/>
          <cell r="M1784"/>
        </row>
        <row r="1785">
          <cell r="G1785"/>
          <cell r="H1785"/>
          <cell r="L1785"/>
          <cell r="M1785"/>
        </row>
        <row r="1786">
          <cell r="G1786"/>
          <cell r="H1786"/>
          <cell r="L1786"/>
          <cell r="M1786"/>
        </row>
        <row r="1787">
          <cell r="G1787"/>
          <cell r="H1787"/>
          <cell r="L1787"/>
          <cell r="M1787"/>
        </row>
        <row r="1788">
          <cell r="G1788"/>
          <cell r="H1788"/>
          <cell r="L1788"/>
          <cell r="M1788"/>
        </row>
        <row r="1789">
          <cell r="G1789"/>
          <cell r="H1789"/>
          <cell r="L1789"/>
          <cell r="M1789"/>
        </row>
        <row r="1790">
          <cell r="G1790"/>
          <cell r="H1790"/>
          <cell r="L1790"/>
          <cell r="M1790"/>
        </row>
        <row r="1791">
          <cell r="G1791"/>
          <cell r="H1791"/>
          <cell r="L1791"/>
          <cell r="M1791"/>
        </row>
        <row r="1792">
          <cell r="G1792"/>
          <cell r="H1792"/>
          <cell r="L1792"/>
          <cell r="M1792"/>
        </row>
        <row r="1793">
          <cell r="G1793"/>
          <cell r="H1793"/>
          <cell r="L1793"/>
          <cell r="M1793"/>
        </row>
        <row r="1794">
          <cell r="G1794"/>
          <cell r="H1794"/>
          <cell r="L1794"/>
          <cell r="M1794"/>
        </row>
        <row r="1795">
          <cell r="G1795"/>
          <cell r="H1795"/>
          <cell r="L1795"/>
          <cell r="M1795"/>
        </row>
        <row r="1796">
          <cell r="G1796"/>
          <cell r="H1796"/>
          <cell r="L1796"/>
          <cell r="M1796"/>
        </row>
        <row r="1797">
          <cell r="G1797"/>
          <cell r="H1797"/>
          <cell r="L1797"/>
          <cell r="M1797"/>
        </row>
        <row r="1798">
          <cell r="G1798"/>
          <cell r="H1798"/>
          <cell r="L1798"/>
          <cell r="M1798"/>
        </row>
        <row r="1799">
          <cell r="G1799"/>
          <cell r="H1799"/>
          <cell r="L1799"/>
          <cell r="M1799"/>
        </row>
        <row r="1800">
          <cell r="G1800"/>
          <cell r="H1800"/>
          <cell r="L1800"/>
          <cell r="M1800"/>
        </row>
        <row r="1801">
          <cell r="G1801"/>
          <cell r="H1801"/>
          <cell r="L1801"/>
          <cell r="M1801"/>
        </row>
        <row r="1802">
          <cell r="G1802"/>
          <cell r="H1802"/>
          <cell r="L1802"/>
          <cell r="M1802"/>
        </row>
        <row r="1803">
          <cell r="G1803"/>
          <cell r="H1803"/>
          <cell r="L1803"/>
          <cell r="M1803"/>
        </row>
        <row r="1804">
          <cell r="G1804"/>
          <cell r="H1804"/>
          <cell r="L1804"/>
          <cell r="M1804"/>
        </row>
        <row r="1805">
          <cell r="G1805"/>
          <cell r="H1805"/>
          <cell r="L1805"/>
          <cell r="M1805"/>
        </row>
        <row r="1806">
          <cell r="G1806"/>
          <cell r="H1806"/>
          <cell r="L1806"/>
          <cell r="M1806"/>
        </row>
        <row r="1807">
          <cell r="G1807"/>
          <cell r="H1807"/>
          <cell r="L1807"/>
          <cell r="M1807"/>
        </row>
        <row r="1808">
          <cell r="G1808"/>
          <cell r="H1808"/>
          <cell r="L1808"/>
          <cell r="M1808"/>
        </row>
        <row r="1809">
          <cell r="G1809"/>
          <cell r="H1809"/>
          <cell r="L1809"/>
          <cell r="M1809"/>
        </row>
        <row r="1810">
          <cell r="G1810"/>
          <cell r="H1810"/>
          <cell r="L1810"/>
          <cell r="M1810"/>
        </row>
        <row r="1811">
          <cell r="G1811"/>
          <cell r="H1811"/>
          <cell r="L1811"/>
          <cell r="M1811"/>
        </row>
        <row r="1812">
          <cell r="G1812"/>
          <cell r="H1812"/>
          <cell r="L1812"/>
          <cell r="M1812"/>
        </row>
        <row r="1813">
          <cell r="G1813"/>
          <cell r="H1813"/>
          <cell r="L1813"/>
          <cell r="M1813"/>
        </row>
        <row r="1814">
          <cell r="G1814"/>
          <cell r="H1814"/>
          <cell r="L1814"/>
          <cell r="M1814"/>
        </row>
        <row r="1815">
          <cell r="G1815"/>
          <cell r="H1815"/>
          <cell r="L1815"/>
          <cell r="M1815"/>
        </row>
        <row r="1816">
          <cell r="G1816"/>
          <cell r="H1816"/>
          <cell r="L1816"/>
          <cell r="M1816"/>
        </row>
        <row r="1817">
          <cell r="G1817"/>
          <cell r="H1817"/>
          <cell r="L1817"/>
          <cell r="M1817"/>
        </row>
        <row r="1818">
          <cell r="G1818"/>
          <cell r="H1818"/>
          <cell r="L1818"/>
          <cell r="M1818"/>
        </row>
        <row r="1819">
          <cell r="G1819"/>
          <cell r="H1819"/>
          <cell r="L1819"/>
          <cell r="M1819"/>
        </row>
        <row r="1820">
          <cell r="G1820"/>
          <cell r="H1820"/>
          <cell r="L1820"/>
          <cell r="M1820"/>
        </row>
        <row r="1821">
          <cell r="G1821"/>
          <cell r="H1821"/>
          <cell r="L1821"/>
          <cell r="M1821"/>
        </row>
        <row r="1822">
          <cell r="G1822"/>
          <cell r="H1822"/>
          <cell r="L1822"/>
          <cell r="M1822"/>
        </row>
        <row r="1823">
          <cell r="G1823"/>
          <cell r="H1823"/>
          <cell r="L1823"/>
          <cell r="M1823"/>
        </row>
        <row r="1824">
          <cell r="G1824"/>
          <cell r="H1824"/>
          <cell r="L1824"/>
          <cell r="M1824"/>
        </row>
        <row r="1825">
          <cell r="G1825"/>
          <cell r="H1825"/>
          <cell r="L1825"/>
          <cell r="M1825"/>
        </row>
        <row r="1826">
          <cell r="G1826"/>
          <cell r="H1826"/>
          <cell r="L1826"/>
          <cell r="M1826"/>
        </row>
        <row r="1827">
          <cell r="G1827"/>
          <cell r="H1827"/>
          <cell r="L1827"/>
          <cell r="M1827"/>
        </row>
        <row r="1828">
          <cell r="G1828"/>
          <cell r="H1828"/>
          <cell r="L1828"/>
          <cell r="M1828"/>
        </row>
        <row r="1829">
          <cell r="G1829"/>
          <cell r="H1829"/>
          <cell r="L1829"/>
          <cell r="M1829"/>
        </row>
        <row r="1830">
          <cell r="G1830"/>
          <cell r="H1830"/>
          <cell r="L1830"/>
          <cell r="M1830"/>
        </row>
        <row r="1831">
          <cell r="G1831"/>
          <cell r="H1831"/>
          <cell r="L1831"/>
          <cell r="M1831"/>
        </row>
        <row r="1832">
          <cell r="G1832"/>
          <cell r="H1832"/>
          <cell r="L1832"/>
          <cell r="M1832"/>
        </row>
        <row r="1833">
          <cell r="G1833"/>
          <cell r="H1833"/>
          <cell r="L1833"/>
          <cell r="M1833"/>
        </row>
        <row r="1834">
          <cell r="G1834"/>
          <cell r="H1834"/>
          <cell r="L1834"/>
          <cell r="M1834"/>
        </row>
        <row r="1835">
          <cell r="G1835"/>
          <cell r="H1835"/>
          <cell r="L1835"/>
          <cell r="M1835"/>
        </row>
        <row r="1836">
          <cell r="G1836"/>
          <cell r="H1836"/>
          <cell r="L1836"/>
          <cell r="M1836"/>
        </row>
        <row r="1837">
          <cell r="G1837"/>
          <cell r="H1837"/>
          <cell r="L1837"/>
          <cell r="M1837"/>
        </row>
        <row r="1838">
          <cell r="G1838"/>
          <cell r="H1838"/>
          <cell r="L1838"/>
          <cell r="M1838"/>
        </row>
        <row r="1839">
          <cell r="G1839"/>
          <cell r="H1839"/>
          <cell r="L1839"/>
          <cell r="M1839"/>
        </row>
        <row r="1840">
          <cell r="G1840"/>
          <cell r="H1840"/>
          <cell r="L1840"/>
          <cell r="M1840"/>
        </row>
        <row r="1841">
          <cell r="G1841"/>
          <cell r="H1841"/>
          <cell r="L1841"/>
          <cell r="M1841"/>
        </row>
        <row r="1842">
          <cell r="G1842"/>
          <cell r="H1842"/>
          <cell r="L1842"/>
          <cell r="M1842"/>
        </row>
        <row r="1843">
          <cell r="G1843"/>
          <cell r="H1843"/>
          <cell r="L1843"/>
          <cell r="M1843"/>
        </row>
        <row r="1844">
          <cell r="G1844"/>
          <cell r="H1844"/>
          <cell r="L1844"/>
          <cell r="M1844"/>
        </row>
        <row r="1845">
          <cell r="G1845"/>
          <cell r="H1845"/>
          <cell r="L1845"/>
          <cell r="M1845"/>
        </row>
        <row r="1846">
          <cell r="G1846"/>
          <cell r="H1846"/>
          <cell r="L1846"/>
          <cell r="M1846"/>
        </row>
        <row r="1847">
          <cell r="G1847"/>
          <cell r="H1847"/>
          <cell r="L1847"/>
          <cell r="M1847"/>
        </row>
        <row r="1848">
          <cell r="G1848"/>
          <cell r="H1848"/>
          <cell r="L1848"/>
          <cell r="M1848"/>
        </row>
        <row r="1849">
          <cell r="G1849"/>
          <cell r="H1849"/>
          <cell r="L1849"/>
          <cell r="M1849"/>
        </row>
        <row r="1850">
          <cell r="G1850"/>
          <cell r="H1850"/>
          <cell r="L1850"/>
          <cell r="M1850"/>
        </row>
        <row r="1851">
          <cell r="G1851"/>
          <cell r="H1851"/>
          <cell r="L1851"/>
          <cell r="M1851"/>
        </row>
        <row r="1852">
          <cell r="G1852"/>
          <cell r="H1852"/>
          <cell r="L1852"/>
          <cell r="M1852"/>
        </row>
        <row r="1853">
          <cell r="G1853"/>
          <cell r="H1853"/>
          <cell r="L1853"/>
          <cell r="M1853"/>
        </row>
        <row r="1854">
          <cell r="G1854"/>
          <cell r="H1854"/>
          <cell r="L1854"/>
          <cell r="M1854"/>
        </row>
        <row r="1855">
          <cell r="G1855"/>
          <cell r="H1855"/>
          <cell r="L1855"/>
          <cell r="M1855"/>
        </row>
        <row r="1856">
          <cell r="G1856"/>
          <cell r="H1856"/>
          <cell r="L1856"/>
          <cell r="M1856"/>
        </row>
        <row r="1857">
          <cell r="G1857"/>
          <cell r="H1857"/>
          <cell r="L1857"/>
          <cell r="M1857"/>
        </row>
        <row r="1858">
          <cell r="G1858"/>
          <cell r="H1858"/>
          <cell r="L1858"/>
          <cell r="M1858"/>
        </row>
        <row r="1859">
          <cell r="G1859"/>
          <cell r="H1859"/>
          <cell r="L1859"/>
          <cell r="M1859"/>
        </row>
        <row r="1860">
          <cell r="G1860"/>
          <cell r="H1860"/>
          <cell r="L1860"/>
          <cell r="M1860"/>
        </row>
        <row r="1861">
          <cell r="G1861"/>
          <cell r="H1861"/>
          <cell r="L1861"/>
          <cell r="M1861"/>
        </row>
        <row r="1862">
          <cell r="G1862"/>
          <cell r="H1862"/>
          <cell r="L1862"/>
          <cell r="M1862"/>
        </row>
        <row r="1863">
          <cell r="G1863"/>
          <cell r="H1863"/>
          <cell r="L1863"/>
          <cell r="M1863"/>
        </row>
        <row r="1864">
          <cell r="G1864"/>
          <cell r="H1864"/>
          <cell r="L1864"/>
          <cell r="M1864"/>
        </row>
        <row r="1865">
          <cell r="G1865"/>
          <cell r="H1865"/>
          <cell r="L1865"/>
          <cell r="M1865"/>
        </row>
        <row r="1866">
          <cell r="G1866"/>
          <cell r="H1866"/>
          <cell r="L1866"/>
          <cell r="M1866"/>
        </row>
        <row r="1867">
          <cell r="G1867"/>
          <cell r="H1867"/>
          <cell r="L1867"/>
          <cell r="M1867"/>
        </row>
        <row r="1868">
          <cell r="G1868"/>
          <cell r="H1868"/>
          <cell r="L1868"/>
          <cell r="M1868"/>
        </row>
        <row r="1869">
          <cell r="G1869"/>
          <cell r="H1869"/>
          <cell r="L1869"/>
          <cell r="M1869"/>
        </row>
        <row r="1870">
          <cell r="G1870"/>
          <cell r="H1870"/>
          <cell r="L1870"/>
          <cell r="M1870"/>
        </row>
        <row r="1871">
          <cell r="G1871"/>
          <cell r="H1871"/>
          <cell r="L1871"/>
          <cell r="M1871"/>
        </row>
        <row r="1872">
          <cell r="G1872"/>
          <cell r="H1872"/>
          <cell r="L1872"/>
          <cell r="M1872"/>
        </row>
        <row r="1873">
          <cell r="G1873"/>
          <cell r="H1873"/>
          <cell r="L1873"/>
          <cell r="M1873"/>
        </row>
        <row r="1874">
          <cell r="G1874"/>
          <cell r="H1874"/>
          <cell r="L1874"/>
          <cell r="M1874"/>
        </row>
        <row r="1875">
          <cell r="G1875"/>
          <cell r="H1875"/>
          <cell r="L1875"/>
          <cell r="M1875"/>
        </row>
        <row r="1876">
          <cell r="G1876"/>
          <cell r="H1876"/>
          <cell r="L1876"/>
          <cell r="M1876"/>
        </row>
        <row r="1877">
          <cell r="G1877"/>
          <cell r="H1877"/>
          <cell r="L1877"/>
          <cell r="M1877"/>
        </row>
        <row r="1878">
          <cell r="G1878"/>
          <cell r="H1878"/>
          <cell r="L1878"/>
          <cell r="M1878"/>
        </row>
        <row r="1879">
          <cell r="G1879"/>
          <cell r="H1879"/>
          <cell r="L1879"/>
          <cell r="M1879"/>
        </row>
        <row r="1880">
          <cell r="G1880"/>
          <cell r="H1880"/>
          <cell r="L1880"/>
          <cell r="M1880"/>
        </row>
        <row r="1881">
          <cell r="G1881"/>
          <cell r="H1881"/>
          <cell r="L1881"/>
          <cell r="M1881"/>
        </row>
        <row r="1882">
          <cell r="G1882"/>
          <cell r="H1882"/>
          <cell r="L1882"/>
          <cell r="M1882"/>
        </row>
        <row r="1883">
          <cell r="G1883"/>
          <cell r="H1883"/>
          <cell r="L1883"/>
          <cell r="M1883"/>
        </row>
        <row r="1884">
          <cell r="G1884"/>
          <cell r="H1884"/>
          <cell r="L1884"/>
          <cell r="M1884"/>
        </row>
        <row r="1885">
          <cell r="G1885"/>
          <cell r="H1885"/>
          <cell r="L1885"/>
          <cell r="M1885"/>
        </row>
        <row r="1886">
          <cell r="G1886"/>
          <cell r="H1886"/>
          <cell r="L1886"/>
          <cell r="M1886"/>
        </row>
        <row r="1887">
          <cell r="G1887"/>
          <cell r="H1887"/>
          <cell r="L1887"/>
          <cell r="M1887"/>
        </row>
        <row r="1888">
          <cell r="G1888"/>
          <cell r="H1888"/>
          <cell r="L1888"/>
          <cell r="M1888"/>
        </row>
        <row r="1889">
          <cell r="G1889"/>
          <cell r="H1889"/>
          <cell r="L1889"/>
          <cell r="M1889"/>
        </row>
        <row r="1890">
          <cell r="G1890"/>
          <cell r="H1890"/>
          <cell r="L1890"/>
          <cell r="M1890"/>
        </row>
        <row r="1891">
          <cell r="G1891"/>
          <cell r="H1891"/>
          <cell r="L1891"/>
          <cell r="M1891"/>
        </row>
        <row r="1892">
          <cell r="G1892"/>
          <cell r="H1892"/>
          <cell r="L1892"/>
          <cell r="M1892"/>
        </row>
        <row r="1893">
          <cell r="G1893"/>
          <cell r="H1893"/>
          <cell r="L1893"/>
          <cell r="M1893"/>
        </row>
        <row r="1894">
          <cell r="G1894"/>
          <cell r="H1894"/>
          <cell r="L1894"/>
          <cell r="M1894"/>
        </row>
        <row r="1895">
          <cell r="G1895"/>
          <cell r="H1895"/>
          <cell r="L1895"/>
          <cell r="M1895"/>
        </row>
        <row r="1896">
          <cell r="G1896"/>
          <cell r="H1896"/>
          <cell r="L1896"/>
          <cell r="M1896"/>
        </row>
        <row r="1897">
          <cell r="G1897"/>
          <cell r="H1897"/>
          <cell r="L1897"/>
          <cell r="M1897"/>
        </row>
        <row r="1898">
          <cell r="G1898"/>
          <cell r="H1898"/>
          <cell r="L1898"/>
          <cell r="M1898"/>
        </row>
        <row r="1899">
          <cell r="G1899"/>
          <cell r="H1899"/>
          <cell r="L1899"/>
          <cell r="M1899"/>
        </row>
        <row r="1900">
          <cell r="G1900"/>
          <cell r="H1900"/>
          <cell r="L1900"/>
          <cell r="M1900"/>
        </row>
        <row r="1901">
          <cell r="G1901"/>
          <cell r="H1901"/>
          <cell r="L1901"/>
          <cell r="M1901"/>
        </row>
        <row r="1902">
          <cell r="G1902"/>
          <cell r="H1902"/>
          <cell r="L1902"/>
          <cell r="M1902"/>
        </row>
        <row r="1903">
          <cell r="G1903"/>
          <cell r="H1903"/>
          <cell r="L1903"/>
          <cell r="M1903"/>
        </row>
        <row r="1904">
          <cell r="G1904"/>
          <cell r="H1904"/>
          <cell r="L1904"/>
          <cell r="M1904"/>
        </row>
        <row r="1905">
          <cell r="G1905"/>
          <cell r="H1905"/>
          <cell r="L1905"/>
          <cell r="M1905"/>
        </row>
        <row r="1906">
          <cell r="G1906"/>
          <cell r="H1906"/>
          <cell r="L1906"/>
          <cell r="M1906"/>
        </row>
        <row r="1907">
          <cell r="G1907"/>
          <cell r="H1907"/>
          <cell r="L1907"/>
          <cell r="M1907"/>
        </row>
        <row r="1908">
          <cell r="G1908"/>
          <cell r="H1908"/>
          <cell r="L1908"/>
          <cell r="M1908"/>
        </row>
        <row r="1909">
          <cell r="G1909"/>
          <cell r="H1909"/>
          <cell r="L1909"/>
          <cell r="M1909"/>
        </row>
        <row r="1910">
          <cell r="G1910"/>
          <cell r="H1910"/>
          <cell r="L1910"/>
          <cell r="M1910"/>
        </row>
        <row r="1911">
          <cell r="G1911"/>
          <cell r="H1911"/>
          <cell r="L1911"/>
          <cell r="M1911"/>
        </row>
        <row r="1912">
          <cell r="G1912"/>
          <cell r="H1912"/>
          <cell r="L1912"/>
          <cell r="M1912"/>
        </row>
        <row r="1913">
          <cell r="G1913"/>
          <cell r="H1913"/>
          <cell r="L1913"/>
          <cell r="M1913"/>
        </row>
        <row r="1914">
          <cell r="G1914"/>
          <cell r="H1914"/>
          <cell r="L1914"/>
          <cell r="M1914"/>
        </row>
        <row r="1915">
          <cell r="G1915"/>
          <cell r="H1915"/>
          <cell r="L1915"/>
          <cell r="M1915"/>
        </row>
        <row r="1916">
          <cell r="G1916"/>
          <cell r="H1916"/>
          <cell r="L1916"/>
          <cell r="M1916"/>
        </row>
        <row r="1917">
          <cell r="G1917"/>
          <cell r="H1917"/>
          <cell r="L1917"/>
          <cell r="M1917"/>
        </row>
        <row r="1918">
          <cell r="G1918"/>
          <cell r="H1918"/>
          <cell r="L1918"/>
          <cell r="M1918"/>
        </row>
        <row r="1919">
          <cell r="G1919"/>
          <cell r="H1919"/>
          <cell r="L1919"/>
          <cell r="M1919"/>
        </row>
        <row r="1920">
          <cell r="G1920"/>
          <cell r="H1920"/>
          <cell r="L1920"/>
          <cell r="M1920"/>
        </row>
        <row r="1921">
          <cell r="G1921"/>
          <cell r="H1921"/>
          <cell r="L1921"/>
          <cell r="M1921"/>
        </row>
        <row r="1922">
          <cell r="G1922"/>
          <cell r="H1922"/>
          <cell r="L1922"/>
          <cell r="M1922"/>
        </row>
        <row r="1923">
          <cell r="G1923"/>
          <cell r="H1923"/>
          <cell r="L1923"/>
          <cell r="M1923"/>
        </row>
        <row r="1924">
          <cell r="G1924"/>
          <cell r="H1924"/>
          <cell r="L1924"/>
          <cell r="M1924"/>
        </row>
        <row r="1925">
          <cell r="G1925"/>
          <cell r="H1925"/>
          <cell r="L1925"/>
          <cell r="M1925"/>
        </row>
        <row r="1926">
          <cell r="G1926"/>
          <cell r="H1926"/>
          <cell r="L1926"/>
          <cell r="M1926"/>
        </row>
        <row r="1927">
          <cell r="G1927"/>
          <cell r="H1927"/>
          <cell r="L1927"/>
          <cell r="M1927"/>
        </row>
        <row r="1928">
          <cell r="G1928"/>
          <cell r="H1928"/>
          <cell r="L1928"/>
          <cell r="M1928"/>
        </row>
        <row r="1929">
          <cell r="G1929"/>
          <cell r="H1929"/>
          <cell r="L1929"/>
          <cell r="M1929"/>
        </row>
        <row r="1930">
          <cell r="G1930"/>
          <cell r="H1930"/>
          <cell r="L1930"/>
          <cell r="M1930"/>
        </row>
        <row r="1931">
          <cell r="G1931"/>
          <cell r="H1931"/>
          <cell r="L1931"/>
          <cell r="M1931"/>
        </row>
        <row r="1932">
          <cell r="G1932"/>
          <cell r="H1932"/>
          <cell r="L1932"/>
          <cell r="M1932"/>
        </row>
        <row r="1933">
          <cell r="G1933"/>
          <cell r="H1933"/>
          <cell r="L1933"/>
          <cell r="M1933"/>
        </row>
        <row r="1934">
          <cell r="G1934"/>
          <cell r="H1934"/>
          <cell r="L1934"/>
          <cell r="M1934"/>
        </row>
        <row r="1935">
          <cell r="G1935"/>
          <cell r="H1935"/>
          <cell r="L1935"/>
          <cell r="M1935"/>
        </row>
        <row r="1936">
          <cell r="G1936"/>
          <cell r="H1936"/>
          <cell r="L1936"/>
          <cell r="M1936"/>
        </row>
        <row r="1937">
          <cell r="G1937"/>
          <cell r="H1937"/>
          <cell r="L1937"/>
          <cell r="M1937"/>
        </row>
        <row r="1938">
          <cell r="G1938"/>
          <cell r="H1938"/>
          <cell r="L1938"/>
          <cell r="M1938"/>
        </row>
        <row r="1939">
          <cell r="G1939"/>
          <cell r="H1939"/>
          <cell r="L1939"/>
          <cell r="M1939"/>
        </row>
        <row r="1940">
          <cell r="G1940"/>
          <cell r="H1940"/>
          <cell r="L1940"/>
          <cell r="M1940"/>
        </row>
        <row r="1941">
          <cell r="G1941"/>
          <cell r="H1941"/>
          <cell r="L1941"/>
          <cell r="M1941"/>
        </row>
        <row r="1942">
          <cell r="G1942"/>
          <cell r="H1942"/>
          <cell r="L1942"/>
          <cell r="M1942"/>
        </row>
        <row r="1943">
          <cell r="G1943"/>
          <cell r="H1943"/>
          <cell r="L1943"/>
          <cell r="M1943"/>
        </row>
        <row r="1944">
          <cell r="G1944"/>
          <cell r="H1944"/>
          <cell r="L1944"/>
          <cell r="M1944"/>
        </row>
        <row r="1945">
          <cell r="G1945"/>
          <cell r="H1945"/>
          <cell r="L1945"/>
          <cell r="M1945"/>
        </row>
        <row r="1946">
          <cell r="G1946"/>
          <cell r="H1946"/>
          <cell r="L1946"/>
          <cell r="M1946"/>
        </row>
        <row r="1947">
          <cell r="G1947"/>
          <cell r="H1947"/>
          <cell r="L1947"/>
          <cell r="M1947"/>
        </row>
        <row r="1948">
          <cell r="G1948"/>
          <cell r="H1948"/>
          <cell r="L1948"/>
          <cell r="M1948"/>
        </row>
        <row r="1949">
          <cell r="G1949"/>
          <cell r="H1949"/>
          <cell r="L1949"/>
          <cell r="M1949"/>
        </row>
        <row r="1950">
          <cell r="G1950"/>
          <cell r="H1950"/>
          <cell r="L1950"/>
          <cell r="M1950"/>
        </row>
        <row r="1951">
          <cell r="G1951"/>
          <cell r="H1951"/>
          <cell r="L1951"/>
          <cell r="M1951"/>
        </row>
        <row r="1952">
          <cell r="G1952"/>
          <cell r="H1952"/>
          <cell r="L1952"/>
          <cell r="M1952"/>
        </row>
        <row r="1953">
          <cell r="G1953"/>
          <cell r="H1953"/>
          <cell r="L1953"/>
          <cell r="M1953"/>
        </row>
        <row r="1954">
          <cell r="G1954"/>
          <cell r="H1954"/>
          <cell r="L1954"/>
          <cell r="M1954"/>
        </row>
        <row r="1955">
          <cell r="G1955"/>
          <cell r="H1955"/>
          <cell r="L1955"/>
          <cell r="M1955"/>
        </row>
        <row r="1956">
          <cell r="G1956"/>
          <cell r="H1956"/>
          <cell r="L1956"/>
          <cell r="M1956"/>
        </row>
        <row r="1957">
          <cell r="G1957"/>
          <cell r="H1957"/>
          <cell r="L1957"/>
          <cell r="M1957"/>
        </row>
        <row r="1958">
          <cell r="G1958"/>
          <cell r="H1958"/>
          <cell r="L1958"/>
          <cell r="M1958"/>
        </row>
        <row r="1959">
          <cell r="G1959"/>
          <cell r="H1959"/>
          <cell r="L1959"/>
          <cell r="M1959"/>
        </row>
        <row r="1960">
          <cell r="G1960"/>
          <cell r="H1960"/>
          <cell r="L1960"/>
          <cell r="M1960"/>
        </row>
        <row r="1961">
          <cell r="G1961"/>
          <cell r="H1961"/>
          <cell r="L1961"/>
          <cell r="M1961"/>
        </row>
        <row r="1962">
          <cell r="G1962"/>
          <cell r="H1962"/>
          <cell r="L1962"/>
          <cell r="M1962"/>
        </row>
        <row r="1963">
          <cell r="G1963"/>
          <cell r="H1963"/>
          <cell r="L1963"/>
          <cell r="M1963"/>
        </row>
        <row r="1964">
          <cell r="G1964"/>
          <cell r="H1964"/>
          <cell r="L1964"/>
          <cell r="M1964"/>
        </row>
        <row r="1965">
          <cell r="G1965"/>
          <cell r="H1965"/>
          <cell r="L1965"/>
          <cell r="M1965"/>
        </row>
        <row r="1966">
          <cell r="G1966"/>
          <cell r="H1966"/>
          <cell r="L1966"/>
          <cell r="M1966"/>
        </row>
        <row r="1967">
          <cell r="G1967"/>
          <cell r="H1967"/>
          <cell r="L1967"/>
          <cell r="M1967"/>
        </row>
        <row r="1968">
          <cell r="G1968"/>
          <cell r="H1968"/>
          <cell r="L1968"/>
          <cell r="M1968"/>
        </row>
        <row r="1969">
          <cell r="G1969"/>
          <cell r="H1969"/>
          <cell r="L1969"/>
          <cell r="M1969"/>
        </row>
        <row r="1970">
          <cell r="G1970"/>
          <cell r="H1970"/>
          <cell r="L1970"/>
          <cell r="M1970"/>
        </row>
        <row r="1971">
          <cell r="G1971"/>
          <cell r="H1971"/>
          <cell r="L1971"/>
          <cell r="M1971"/>
        </row>
        <row r="1972">
          <cell r="G1972"/>
          <cell r="H1972"/>
          <cell r="L1972"/>
          <cell r="M1972"/>
        </row>
        <row r="1973">
          <cell r="G1973"/>
          <cell r="H1973"/>
          <cell r="L1973"/>
          <cell r="M1973"/>
        </row>
        <row r="1974">
          <cell r="G1974"/>
          <cell r="H1974"/>
          <cell r="L1974"/>
          <cell r="M1974"/>
        </row>
        <row r="1975">
          <cell r="G1975"/>
          <cell r="H1975"/>
          <cell r="L1975"/>
          <cell r="M1975"/>
        </row>
        <row r="1976">
          <cell r="G1976"/>
          <cell r="H1976"/>
          <cell r="L1976"/>
          <cell r="M1976"/>
        </row>
        <row r="1977">
          <cell r="G1977"/>
          <cell r="H1977"/>
          <cell r="L1977"/>
          <cell r="M1977"/>
        </row>
        <row r="1978">
          <cell r="G1978"/>
          <cell r="H1978"/>
          <cell r="L1978"/>
          <cell r="M1978"/>
        </row>
        <row r="1979">
          <cell r="G1979"/>
          <cell r="H1979"/>
          <cell r="L1979"/>
          <cell r="M1979"/>
        </row>
        <row r="1980">
          <cell r="G1980"/>
          <cell r="H1980"/>
          <cell r="L1980"/>
          <cell r="M1980"/>
        </row>
        <row r="1981">
          <cell r="G1981"/>
          <cell r="H1981"/>
          <cell r="L1981"/>
          <cell r="M1981"/>
        </row>
        <row r="1982">
          <cell r="G1982"/>
          <cell r="H1982"/>
          <cell r="L1982"/>
          <cell r="M1982"/>
        </row>
        <row r="1983">
          <cell r="G1983"/>
          <cell r="H1983"/>
          <cell r="L1983"/>
          <cell r="M1983"/>
        </row>
        <row r="1984">
          <cell r="G1984"/>
          <cell r="H1984"/>
          <cell r="L1984"/>
          <cell r="M1984"/>
        </row>
        <row r="1985">
          <cell r="G1985"/>
          <cell r="H1985"/>
          <cell r="L1985"/>
          <cell r="M1985"/>
        </row>
        <row r="1986">
          <cell r="G1986"/>
          <cell r="H1986"/>
          <cell r="L1986"/>
          <cell r="M1986"/>
        </row>
        <row r="1987">
          <cell r="G1987"/>
          <cell r="H1987"/>
          <cell r="L1987"/>
          <cell r="M1987"/>
        </row>
        <row r="1988">
          <cell r="G1988"/>
          <cell r="H1988"/>
          <cell r="L1988"/>
          <cell r="M1988"/>
        </row>
        <row r="1989">
          <cell r="G1989"/>
          <cell r="H1989"/>
          <cell r="L1989"/>
          <cell r="M1989"/>
        </row>
        <row r="1990">
          <cell r="G1990"/>
          <cell r="H1990"/>
          <cell r="L1990"/>
          <cell r="M1990"/>
        </row>
        <row r="1991">
          <cell r="G1991"/>
          <cell r="H1991"/>
          <cell r="L1991"/>
          <cell r="M1991"/>
        </row>
        <row r="1992">
          <cell r="G1992"/>
          <cell r="H1992"/>
          <cell r="L1992"/>
          <cell r="M1992"/>
        </row>
        <row r="1993">
          <cell r="G1993"/>
          <cell r="H1993"/>
          <cell r="L1993"/>
          <cell r="M1993"/>
        </row>
        <row r="1994">
          <cell r="G1994"/>
          <cell r="H1994"/>
          <cell r="L1994"/>
          <cell r="M1994"/>
        </row>
        <row r="1995">
          <cell r="G1995"/>
          <cell r="H1995"/>
          <cell r="L1995"/>
          <cell r="M1995"/>
        </row>
        <row r="1996">
          <cell r="G1996"/>
          <cell r="H1996"/>
          <cell r="L1996"/>
          <cell r="M1996"/>
        </row>
        <row r="1997">
          <cell r="G1997"/>
          <cell r="H1997"/>
          <cell r="L1997"/>
          <cell r="M1997"/>
        </row>
        <row r="1998">
          <cell r="G1998"/>
          <cell r="H1998"/>
          <cell r="L1998"/>
          <cell r="M1998"/>
        </row>
        <row r="1999">
          <cell r="G1999"/>
          <cell r="H1999"/>
          <cell r="L1999"/>
          <cell r="M1999"/>
        </row>
        <row r="2000">
          <cell r="G2000"/>
          <cell r="H2000"/>
          <cell r="L2000"/>
          <cell r="M2000"/>
        </row>
        <row r="2001">
          <cell r="G2001"/>
          <cell r="H2001"/>
          <cell r="L2001"/>
          <cell r="M2001"/>
        </row>
        <row r="2002">
          <cell r="G2002"/>
          <cell r="H2002"/>
          <cell r="L2002"/>
          <cell r="M2002"/>
        </row>
        <row r="2003">
          <cell r="G2003"/>
          <cell r="H2003"/>
          <cell r="L2003"/>
          <cell r="M2003"/>
        </row>
        <row r="2004">
          <cell r="G2004"/>
          <cell r="H2004"/>
          <cell r="L2004"/>
          <cell r="M2004"/>
        </row>
        <row r="2005">
          <cell r="G2005"/>
          <cell r="H2005"/>
          <cell r="L2005"/>
          <cell r="M2005"/>
        </row>
        <row r="2006">
          <cell r="G2006"/>
          <cell r="H2006"/>
          <cell r="L2006"/>
          <cell r="M2006"/>
        </row>
        <row r="2007">
          <cell r="G2007"/>
          <cell r="H2007"/>
          <cell r="L2007"/>
          <cell r="M2007"/>
        </row>
        <row r="2008">
          <cell r="G2008"/>
          <cell r="H2008"/>
          <cell r="L2008"/>
          <cell r="M2008"/>
        </row>
        <row r="2009">
          <cell r="G2009"/>
          <cell r="H2009"/>
          <cell r="L2009"/>
          <cell r="M2009"/>
        </row>
        <row r="2010">
          <cell r="G2010"/>
          <cell r="H2010"/>
          <cell r="L2010"/>
          <cell r="M2010"/>
        </row>
        <row r="2011">
          <cell r="G2011"/>
          <cell r="H2011"/>
          <cell r="L2011"/>
          <cell r="M2011"/>
        </row>
        <row r="2012">
          <cell r="G2012"/>
          <cell r="H2012"/>
          <cell r="L2012"/>
          <cell r="M2012"/>
        </row>
        <row r="2013">
          <cell r="G2013"/>
          <cell r="H2013"/>
          <cell r="L2013"/>
          <cell r="M2013"/>
        </row>
        <row r="2014">
          <cell r="G2014"/>
          <cell r="H2014"/>
          <cell r="L2014"/>
          <cell r="M2014"/>
        </row>
        <row r="2015">
          <cell r="G2015"/>
          <cell r="H2015"/>
          <cell r="L2015"/>
          <cell r="M2015"/>
        </row>
        <row r="2016">
          <cell r="G2016"/>
          <cell r="H2016"/>
          <cell r="L2016"/>
          <cell r="M2016"/>
        </row>
        <row r="2017">
          <cell r="G2017"/>
          <cell r="H2017"/>
          <cell r="L2017"/>
          <cell r="M2017"/>
        </row>
        <row r="2018">
          <cell r="G2018"/>
          <cell r="H2018"/>
          <cell r="L2018"/>
          <cell r="M2018"/>
        </row>
        <row r="2019">
          <cell r="G2019"/>
          <cell r="H2019"/>
          <cell r="L2019"/>
          <cell r="M2019"/>
        </row>
        <row r="2020">
          <cell r="G2020"/>
          <cell r="H2020"/>
          <cell r="L2020"/>
          <cell r="M2020"/>
        </row>
        <row r="2021">
          <cell r="G2021"/>
          <cell r="H2021"/>
          <cell r="L2021"/>
          <cell r="M2021"/>
        </row>
        <row r="2022">
          <cell r="G2022"/>
          <cell r="H2022"/>
          <cell r="L2022"/>
          <cell r="M2022"/>
        </row>
        <row r="2023">
          <cell r="G2023"/>
          <cell r="H2023"/>
          <cell r="L2023"/>
          <cell r="M2023"/>
        </row>
        <row r="2024">
          <cell r="G2024"/>
          <cell r="H2024"/>
          <cell r="L2024"/>
          <cell r="M2024"/>
        </row>
        <row r="2025">
          <cell r="G2025"/>
          <cell r="H2025"/>
          <cell r="L2025"/>
          <cell r="M2025"/>
        </row>
        <row r="2026">
          <cell r="G2026"/>
          <cell r="H2026"/>
          <cell r="L2026"/>
          <cell r="M2026"/>
        </row>
        <row r="2027">
          <cell r="G2027"/>
          <cell r="H2027"/>
          <cell r="L2027"/>
          <cell r="M2027"/>
        </row>
        <row r="2028">
          <cell r="G2028"/>
          <cell r="H2028"/>
          <cell r="L2028"/>
          <cell r="M2028"/>
        </row>
        <row r="2029">
          <cell r="G2029"/>
          <cell r="H2029"/>
          <cell r="L2029"/>
          <cell r="M2029"/>
        </row>
        <row r="2030">
          <cell r="G2030"/>
          <cell r="H2030"/>
          <cell r="L2030"/>
          <cell r="M2030"/>
        </row>
        <row r="2031">
          <cell r="G2031"/>
          <cell r="H2031"/>
          <cell r="L2031"/>
          <cell r="M2031"/>
        </row>
        <row r="2032">
          <cell r="G2032"/>
          <cell r="H2032"/>
          <cell r="L2032"/>
          <cell r="M2032"/>
        </row>
        <row r="2033">
          <cell r="G2033"/>
          <cell r="H2033"/>
          <cell r="L2033"/>
          <cell r="M2033"/>
        </row>
        <row r="2034">
          <cell r="G2034"/>
          <cell r="H2034"/>
          <cell r="L2034"/>
          <cell r="M2034"/>
        </row>
        <row r="2035">
          <cell r="G2035"/>
          <cell r="H2035"/>
          <cell r="L2035"/>
          <cell r="M2035"/>
        </row>
        <row r="2036">
          <cell r="G2036"/>
          <cell r="H2036"/>
          <cell r="L2036"/>
          <cell r="M2036"/>
        </row>
        <row r="2037">
          <cell r="G2037"/>
          <cell r="H2037"/>
          <cell r="L2037"/>
          <cell r="M2037"/>
        </row>
        <row r="2038">
          <cell r="G2038"/>
          <cell r="H2038"/>
          <cell r="L2038"/>
          <cell r="M2038"/>
        </row>
        <row r="2039">
          <cell r="G2039"/>
          <cell r="H2039"/>
          <cell r="L2039"/>
          <cell r="M2039"/>
        </row>
        <row r="2040">
          <cell r="G2040"/>
          <cell r="H2040"/>
          <cell r="L2040"/>
          <cell r="M2040"/>
        </row>
        <row r="2041">
          <cell r="G2041"/>
          <cell r="H2041"/>
          <cell r="L2041"/>
          <cell r="M2041"/>
        </row>
        <row r="2042">
          <cell r="G2042"/>
          <cell r="H2042"/>
          <cell r="L2042"/>
          <cell r="M2042"/>
        </row>
        <row r="2043">
          <cell r="G2043"/>
          <cell r="H2043"/>
          <cell r="L2043"/>
          <cell r="M2043"/>
        </row>
        <row r="2044">
          <cell r="G2044"/>
          <cell r="H2044"/>
          <cell r="L2044"/>
          <cell r="M2044"/>
        </row>
        <row r="2045">
          <cell r="G2045"/>
          <cell r="H2045"/>
          <cell r="L2045"/>
          <cell r="M2045"/>
        </row>
        <row r="2046">
          <cell r="G2046"/>
          <cell r="H2046"/>
          <cell r="L2046"/>
          <cell r="M2046"/>
        </row>
        <row r="2047">
          <cell r="G2047"/>
          <cell r="H2047"/>
          <cell r="L2047"/>
          <cell r="M2047"/>
        </row>
        <row r="2048">
          <cell r="G2048"/>
          <cell r="H2048"/>
          <cell r="L2048"/>
          <cell r="M2048"/>
        </row>
        <row r="2049">
          <cell r="G2049"/>
          <cell r="H2049"/>
          <cell r="L2049"/>
          <cell r="M2049"/>
        </row>
        <row r="2050">
          <cell r="G2050"/>
          <cell r="H2050"/>
          <cell r="L2050"/>
          <cell r="M2050"/>
        </row>
        <row r="2051">
          <cell r="G2051"/>
          <cell r="H2051"/>
          <cell r="L2051"/>
          <cell r="M2051"/>
        </row>
        <row r="2052">
          <cell r="G2052"/>
          <cell r="H2052"/>
          <cell r="L2052"/>
          <cell r="M2052"/>
        </row>
        <row r="2053">
          <cell r="G2053"/>
          <cell r="H2053"/>
          <cell r="L2053"/>
          <cell r="M2053"/>
        </row>
        <row r="2054">
          <cell r="G2054"/>
          <cell r="H2054"/>
          <cell r="L2054"/>
          <cell r="M2054"/>
        </row>
        <row r="2055">
          <cell r="G2055"/>
          <cell r="H2055"/>
          <cell r="L2055"/>
          <cell r="M2055"/>
        </row>
        <row r="2056">
          <cell r="G2056"/>
          <cell r="H2056"/>
          <cell r="L2056"/>
          <cell r="M2056"/>
        </row>
        <row r="2057">
          <cell r="G2057"/>
          <cell r="H2057"/>
          <cell r="L2057"/>
          <cell r="M2057"/>
        </row>
        <row r="2058">
          <cell r="G2058"/>
          <cell r="H2058"/>
          <cell r="L2058"/>
          <cell r="M2058"/>
        </row>
        <row r="2059">
          <cell r="G2059"/>
          <cell r="H2059"/>
          <cell r="L2059"/>
          <cell r="M2059"/>
        </row>
        <row r="2060">
          <cell r="G2060"/>
          <cell r="H2060"/>
          <cell r="L2060"/>
          <cell r="M2060"/>
        </row>
        <row r="2061">
          <cell r="G2061"/>
          <cell r="H2061"/>
          <cell r="L2061"/>
          <cell r="M2061"/>
        </row>
        <row r="2062">
          <cell r="G2062"/>
          <cell r="H2062"/>
          <cell r="L2062"/>
          <cell r="M2062"/>
        </row>
        <row r="2063">
          <cell r="G2063"/>
          <cell r="H2063"/>
          <cell r="L2063"/>
          <cell r="M2063"/>
        </row>
        <row r="2064">
          <cell r="G2064"/>
          <cell r="H2064"/>
          <cell r="L2064"/>
          <cell r="M2064"/>
        </row>
        <row r="2065">
          <cell r="G2065"/>
          <cell r="H2065"/>
          <cell r="L2065"/>
          <cell r="M2065"/>
        </row>
        <row r="2066">
          <cell r="G2066"/>
          <cell r="H2066"/>
          <cell r="L2066"/>
          <cell r="M2066"/>
        </row>
        <row r="2067">
          <cell r="G2067"/>
          <cell r="H2067"/>
          <cell r="L2067"/>
          <cell r="M2067"/>
        </row>
        <row r="2068">
          <cell r="G2068"/>
          <cell r="H2068"/>
          <cell r="L2068"/>
          <cell r="M2068"/>
        </row>
        <row r="2069">
          <cell r="G2069"/>
          <cell r="H2069"/>
          <cell r="L2069"/>
          <cell r="M2069"/>
        </row>
        <row r="2070">
          <cell r="G2070"/>
          <cell r="H2070"/>
          <cell r="L2070"/>
          <cell r="M2070"/>
        </row>
        <row r="2071">
          <cell r="G2071"/>
          <cell r="H2071"/>
          <cell r="L2071"/>
          <cell r="M2071"/>
        </row>
        <row r="2072">
          <cell r="G2072"/>
          <cell r="H2072"/>
          <cell r="L2072"/>
          <cell r="M2072"/>
        </row>
        <row r="2073">
          <cell r="G2073"/>
          <cell r="H2073"/>
          <cell r="L2073"/>
          <cell r="M2073"/>
        </row>
        <row r="2074">
          <cell r="G2074"/>
          <cell r="H2074"/>
          <cell r="L2074"/>
          <cell r="M2074"/>
        </row>
        <row r="2075">
          <cell r="G2075"/>
          <cell r="H2075"/>
          <cell r="L2075"/>
          <cell r="M2075"/>
        </row>
        <row r="2076">
          <cell r="G2076"/>
          <cell r="H2076"/>
          <cell r="L2076"/>
          <cell r="M2076"/>
        </row>
        <row r="2077">
          <cell r="G2077"/>
          <cell r="H2077"/>
          <cell r="L2077"/>
          <cell r="M2077"/>
        </row>
        <row r="2078">
          <cell r="G2078"/>
          <cell r="H2078"/>
          <cell r="L2078"/>
          <cell r="M2078"/>
        </row>
        <row r="2079">
          <cell r="G2079"/>
          <cell r="H2079"/>
          <cell r="L2079"/>
          <cell r="M2079"/>
        </row>
        <row r="2080">
          <cell r="G2080"/>
          <cell r="H2080"/>
          <cell r="L2080"/>
          <cell r="M2080"/>
        </row>
        <row r="2081">
          <cell r="G2081"/>
          <cell r="H2081"/>
          <cell r="L2081"/>
          <cell r="M2081"/>
        </row>
        <row r="2082">
          <cell r="G2082"/>
          <cell r="H2082"/>
          <cell r="L2082"/>
          <cell r="M2082"/>
        </row>
        <row r="2083">
          <cell r="G2083"/>
          <cell r="H2083"/>
          <cell r="L2083"/>
          <cell r="M2083"/>
        </row>
        <row r="2084">
          <cell r="G2084"/>
          <cell r="H2084"/>
          <cell r="L2084"/>
          <cell r="M2084"/>
        </row>
        <row r="2085">
          <cell r="G2085"/>
          <cell r="H2085"/>
          <cell r="L2085"/>
          <cell r="M2085"/>
        </row>
        <row r="2086">
          <cell r="G2086"/>
          <cell r="H2086"/>
          <cell r="L2086"/>
          <cell r="M2086"/>
        </row>
        <row r="2087">
          <cell r="G2087"/>
          <cell r="H2087"/>
          <cell r="L2087"/>
          <cell r="M2087"/>
        </row>
        <row r="2088">
          <cell r="G2088"/>
          <cell r="H2088"/>
          <cell r="L2088"/>
          <cell r="M2088"/>
        </row>
        <row r="2089">
          <cell r="G2089"/>
          <cell r="H2089"/>
          <cell r="L2089"/>
          <cell r="M2089"/>
        </row>
        <row r="2090">
          <cell r="G2090"/>
          <cell r="H2090"/>
          <cell r="L2090"/>
          <cell r="M2090"/>
        </row>
        <row r="2091">
          <cell r="G2091"/>
          <cell r="H2091"/>
          <cell r="L2091"/>
          <cell r="M2091"/>
        </row>
        <row r="2092">
          <cell r="G2092"/>
          <cell r="H2092"/>
          <cell r="L2092"/>
          <cell r="M2092"/>
        </row>
        <row r="2093">
          <cell r="G2093"/>
          <cell r="H2093"/>
          <cell r="L2093"/>
          <cell r="M2093"/>
        </row>
        <row r="2094">
          <cell r="G2094"/>
          <cell r="H2094"/>
          <cell r="L2094"/>
          <cell r="M2094"/>
        </row>
        <row r="2095">
          <cell r="G2095"/>
          <cell r="H2095"/>
          <cell r="L2095"/>
          <cell r="M2095"/>
        </row>
        <row r="2096">
          <cell r="G2096"/>
          <cell r="H2096"/>
          <cell r="L2096"/>
          <cell r="M2096"/>
        </row>
        <row r="2097">
          <cell r="G2097"/>
          <cell r="H2097"/>
          <cell r="L2097"/>
          <cell r="M2097"/>
        </row>
        <row r="2098">
          <cell r="G2098"/>
          <cell r="H2098"/>
          <cell r="L2098"/>
          <cell r="M2098"/>
        </row>
        <row r="2099">
          <cell r="G2099"/>
          <cell r="H2099"/>
          <cell r="L2099"/>
          <cell r="M2099"/>
        </row>
        <row r="2100">
          <cell r="G2100"/>
          <cell r="H2100"/>
          <cell r="L2100"/>
          <cell r="M2100"/>
        </row>
        <row r="2101">
          <cell r="G2101"/>
          <cell r="H2101"/>
          <cell r="L2101"/>
          <cell r="M2101"/>
        </row>
        <row r="2102">
          <cell r="G2102"/>
          <cell r="H2102"/>
          <cell r="L2102"/>
          <cell r="M2102"/>
        </row>
        <row r="2103">
          <cell r="G2103"/>
          <cell r="H2103"/>
          <cell r="L2103"/>
          <cell r="M2103"/>
        </row>
        <row r="2104">
          <cell r="G2104"/>
          <cell r="H2104"/>
          <cell r="L2104"/>
          <cell r="M2104"/>
        </row>
        <row r="2105">
          <cell r="G2105"/>
          <cell r="H2105"/>
          <cell r="L2105"/>
          <cell r="M2105"/>
        </row>
        <row r="2106">
          <cell r="G2106"/>
          <cell r="H2106"/>
          <cell r="L2106"/>
          <cell r="M2106"/>
        </row>
        <row r="2107">
          <cell r="G2107"/>
          <cell r="H2107"/>
          <cell r="L2107"/>
          <cell r="M2107"/>
        </row>
        <row r="2108">
          <cell r="G2108"/>
          <cell r="H2108"/>
          <cell r="L2108"/>
          <cell r="M2108"/>
        </row>
        <row r="2109">
          <cell r="G2109"/>
          <cell r="H2109"/>
          <cell r="L2109"/>
          <cell r="M2109"/>
        </row>
        <row r="2110">
          <cell r="G2110"/>
          <cell r="H2110"/>
          <cell r="L2110"/>
          <cell r="M2110"/>
        </row>
        <row r="2111">
          <cell r="G2111"/>
          <cell r="H2111"/>
          <cell r="L2111"/>
          <cell r="M2111"/>
        </row>
        <row r="2112">
          <cell r="G2112"/>
          <cell r="H2112"/>
          <cell r="L2112"/>
          <cell r="M2112"/>
        </row>
        <row r="2113">
          <cell r="G2113"/>
          <cell r="H2113"/>
          <cell r="L2113"/>
          <cell r="M2113"/>
        </row>
        <row r="2114">
          <cell r="G2114"/>
          <cell r="H2114"/>
          <cell r="L2114"/>
          <cell r="M2114"/>
        </row>
        <row r="2115">
          <cell r="G2115"/>
          <cell r="H2115"/>
          <cell r="L2115"/>
          <cell r="M2115"/>
        </row>
        <row r="2116">
          <cell r="G2116"/>
          <cell r="H2116"/>
          <cell r="L2116"/>
          <cell r="M2116"/>
        </row>
        <row r="2117">
          <cell r="G2117"/>
          <cell r="H2117"/>
          <cell r="L2117"/>
          <cell r="M2117"/>
        </row>
        <row r="2118">
          <cell r="G2118"/>
          <cell r="H2118"/>
          <cell r="L2118"/>
          <cell r="M2118"/>
        </row>
        <row r="2119">
          <cell r="G2119"/>
          <cell r="H2119"/>
          <cell r="L2119"/>
          <cell r="M2119"/>
        </row>
        <row r="2120">
          <cell r="G2120"/>
          <cell r="H2120"/>
          <cell r="L2120"/>
          <cell r="M2120"/>
        </row>
        <row r="2121">
          <cell r="G2121"/>
          <cell r="H2121"/>
          <cell r="L2121"/>
          <cell r="M2121"/>
        </row>
        <row r="2122">
          <cell r="G2122"/>
          <cell r="H2122"/>
          <cell r="L2122"/>
          <cell r="M2122"/>
        </row>
        <row r="2123">
          <cell r="G2123"/>
          <cell r="H2123"/>
          <cell r="L2123"/>
          <cell r="M2123"/>
        </row>
        <row r="2124">
          <cell r="G2124"/>
          <cell r="H2124"/>
          <cell r="L2124"/>
          <cell r="M2124"/>
        </row>
        <row r="2125">
          <cell r="G2125"/>
          <cell r="H2125"/>
          <cell r="L2125"/>
          <cell r="M2125"/>
        </row>
        <row r="2126">
          <cell r="G2126"/>
          <cell r="H2126"/>
          <cell r="L2126"/>
          <cell r="M2126"/>
        </row>
        <row r="2127">
          <cell r="G2127"/>
          <cell r="H2127"/>
          <cell r="L2127"/>
          <cell r="M2127"/>
        </row>
        <row r="2128">
          <cell r="G2128"/>
          <cell r="H2128"/>
          <cell r="L2128"/>
          <cell r="M2128"/>
        </row>
        <row r="2129">
          <cell r="G2129"/>
          <cell r="H2129"/>
          <cell r="L2129"/>
          <cell r="M2129"/>
        </row>
        <row r="2130">
          <cell r="G2130"/>
          <cell r="H2130"/>
          <cell r="L2130"/>
          <cell r="M2130"/>
        </row>
        <row r="2131">
          <cell r="G2131"/>
          <cell r="H2131"/>
          <cell r="L2131"/>
          <cell r="M2131"/>
        </row>
        <row r="2132">
          <cell r="G2132"/>
          <cell r="H2132"/>
          <cell r="L2132"/>
          <cell r="M2132"/>
        </row>
        <row r="2133">
          <cell r="G2133"/>
          <cell r="H2133"/>
          <cell r="L2133"/>
          <cell r="M2133"/>
        </row>
        <row r="2134">
          <cell r="G2134"/>
          <cell r="H2134"/>
          <cell r="L2134"/>
          <cell r="M2134"/>
        </row>
        <row r="2135">
          <cell r="G2135"/>
          <cell r="H2135"/>
          <cell r="L2135"/>
          <cell r="M2135"/>
        </row>
        <row r="2136">
          <cell r="G2136"/>
          <cell r="H2136"/>
          <cell r="L2136"/>
          <cell r="M2136"/>
        </row>
        <row r="2137">
          <cell r="G2137"/>
          <cell r="H2137"/>
          <cell r="L2137"/>
          <cell r="M2137"/>
        </row>
        <row r="2138">
          <cell r="G2138"/>
          <cell r="H2138"/>
          <cell r="L2138"/>
          <cell r="M2138"/>
        </row>
        <row r="2139">
          <cell r="G2139"/>
          <cell r="H2139"/>
          <cell r="L2139"/>
          <cell r="M2139"/>
        </row>
        <row r="2140">
          <cell r="G2140"/>
          <cell r="H2140"/>
          <cell r="L2140"/>
          <cell r="M2140"/>
        </row>
        <row r="2141">
          <cell r="G2141"/>
          <cell r="H2141"/>
          <cell r="L2141"/>
          <cell r="M2141"/>
        </row>
        <row r="2142">
          <cell r="G2142"/>
          <cell r="H2142"/>
          <cell r="L2142"/>
          <cell r="M2142"/>
        </row>
        <row r="2143">
          <cell r="G2143"/>
          <cell r="H2143"/>
          <cell r="L2143"/>
          <cell r="M2143"/>
        </row>
        <row r="2144">
          <cell r="G2144"/>
          <cell r="H2144"/>
          <cell r="L2144"/>
          <cell r="M2144"/>
        </row>
        <row r="2145">
          <cell r="G2145"/>
          <cell r="H2145"/>
          <cell r="L2145"/>
          <cell r="M2145"/>
        </row>
        <row r="2146">
          <cell r="G2146"/>
          <cell r="H2146"/>
          <cell r="L2146"/>
          <cell r="M2146"/>
        </row>
        <row r="2147">
          <cell r="G2147"/>
          <cell r="H2147"/>
          <cell r="L2147"/>
          <cell r="M2147"/>
        </row>
        <row r="2148">
          <cell r="G2148"/>
          <cell r="H2148"/>
          <cell r="L2148"/>
          <cell r="M2148"/>
        </row>
        <row r="2149">
          <cell r="G2149"/>
          <cell r="H2149"/>
          <cell r="L2149"/>
          <cell r="M2149"/>
        </row>
        <row r="2150">
          <cell r="G2150"/>
          <cell r="H2150"/>
          <cell r="L2150"/>
          <cell r="M2150"/>
        </row>
        <row r="2151">
          <cell r="G2151"/>
          <cell r="H2151"/>
          <cell r="L2151"/>
          <cell r="M2151"/>
        </row>
        <row r="2152">
          <cell r="G2152"/>
          <cell r="H2152"/>
          <cell r="L2152"/>
          <cell r="M2152"/>
        </row>
        <row r="2153">
          <cell r="G2153"/>
          <cell r="H2153"/>
          <cell r="L2153"/>
          <cell r="M2153"/>
        </row>
        <row r="2154">
          <cell r="G2154"/>
          <cell r="H2154"/>
          <cell r="L2154"/>
          <cell r="M2154"/>
        </row>
        <row r="2155">
          <cell r="G2155"/>
          <cell r="H2155"/>
          <cell r="L2155"/>
          <cell r="M2155"/>
        </row>
        <row r="2156">
          <cell r="G2156"/>
          <cell r="H2156"/>
          <cell r="L2156"/>
          <cell r="M2156"/>
        </row>
        <row r="2157">
          <cell r="G2157"/>
          <cell r="H2157"/>
          <cell r="L2157"/>
          <cell r="M2157"/>
        </row>
        <row r="2158">
          <cell r="G2158"/>
          <cell r="H2158"/>
          <cell r="L2158"/>
          <cell r="M2158"/>
        </row>
        <row r="2159">
          <cell r="G2159"/>
          <cell r="H2159"/>
          <cell r="L2159"/>
          <cell r="M2159"/>
        </row>
        <row r="2160">
          <cell r="G2160"/>
          <cell r="H2160"/>
          <cell r="L2160"/>
          <cell r="M2160"/>
        </row>
        <row r="2161">
          <cell r="G2161"/>
          <cell r="H2161"/>
          <cell r="L2161"/>
          <cell r="M2161"/>
        </row>
        <row r="2162">
          <cell r="G2162"/>
          <cell r="H2162"/>
          <cell r="L2162"/>
          <cell r="M2162"/>
        </row>
        <row r="2163">
          <cell r="G2163"/>
          <cell r="H2163"/>
          <cell r="L2163"/>
          <cell r="M2163"/>
        </row>
        <row r="2164">
          <cell r="G2164"/>
          <cell r="H2164"/>
          <cell r="L2164"/>
          <cell r="M2164"/>
        </row>
        <row r="2165">
          <cell r="G2165"/>
          <cell r="H2165"/>
          <cell r="L2165"/>
          <cell r="M2165"/>
        </row>
        <row r="2166">
          <cell r="G2166"/>
          <cell r="H2166"/>
          <cell r="L2166"/>
          <cell r="M2166"/>
        </row>
        <row r="2167">
          <cell r="G2167"/>
          <cell r="H2167"/>
          <cell r="L2167"/>
          <cell r="M2167"/>
        </row>
        <row r="2168">
          <cell r="G2168"/>
          <cell r="H2168"/>
          <cell r="L2168"/>
          <cell r="M2168"/>
        </row>
        <row r="2169">
          <cell r="G2169"/>
          <cell r="H2169"/>
          <cell r="L2169"/>
          <cell r="M2169"/>
        </row>
        <row r="2170">
          <cell r="G2170"/>
          <cell r="H2170"/>
          <cell r="L2170"/>
          <cell r="M2170"/>
        </row>
        <row r="2171">
          <cell r="G2171"/>
          <cell r="H2171"/>
          <cell r="L2171"/>
          <cell r="M2171"/>
        </row>
        <row r="2172">
          <cell r="G2172"/>
          <cell r="H2172"/>
          <cell r="L2172"/>
          <cell r="M2172"/>
        </row>
        <row r="2173">
          <cell r="G2173"/>
          <cell r="H2173"/>
          <cell r="L2173"/>
          <cell r="M2173"/>
        </row>
        <row r="2174">
          <cell r="G2174"/>
          <cell r="H2174"/>
          <cell r="L2174"/>
          <cell r="M2174"/>
        </row>
        <row r="2175">
          <cell r="G2175"/>
          <cell r="H2175"/>
          <cell r="L2175"/>
          <cell r="M2175"/>
        </row>
        <row r="2176">
          <cell r="G2176"/>
          <cell r="H2176"/>
          <cell r="L2176"/>
          <cell r="M2176"/>
        </row>
        <row r="2177">
          <cell r="G2177"/>
          <cell r="H2177"/>
          <cell r="L2177"/>
          <cell r="M2177"/>
        </row>
        <row r="2178">
          <cell r="G2178"/>
          <cell r="H2178"/>
          <cell r="L2178"/>
          <cell r="M2178"/>
        </row>
        <row r="2179">
          <cell r="G2179"/>
          <cell r="H2179"/>
          <cell r="L2179"/>
          <cell r="M2179"/>
        </row>
        <row r="2180">
          <cell r="G2180"/>
          <cell r="H2180"/>
          <cell r="L2180"/>
          <cell r="M2180"/>
        </row>
        <row r="2181">
          <cell r="G2181"/>
          <cell r="H2181"/>
          <cell r="L2181"/>
          <cell r="M2181"/>
        </row>
        <row r="2182">
          <cell r="G2182"/>
          <cell r="H2182"/>
          <cell r="L2182"/>
          <cell r="M2182"/>
        </row>
        <row r="2183">
          <cell r="G2183"/>
          <cell r="H2183"/>
          <cell r="L2183"/>
          <cell r="M2183"/>
        </row>
        <row r="2184">
          <cell r="G2184"/>
          <cell r="H2184"/>
          <cell r="L2184"/>
          <cell r="M2184"/>
        </row>
        <row r="2185">
          <cell r="G2185"/>
          <cell r="H2185"/>
          <cell r="L2185"/>
          <cell r="M2185"/>
        </row>
        <row r="2186">
          <cell r="G2186"/>
          <cell r="H2186"/>
          <cell r="L2186"/>
          <cell r="M2186"/>
        </row>
        <row r="2187">
          <cell r="G2187"/>
          <cell r="H2187"/>
          <cell r="L2187"/>
          <cell r="M2187"/>
        </row>
        <row r="2188">
          <cell r="G2188"/>
          <cell r="H2188"/>
          <cell r="L2188"/>
          <cell r="M2188"/>
        </row>
        <row r="2189">
          <cell r="G2189"/>
          <cell r="H2189"/>
          <cell r="L2189"/>
          <cell r="M2189"/>
        </row>
        <row r="2190">
          <cell r="G2190"/>
          <cell r="H2190"/>
          <cell r="L2190"/>
          <cell r="M2190"/>
        </row>
        <row r="2191">
          <cell r="G2191"/>
          <cell r="H2191"/>
          <cell r="L2191"/>
          <cell r="M2191"/>
        </row>
        <row r="2192">
          <cell r="G2192"/>
          <cell r="H2192"/>
          <cell r="L2192"/>
          <cell r="M2192"/>
        </row>
        <row r="2193">
          <cell r="G2193"/>
          <cell r="H2193"/>
          <cell r="L2193"/>
          <cell r="M2193"/>
        </row>
        <row r="2194">
          <cell r="G2194"/>
          <cell r="H2194"/>
          <cell r="L2194"/>
          <cell r="M2194"/>
        </row>
        <row r="2195">
          <cell r="G2195"/>
          <cell r="H2195"/>
          <cell r="L2195"/>
          <cell r="M2195"/>
        </row>
        <row r="2196">
          <cell r="G2196"/>
          <cell r="H2196"/>
          <cell r="L2196"/>
          <cell r="M2196"/>
        </row>
        <row r="2197">
          <cell r="G2197"/>
          <cell r="H2197"/>
          <cell r="L2197"/>
          <cell r="M2197"/>
        </row>
        <row r="2198">
          <cell r="G2198"/>
          <cell r="H2198"/>
          <cell r="L2198"/>
          <cell r="M2198"/>
        </row>
        <row r="2199">
          <cell r="G2199"/>
          <cell r="H2199"/>
          <cell r="L2199"/>
          <cell r="M2199"/>
        </row>
        <row r="2200">
          <cell r="G2200"/>
          <cell r="H2200"/>
          <cell r="L2200"/>
          <cell r="M2200"/>
        </row>
        <row r="2201">
          <cell r="G2201"/>
          <cell r="H2201"/>
          <cell r="L2201"/>
          <cell r="M2201"/>
        </row>
        <row r="2202">
          <cell r="G2202"/>
          <cell r="H2202"/>
          <cell r="L2202"/>
          <cell r="M2202"/>
        </row>
        <row r="2203">
          <cell r="G2203"/>
          <cell r="H2203"/>
          <cell r="L2203"/>
          <cell r="M2203"/>
        </row>
        <row r="2204">
          <cell r="G2204"/>
          <cell r="H2204"/>
          <cell r="L2204"/>
          <cell r="M2204"/>
        </row>
        <row r="2205">
          <cell r="G2205"/>
          <cell r="H2205"/>
          <cell r="L2205"/>
          <cell r="M2205"/>
        </row>
        <row r="2206">
          <cell r="G2206"/>
          <cell r="H2206"/>
          <cell r="L2206"/>
          <cell r="M2206"/>
        </row>
        <row r="2207">
          <cell r="G2207"/>
          <cell r="H2207"/>
          <cell r="L2207"/>
          <cell r="M2207"/>
        </row>
        <row r="2208">
          <cell r="G2208"/>
          <cell r="H2208"/>
          <cell r="L2208"/>
          <cell r="M2208"/>
        </row>
        <row r="2209">
          <cell r="G2209"/>
          <cell r="H2209"/>
          <cell r="L2209"/>
          <cell r="M2209"/>
        </row>
        <row r="2210">
          <cell r="G2210"/>
          <cell r="H2210"/>
          <cell r="L2210"/>
          <cell r="M2210"/>
        </row>
        <row r="2211">
          <cell r="G2211"/>
          <cell r="H2211"/>
          <cell r="L2211"/>
          <cell r="M2211"/>
        </row>
        <row r="2212">
          <cell r="G2212"/>
          <cell r="H2212"/>
          <cell r="L2212"/>
          <cell r="M2212"/>
        </row>
        <row r="2213">
          <cell r="G2213"/>
          <cell r="H2213"/>
          <cell r="L2213"/>
          <cell r="M2213"/>
        </row>
        <row r="2214">
          <cell r="G2214"/>
          <cell r="H2214"/>
          <cell r="L2214"/>
          <cell r="M2214"/>
        </row>
        <row r="2215">
          <cell r="G2215"/>
          <cell r="H2215"/>
          <cell r="L2215"/>
          <cell r="M2215"/>
        </row>
        <row r="2216">
          <cell r="G2216"/>
          <cell r="H2216"/>
          <cell r="L2216"/>
          <cell r="M2216"/>
        </row>
        <row r="2217">
          <cell r="G2217"/>
          <cell r="H2217"/>
          <cell r="L2217"/>
          <cell r="M2217"/>
        </row>
        <row r="2218">
          <cell r="G2218"/>
          <cell r="H2218"/>
          <cell r="L2218"/>
          <cell r="M2218"/>
        </row>
        <row r="2219">
          <cell r="G2219"/>
          <cell r="H2219"/>
          <cell r="L2219"/>
          <cell r="M2219"/>
        </row>
        <row r="2220">
          <cell r="G2220"/>
          <cell r="H2220"/>
          <cell r="L2220"/>
          <cell r="M2220"/>
        </row>
        <row r="2221">
          <cell r="G2221"/>
          <cell r="H2221"/>
          <cell r="L2221"/>
          <cell r="M2221"/>
        </row>
        <row r="2222">
          <cell r="G2222"/>
          <cell r="H2222"/>
          <cell r="L2222"/>
          <cell r="M2222"/>
        </row>
        <row r="2223">
          <cell r="G2223"/>
          <cell r="H2223"/>
          <cell r="L2223"/>
          <cell r="M2223"/>
        </row>
        <row r="2224">
          <cell r="G2224"/>
          <cell r="H2224"/>
          <cell r="L2224"/>
          <cell r="M2224"/>
        </row>
        <row r="2225">
          <cell r="G2225"/>
          <cell r="H2225"/>
          <cell r="L2225"/>
          <cell r="M2225"/>
        </row>
        <row r="2226">
          <cell r="G2226"/>
          <cell r="H2226"/>
          <cell r="L2226"/>
          <cell r="M2226"/>
        </row>
        <row r="2227">
          <cell r="G2227"/>
          <cell r="H2227"/>
          <cell r="L2227"/>
          <cell r="M2227"/>
        </row>
        <row r="2228">
          <cell r="G2228"/>
          <cell r="H2228"/>
          <cell r="L2228"/>
          <cell r="M2228"/>
        </row>
        <row r="2229">
          <cell r="G2229"/>
          <cell r="H2229"/>
          <cell r="L2229"/>
          <cell r="M2229"/>
        </row>
        <row r="2230">
          <cell r="G2230"/>
          <cell r="H2230"/>
          <cell r="L2230"/>
          <cell r="M2230"/>
        </row>
        <row r="2231">
          <cell r="G2231"/>
          <cell r="H2231"/>
          <cell r="L2231"/>
          <cell r="M2231"/>
        </row>
        <row r="2232">
          <cell r="G2232"/>
          <cell r="H2232"/>
          <cell r="L2232"/>
          <cell r="M2232"/>
        </row>
        <row r="2233">
          <cell r="G2233"/>
          <cell r="H2233"/>
          <cell r="L2233"/>
          <cell r="M2233"/>
        </row>
        <row r="2234">
          <cell r="G2234"/>
          <cell r="H2234"/>
          <cell r="L2234"/>
          <cell r="M2234"/>
        </row>
        <row r="2235">
          <cell r="G2235"/>
          <cell r="H2235"/>
          <cell r="L2235"/>
          <cell r="M2235"/>
        </row>
        <row r="2236">
          <cell r="G2236"/>
          <cell r="H2236"/>
          <cell r="L2236"/>
          <cell r="M2236"/>
        </row>
        <row r="2237">
          <cell r="G2237"/>
          <cell r="H2237"/>
          <cell r="L2237"/>
          <cell r="M2237"/>
        </row>
        <row r="2238">
          <cell r="G2238"/>
          <cell r="H2238"/>
          <cell r="L2238"/>
          <cell r="M2238"/>
        </row>
        <row r="2239">
          <cell r="G2239"/>
          <cell r="H2239"/>
          <cell r="L2239"/>
          <cell r="M2239"/>
        </row>
        <row r="2240">
          <cell r="G2240"/>
          <cell r="H2240"/>
          <cell r="L2240"/>
          <cell r="M2240"/>
        </row>
        <row r="2241">
          <cell r="G2241"/>
          <cell r="H2241"/>
          <cell r="L2241"/>
          <cell r="M2241"/>
        </row>
        <row r="2242">
          <cell r="G2242"/>
          <cell r="H2242"/>
          <cell r="L2242"/>
          <cell r="M2242"/>
        </row>
        <row r="2243">
          <cell r="G2243"/>
          <cell r="H2243"/>
          <cell r="L2243"/>
          <cell r="M2243"/>
        </row>
        <row r="2244">
          <cell r="G2244"/>
          <cell r="H2244"/>
          <cell r="L2244"/>
          <cell r="M2244"/>
        </row>
        <row r="2245">
          <cell r="G2245"/>
          <cell r="H2245"/>
          <cell r="L2245"/>
          <cell r="M2245"/>
        </row>
        <row r="2246">
          <cell r="G2246"/>
          <cell r="H2246"/>
          <cell r="L2246"/>
          <cell r="M2246"/>
        </row>
        <row r="2247">
          <cell r="G2247"/>
          <cell r="H2247"/>
          <cell r="L2247"/>
          <cell r="M2247"/>
        </row>
        <row r="2248">
          <cell r="G2248"/>
          <cell r="H2248"/>
          <cell r="L2248"/>
          <cell r="M2248"/>
        </row>
        <row r="2249">
          <cell r="G2249"/>
          <cell r="H2249"/>
          <cell r="L2249"/>
          <cell r="M2249"/>
        </row>
        <row r="2250">
          <cell r="G2250"/>
          <cell r="H2250"/>
          <cell r="L2250"/>
          <cell r="M2250"/>
        </row>
        <row r="2251">
          <cell r="G2251"/>
          <cell r="H2251"/>
          <cell r="L2251"/>
          <cell r="M2251"/>
        </row>
        <row r="2252">
          <cell r="G2252"/>
          <cell r="H2252"/>
          <cell r="L2252"/>
          <cell r="M2252"/>
        </row>
        <row r="2253">
          <cell r="G2253"/>
          <cell r="H2253"/>
          <cell r="L2253"/>
          <cell r="M2253"/>
        </row>
        <row r="2254">
          <cell r="G2254"/>
          <cell r="H2254"/>
          <cell r="L2254"/>
          <cell r="M2254"/>
        </row>
        <row r="2255">
          <cell r="G2255"/>
          <cell r="H2255"/>
          <cell r="L2255"/>
          <cell r="M2255"/>
        </row>
        <row r="2256">
          <cell r="G2256"/>
          <cell r="H2256"/>
          <cell r="L2256"/>
          <cell r="M2256"/>
        </row>
        <row r="2257">
          <cell r="G2257"/>
          <cell r="H2257"/>
          <cell r="L2257"/>
          <cell r="M2257"/>
        </row>
        <row r="2258">
          <cell r="G2258"/>
          <cell r="H2258"/>
          <cell r="L2258"/>
          <cell r="M2258"/>
        </row>
        <row r="2259">
          <cell r="G2259"/>
          <cell r="H2259"/>
          <cell r="L2259"/>
          <cell r="M2259"/>
        </row>
        <row r="2260">
          <cell r="G2260"/>
          <cell r="H2260"/>
          <cell r="L2260"/>
          <cell r="M2260"/>
        </row>
        <row r="2261">
          <cell r="G2261"/>
          <cell r="H2261"/>
          <cell r="L2261"/>
          <cell r="M2261"/>
        </row>
        <row r="2262">
          <cell r="G2262"/>
          <cell r="H2262"/>
          <cell r="L2262"/>
          <cell r="M2262"/>
        </row>
        <row r="2263">
          <cell r="G2263"/>
          <cell r="H2263"/>
          <cell r="L2263"/>
          <cell r="M2263"/>
        </row>
        <row r="2264">
          <cell r="G2264"/>
          <cell r="H2264"/>
          <cell r="L2264"/>
          <cell r="M2264"/>
        </row>
        <row r="2265">
          <cell r="G2265"/>
          <cell r="H2265"/>
          <cell r="L2265"/>
          <cell r="M2265"/>
        </row>
        <row r="2266">
          <cell r="G2266"/>
          <cell r="H2266"/>
          <cell r="L2266"/>
          <cell r="M2266"/>
        </row>
        <row r="2267">
          <cell r="G2267"/>
          <cell r="H2267"/>
          <cell r="L2267"/>
          <cell r="M2267"/>
        </row>
        <row r="2268">
          <cell r="G2268"/>
          <cell r="H2268"/>
          <cell r="L2268"/>
          <cell r="M2268"/>
        </row>
        <row r="2269">
          <cell r="G2269"/>
          <cell r="H2269"/>
          <cell r="L2269"/>
          <cell r="M2269"/>
        </row>
        <row r="2270">
          <cell r="G2270"/>
          <cell r="H2270"/>
          <cell r="L2270"/>
          <cell r="M2270"/>
        </row>
        <row r="2271">
          <cell r="G2271"/>
          <cell r="H2271"/>
          <cell r="L2271"/>
          <cell r="M2271"/>
        </row>
        <row r="2272">
          <cell r="G2272"/>
          <cell r="H2272"/>
          <cell r="L2272"/>
          <cell r="M2272"/>
        </row>
        <row r="2273">
          <cell r="G2273"/>
          <cell r="H2273"/>
          <cell r="L2273"/>
          <cell r="M2273"/>
        </row>
        <row r="2274">
          <cell r="G2274"/>
          <cell r="H2274"/>
          <cell r="L2274"/>
          <cell r="M2274"/>
        </row>
        <row r="2275">
          <cell r="G2275"/>
          <cell r="H2275"/>
          <cell r="L2275"/>
          <cell r="M2275"/>
        </row>
        <row r="2276">
          <cell r="G2276"/>
          <cell r="H2276"/>
          <cell r="L2276"/>
          <cell r="M2276"/>
        </row>
        <row r="2277">
          <cell r="G2277"/>
          <cell r="H2277"/>
          <cell r="L2277"/>
          <cell r="M2277"/>
        </row>
        <row r="2278">
          <cell r="G2278"/>
          <cell r="H2278"/>
          <cell r="L2278"/>
          <cell r="M2278"/>
        </row>
        <row r="2279">
          <cell r="G2279"/>
          <cell r="H2279"/>
          <cell r="L2279"/>
          <cell r="M2279"/>
        </row>
        <row r="2280">
          <cell r="G2280"/>
          <cell r="H2280"/>
          <cell r="L2280"/>
          <cell r="M2280"/>
        </row>
        <row r="2281">
          <cell r="G2281"/>
          <cell r="H2281"/>
          <cell r="L2281"/>
          <cell r="M2281"/>
        </row>
        <row r="2282">
          <cell r="G2282"/>
          <cell r="H2282"/>
          <cell r="L2282"/>
          <cell r="M2282"/>
        </row>
        <row r="2283">
          <cell r="G2283"/>
          <cell r="H2283"/>
          <cell r="L2283"/>
          <cell r="M2283"/>
        </row>
        <row r="2284">
          <cell r="G2284"/>
          <cell r="H2284"/>
          <cell r="L2284"/>
          <cell r="M2284"/>
        </row>
        <row r="2285">
          <cell r="G2285"/>
          <cell r="H2285"/>
          <cell r="L2285"/>
          <cell r="M2285"/>
        </row>
        <row r="2286">
          <cell r="G2286"/>
          <cell r="H2286"/>
          <cell r="L2286"/>
          <cell r="M2286"/>
        </row>
        <row r="2287">
          <cell r="G2287"/>
          <cell r="H2287"/>
          <cell r="L2287"/>
          <cell r="M2287"/>
        </row>
        <row r="2288">
          <cell r="G2288"/>
          <cell r="H2288"/>
          <cell r="L2288"/>
          <cell r="M2288"/>
        </row>
        <row r="2289">
          <cell r="G2289"/>
          <cell r="H2289"/>
          <cell r="L2289"/>
          <cell r="M2289"/>
        </row>
        <row r="2290">
          <cell r="G2290"/>
          <cell r="H2290"/>
          <cell r="L2290"/>
          <cell r="M2290"/>
        </row>
        <row r="2291">
          <cell r="G2291"/>
          <cell r="H2291"/>
          <cell r="L2291"/>
          <cell r="M2291"/>
        </row>
        <row r="2292">
          <cell r="G2292"/>
          <cell r="H2292"/>
          <cell r="L2292"/>
          <cell r="M2292"/>
        </row>
        <row r="2293">
          <cell r="G2293"/>
          <cell r="H2293"/>
          <cell r="L2293"/>
          <cell r="M2293"/>
        </row>
        <row r="2294">
          <cell r="G2294"/>
          <cell r="H2294"/>
          <cell r="L2294"/>
          <cell r="M2294"/>
        </row>
        <row r="2295">
          <cell r="G2295"/>
          <cell r="H2295"/>
          <cell r="L2295"/>
          <cell r="M2295"/>
        </row>
        <row r="2296">
          <cell r="G2296"/>
          <cell r="H2296"/>
          <cell r="L2296"/>
          <cell r="M2296"/>
        </row>
        <row r="2297">
          <cell r="G2297"/>
          <cell r="H2297"/>
          <cell r="L2297"/>
          <cell r="M2297"/>
        </row>
        <row r="2298">
          <cell r="G2298"/>
          <cell r="H2298"/>
          <cell r="L2298"/>
          <cell r="M2298"/>
        </row>
        <row r="2299">
          <cell r="G2299"/>
          <cell r="H2299"/>
          <cell r="L2299"/>
          <cell r="M2299"/>
        </row>
        <row r="2300">
          <cell r="G2300"/>
          <cell r="H2300"/>
          <cell r="L2300"/>
          <cell r="M2300"/>
        </row>
        <row r="2301">
          <cell r="G2301"/>
          <cell r="H2301"/>
          <cell r="L2301"/>
          <cell r="M2301"/>
        </row>
        <row r="2302">
          <cell r="G2302"/>
          <cell r="H2302"/>
          <cell r="L2302"/>
          <cell r="M2302"/>
        </row>
        <row r="2303">
          <cell r="G2303"/>
          <cell r="H2303"/>
          <cell r="L2303"/>
          <cell r="M2303"/>
        </row>
        <row r="2304">
          <cell r="G2304"/>
          <cell r="H2304"/>
          <cell r="L2304"/>
          <cell r="M2304"/>
        </row>
        <row r="2305">
          <cell r="G2305"/>
          <cell r="H2305"/>
          <cell r="L2305"/>
          <cell r="M2305"/>
        </row>
        <row r="2306">
          <cell r="G2306"/>
          <cell r="H2306"/>
          <cell r="L2306"/>
          <cell r="M2306"/>
        </row>
        <row r="2307">
          <cell r="G2307"/>
          <cell r="H2307"/>
          <cell r="L2307"/>
          <cell r="M2307"/>
        </row>
        <row r="2308">
          <cell r="G2308"/>
          <cell r="H2308"/>
          <cell r="L2308"/>
          <cell r="M2308"/>
        </row>
        <row r="2309">
          <cell r="G2309"/>
          <cell r="H2309"/>
          <cell r="L2309"/>
          <cell r="M2309"/>
        </row>
        <row r="2310">
          <cell r="G2310"/>
          <cell r="H2310"/>
          <cell r="L2310"/>
          <cell r="M2310"/>
        </row>
        <row r="2311">
          <cell r="G2311"/>
          <cell r="H2311"/>
          <cell r="L2311"/>
          <cell r="M2311"/>
        </row>
        <row r="2312">
          <cell r="G2312"/>
          <cell r="H2312"/>
          <cell r="L2312"/>
          <cell r="M2312"/>
        </row>
        <row r="2313">
          <cell r="G2313"/>
          <cell r="H2313"/>
          <cell r="L2313"/>
          <cell r="M2313"/>
        </row>
        <row r="2314">
          <cell r="G2314"/>
          <cell r="H2314"/>
          <cell r="L2314"/>
          <cell r="M2314"/>
        </row>
        <row r="2315">
          <cell r="G2315"/>
          <cell r="H2315"/>
          <cell r="L2315"/>
          <cell r="M2315"/>
        </row>
        <row r="2316">
          <cell r="G2316"/>
          <cell r="H2316"/>
          <cell r="L2316"/>
          <cell r="M2316"/>
        </row>
        <row r="2317">
          <cell r="G2317"/>
          <cell r="H2317"/>
          <cell r="L2317"/>
          <cell r="M2317"/>
        </row>
        <row r="2318">
          <cell r="G2318"/>
          <cell r="H2318"/>
          <cell r="L2318"/>
          <cell r="M2318"/>
        </row>
        <row r="2319">
          <cell r="G2319"/>
          <cell r="H2319"/>
          <cell r="L2319"/>
          <cell r="M2319"/>
        </row>
        <row r="2320">
          <cell r="G2320"/>
          <cell r="H2320"/>
          <cell r="L2320"/>
          <cell r="M2320"/>
        </row>
        <row r="2321">
          <cell r="G2321"/>
          <cell r="H2321"/>
          <cell r="L2321"/>
          <cell r="M2321"/>
        </row>
        <row r="2322">
          <cell r="G2322"/>
          <cell r="H2322"/>
          <cell r="L2322"/>
          <cell r="M2322"/>
        </row>
        <row r="2323">
          <cell r="G2323"/>
          <cell r="H2323"/>
          <cell r="L2323"/>
          <cell r="M2323"/>
        </row>
        <row r="2324">
          <cell r="G2324"/>
          <cell r="H2324"/>
          <cell r="L2324"/>
          <cell r="M2324"/>
        </row>
        <row r="2325">
          <cell r="G2325"/>
          <cell r="H2325"/>
          <cell r="L2325"/>
          <cell r="M2325"/>
        </row>
        <row r="2326">
          <cell r="G2326"/>
          <cell r="H2326"/>
          <cell r="L2326"/>
          <cell r="M2326"/>
        </row>
        <row r="2327">
          <cell r="G2327"/>
          <cell r="H2327"/>
          <cell r="L2327"/>
          <cell r="M2327"/>
        </row>
        <row r="2328">
          <cell r="G2328"/>
          <cell r="H2328"/>
          <cell r="L2328"/>
          <cell r="M2328"/>
        </row>
        <row r="2329">
          <cell r="G2329"/>
          <cell r="H2329"/>
          <cell r="L2329"/>
          <cell r="M2329"/>
        </row>
        <row r="2330">
          <cell r="G2330"/>
          <cell r="H2330"/>
          <cell r="L2330"/>
          <cell r="M2330"/>
        </row>
        <row r="2331">
          <cell r="G2331"/>
          <cell r="H2331"/>
          <cell r="L2331"/>
          <cell r="M2331"/>
        </row>
        <row r="2332">
          <cell r="G2332"/>
          <cell r="H2332"/>
          <cell r="L2332"/>
          <cell r="M2332"/>
        </row>
        <row r="2333">
          <cell r="G2333"/>
          <cell r="H2333"/>
          <cell r="L2333"/>
          <cell r="M2333"/>
        </row>
        <row r="2334">
          <cell r="G2334"/>
          <cell r="H2334"/>
          <cell r="L2334"/>
          <cell r="M2334"/>
        </row>
        <row r="2335">
          <cell r="G2335"/>
          <cell r="H2335"/>
          <cell r="L2335"/>
          <cell r="M2335"/>
        </row>
        <row r="2336">
          <cell r="G2336"/>
          <cell r="H2336"/>
          <cell r="L2336"/>
          <cell r="M2336"/>
        </row>
        <row r="2337">
          <cell r="G2337"/>
          <cell r="H2337"/>
          <cell r="L2337"/>
          <cell r="M2337"/>
        </row>
        <row r="2338">
          <cell r="G2338"/>
          <cell r="H2338"/>
          <cell r="L2338"/>
          <cell r="M2338"/>
        </row>
        <row r="2339">
          <cell r="G2339"/>
          <cell r="H2339"/>
          <cell r="L2339"/>
          <cell r="M2339"/>
        </row>
        <row r="2340">
          <cell r="G2340"/>
          <cell r="H2340"/>
          <cell r="L2340"/>
          <cell r="M2340"/>
        </row>
        <row r="2341">
          <cell r="G2341"/>
          <cell r="H2341"/>
          <cell r="L2341"/>
          <cell r="M2341"/>
        </row>
        <row r="2342">
          <cell r="G2342"/>
          <cell r="H2342"/>
          <cell r="L2342"/>
          <cell r="M2342"/>
        </row>
        <row r="2343">
          <cell r="G2343"/>
          <cell r="H2343"/>
          <cell r="L2343"/>
          <cell r="M2343"/>
        </row>
        <row r="2344">
          <cell r="G2344"/>
          <cell r="H2344"/>
          <cell r="L2344"/>
          <cell r="M2344"/>
        </row>
        <row r="2345">
          <cell r="G2345"/>
          <cell r="H2345"/>
          <cell r="L2345"/>
          <cell r="M2345"/>
        </row>
        <row r="2346">
          <cell r="G2346"/>
          <cell r="H2346"/>
          <cell r="L2346"/>
          <cell r="M2346"/>
        </row>
        <row r="2347">
          <cell r="G2347"/>
          <cell r="H2347"/>
          <cell r="L2347"/>
          <cell r="M2347"/>
        </row>
        <row r="2348">
          <cell r="G2348"/>
          <cell r="H2348"/>
          <cell r="L2348"/>
          <cell r="M2348"/>
        </row>
        <row r="2349">
          <cell r="G2349"/>
          <cell r="H2349"/>
          <cell r="L2349"/>
          <cell r="M2349"/>
        </row>
        <row r="2350">
          <cell r="G2350"/>
          <cell r="H2350"/>
          <cell r="L2350"/>
          <cell r="M2350"/>
        </row>
        <row r="2351">
          <cell r="G2351"/>
          <cell r="H2351"/>
          <cell r="L2351"/>
          <cell r="M2351"/>
        </row>
        <row r="2352">
          <cell r="G2352"/>
          <cell r="H2352"/>
          <cell r="L2352"/>
          <cell r="M2352"/>
        </row>
        <row r="2353">
          <cell r="G2353"/>
          <cell r="H2353"/>
          <cell r="L2353"/>
          <cell r="M2353"/>
        </row>
        <row r="2354">
          <cell r="G2354"/>
          <cell r="H2354"/>
          <cell r="L2354"/>
          <cell r="M2354"/>
        </row>
        <row r="2355">
          <cell r="G2355"/>
          <cell r="H2355"/>
          <cell r="L2355"/>
          <cell r="M2355"/>
        </row>
        <row r="2356">
          <cell r="G2356"/>
          <cell r="H2356"/>
          <cell r="L2356"/>
          <cell r="M2356"/>
        </row>
        <row r="2357">
          <cell r="G2357"/>
          <cell r="H2357"/>
          <cell r="L2357"/>
          <cell r="M2357"/>
        </row>
        <row r="2358">
          <cell r="G2358"/>
          <cell r="H2358"/>
          <cell r="L2358"/>
          <cell r="M2358"/>
        </row>
        <row r="2359">
          <cell r="G2359"/>
          <cell r="H2359"/>
          <cell r="L2359"/>
          <cell r="M2359"/>
        </row>
        <row r="2360">
          <cell r="G2360"/>
          <cell r="H2360"/>
          <cell r="L2360"/>
          <cell r="M2360"/>
        </row>
        <row r="2361">
          <cell r="G2361"/>
          <cell r="H2361"/>
          <cell r="L2361"/>
          <cell r="M2361"/>
        </row>
        <row r="2362">
          <cell r="G2362"/>
          <cell r="H2362"/>
          <cell r="L2362"/>
          <cell r="M2362"/>
        </row>
        <row r="2363">
          <cell r="G2363"/>
          <cell r="H2363"/>
          <cell r="L2363"/>
          <cell r="M2363"/>
        </row>
        <row r="2364">
          <cell r="G2364"/>
          <cell r="H2364"/>
          <cell r="L2364"/>
          <cell r="M2364"/>
        </row>
        <row r="2365">
          <cell r="G2365"/>
          <cell r="H2365"/>
          <cell r="L2365"/>
          <cell r="M2365"/>
        </row>
        <row r="2366">
          <cell r="G2366"/>
          <cell r="H2366"/>
          <cell r="L2366"/>
          <cell r="M2366"/>
        </row>
        <row r="2367">
          <cell r="G2367"/>
          <cell r="H2367"/>
          <cell r="L2367"/>
          <cell r="M2367"/>
        </row>
        <row r="2368">
          <cell r="G2368"/>
          <cell r="H2368"/>
          <cell r="L2368"/>
          <cell r="M2368"/>
        </row>
        <row r="2369">
          <cell r="G2369"/>
          <cell r="H2369"/>
          <cell r="L2369"/>
          <cell r="M2369"/>
        </row>
        <row r="2370">
          <cell r="G2370"/>
          <cell r="H2370"/>
          <cell r="L2370"/>
          <cell r="M2370"/>
        </row>
        <row r="2371">
          <cell r="G2371"/>
          <cell r="H2371"/>
          <cell r="L2371"/>
          <cell r="M2371"/>
        </row>
        <row r="2372">
          <cell r="G2372"/>
          <cell r="H2372"/>
          <cell r="L2372"/>
          <cell r="M2372"/>
        </row>
        <row r="2373">
          <cell r="G2373"/>
          <cell r="H2373"/>
          <cell r="L2373"/>
          <cell r="M2373"/>
        </row>
        <row r="2374">
          <cell r="G2374"/>
          <cell r="H2374"/>
          <cell r="L2374"/>
          <cell r="M2374"/>
        </row>
        <row r="2375">
          <cell r="G2375"/>
          <cell r="H2375"/>
          <cell r="L2375"/>
          <cell r="M2375"/>
        </row>
        <row r="2376">
          <cell r="G2376"/>
          <cell r="H2376"/>
          <cell r="L2376"/>
          <cell r="M2376"/>
        </row>
        <row r="2377">
          <cell r="G2377"/>
          <cell r="H2377"/>
          <cell r="L2377"/>
          <cell r="M2377"/>
        </row>
        <row r="2378">
          <cell r="G2378"/>
          <cell r="H2378"/>
          <cell r="L2378"/>
          <cell r="M2378"/>
        </row>
        <row r="2379">
          <cell r="G2379"/>
          <cell r="H2379"/>
          <cell r="L2379"/>
          <cell r="M2379"/>
        </row>
        <row r="2380">
          <cell r="G2380"/>
          <cell r="H2380"/>
          <cell r="L2380"/>
          <cell r="M2380"/>
        </row>
        <row r="2381">
          <cell r="G2381"/>
          <cell r="H2381"/>
          <cell r="L2381"/>
          <cell r="M2381"/>
        </row>
        <row r="2382">
          <cell r="G2382"/>
          <cell r="H2382"/>
          <cell r="L2382"/>
          <cell r="M2382"/>
        </row>
        <row r="2383">
          <cell r="G2383"/>
          <cell r="H2383"/>
          <cell r="L2383"/>
          <cell r="M2383"/>
        </row>
        <row r="2384">
          <cell r="G2384"/>
          <cell r="H2384"/>
          <cell r="L2384"/>
          <cell r="M2384"/>
        </row>
        <row r="2385">
          <cell r="G2385"/>
          <cell r="H2385"/>
          <cell r="L2385"/>
          <cell r="M2385"/>
        </row>
        <row r="2386">
          <cell r="G2386"/>
          <cell r="H2386"/>
          <cell r="L2386"/>
          <cell r="M2386"/>
        </row>
        <row r="2387">
          <cell r="G2387"/>
          <cell r="H2387"/>
          <cell r="L2387"/>
          <cell r="M2387"/>
        </row>
        <row r="2388">
          <cell r="G2388"/>
          <cell r="H2388"/>
          <cell r="L2388"/>
          <cell r="M2388"/>
        </row>
        <row r="2389">
          <cell r="G2389"/>
          <cell r="H2389"/>
          <cell r="L2389"/>
          <cell r="M2389"/>
        </row>
        <row r="2390">
          <cell r="G2390"/>
          <cell r="H2390"/>
          <cell r="L2390"/>
          <cell r="M2390"/>
        </row>
        <row r="2391">
          <cell r="G2391"/>
          <cell r="H2391"/>
          <cell r="L2391"/>
          <cell r="M2391"/>
        </row>
        <row r="2392">
          <cell r="G2392"/>
          <cell r="H2392"/>
          <cell r="L2392"/>
          <cell r="M2392"/>
        </row>
        <row r="2393">
          <cell r="G2393"/>
          <cell r="H2393"/>
          <cell r="L2393"/>
          <cell r="M2393"/>
        </row>
        <row r="2394">
          <cell r="G2394"/>
          <cell r="H2394"/>
          <cell r="L2394"/>
          <cell r="M2394"/>
        </row>
        <row r="2395">
          <cell r="G2395"/>
          <cell r="H2395"/>
          <cell r="L2395"/>
          <cell r="M2395"/>
        </row>
        <row r="2396">
          <cell r="G2396"/>
          <cell r="H2396"/>
          <cell r="L2396"/>
          <cell r="M2396"/>
        </row>
        <row r="2397">
          <cell r="G2397"/>
          <cell r="H2397"/>
          <cell r="L2397"/>
          <cell r="M2397"/>
        </row>
        <row r="2398">
          <cell r="G2398"/>
          <cell r="H2398"/>
          <cell r="L2398"/>
          <cell r="M2398"/>
        </row>
        <row r="2399">
          <cell r="G2399"/>
          <cell r="H2399"/>
          <cell r="L2399"/>
          <cell r="M2399"/>
        </row>
        <row r="2400">
          <cell r="G2400"/>
          <cell r="H2400"/>
          <cell r="L2400"/>
          <cell r="M2400"/>
        </row>
        <row r="2401">
          <cell r="G2401"/>
          <cell r="H2401"/>
          <cell r="L2401"/>
          <cell r="M2401"/>
        </row>
        <row r="2402">
          <cell r="G2402"/>
          <cell r="H2402"/>
          <cell r="L2402"/>
          <cell r="M2402"/>
        </row>
        <row r="2403">
          <cell r="G2403"/>
          <cell r="H2403"/>
          <cell r="L2403"/>
          <cell r="M2403"/>
        </row>
        <row r="2404">
          <cell r="G2404"/>
          <cell r="H2404"/>
          <cell r="L2404"/>
          <cell r="M2404"/>
        </row>
        <row r="2405">
          <cell r="G2405"/>
          <cell r="H2405"/>
          <cell r="L2405"/>
          <cell r="M2405"/>
        </row>
        <row r="2406">
          <cell r="G2406"/>
          <cell r="H2406"/>
          <cell r="L2406"/>
          <cell r="M2406"/>
        </row>
        <row r="2407">
          <cell r="G2407"/>
          <cell r="H2407"/>
          <cell r="L2407"/>
          <cell r="M2407"/>
        </row>
        <row r="2408">
          <cell r="G2408"/>
          <cell r="H2408"/>
          <cell r="L2408"/>
          <cell r="M2408"/>
        </row>
        <row r="2409">
          <cell r="G2409"/>
          <cell r="H2409"/>
          <cell r="L2409"/>
          <cell r="M2409"/>
        </row>
        <row r="2410">
          <cell r="G2410"/>
          <cell r="H2410"/>
          <cell r="L2410"/>
          <cell r="M2410"/>
        </row>
        <row r="2411">
          <cell r="G2411"/>
          <cell r="H2411"/>
          <cell r="L2411"/>
          <cell r="M2411"/>
        </row>
        <row r="2412">
          <cell r="G2412"/>
          <cell r="H2412"/>
          <cell r="L2412"/>
          <cell r="M2412"/>
        </row>
        <row r="2413">
          <cell r="G2413"/>
          <cell r="H2413"/>
          <cell r="L2413"/>
          <cell r="M2413"/>
        </row>
        <row r="2414">
          <cell r="G2414"/>
          <cell r="H2414"/>
          <cell r="L2414"/>
          <cell r="M2414"/>
        </row>
        <row r="2415">
          <cell r="G2415"/>
          <cell r="H2415"/>
          <cell r="L2415"/>
          <cell r="M2415"/>
        </row>
        <row r="2416">
          <cell r="G2416"/>
          <cell r="H2416"/>
          <cell r="L2416"/>
          <cell r="M2416"/>
        </row>
        <row r="2417">
          <cell r="G2417"/>
          <cell r="H2417"/>
          <cell r="L2417"/>
          <cell r="M2417"/>
        </row>
        <row r="2418">
          <cell r="G2418"/>
          <cell r="H2418"/>
          <cell r="L2418"/>
          <cell r="M2418"/>
        </row>
        <row r="2419">
          <cell r="G2419"/>
          <cell r="H2419"/>
          <cell r="L2419"/>
          <cell r="M2419"/>
        </row>
        <row r="2420">
          <cell r="G2420"/>
          <cell r="H2420"/>
          <cell r="L2420"/>
          <cell r="M2420"/>
        </row>
        <row r="2421">
          <cell r="G2421"/>
          <cell r="H2421"/>
          <cell r="L2421"/>
          <cell r="M2421"/>
        </row>
        <row r="2422">
          <cell r="G2422"/>
          <cell r="H2422"/>
          <cell r="L2422"/>
          <cell r="M2422"/>
        </row>
        <row r="2423">
          <cell r="G2423"/>
          <cell r="H2423"/>
          <cell r="L2423"/>
          <cell r="M2423"/>
        </row>
        <row r="2424">
          <cell r="G2424"/>
          <cell r="H2424"/>
          <cell r="L2424"/>
          <cell r="M2424"/>
        </row>
        <row r="2425">
          <cell r="G2425"/>
          <cell r="H2425"/>
          <cell r="L2425"/>
          <cell r="M2425"/>
        </row>
        <row r="2426">
          <cell r="G2426"/>
          <cell r="H2426"/>
          <cell r="L2426"/>
          <cell r="M2426"/>
        </row>
        <row r="2427">
          <cell r="G2427"/>
          <cell r="H2427"/>
          <cell r="L2427"/>
          <cell r="M2427"/>
        </row>
        <row r="2428">
          <cell r="G2428"/>
          <cell r="H2428"/>
          <cell r="L2428"/>
          <cell r="M2428"/>
        </row>
        <row r="2429">
          <cell r="G2429"/>
          <cell r="H2429"/>
          <cell r="L2429"/>
          <cell r="M2429"/>
        </row>
        <row r="2430">
          <cell r="G2430"/>
          <cell r="H2430"/>
          <cell r="L2430"/>
          <cell r="M2430"/>
        </row>
        <row r="2431">
          <cell r="G2431"/>
          <cell r="H2431"/>
          <cell r="L2431"/>
          <cell r="M2431"/>
        </row>
        <row r="2432">
          <cell r="G2432"/>
          <cell r="H2432"/>
          <cell r="L2432"/>
          <cell r="M2432"/>
        </row>
        <row r="2433">
          <cell r="G2433"/>
          <cell r="H2433"/>
          <cell r="L2433"/>
          <cell r="M2433"/>
        </row>
        <row r="2434">
          <cell r="G2434"/>
          <cell r="H2434"/>
          <cell r="L2434"/>
          <cell r="M2434"/>
        </row>
        <row r="2435">
          <cell r="G2435"/>
          <cell r="H2435"/>
          <cell r="L2435"/>
          <cell r="M2435"/>
        </row>
        <row r="2436">
          <cell r="G2436"/>
          <cell r="H2436"/>
          <cell r="L2436"/>
          <cell r="M2436"/>
        </row>
        <row r="2437">
          <cell r="G2437"/>
          <cell r="H2437"/>
          <cell r="L2437"/>
          <cell r="M2437"/>
        </row>
        <row r="2438">
          <cell r="G2438"/>
          <cell r="H2438"/>
          <cell r="L2438"/>
          <cell r="M2438"/>
        </row>
        <row r="2439">
          <cell r="G2439"/>
          <cell r="H2439"/>
          <cell r="L2439"/>
          <cell r="M2439"/>
        </row>
        <row r="2440">
          <cell r="G2440"/>
          <cell r="H2440"/>
          <cell r="L2440"/>
          <cell r="M2440"/>
        </row>
        <row r="2441">
          <cell r="G2441"/>
          <cell r="H2441"/>
          <cell r="L2441"/>
          <cell r="M2441"/>
        </row>
        <row r="2442">
          <cell r="G2442"/>
          <cell r="H2442"/>
          <cell r="L2442"/>
          <cell r="M2442"/>
        </row>
        <row r="2443">
          <cell r="G2443"/>
          <cell r="H2443"/>
          <cell r="L2443"/>
          <cell r="M2443"/>
        </row>
        <row r="2444">
          <cell r="G2444"/>
          <cell r="H2444"/>
          <cell r="L2444"/>
          <cell r="M2444"/>
        </row>
        <row r="2445">
          <cell r="G2445"/>
          <cell r="H2445"/>
          <cell r="L2445"/>
          <cell r="M2445"/>
        </row>
        <row r="2446">
          <cell r="G2446"/>
          <cell r="H2446"/>
          <cell r="L2446"/>
          <cell r="M2446"/>
        </row>
        <row r="2447">
          <cell r="G2447"/>
          <cell r="H2447"/>
          <cell r="L2447"/>
          <cell r="M2447"/>
        </row>
        <row r="2448">
          <cell r="G2448"/>
          <cell r="H2448"/>
          <cell r="L2448"/>
          <cell r="M2448"/>
        </row>
        <row r="2449">
          <cell r="G2449"/>
          <cell r="H2449"/>
          <cell r="L2449"/>
          <cell r="M2449"/>
        </row>
        <row r="2450">
          <cell r="G2450"/>
          <cell r="H2450"/>
          <cell r="L2450"/>
          <cell r="M2450"/>
        </row>
        <row r="2451">
          <cell r="G2451"/>
          <cell r="H2451"/>
          <cell r="L2451"/>
          <cell r="M2451"/>
        </row>
        <row r="2452">
          <cell r="G2452"/>
          <cell r="H2452"/>
          <cell r="L2452"/>
          <cell r="M2452"/>
        </row>
        <row r="2453">
          <cell r="G2453"/>
          <cell r="H2453"/>
          <cell r="L2453"/>
          <cell r="M2453"/>
        </row>
        <row r="2454">
          <cell r="G2454"/>
          <cell r="H2454"/>
          <cell r="L2454"/>
          <cell r="M2454"/>
        </row>
        <row r="2455">
          <cell r="G2455"/>
          <cell r="H2455"/>
          <cell r="L2455"/>
          <cell r="M2455"/>
        </row>
        <row r="2456">
          <cell r="G2456"/>
          <cell r="H2456"/>
          <cell r="L2456"/>
          <cell r="M2456"/>
        </row>
        <row r="2457">
          <cell r="G2457"/>
          <cell r="H2457"/>
          <cell r="L2457"/>
          <cell r="M2457"/>
        </row>
        <row r="2458">
          <cell r="G2458"/>
          <cell r="H2458"/>
          <cell r="L2458"/>
          <cell r="M2458"/>
        </row>
        <row r="2459">
          <cell r="G2459"/>
          <cell r="H2459"/>
          <cell r="L2459"/>
          <cell r="M2459"/>
        </row>
        <row r="2460">
          <cell r="G2460"/>
          <cell r="H2460"/>
          <cell r="L2460"/>
          <cell r="M2460"/>
        </row>
        <row r="2461">
          <cell r="G2461"/>
          <cell r="H2461"/>
          <cell r="L2461"/>
          <cell r="M2461"/>
        </row>
        <row r="2462">
          <cell r="G2462"/>
          <cell r="H2462"/>
          <cell r="L2462"/>
          <cell r="M2462"/>
        </row>
        <row r="2463">
          <cell r="G2463"/>
          <cell r="H2463"/>
          <cell r="L2463"/>
          <cell r="M2463"/>
        </row>
        <row r="2464">
          <cell r="G2464"/>
          <cell r="H2464"/>
          <cell r="L2464"/>
          <cell r="M2464"/>
        </row>
        <row r="2465">
          <cell r="G2465"/>
          <cell r="H2465"/>
          <cell r="L2465"/>
          <cell r="M2465"/>
        </row>
        <row r="2466">
          <cell r="G2466"/>
          <cell r="H2466"/>
          <cell r="L2466"/>
          <cell r="M2466"/>
        </row>
        <row r="2467">
          <cell r="G2467"/>
          <cell r="H2467"/>
          <cell r="L2467"/>
          <cell r="M2467"/>
        </row>
        <row r="2468">
          <cell r="G2468"/>
          <cell r="H2468"/>
          <cell r="L2468"/>
          <cell r="M2468"/>
        </row>
        <row r="2469">
          <cell r="G2469"/>
          <cell r="H2469"/>
          <cell r="L2469"/>
          <cell r="M2469"/>
        </row>
        <row r="2470">
          <cell r="G2470"/>
          <cell r="H2470"/>
          <cell r="L2470"/>
          <cell r="M2470"/>
        </row>
        <row r="2471">
          <cell r="G2471"/>
          <cell r="H2471"/>
          <cell r="L2471"/>
          <cell r="M2471"/>
        </row>
        <row r="2472">
          <cell r="G2472"/>
          <cell r="H2472"/>
          <cell r="L2472"/>
          <cell r="M2472"/>
        </row>
        <row r="2473">
          <cell r="G2473"/>
          <cell r="H2473"/>
          <cell r="L2473"/>
          <cell r="M2473"/>
        </row>
        <row r="2474">
          <cell r="G2474"/>
          <cell r="H2474"/>
          <cell r="L2474"/>
          <cell r="M2474"/>
        </row>
        <row r="2475">
          <cell r="G2475"/>
          <cell r="H2475"/>
          <cell r="L2475"/>
          <cell r="M2475"/>
        </row>
        <row r="2476">
          <cell r="G2476"/>
          <cell r="H2476"/>
          <cell r="L2476"/>
          <cell r="M2476"/>
        </row>
        <row r="2477">
          <cell r="G2477"/>
          <cell r="H2477"/>
          <cell r="L2477"/>
          <cell r="M2477"/>
        </row>
        <row r="2478">
          <cell r="G2478"/>
          <cell r="H2478"/>
          <cell r="L2478"/>
          <cell r="M2478"/>
        </row>
        <row r="2479">
          <cell r="G2479"/>
          <cell r="H2479"/>
          <cell r="L2479"/>
          <cell r="M2479"/>
        </row>
        <row r="2480">
          <cell r="G2480"/>
          <cell r="H2480"/>
          <cell r="L2480"/>
          <cell r="M2480"/>
        </row>
        <row r="2481">
          <cell r="G2481"/>
          <cell r="H2481"/>
          <cell r="L2481"/>
          <cell r="M2481"/>
        </row>
        <row r="2482">
          <cell r="G2482"/>
          <cell r="H2482"/>
          <cell r="L2482"/>
          <cell r="M2482"/>
        </row>
        <row r="2483">
          <cell r="G2483"/>
          <cell r="H2483"/>
          <cell r="L2483"/>
          <cell r="M2483"/>
        </row>
        <row r="2484">
          <cell r="G2484"/>
          <cell r="H2484"/>
          <cell r="L2484"/>
          <cell r="M2484"/>
        </row>
        <row r="2485">
          <cell r="G2485"/>
          <cell r="H2485"/>
          <cell r="L2485"/>
          <cell r="M2485"/>
        </row>
        <row r="2486">
          <cell r="G2486"/>
          <cell r="H2486"/>
          <cell r="L2486"/>
          <cell r="M2486"/>
        </row>
        <row r="2487">
          <cell r="G2487"/>
          <cell r="H2487"/>
          <cell r="L2487"/>
          <cell r="M2487"/>
        </row>
        <row r="2488">
          <cell r="G2488"/>
          <cell r="H2488"/>
          <cell r="L2488"/>
          <cell r="M2488"/>
        </row>
        <row r="2489">
          <cell r="G2489"/>
          <cell r="H2489"/>
          <cell r="L2489"/>
          <cell r="M2489"/>
        </row>
        <row r="2490">
          <cell r="G2490"/>
          <cell r="H2490"/>
          <cell r="L2490"/>
          <cell r="M2490"/>
        </row>
        <row r="2491">
          <cell r="G2491"/>
          <cell r="H2491"/>
          <cell r="L2491"/>
          <cell r="M2491"/>
        </row>
        <row r="2492">
          <cell r="G2492"/>
          <cell r="H2492"/>
          <cell r="L2492"/>
          <cell r="M2492"/>
        </row>
        <row r="2493">
          <cell r="G2493"/>
          <cell r="H2493"/>
          <cell r="L2493"/>
          <cell r="M2493"/>
        </row>
        <row r="2494">
          <cell r="G2494"/>
          <cell r="H2494"/>
          <cell r="L2494"/>
          <cell r="M2494"/>
        </row>
        <row r="2495">
          <cell r="G2495"/>
          <cell r="H2495"/>
          <cell r="L2495"/>
          <cell r="M2495"/>
        </row>
        <row r="2496">
          <cell r="G2496"/>
          <cell r="H2496"/>
          <cell r="L2496"/>
          <cell r="M2496"/>
        </row>
        <row r="2497">
          <cell r="G2497"/>
          <cell r="H2497"/>
          <cell r="L2497"/>
          <cell r="M2497"/>
        </row>
        <row r="2498">
          <cell r="G2498"/>
          <cell r="H2498"/>
          <cell r="L2498"/>
          <cell r="M2498"/>
        </row>
        <row r="2499">
          <cell r="G2499"/>
          <cell r="H2499"/>
          <cell r="L2499"/>
          <cell r="M2499"/>
        </row>
        <row r="2500">
          <cell r="G2500"/>
          <cell r="H2500"/>
          <cell r="L2500"/>
          <cell r="M2500"/>
        </row>
        <row r="2501">
          <cell r="G2501"/>
          <cell r="H2501"/>
          <cell r="L2501"/>
          <cell r="M2501"/>
        </row>
        <row r="2502">
          <cell r="G2502"/>
          <cell r="H2502"/>
          <cell r="L2502"/>
          <cell r="M2502"/>
        </row>
        <row r="2503">
          <cell r="G2503"/>
          <cell r="H2503"/>
          <cell r="L2503"/>
          <cell r="M2503"/>
        </row>
        <row r="2504">
          <cell r="G2504"/>
          <cell r="H2504"/>
          <cell r="L2504"/>
          <cell r="M2504"/>
        </row>
        <row r="2505">
          <cell r="G2505"/>
          <cell r="H2505"/>
          <cell r="L2505"/>
          <cell r="M2505"/>
        </row>
        <row r="2506">
          <cell r="G2506"/>
          <cell r="H2506"/>
          <cell r="L2506"/>
          <cell r="M2506"/>
        </row>
        <row r="2507">
          <cell r="G2507"/>
          <cell r="H2507"/>
          <cell r="L2507"/>
          <cell r="M2507"/>
        </row>
        <row r="2508">
          <cell r="G2508"/>
          <cell r="H2508"/>
          <cell r="L2508"/>
          <cell r="M2508"/>
        </row>
        <row r="2509">
          <cell r="G2509"/>
          <cell r="H2509"/>
          <cell r="L2509"/>
          <cell r="M2509"/>
        </row>
        <row r="2510">
          <cell r="G2510"/>
          <cell r="H2510"/>
          <cell r="L2510"/>
          <cell r="M2510"/>
        </row>
        <row r="2511">
          <cell r="G2511"/>
          <cell r="H2511"/>
          <cell r="L2511"/>
          <cell r="M2511"/>
        </row>
        <row r="2512">
          <cell r="G2512"/>
          <cell r="H2512"/>
          <cell r="L2512"/>
          <cell r="M2512"/>
        </row>
        <row r="2513">
          <cell r="G2513"/>
          <cell r="H2513"/>
          <cell r="L2513"/>
          <cell r="M2513"/>
        </row>
        <row r="2514">
          <cell r="G2514"/>
          <cell r="H2514"/>
          <cell r="L2514"/>
          <cell r="M2514"/>
        </row>
        <row r="2515">
          <cell r="G2515"/>
          <cell r="H2515"/>
          <cell r="L2515"/>
          <cell r="M2515"/>
        </row>
        <row r="2516">
          <cell r="G2516"/>
          <cell r="H2516"/>
          <cell r="L2516"/>
          <cell r="M2516"/>
        </row>
        <row r="2517">
          <cell r="G2517"/>
          <cell r="H2517"/>
          <cell r="L2517"/>
          <cell r="M2517"/>
        </row>
        <row r="2518">
          <cell r="G2518"/>
          <cell r="H2518"/>
          <cell r="L2518"/>
          <cell r="M2518"/>
        </row>
        <row r="2519">
          <cell r="G2519"/>
          <cell r="H2519"/>
          <cell r="L2519"/>
          <cell r="M2519"/>
        </row>
        <row r="2520">
          <cell r="G2520"/>
          <cell r="H2520"/>
          <cell r="L2520"/>
          <cell r="M2520"/>
        </row>
        <row r="2521">
          <cell r="G2521"/>
          <cell r="H2521"/>
          <cell r="L2521"/>
          <cell r="M2521"/>
        </row>
        <row r="2522">
          <cell r="G2522"/>
          <cell r="H2522"/>
          <cell r="L2522"/>
          <cell r="M2522"/>
        </row>
        <row r="2523">
          <cell r="G2523"/>
          <cell r="H2523"/>
          <cell r="L2523"/>
          <cell r="M2523"/>
        </row>
        <row r="2524">
          <cell r="G2524"/>
          <cell r="H2524"/>
          <cell r="L2524"/>
          <cell r="M2524"/>
        </row>
        <row r="2525">
          <cell r="G2525"/>
          <cell r="H2525"/>
          <cell r="L2525"/>
          <cell r="M2525"/>
        </row>
        <row r="2526">
          <cell r="G2526"/>
          <cell r="H2526"/>
          <cell r="L2526"/>
          <cell r="M2526"/>
        </row>
        <row r="2527">
          <cell r="G2527"/>
          <cell r="H2527"/>
          <cell r="L2527"/>
          <cell r="M2527"/>
        </row>
        <row r="2528">
          <cell r="G2528"/>
          <cell r="H2528"/>
          <cell r="L2528"/>
          <cell r="M2528"/>
        </row>
        <row r="2529">
          <cell r="G2529"/>
          <cell r="H2529"/>
          <cell r="L2529"/>
          <cell r="M2529"/>
        </row>
        <row r="2530">
          <cell r="G2530"/>
          <cell r="H2530"/>
          <cell r="L2530"/>
          <cell r="M2530"/>
        </row>
        <row r="2531">
          <cell r="G2531"/>
          <cell r="H2531"/>
          <cell r="L2531"/>
          <cell r="M2531"/>
        </row>
        <row r="2532">
          <cell r="G2532"/>
          <cell r="H2532"/>
          <cell r="L2532"/>
          <cell r="M2532"/>
        </row>
        <row r="2533">
          <cell r="G2533"/>
          <cell r="H2533"/>
          <cell r="L2533"/>
          <cell r="M2533"/>
        </row>
        <row r="2534">
          <cell r="G2534"/>
          <cell r="H2534"/>
          <cell r="L2534"/>
          <cell r="M2534"/>
        </row>
        <row r="2535">
          <cell r="G2535"/>
          <cell r="H2535"/>
          <cell r="L2535"/>
          <cell r="M2535"/>
        </row>
        <row r="2536">
          <cell r="G2536"/>
          <cell r="H2536"/>
          <cell r="L2536"/>
          <cell r="M2536"/>
        </row>
        <row r="2537">
          <cell r="G2537"/>
          <cell r="H2537"/>
          <cell r="L2537"/>
          <cell r="M2537"/>
        </row>
        <row r="2538">
          <cell r="G2538"/>
          <cell r="H2538"/>
          <cell r="L2538"/>
          <cell r="M2538"/>
        </row>
        <row r="2539">
          <cell r="G2539"/>
          <cell r="H2539"/>
          <cell r="L2539"/>
          <cell r="M2539"/>
        </row>
        <row r="2540">
          <cell r="G2540"/>
          <cell r="H2540"/>
          <cell r="L2540"/>
          <cell r="M2540"/>
        </row>
        <row r="2541">
          <cell r="G2541"/>
          <cell r="H2541"/>
          <cell r="L2541"/>
          <cell r="M2541"/>
        </row>
        <row r="2542">
          <cell r="G2542"/>
          <cell r="H2542"/>
          <cell r="L2542"/>
          <cell r="M2542"/>
        </row>
        <row r="2543">
          <cell r="G2543"/>
          <cell r="H2543"/>
          <cell r="L2543"/>
          <cell r="M2543"/>
        </row>
        <row r="2544">
          <cell r="G2544"/>
          <cell r="H2544"/>
          <cell r="L2544"/>
          <cell r="M2544"/>
        </row>
        <row r="2545">
          <cell r="G2545"/>
          <cell r="H2545"/>
          <cell r="L2545"/>
          <cell r="M2545"/>
        </row>
        <row r="2546">
          <cell r="G2546"/>
          <cell r="H2546"/>
          <cell r="L2546"/>
          <cell r="M2546"/>
        </row>
        <row r="2547">
          <cell r="G2547"/>
          <cell r="H2547"/>
          <cell r="L2547"/>
          <cell r="M2547"/>
        </row>
        <row r="2548">
          <cell r="G2548"/>
          <cell r="H2548"/>
          <cell r="L2548"/>
          <cell r="M2548"/>
        </row>
        <row r="2549">
          <cell r="G2549"/>
          <cell r="H2549"/>
          <cell r="L2549"/>
          <cell r="M2549"/>
        </row>
        <row r="2550">
          <cell r="G2550"/>
          <cell r="H2550"/>
          <cell r="L2550"/>
          <cell r="M2550"/>
        </row>
        <row r="2551">
          <cell r="G2551"/>
          <cell r="H2551"/>
          <cell r="L2551"/>
          <cell r="M2551"/>
        </row>
        <row r="2552">
          <cell r="G2552"/>
          <cell r="H2552"/>
          <cell r="L2552"/>
          <cell r="M2552"/>
        </row>
        <row r="2553">
          <cell r="G2553"/>
          <cell r="H2553"/>
          <cell r="L2553"/>
          <cell r="M2553"/>
        </row>
        <row r="2554">
          <cell r="G2554"/>
          <cell r="H2554"/>
          <cell r="L2554"/>
          <cell r="M2554"/>
        </row>
        <row r="2555">
          <cell r="G2555"/>
          <cell r="H2555"/>
          <cell r="L2555"/>
          <cell r="M2555"/>
        </row>
        <row r="2556">
          <cell r="G2556"/>
          <cell r="H2556"/>
          <cell r="L2556"/>
          <cell r="M2556"/>
        </row>
        <row r="2557">
          <cell r="G2557"/>
          <cell r="H2557"/>
          <cell r="L2557"/>
          <cell r="M2557"/>
        </row>
        <row r="2558">
          <cell r="G2558"/>
          <cell r="H2558"/>
          <cell r="L2558"/>
          <cell r="M2558"/>
        </row>
        <row r="2559">
          <cell r="G2559"/>
          <cell r="H2559"/>
          <cell r="L2559"/>
          <cell r="M2559"/>
        </row>
        <row r="2560">
          <cell r="G2560"/>
          <cell r="H2560"/>
          <cell r="L2560"/>
          <cell r="M2560"/>
        </row>
        <row r="2561">
          <cell r="G2561"/>
          <cell r="H2561"/>
          <cell r="L2561"/>
          <cell r="M2561"/>
        </row>
        <row r="2562">
          <cell r="G2562"/>
          <cell r="H2562"/>
          <cell r="L2562"/>
          <cell r="M2562"/>
        </row>
        <row r="2563">
          <cell r="G2563"/>
          <cell r="H2563"/>
          <cell r="L2563"/>
          <cell r="M2563"/>
        </row>
        <row r="2564">
          <cell r="G2564"/>
          <cell r="H2564"/>
          <cell r="L2564"/>
          <cell r="M2564"/>
        </row>
        <row r="2565">
          <cell r="G2565"/>
          <cell r="H2565"/>
          <cell r="L2565"/>
          <cell r="M2565"/>
        </row>
        <row r="2566">
          <cell r="G2566"/>
          <cell r="H2566"/>
          <cell r="L2566"/>
          <cell r="M2566"/>
        </row>
        <row r="2567">
          <cell r="G2567"/>
          <cell r="H2567"/>
          <cell r="L2567"/>
          <cell r="M2567"/>
        </row>
        <row r="2568">
          <cell r="G2568"/>
          <cell r="H2568"/>
          <cell r="L2568"/>
          <cell r="M2568"/>
        </row>
        <row r="2569">
          <cell r="G2569"/>
          <cell r="H2569"/>
          <cell r="L2569"/>
          <cell r="M2569"/>
        </row>
        <row r="2570">
          <cell r="G2570"/>
          <cell r="H2570"/>
          <cell r="L2570"/>
          <cell r="M2570"/>
        </row>
        <row r="2571">
          <cell r="G2571"/>
          <cell r="H2571"/>
          <cell r="L2571"/>
          <cell r="M2571"/>
        </row>
        <row r="2572">
          <cell r="G2572"/>
          <cell r="H2572"/>
          <cell r="L2572"/>
          <cell r="M2572"/>
        </row>
        <row r="2573">
          <cell r="G2573"/>
          <cell r="H2573"/>
          <cell r="L2573"/>
          <cell r="M2573"/>
        </row>
        <row r="2574">
          <cell r="G2574"/>
          <cell r="H2574"/>
          <cell r="L2574"/>
          <cell r="M2574"/>
        </row>
        <row r="2575">
          <cell r="G2575"/>
          <cell r="H2575"/>
          <cell r="L2575"/>
          <cell r="M2575"/>
        </row>
        <row r="2576">
          <cell r="G2576"/>
          <cell r="H2576"/>
          <cell r="L2576"/>
          <cell r="M2576"/>
        </row>
        <row r="2577">
          <cell r="G2577"/>
          <cell r="H2577"/>
          <cell r="L2577"/>
          <cell r="M2577"/>
        </row>
        <row r="2578">
          <cell r="G2578"/>
          <cell r="H2578"/>
          <cell r="L2578"/>
          <cell r="M2578"/>
        </row>
        <row r="2579">
          <cell r="G2579"/>
          <cell r="H2579"/>
          <cell r="L2579"/>
          <cell r="M2579"/>
        </row>
        <row r="2580">
          <cell r="G2580"/>
          <cell r="H2580"/>
          <cell r="L2580"/>
          <cell r="M2580"/>
        </row>
        <row r="2581">
          <cell r="G2581"/>
          <cell r="H2581"/>
          <cell r="L2581"/>
          <cell r="M2581"/>
        </row>
        <row r="2582">
          <cell r="G2582"/>
          <cell r="H2582"/>
          <cell r="L2582"/>
          <cell r="M2582"/>
        </row>
        <row r="2583">
          <cell r="G2583"/>
          <cell r="H2583"/>
          <cell r="L2583"/>
          <cell r="M2583"/>
        </row>
        <row r="2584">
          <cell r="G2584"/>
          <cell r="H2584"/>
          <cell r="L2584"/>
          <cell r="M2584"/>
        </row>
        <row r="2585">
          <cell r="G2585"/>
          <cell r="H2585"/>
          <cell r="L2585"/>
          <cell r="M2585"/>
        </row>
        <row r="2586">
          <cell r="G2586"/>
          <cell r="H2586"/>
          <cell r="L2586"/>
          <cell r="M2586"/>
        </row>
        <row r="2587">
          <cell r="G2587"/>
          <cell r="H2587"/>
          <cell r="L2587"/>
          <cell r="M2587"/>
        </row>
        <row r="2588">
          <cell r="G2588"/>
          <cell r="H2588"/>
          <cell r="L2588"/>
          <cell r="M2588"/>
        </row>
        <row r="2589">
          <cell r="G2589"/>
          <cell r="H2589"/>
          <cell r="L2589"/>
          <cell r="M2589"/>
        </row>
        <row r="2590">
          <cell r="G2590"/>
          <cell r="H2590"/>
          <cell r="L2590"/>
          <cell r="M2590"/>
        </row>
        <row r="2591">
          <cell r="G2591"/>
          <cell r="H2591"/>
          <cell r="L2591"/>
          <cell r="M2591"/>
        </row>
        <row r="2592">
          <cell r="G2592"/>
          <cell r="H2592"/>
          <cell r="L2592"/>
          <cell r="M2592"/>
        </row>
        <row r="2593">
          <cell r="G2593"/>
          <cell r="H2593"/>
          <cell r="L2593"/>
          <cell r="M2593"/>
        </row>
        <row r="2594">
          <cell r="G2594"/>
          <cell r="H2594"/>
          <cell r="L2594"/>
          <cell r="M2594"/>
        </row>
        <row r="2595">
          <cell r="G2595"/>
          <cell r="H2595"/>
          <cell r="L2595"/>
          <cell r="M2595"/>
        </row>
        <row r="2596">
          <cell r="G2596"/>
          <cell r="H2596"/>
          <cell r="L2596"/>
          <cell r="M2596"/>
        </row>
        <row r="2597">
          <cell r="G2597"/>
          <cell r="H2597"/>
          <cell r="L2597"/>
          <cell r="M2597"/>
        </row>
        <row r="2598">
          <cell r="G2598"/>
          <cell r="H2598"/>
          <cell r="L2598"/>
          <cell r="M2598"/>
        </row>
        <row r="2599">
          <cell r="G2599"/>
          <cell r="H2599"/>
          <cell r="L2599"/>
          <cell r="M2599"/>
        </row>
        <row r="2600">
          <cell r="G2600"/>
          <cell r="H2600"/>
          <cell r="L2600"/>
          <cell r="M2600"/>
        </row>
        <row r="2601">
          <cell r="G2601"/>
          <cell r="H2601"/>
          <cell r="L2601"/>
          <cell r="M2601"/>
        </row>
        <row r="2602">
          <cell r="G2602"/>
          <cell r="H2602"/>
          <cell r="L2602"/>
          <cell r="M2602"/>
        </row>
        <row r="2603">
          <cell r="G2603"/>
          <cell r="H2603"/>
          <cell r="L2603"/>
          <cell r="M2603"/>
        </row>
        <row r="2604">
          <cell r="G2604"/>
          <cell r="H2604"/>
          <cell r="L2604"/>
          <cell r="M2604"/>
        </row>
        <row r="2605">
          <cell r="G2605"/>
          <cell r="H2605"/>
          <cell r="L2605"/>
          <cell r="M2605"/>
        </row>
        <row r="2606">
          <cell r="G2606"/>
          <cell r="H2606"/>
          <cell r="L2606"/>
          <cell r="M2606"/>
        </row>
        <row r="2607">
          <cell r="G2607"/>
          <cell r="H2607"/>
          <cell r="L2607"/>
          <cell r="M2607"/>
        </row>
        <row r="2608">
          <cell r="G2608"/>
          <cell r="H2608"/>
          <cell r="L2608"/>
          <cell r="M2608"/>
        </row>
        <row r="2609">
          <cell r="G2609"/>
          <cell r="H2609"/>
          <cell r="L2609"/>
          <cell r="M2609"/>
        </row>
        <row r="2610">
          <cell r="G2610"/>
          <cell r="H2610"/>
          <cell r="L2610"/>
          <cell r="M2610"/>
        </row>
        <row r="2611">
          <cell r="G2611"/>
          <cell r="H2611"/>
          <cell r="L2611"/>
          <cell r="M2611"/>
        </row>
        <row r="2612">
          <cell r="G2612"/>
          <cell r="H2612"/>
          <cell r="L2612"/>
          <cell r="M2612"/>
        </row>
        <row r="2613">
          <cell r="G2613"/>
          <cell r="H2613"/>
          <cell r="L2613"/>
          <cell r="M2613"/>
        </row>
        <row r="2614">
          <cell r="G2614"/>
          <cell r="H2614"/>
          <cell r="L2614"/>
          <cell r="M2614"/>
        </row>
        <row r="2615">
          <cell r="G2615"/>
          <cell r="H2615"/>
          <cell r="L2615"/>
          <cell r="M2615"/>
        </row>
        <row r="2616">
          <cell r="G2616"/>
          <cell r="H2616"/>
          <cell r="L2616"/>
          <cell r="M2616"/>
        </row>
        <row r="2617">
          <cell r="G2617"/>
          <cell r="H2617"/>
          <cell r="L2617"/>
          <cell r="M2617"/>
        </row>
        <row r="2618">
          <cell r="G2618"/>
          <cell r="H2618"/>
          <cell r="L2618"/>
          <cell r="M2618"/>
        </row>
        <row r="2619">
          <cell r="G2619"/>
          <cell r="H2619"/>
          <cell r="L2619"/>
          <cell r="M2619"/>
        </row>
        <row r="2620">
          <cell r="G2620"/>
          <cell r="H2620"/>
          <cell r="L2620"/>
          <cell r="M2620"/>
        </row>
        <row r="2621">
          <cell r="G2621"/>
          <cell r="H2621"/>
          <cell r="L2621"/>
          <cell r="M2621"/>
        </row>
        <row r="2622">
          <cell r="G2622"/>
          <cell r="H2622"/>
          <cell r="L2622"/>
          <cell r="M2622"/>
        </row>
        <row r="2623">
          <cell r="G2623"/>
          <cell r="H2623"/>
          <cell r="L2623"/>
          <cell r="M2623"/>
        </row>
        <row r="2624">
          <cell r="G2624"/>
          <cell r="H2624"/>
          <cell r="L2624"/>
          <cell r="M2624"/>
        </row>
        <row r="2625">
          <cell r="G2625"/>
          <cell r="H2625"/>
          <cell r="L2625"/>
          <cell r="M2625"/>
        </row>
        <row r="2626">
          <cell r="G2626"/>
          <cell r="H2626"/>
          <cell r="L2626"/>
          <cell r="M2626"/>
        </row>
        <row r="2627">
          <cell r="G2627"/>
          <cell r="H2627"/>
          <cell r="L2627"/>
          <cell r="M2627"/>
        </row>
        <row r="2628">
          <cell r="G2628"/>
          <cell r="H2628"/>
          <cell r="L2628"/>
          <cell r="M2628"/>
        </row>
        <row r="2629">
          <cell r="G2629"/>
          <cell r="H2629"/>
          <cell r="L2629"/>
          <cell r="M2629"/>
        </row>
        <row r="2630">
          <cell r="G2630"/>
          <cell r="H2630"/>
          <cell r="L2630"/>
          <cell r="M2630"/>
        </row>
        <row r="2631">
          <cell r="G2631"/>
          <cell r="H2631"/>
          <cell r="L2631"/>
          <cell r="M2631"/>
        </row>
        <row r="2632">
          <cell r="G2632"/>
          <cell r="H2632"/>
          <cell r="L2632"/>
          <cell r="M2632"/>
        </row>
        <row r="2633">
          <cell r="G2633"/>
          <cell r="H2633"/>
          <cell r="L2633"/>
          <cell r="M2633"/>
        </row>
        <row r="2634">
          <cell r="G2634"/>
          <cell r="H2634"/>
          <cell r="L2634"/>
          <cell r="M2634"/>
        </row>
        <row r="2635">
          <cell r="G2635"/>
          <cell r="H2635"/>
          <cell r="L2635"/>
          <cell r="M2635"/>
        </row>
        <row r="2636">
          <cell r="G2636"/>
          <cell r="H2636"/>
          <cell r="L2636"/>
          <cell r="M2636"/>
        </row>
        <row r="2637">
          <cell r="G2637"/>
          <cell r="H2637"/>
          <cell r="L2637"/>
          <cell r="M2637"/>
        </row>
        <row r="2638">
          <cell r="G2638"/>
          <cell r="H2638"/>
          <cell r="L2638"/>
          <cell r="M2638"/>
        </row>
        <row r="2639">
          <cell r="G2639"/>
          <cell r="H2639"/>
          <cell r="L2639"/>
          <cell r="M2639"/>
        </row>
        <row r="2640">
          <cell r="G2640"/>
          <cell r="H2640"/>
          <cell r="L2640"/>
          <cell r="M2640"/>
        </row>
        <row r="2641">
          <cell r="G2641"/>
          <cell r="H2641"/>
          <cell r="L2641"/>
          <cell r="M2641"/>
        </row>
        <row r="2642">
          <cell r="G2642"/>
          <cell r="H2642"/>
          <cell r="L2642"/>
          <cell r="M2642"/>
        </row>
        <row r="2643">
          <cell r="G2643"/>
          <cell r="H2643"/>
          <cell r="L2643"/>
          <cell r="M2643"/>
        </row>
        <row r="2644">
          <cell r="G2644"/>
          <cell r="H2644"/>
          <cell r="L2644"/>
          <cell r="M2644"/>
        </row>
        <row r="2645">
          <cell r="G2645"/>
          <cell r="H2645"/>
          <cell r="L2645"/>
          <cell r="M2645"/>
        </row>
        <row r="2646">
          <cell r="G2646"/>
          <cell r="H2646"/>
          <cell r="L2646"/>
          <cell r="M2646"/>
        </row>
        <row r="2647">
          <cell r="G2647"/>
          <cell r="H2647"/>
          <cell r="L2647"/>
          <cell r="M2647"/>
        </row>
        <row r="2648">
          <cell r="G2648"/>
          <cell r="H2648"/>
          <cell r="L2648"/>
          <cell r="M2648"/>
        </row>
        <row r="2649">
          <cell r="G2649"/>
          <cell r="H2649"/>
          <cell r="L2649"/>
          <cell r="M2649"/>
        </row>
        <row r="2650">
          <cell r="G2650"/>
          <cell r="H2650"/>
          <cell r="L2650"/>
          <cell r="M2650"/>
        </row>
        <row r="2651">
          <cell r="G2651"/>
          <cell r="H2651"/>
          <cell r="L2651"/>
          <cell r="M2651"/>
        </row>
        <row r="2652">
          <cell r="G2652"/>
          <cell r="H2652"/>
          <cell r="L2652"/>
          <cell r="M2652"/>
        </row>
        <row r="2653">
          <cell r="G2653"/>
          <cell r="H2653"/>
          <cell r="L2653"/>
          <cell r="M2653"/>
        </row>
        <row r="2654">
          <cell r="G2654"/>
          <cell r="H2654"/>
          <cell r="L2654"/>
          <cell r="M2654"/>
        </row>
        <row r="2655">
          <cell r="G2655"/>
          <cell r="H2655"/>
          <cell r="L2655"/>
          <cell r="M2655"/>
        </row>
        <row r="2656">
          <cell r="G2656"/>
          <cell r="H2656"/>
          <cell r="L2656"/>
          <cell r="M2656"/>
        </row>
        <row r="2657">
          <cell r="G2657"/>
          <cell r="H2657"/>
          <cell r="L2657"/>
          <cell r="M2657"/>
        </row>
        <row r="2658">
          <cell r="G2658"/>
          <cell r="H2658"/>
          <cell r="L2658"/>
          <cell r="M2658"/>
        </row>
        <row r="2659">
          <cell r="G2659"/>
          <cell r="H2659"/>
          <cell r="L2659"/>
          <cell r="M2659"/>
        </row>
        <row r="2660">
          <cell r="G2660"/>
          <cell r="H2660"/>
          <cell r="L2660"/>
          <cell r="M2660"/>
        </row>
        <row r="2661">
          <cell r="G2661"/>
          <cell r="H2661"/>
          <cell r="L2661"/>
          <cell r="M2661"/>
        </row>
        <row r="2662">
          <cell r="G2662"/>
          <cell r="H2662"/>
          <cell r="L2662"/>
          <cell r="M2662"/>
        </row>
        <row r="2663">
          <cell r="G2663"/>
          <cell r="H2663"/>
          <cell r="L2663"/>
          <cell r="M2663"/>
        </row>
        <row r="2664">
          <cell r="G2664"/>
          <cell r="H2664"/>
          <cell r="L2664"/>
          <cell r="M2664"/>
        </row>
        <row r="2665">
          <cell r="G2665"/>
          <cell r="H2665"/>
          <cell r="L2665"/>
          <cell r="M2665"/>
        </row>
        <row r="2666">
          <cell r="G2666"/>
          <cell r="H2666"/>
          <cell r="L2666"/>
          <cell r="M2666"/>
        </row>
        <row r="2667">
          <cell r="G2667"/>
          <cell r="H2667"/>
          <cell r="L2667"/>
          <cell r="M2667"/>
        </row>
        <row r="2668">
          <cell r="G2668"/>
          <cell r="H2668"/>
          <cell r="L2668"/>
          <cell r="M2668"/>
        </row>
        <row r="2669">
          <cell r="G2669"/>
          <cell r="H2669"/>
          <cell r="L2669"/>
          <cell r="M2669"/>
        </row>
        <row r="2670">
          <cell r="G2670"/>
          <cell r="H2670"/>
          <cell r="L2670"/>
          <cell r="M2670"/>
        </row>
        <row r="2671">
          <cell r="G2671"/>
          <cell r="H2671"/>
          <cell r="L2671"/>
          <cell r="M2671"/>
        </row>
        <row r="2672">
          <cell r="G2672"/>
          <cell r="H2672"/>
          <cell r="L2672"/>
          <cell r="M2672"/>
        </row>
        <row r="2673">
          <cell r="G2673"/>
          <cell r="H2673"/>
          <cell r="L2673"/>
          <cell r="M2673"/>
        </row>
        <row r="2674">
          <cell r="G2674"/>
          <cell r="H2674"/>
          <cell r="L2674"/>
          <cell r="M2674"/>
        </row>
        <row r="2675">
          <cell r="G2675"/>
          <cell r="H2675"/>
          <cell r="L2675"/>
          <cell r="M2675"/>
        </row>
        <row r="2676">
          <cell r="G2676"/>
          <cell r="H2676"/>
          <cell r="L2676"/>
          <cell r="M2676"/>
        </row>
        <row r="2677">
          <cell r="G2677"/>
          <cell r="H2677"/>
          <cell r="L2677"/>
          <cell r="M2677"/>
        </row>
        <row r="2678">
          <cell r="G2678"/>
          <cell r="H2678"/>
          <cell r="L2678"/>
          <cell r="M2678"/>
        </row>
        <row r="2679">
          <cell r="G2679"/>
          <cell r="H2679"/>
          <cell r="L2679"/>
          <cell r="M2679"/>
        </row>
        <row r="2680">
          <cell r="G2680"/>
          <cell r="H2680"/>
          <cell r="L2680"/>
          <cell r="M2680"/>
        </row>
        <row r="2681">
          <cell r="G2681"/>
          <cell r="H2681"/>
          <cell r="L2681"/>
          <cell r="M2681"/>
        </row>
        <row r="2682">
          <cell r="G2682"/>
          <cell r="H2682"/>
          <cell r="L2682"/>
          <cell r="M2682"/>
        </row>
        <row r="2683">
          <cell r="G2683"/>
          <cell r="H2683"/>
          <cell r="L2683"/>
          <cell r="M2683"/>
        </row>
        <row r="2684">
          <cell r="G2684"/>
          <cell r="H2684"/>
          <cell r="L2684"/>
          <cell r="M2684"/>
        </row>
        <row r="2685">
          <cell r="G2685"/>
          <cell r="H2685"/>
          <cell r="L2685"/>
          <cell r="M2685"/>
        </row>
        <row r="2686">
          <cell r="G2686"/>
          <cell r="H2686"/>
          <cell r="L2686"/>
          <cell r="M2686"/>
        </row>
        <row r="2687">
          <cell r="G2687"/>
          <cell r="H2687"/>
          <cell r="L2687"/>
          <cell r="M2687"/>
        </row>
        <row r="2688">
          <cell r="G2688"/>
          <cell r="H2688"/>
          <cell r="L2688"/>
          <cell r="M2688"/>
        </row>
        <row r="2689">
          <cell r="G2689"/>
          <cell r="H2689"/>
          <cell r="L2689"/>
          <cell r="M2689"/>
        </row>
        <row r="2690">
          <cell r="G2690"/>
          <cell r="H2690"/>
          <cell r="L2690"/>
          <cell r="M2690"/>
        </row>
        <row r="2691">
          <cell r="G2691"/>
          <cell r="H2691"/>
          <cell r="L2691"/>
          <cell r="M2691"/>
        </row>
        <row r="2692">
          <cell r="G2692"/>
          <cell r="H2692"/>
          <cell r="L2692"/>
          <cell r="M2692"/>
        </row>
        <row r="2693">
          <cell r="G2693"/>
          <cell r="H2693"/>
          <cell r="L2693"/>
          <cell r="M2693"/>
        </row>
        <row r="2694">
          <cell r="G2694"/>
          <cell r="H2694"/>
          <cell r="L2694"/>
          <cell r="M2694"/>
        </row>
        <row r="2695">
          <cell r="G2695"/>
          <cell r="H2695"/>
          <cell r="L2695"/>
          <cell r="M2695"/>
        </row>
        <row r="2696">
          <cell r="G2696"/>
          <cell r="H2696"/>
          <cell r="L2696"/>
          <cell r="M2696"/>
        </row>
        <row r="2697">
          <cell r="G2697"/>
          <cell r="H2697"/>
          <cell r="L2697"/>
          <cell r="M2697"/>
        </row>
        <row r="2698">
          <cell r="G2698"/>
          <cell r="H2698"/>
          <cell r="L2698"/>
          <cell r="M2698"/>
        </row>
        <row r="2699">
          <cell r="G2699"/>
          <cell r="H2699"/>
          <cell r="L2699"/>
          <cell r="M2699"/>
        </row>
        <row r="2700">
          <cell r="G2700"/>
          <cell r="H2700"/>
          <cell r="L2700"/>
          <cell r="M2700"/>
        </row>
        <row r="2701">
          <cell r="G2701"/>
          <cell r="H2701"/>
          <cell r="L2701"/>
          <cell r="M2701"/>
        </row>
        <row r="2702">
          <cell r="G2702"/>
          <cell r="H2702"/>
          <cell r="L2702"/>
          <cell r="M2702"/>
        </row>
        <row r="2703">
          <cell r="G2703"/>
          <cell r="H2703"/>
          <cell r="L2703"/>
          <cell r="M2703"/>
        </row>
        <row r="2704">
          <cell r="G2704"/>
          <cell r="H2704"/>
          <cell r="L2704"/>
          <cell r="M2704"/>
        </row>
        <row r="2705">
          <cell r="G2705"/>
          <cell r="H2705"/>
          <cell r="L2705"/>
          <cell r="M2705"/>
        </row>
        <row r="2706">
          <cell r="G2706"/>
          <cell r="H2706"/>
          <cell r="L2706"/>
          <cell r="M2706"/>
        </row>
        <row r="2707">
          <cell r="G2707"/>
          <cell r="H2707"/>
          <cell r="L2707"/>
          <cell r="M2707"/>
        </row>
        <row r="2708">
          <cell r="G2708"/>
          <cell r="H2708"/>
          <cell r="L2708"/>
          <cell r="M2708"/>
        </row>
        <row r="2709">
          <cell r="G2709"/>
          <cell r="H2709"/>
          <cell r="L2709"/>
          <cell r="M2709"/>
        </row>
        <row r="2710">
          <cell r="G2710"/>
          <cell r="H2710"/>
          <cell r="L2710"/>
          <cell r="M2710"/>
        </row>
        <row r="2711">
          <cell r="G2711"/>
          <cell r="H2711"/>
          <cell r="L2711"/>
          <cell r="M2711"/>
        </row>
        <row r="2712">
          <cell r="G2712"/>
          <cell r="H2712"/>
          <cell r="L2712"/>
          <cell r="M2712"/>
        </row>
        <row r="2713">
          <cell r="G2713"/>
          <cell r="H2713"/>
          <cell r="L2713"/>
          <cell r="M2713"/>
        </row>
        <row r="2714">
          <cell r="G2714"/>
          <cell r="H2714"/>
          <cell r="L2714"/>
          <cell r="M2714"/>
        </row>
        <row r="2715">
          <cell r="G2715"/>
          <cell r="H2715"/>
          <cell r="L2715"/>
          <cell r="M2715"/>
        </row>
        <row r="2716">
          <cell r="G2716"/>
          <cell r="H2716"/>
          <cell r="L2716"/>
          <cell r="M2716"/>
        </row>
        <row r="2717">
          <cell r="G2717"/>
          <cell r="H2717"/>
          <cell r="L2717"/>
          <cell r="M2717"/>
        </row>
        <row r="2718">
          <cell r="G2718"/>
          <cell r="H2718"/>
          <cell r="L2718"/>
          <cell r="M2718"/>
        </row>
        <row r="2719">
          <cell r="G2719"/>
          <cell r="H2719"/>
          <cell r="L2719"/>
          <cell r="M2719"/>
        </row>
        <row r="2720">
          <cell r="G2720"/>
          <cell r="H2720"/>
          <cell r="L2720"/>
          <cell r="M2720"/>
        </row>
        <row r="2721">
          <cell r="G2721"/>
          <cell r="H2721"/>
          <cell r="L2721"/>
          <cell r="M2721"/>
        </row>
        <row r="2722">
          <cell r="G2722"/>
          <cell r="H2722"/>
          <cell r="L2722"/>
          <cell r="M2722"/>
        </row>
        <row r="2723">
          <cell r="G2723"/>
          <cell r="H2723"/>
          <cell r="L2723"/>
          <cell r="M2723"/>
        </row>
        <row r="2724">
          <cell r="G2724"/>
          <cell r="H2724"/>
          <cell r="L2724"/>
          <cell r="M2724"/>
        </row>
        <row r="2725">
          <cell r="G2725"/>
          <cell r="H2725"/>
          <cell r="L2725"/>
          <cell r="M2725"/>
        </row>
        <row r="2726">
          <cell r="G2726"/>
          <cell r="H2726"/>
          <cell r="L2726"/>
          <cell r="M2726"/>
        </row>
        <row r="2727">
          <cell r="G2727"/>
          <cell r="H2727"/>
          <cell r="L2727"/>
          <cell r="M2727"/>
        </row>
        <row r="2728">
          <cell r="G2728"/>
          <cell r="H2728"/>
          <cell r="L2728"/>
          <cell r="M2728"/>
        </row>
        <row r="2729">
          <cell r="G2729"/>
          <cell r="H2729"/>
          <cell r="L2729"/>
          <cell r="M2729"/>
        </row>
        <row r="2730">
          <cell r="G2730"/>
          <cell r="H2730"/>
          <cell r="L2730"/>
          <cell r="M2730"/>
        </row>
        <row r="2731">
          <cell r="G2731"/>
          <cell r="H2731"/>
          <cell r="L2731"/>
          <cell r="M2731"/>
        </row>
        <row r="2732">
          <cell r="G2732"/>
          <cell r="H2732"/>
          <cell r="L2732"/>
          <cell r="M2732"/>
        </row>
        <row r="2733">
          <cell r="G2733"/>
          <cell r="H2733"/>
          <cell r="L2733"/>
          <cell r="M2733"/>
        </row>
        <row r="2734">
          <cell r="G2734"/>
          <cell r="H2734"/>
          <cell r="L2734"/>
          <cell r="M2734"/>
        </row>
        <row r="2735">
          <cell r="G2735"/>
          <cell r="H2735"/>
          <cell r="L2735"/>
          <cell r="M2735"/>
        </row>
        <row r="2736">
          <cell r="G2736"/>
          <cell r="H2736"/>
          <cell r="L2736"/>
          <cell r="M2736"/>
        </row>
        <row r="2737">
          <cell r="G2737"/>
          <cell r="H2737"/>
          <cell r="L2737"/>
          <cell r="M2737"/>
        </row>
        <row r="2738">
          <cell r="G2738"/>
          <cell r="H2738"/>
          <cell r="L2738"/>
          <cell r="M2738"/>
        </row>
        <row r="2739">
          <cell r="G2739"/>
          <cell r="H2739"/>
          <cell r="L2739"/>
          <cell r="M2739"/>
        </row>
        <row r="2740">
          <cell r="G2740"/>
          <cell r="H2740"/>
          <cell r="L2740"/>
          <cell r="M2740"/>
        </row>
        <row r="2741">
          <cell r="G2741"/>
          <cell r="H2741"/>
          <cell r="L2741"/>
          <cell r="M2741"/>
        </row>
        <row r="2742">
          <cell r="G2742"/>
          <cell r="H2742"/>
          <cell r="L2742"/>
          <cell r="M2742"/>
        </row>
        <row r="2743">
          <cell r="G2743"/>
          <cell r="H2743"/>
          <cell r="L2743"/>
          <cell r="M2743"/>
        </row>
        <row r="2744">
          <cell r="G2744"/>
          <cell r="H2744"/>
          <cell r="L2744"/>
          <cell r="M2744"/>
        </row>
        <row r="2745">
          <cell r="G2745"/>
          <cell r="H2745"/>
          <cell r="L2745"/>
          <cell r="M2745"/>
        </row>
        <row r="2746">
          <cell r="G2746"/>
          <cell r="H2746"/>
          <cell r="L2746"/>
          <cell r="M2746"/>
        </row>
        <row r="2747">
          <cell r="G2747"/>
          <cell r="H2747"/>
          <cell r="L2747"/>
          <cell r="M2747"/>
        </row>
        <row r="2748">
          <cell r="G2748"/>
          <cell r="H2748"/>
          <cell r="L2748"/>
          <cell r="M2748"/>
        </row>
        <row r="2749">
          <cell r="G2749"/>
          <cell r="H2749"/>
          <cell r="L2749"/>
          <cell r="M2749"/>
        </row>
        <row r="2750">
          <cell r="G2750"/>
          <cell r="H2750"/>
          <cell r="L2750"/>
          <cell r="M2750"/>
        </row>
        <row r="2751">
          <cell r="G2751"/>
          <cell r="H2751"/>
          <cell r="L2751"/>
          <cell r="M2751"/>
        </row>
        <row r="2752">
          <cell r="G2752"/>
          <cell r="H2752"/>
          <cell r="L2752"/>
          <cell r="M2752"/>
        </row>
        <row r="2753">
          <cell r="G2753"/>
          <cell r="H2753"/>
          <cell r="L2753"/>
          <cell r="M2753"/>
        </row>
        <row r="2754">
          <cell r="G2754"/>
          <cell r="H2754"/>
          <cell r="L2754"/>
          <cell r="M2754"/>
        </row>
        <row r="2755">
          <cell r="G2755"/>
          <cell r="H2755"/>
          <cell r="L2755"/>
          <cell r="M2755"/>
        </row>
        <row r="2756">
          <cell r="G2756"/>
          <cell r="H2756"/>
          <cell r="L2756"/>
          <cell r="M2756"/>
        </row>
        <row r="2757">
          <cell r="G2757"/>
          <cell r="H2757"/>
          <cell r="L2757"/>
          <cell r="M2757"/>
        </row>
        <row r="2758">
          <cell r="G2758"/>
          <cell r="H2758"/>
          <cell r="L2758"/>
          <cell r="M2758"/>
        </row>
        <row r="2759">
          <cell r="G2759"/>
          <cell r="H2759"/>
          <cell r="L2759"/>
          <cell r="M2759"/>
        </row>
        <row r="2760">
          <cell r="G2760"/>
          <cell r="H2760"/>
          <cell r="L2760"/>
          <cell r="M2760"/>
        </row>
        <row r="2761">
          <cell r="G2761"/>
          <cell r="H2761"/>
          <cell r="L2761"/>
          <cell r="M2761"/>
        </row>
        <row r="2762">
          <cell r="G2762"/>
          <cell r="H2762"/>
          <cell r="L2762"/>
          <cell r="M2762"/>
        </row>
        <row r="2763">
          <cell r="G2763"/>
          <cell r="H2763"/>
          <cell r="L2763"/>
          <cell r="M2763"/>
        </row>
        <row r="2764">
          <cell r="G2764"/>
          <cell r="H2764"/>
          <cell r="L2764"/>
          <cell r="M2764"/>
        </row>
        <row r="2765">
          <cell r="G2765"/>
          <cell r="H2765"/>
          <cell r="L2765"/>
          <cell r="M2765"/>
        </row>
        <row r="2766">
          <cell r="G2766"/>
          <cell r="H2766"/>
          <cell r="L2766"/>
          <cell r="M2766"/>
        </row>
        <row r="2767">
          <cell r="G2767"/>
          <cell r="H2767"/>
          <cell r="L2767"/>
          <cell r="M2767"/>
        </row>
        <row r="2768">
          <cell r="G2768"/>
          <cell r="H2768"/>
          <cell r="L2768"/>
          <cell r="M2768"/>
        </row>
        <row r="2769">
          <cell r="G2769"/>
          <cell r="H2769"/>
          <cell r="L2769"/>
          <cell r="M2769"/>
        </row>
        <row r="2770">
          <cell r="G2770"/>
          <cell r="H2770"/>
          <cell r="L2770"/>
          <cell r="M2770"/>
        </row>
        <row r="2771">
          <cell r="G2771"/>
          <cell r="H2771"/>
          <cell r="L2771"/>
          <cell r="M2771"/>
        </row>
        <row r="2772">
          <cell r="G2772"/>
          <cell r="H2772"/>
          <cell r="L2772"/>
          <cell r="M2772"/>
        </row>
        <row r="2773">
          <cell r="G2773"/>
          <cell r="H2773"/>
          <cell r="L2773"/>
          <cell r="M2773"/>
        </row>
        <row r="2774">
          <cell r="G2774"/>
          <cell r="H2774"/>
          <cell r="L2774"/>
          <cell r="M2774"/>
        </row>
        <row r="2775">
          <cell r="G2775"/>
          <cell r="H2775"/>
          <cell r="L2775"/>
          <cell r="M2775"/>
        </row>
        <row r="2776">
          <cell r="G2776"/>
          <cell r="H2776"/>
          <cell r="L2776"/>
          <cell r="M2776"/>
        </row>
        <row r="2777">
          <cell r="G2777"/>
          <cell r="H2777"/>
          <cell r="L2777"/>
          <cell r="M2777"/>
        </row>
        <row r="2778">
          <cell r="G2778"/>
          <cell r="H2778"/>
          <cell r="L2778"/>
          <cell r="M2778"/>
        </row>
        <row r="2779">
          <cell r="G2779"/>
          <cell r="H2779"/>
          <cell r="L2779"/>
          <cell r="M2779"/>
        </row>
        <row r="2780">
          <cell r="G2780"/>
          <cell r="H2780"/>
          <cell r="L2780"/>
          <cell r="M2780"/>
        </row>
        <row r="2781">
          <cell r="G2781"/>
          <cell r="H2781"/>
          <cell r="L2781"/>
          <cell r="M2781"/>
        </row>
        <row r="2782">
          <cell r="G2782"/>
          <cell r="H2782"/>
          <cell r="L2782"/>
          <cell r="M2782"/>
        </row>
        <row r="2783">
          <cell r="G2783"/>
          <cell r="H2783"/>
          <cell r="L2783"/>
          <cell r="M2783"/>
        </row>
        <row r="2784">
          <cell r="G2784"/>
          <cell r="H2784"/>
          <cell r="L2784"/>
          <cell r="M2784"/>
        </row>
        <row r="2785">
          <cell r="G2785"/>
          <cell r="H2785"/>
          <cell r="L2785"/>
          <cell r="M2785"/>
        </row>
        <row r="2786">
          <cell r="G2786"/>
          <cell r="H2786"/>
          <cell r="L2786"/>
          <cell r="M2786"/>
        </row>
        <row r="2787">
          <cell r="G2787"/>
          <cell r="H2787"/>
          <cell r="L2787"/>
          <cell r="M2787"/>
        </row>
        <row r="2788">
          <cell r="G2788"/>
          <cell r="H2788"/>
          <cell r="L2788"/>
          <cell r="M2788"/>
        </row>
        <row r="2789">
          <cell r="G2789"/>
          <cell r="H2789"/>
          <cell r="L2789"/>
          <cell r="M2789"/>
        </row>
        <row r="2790">
          <cell r="G2790"/>
          <cell r="H2790"/>
          <cell r="L2790"/>
          <cell r="M2790"/>
        </row>
        <row r="2791">
          <cell r="G2791"/>
          <cell r="H2791"/>
          <cell r="L2791"/>
          <cell r="M2791"/>
        </row>
        <row r="2792">
          <cell r="G2792"/>
          <cell r="H2792"/>
          <cell r="L2792"/>
          <cell r="M2792"/>
        </row>
        <row r="2793">
          <cell r="G2793"/>
          <cell r="H2793"/>
          <cell r="L2793"/>
          <cell r="M2793"/>
        </row>
        <row r="2794">
          <cell r="G2794"/>
          <cell r="H2794"/>
          <cell r="L2794"/>
          <cell r="M2794"/>
        </row>
        <row r="2795">
          <cell r="G2795"/>
          <cell r="H2795"/>
          <cell r="L2795"/>
          <cell r="M2795"/>
        </row>
        <row r="2796">
          <cell r="G2796"/>
          <cell r="H2796"/>
          <cell r="L2796"/>
          <cell r="M2796"/>
        </row>
        <row r="2797">
          <cell r="G2797"/>
          <cell r="H2797"/>
          <cell r="L2797"/>
          <cell r="M2797"/>
        </row>
        <row r="2798">
          <cell r="G2798"/>
          <cell r="H2798"/>
          <cell r="L2798"/>
          <cell r="M2798"/>
        </row>
        <row r="2799">
          <cell r="G2799"/>
          <cell r="H2799"/>
          <cell r="L2799"/>
          <cell r="M2799"/>
        </row>
        <row r="2800">
          <cell r="G2800"/>
          <cell r="H2800"/>
          <cell r="L2800"/>
          <cell r="M2800"/>
        </row>
        <row r="2801">
          <cell r="G2801"/>
          <cell r="H2801"/>
          <cell r="L2801"/>
          <cell r="M2801"/>
        </row>
        <row r="2802">
          <cell r="G2802"/>
          <cell r="H2802"/>
          <cell r="L2802"/>
          <cell r="M2802"/>
        </row>
        <row r="2803">
          <cell r="G2803"/>
          <cell r="H2803"/>
          <cell r="L2803"/>
          <cell r="M2803"/>
        </row>
        <row r="2804">
          <cell r="G2804"/>
          <cell r="H2804"/>
          <cell r="L2804"/>
          <cell r="M2804"/>
        </row>
        <row r="2805">
          <cell r="G2805"/>
          <cell r="H2805"/>
          <cell r="L2805"/>
          <cell r="M2805"/>
        </row>
        <row r="2806">
          <cell r="G2806"/>
          <cell r="H2806"/>
          <cell r="L2806"/>
          <cell r="M2806"/>
        </row>
        <row r="2807">
          <cell r="G2807"/>
          <cell r="H2807"/>
          <cell r="L2807"/>
          <cell r="M2807"/>
        </row>
        <row r="2808">
          <cell r="G2808"/>
          <cell r="H2808"/>
          <cell r="L2808"/>
          <cell r="M2808"/>
        </row>
        <row r="2809">
          <cell r="G2809"/>
          <cell r="H2809"/>
          <cell r="L2809"/>
          <cell r="M2809"/>
        </row>
        <row r="2810">
          <cell r="G2810"/>
          <cell r="H2810"/>
          <cell r="L2810"/>
          <cell r="M2810"/>
        </row>
        <row r="2811">
          <cell r="G2811"/>
          <cell r="H2811"/>
          <cell r="L2811"/>
          <cell r="M2811"/>
        </row>
        <row r="2812">
          <cell r="G2812"/>
          <cell r="H2812"/>
          <cell r="L2812"/>
          <cell r="M2812"/>
        </row>
        <row r="2813">
          <cell r="G2813"/>
          <cell r="H2813"/>
          <cell r="L2813"/>
          <cell r="M2813"/>
        </row>
        <row r="2814">
          <cell r="G2814"/>
          <cell r="H2814"/>
          <cell r="L2814"/>
          <cell r="M2814"/>
        </row>
        <row r="2815">
          <cell r="G2815"/>
          <cell r="H2815"/>
          <cell r="L2815"/>
          <cell r="M2815"/>
        </row>
        <row r="2816">
          <cell r="G2816"/>
          <cell r="H2816"/>
          <cell r="L2816"/>
          <cell r="M2816"/>
        </row>
        <row r="2817">
          <cell r="G2817"/>
          <cell r="H2817"/>
          <cell r="L2817"/>
          <cell r="M2817"/>
        </row>
        <row r="2818">
          <cell r="G2818"/>
          <cell r="H2818"/>
          <cell r="L2818"/>
          <cell r="M2818"/>
        </row>
        <row r="2819">
          <cell r="G2819"/>
          <cell r="H2819"/>
          <cell r="L2819"/>
          <cell r="M2819"/>
        </row>
        <row r="2820">
          <cell r="G2820"/>
          <cell r="H2820"/>
          <cell r="L2820"/>
          <cell r="M2820"/>
        </row>
        <row r="2821">
          <cell r="G2821"/>
          <cell r="H2821"/>
          <cell r="L2821"/>
          <cell r="M2821"/>
        </row>
        <row r="2822">
          <cell r="G2822"/>
          <cell r="H2822"/>
          <cell r="L2822"/>
          <cell r="M2822"/>
        </row>
        <row r="2823">
          <cell r="G2823"/>
          <cell r="H2823"/>
          <cell r="L2823"/>
          <cell r="M2823"/>
        </row>
        <row r="2824">
          <cell r="G2824"/>
          <cell r="H2824"/>
          <cell r="L2824"/>
          <cell r="M2824"/>
        </row>
        <row r="2825">
          <cell r="G2825"/>
          <cell r="H2825"/>
          <cell r="L2825"/>
          <cell r="M2825"/>
        </row>
        <row r="2826">
          <cell r="G2826"/>
          <cell r="H2826"/>
          <cell r="L2826"/>
          <cell r="M2826"/>
        </row>
        <row r="2827">
          <cell r="G2827"/>
          <cell r="H2827"/>
          <cell r="L2827"/>
          <cell r="M2827"/>
        </row>
        <row r="2828">
          <cell r="G2828"/>
          <cell r="H2828"/>
          <cell r="L2828"/>
          <cell r="M2828"/>
        </row>
        <row r="2829">
          <cell r="G2829"/>
          <cell r="H2829"/>
          <cell r="L2829"/>
          <cell r="M2829"/>
        </row>
        <row r="2830">
          <cell r="G2830"/>
          <cell r="H2830"/>
          <cell r="L2830"/>
          <cell r="M2830"/>
        </row>
        <row r="2831">
          <cell r="G2831"/>
          <cell r="H2831"/>
          <cell r="L2831"/>
          <cell r="M2831"/>
        </row>
        <row r="2832">
          <cell r="G2832"/>
          <cell r="H2832"/>
          <cell r="L2832"/>
          <cell r="M2832"/>
        </row>
        <row r="2833">
          <cell r="G2833"/>
          <cell r="H2833"/>
          <cell r="L2833"/>
          <cell r="M2833"/>
        </row>
        <row r="2834">
          <cell r="G2834"/>
          <cell r="H2834"/>
          <cell r="L2834"/>
          <cell r="M2834"/>
        </row>
        <row r="2835">
          <cell r="G2835"/>
          <cell r="H2835"/>
          <cell r="L2835"/>
          <cell r="M2835"/>
        </row>
        <row r="2836">
          <cell r="G2836"/>
          <cell r="H2836"/>
          <cell r="L2836"/>
          <cell r="M2836"/>
        </row>
        <row r="2837">
          <cell r="G2837"/>
          <cell r="H2837"/>
          <cell r="L2837"/>
          <cell r="M2837"/>
        </row>
        <row r="2838">
          <cell r="G2838"/>
          <cell r="H2838"/>
          <cell r="L2838"/>
          <cell r="M2838"/>
        </row>
        <row r="2839">
          <cell r="G2839"/>
          <cell r="H2839"/>
          <cell r="L2839"/>
          <cell r="M2839"/>
        </row>
        <row r="2840">
          <cell r="G2840"/>
          <cell r="H2840"/>
          <cell r="L2840"/>
          <cell r="M2840"/>
        </row>
        <row r="2841">
          <cell r="G2841"/>
          <cell r="H2841"/>
          <cell r="L2841"/>
          <cell r="M2841"/>
        </row>
        <row r="2842">
          <cell r="G2842"/>
          <cell r="H2842"/>
          <cell r="L2842"/>
          <cell r="M2842"/>
        </row>
        <row r="2843">
          <cell r="G2843"/>
          <cell r="H2843"/>
          <cell r="L2843"/>
          <cell r="M2843"/>
        </row>
        <row r="2844">
          <cell r="G2844"/>
          <cell r="H2844"/>
          <cell r="L2844"/>
          <cell r="M2844"/>
        </row>
        <row r="2845">
          <cell r="G2845"/>
          <cell r="H2845"/>
          <cell r="L2845"/>
          <cell r="M2845"/>
        </row>
        <row r="2846">
          <cell r="G2846"/>
          <cell r="H2846"/>
          <cell r="L2846"/>
          <cell r="M2846"/>
        </row>
        <row r="2847">
          <cell r="G2847"/>
          <cell r="H2847"/>
          <cell r="L2847"/>
          <cell r="M2847"/>
        </row>
        <row r="2848">
          <cell r="G2848"/>
          <cell r="H2848"/>
          <cell r="L2848"/>
          <cell r="M2848"/>
        </row>
        <row r="2849">
          <cell r="G2849"/>
          <cell r="H2849"/>
          <cell r="L2849"/>
          <cell r="M2849"/>
        </row>
        <row r="2850">
          <cell r="G2850"/>
          <cell r="H2850"/>
          <cell r="L2850"/>
          <cell r="M2850"/>
        </row>
        <row r="2851">
          <cell r="G2851"/>
          <cell r="H2851"/>
          <cell r="L2851"/>
          <cell r="M2851"/>
        </row>
        <row r="2852">
          <cell r="G2852"/>
          <cell r="H2852"/>
          <cell r="L2852"/>
          <cell r="M2852"/>
        </row>
        <row r="2853">
          <cell r="G2853"/>
          <cell r="H2853"/>
          <cell r="L2853"/>
          <cell r="M2853"/>
        </row>
        <row r="2854">
          <cell r="G2854"/>
          <cell r="H2854"/>
          <cell r="L2854"/>
          <cell r="M2854"/>
        </row>
        <row r="2855">
          <cell r="G2855"/>
          <cell r="H2855"/>
          <cell r="L2855"/>
          <cell r="M2855"/>
        </row>
        <row r="2856">
          <cell r="G2856"/>
          <cell r="H2856"/>
          <cell r="L2856"/>
          <cell r="M2856"/>
        </row>
        <row r="2857">
          <cell r="G2857"/>
          <cell r="H2857"/>
          <cell r="L2857"/>
          <cell r="M2857"/>
        </row>
        <row r="2858">
          <cell r="G2858"/>
          <cell r="H2858"/>
          <cell r="L2858"/>
          <cell r="M2858"/>
        </row>
        <row r="2859">
          <cell r="G2859"/>
          <cell r="H2859"/>
          <cell r="L2859"/>
          <cell r="M2859"/>
        </row>
        <row r="2860">
          <cell r="G2860"/>
          <cell r="H2860"/>
          <cell r="L2860"/>
          <cell r="M2860"/>
        </row>
        <row r="2861">
          <cell r="G2861"/>
          <cell r="H2861"/>
          <cell r="L2861"/>
          <cell r="M2861"/>
        </row>
        <row r="2862">
          <cell r="G2862"/>
          <cell r="H2862"/>
          <cell r="L2862"/>
          <cell r="M2862"/>
        </row>
        <row r="2863">
          <cell r="G2863"/>
          <cell r="H2863"/>
          <cell r="L2863"/>
          <cell r="M2863"/>
        </row>
        <row r="2864">
          <cell r="G2864"/>
          <cell r="H2864"/>
          <cell r="L2864"/>
          <cell r="M2864"/>
        </row>
        <row r="2865">
          <cell r="G2865"/>
          <cell r="H2865"/>
          <cell r="L2865"/>
          <cell r="M2865"/>
        </row>
        <row r="2866">
          <cell r="G2866"/>
          <cell r="H2866"/>
          <cell r="L2866"/>
          <cell r="M2866"/>
        </row>
        <row r="2867">
          <cell r="G2867"/>
          <cell r="H2867"/>
          <cell r="L2867"/>
          <cell r="M2867"/>
        </row>
        <row r="2868">
          <cell r="G2868"/>
          <cell r="H2868"/>
          <cell r="L2868"/>
          <cell r="M2868"/>
        </row>
        <row r="2869">
          <cell r="G2869"/>
          <cell r="H2869"/>
          <cell r="L2869"/>
          <cell r="M2869"/>
        </row>
        <row r="2870">
          <cell r="G2870"/>
          <cell r="H2870"/>
          <cell r="L2870"/>
          <cell r="M2870"/>
        </row>
        <row r="2871">
          <cell r="G2871"/>
          <cell r="H2871"/>
          <cell r="L2871"/>
          <cell r="M2871"/>
        </row>
        <row r="2872">
          <cell r="G2872"/>
          <cell r="H2872"/>
          <cell r="L2872"/>
          <cell r="M2872"/>
        </row>
        <row r="2873">
          <cell r="G2873"/>
          <cell r="H2873"/>
          <cell r="L2873"/>
          <cell r="M2873"/>
        </row>
        <row r="2874">
          <cell r="G2874"/>
          <cell r="H2874"/>
          <cell r="L2874"/>
          <cell r="M2874"/>
        </row>
        <row r="2875">
          <cell r="G2875"/>
          <cell r="H2875"/>
          <cell r="L2875"/>
          <cell r="M2875"/>
        </row>
        <row r="2876">
          <cell r="G2876"/>
          <cell r="H2876"/>
          <cell r="L2876"/>
          <cell r="M2876"/>
        </row>
        <row r="2877">
          <cell r="G2877"/>
          <cell r="H2877"/>
          <cell r="L2877"/>
          <cell r="M2877"/>
        </row>
        <row r="2878">
          <cell r="G2878"/>
          <cell r="H2878"/>
          <cell r="L2878"/>
          <cell r="M2878"/>
        </row>
        <row r="2879">
          <cell r="G2879"/>
          <cell r="H2879"/>
          <cell r="L2879"/>
          <cell r="M2879"/>
        </row>
        <row r="2880">
          <cell r="G2880"/>
          <cell r="H2880"/>
          <cell r="L2880"/>
          <cell r="M2880"/>
        </row>
        <row r="2881">
          <cell r="G2881"/>
          <cell r="H2881"/>
          <cell r="L2881"/>
          <cell r="M2881"/>
        </row>
        <row r="2882">
          <cell r="G2882"/>
          <cell r="H2882"/>
          <cell r="L2882"/>
          <cell r="M2882"/>
        </row>
        <row r="2883">
          <cell r="G2883"/>
          <cell r="H2883"/>
          <cell r="L2883"/>
          <cell r="M2883"/>
        </row>
        <row r="2884">
          <cell r="G2884"/>
          <cell r="H2884"/>
          <cell r="L2884"/>
          <cell r="M2884"/>
        </row>
        <row r="2885">
          <cell r="G2885"/>
          <cell r="H2885"/>
          <cell r="L2885"/>
          <cell r="M2885"/>
        </row>
        <row r="2886">
          <cell r="G2886"/>
          <cell r="H2886"/>
          <cell r="L2886"/>
          <cell r="M2886"/>
        </row>
        <row r="2887">
          <cell r="G2887"/>
          <cell r="H2887"/>
          <cell r="L2887"/>
          <cell r="M2887"/>
        </row>
        <row r="2888">
          <cell r="G2888"/>
          <cell r="H2888"/>
          <cell r="L2888"/>
          <cell r="M2888"/>
        </row>
        <row r="2889">
          <cell r="G2889"/>
          <cell r="H2889"/>
          <cell r="L2889"/>
          <cell r="M2889"/>
        </row>
        <row r="2890">
          <cell r="G2890"/>
          <cell r="H2890"/>
          <cell r="L2890"/>
          <cell r="M2890"/>
        </row>
        <row r="2891">
          <cell r="G2891"/>
          <cell r="H2891"/>
          <cell r="L2891"/>
          <cell r="M2891"/>
        </row>
        <row r="2892">
          <cell r="G2892"/>
          <cell r="H2892"/>
          <cell r="L2892"/>
          <cell r="M2892"/>
        </row>
        <row r="2893">
          <cell r="G2893"/>
          <cell r="H2893"/>
          <cell r="L2893"/>
          <cell r="M2893"/>
        </row>
        <row r="2894">
          <cell r="G2894"/>
          <cell r="H2894"/>
          <cell r="L2894"/>
          <cell r="M2894"/>
        </row>
        <row r="2895">
          <cell r="G2895"/>
          <cell r="H2895"/>
          <cell r="L2895"/>
          <cell r="M2895"/>
        </row>
        <row r="2896">
          <cell r="G2896"/>
          <cell r="H2896"/>
          <cell r="L2896"/>
          <cell r="M2896"/>
        </row>
        <row r="2897">
          <cell r="G2897"/>
          <cell r="H2897"/>
          <cell r="L2897"/>
          <cell r="M2897"/>
        </row>
        <row r="2898">
          <cell r="G2898"/>
          <cell r="H2898"/>
          <cell r="L2898"/>
          <cell r="M2898"/>
        </row>
        <row r="2899">
          <cell r="G2899"/>
          <cell r="H2899"/>
          <cell r="L2899"/>
          <cell r="M2899"/>
        </row>
        <row r="2900">
          <cell r="G2900"/>
          <cell r="H2900"/>
          <cell r="L2900"/>
          <cell r="M2900"/>
        </row>
        <row r="2901">
          <cell r="G2901"/>
          <cell r="H2901"/>
          <cell r="L2901"/>
          <cell r="M2901"/>
        </row>
        <row r="2902">
          <cell r="G2902"/>
          <cell r="H2902"/>
          <cell r="L2902"/>
          <cell r="M2902"/>
        </row>
        <row r="2903">
          <cell r="G2903"/>
          <cell r="H2903"/>
          <cell r="L2903"/>
          <cell r="M2903"/>
        </row>
        <row r="2904">
          <cell r="G2904"/>
          <cell r="H2904"/>
          <cell r="L2904"/>
          <cell r="M2904"/>
        </row>
        <row r="2905">
          <cell r="G2905"/>
          <cell r="H2905"/>
          <cell r="L2905"/>
          <cell r="M2905"/>
        </row>
        <row r="2906">
          <cell r="G2906"/>
          <cell r="H2906"/>
          <cell r="L2906"/>
          <cell r="M2906"/>
        </row>
        <row r="2907">
          <cell r="G2907"/>
          <cell r="H2907"/>
          <cell r="L2907"/>
          <cell r="M2907"/>
        </row>
        <row r="2908">
          <cell r="G2908"/>
          <cell r="H2908"/>
          <cell r="L2908"/>
          <cell r="M2908"/>
        </row>
        <row r="2909">
          <cell r="G2909"/>
          <cell r="H2909"/>
          <cell r="L2909"/>
          <cell r="M2909"/>
        </row>
        <row r="2910">
          <cell r="G2910"/>
          <cell r="H2910"/>
          <cell r="L2910"/>
          <cell r="M2910"/>
        </row>
        <row r="2911">
          <cell r="G2911"/>
          <cell r="H2911"/>
          <cell r="L2911"/>
          <cell r="M2911"/>
        </row>
        <row r="2912">
          <cell r="G2912"/>
          <cell r="H2912"/>
          <cell r="L2912"/>
          <cell r="M2912"/>
        </row>
        <row r="2913">
          <cell r="G2913"/>
          <cell r="H2913"/>
          <cell r="L2913"/>
          <cell r="M2913"/>
        </row>
        <row r="2914">
          <cell r="G2914"/>
          <cell r="H2914"/>
          <cell r="L2914"/>
          <cell r="M2914"/>
        </row>
        <row r="2915">
          <cell r="G2915"/>
          <cell r="H2915"/>
          <cell r="L2915"/>
          <cell r="M2915"/>
        </row>
        <row r="2916">
          <cell r="G2916"/>
          <cell r="H2916"/>
          <cell r="L2916"/>
          <cell r="M2916"/>
        </row>
        <row r="2917">
          <cell r="G2917"/>
          <cell r="H2917"/>
          <cell r="L2917"/>
          <cell r="M2917"/>
        </row>
        <row r="2918">
          <cell r="G2918"/>
          <cell r="H2918"/>
          <cell r="L2918"/>
          <cell r="M2918"/>
        </row>
        <row r="2919">
          <cell r="G2919"/>
          <cell r="H2919"/>
          <cell r="L2919"/>
          <cell r="M2919"/>
        </row>
        <row r="2920">
          <cell r="G2920"/>
          <cell r="H2920"/>
          <cell r="L2920"/>
          <cell r="M2920"/>
        </row>
        <row r="2921">
          <cell r="G2921"/>
          <cell r="H2921"/>
          <cell r="L2921"/>
          <cell r="M2921"/>
        </row>
        <row r="2922">
          <cell r="G2922"/>
          <cell r="H2922"/>
          <cell r="L2922"/>
          <cell r="M2922"/>
        </row>
        <row r="2923">
          <cell r="G2923"/>
          <cell r="H2923"/>
          <cell r="L2923"/>
          <cell r="M2923"/>
        </row>
        <row r="2924">
          <cell r="G2924"/>
          <cell r="H2924"/>
          <cell r="L2924"/>
          <cell r="M2924"/>
        </row>
        <row r="2925">
          <cell r="G2925"/>
          <cell r="H2925"/>
          <cell r="L2925"/>
          <cell r="M2925"/>
        </row>
        <row r="2926">
          <cell r="G2926"/>
          <cell r="H2926"/>
          <cell r="L2926"/>
          <cell r="M2926"/>
        </row>
        <row r="2927">
          <cell r="G2927"/>
          <cell r="H2927"/>
          <cell r="L2927"/>
          <cell r="M2927"/>
        </row>
        <row r="2928">
          <cell r="G2928"/>
          <cell r="H2928"/>
          <cell r="L2928"/>
          <cell r="M2928"/>
        </row>
        <row r="2929">
          <cell r="G2929"/>
          <cell r="H2929"/>
          <cell r="L2929"/>
          <cell r="M2929"/>
        </row>
        <row r="2930">
          <cell r="G2930"/>
          <cell r="H2930"/>
          <cell r="L2930"/>
          <cell r="M2930"/>
        </row>
        <row r="2931">
          <cell r="G2931"/>
          <cell r="H2931"/>
          <cell r="L2931"/>
          <cell r="M2931"/>
        </row>
        <row r="2932">
          <cell r="G2932"/>
          <cell r="H2932"/>
          <cell r="L2932"/>
          <cell r="M2932"/>
        </row>
        <row r="2933">
          <cell r="G2933"/>
          <cell r="H2933"/>
          <cell r="L2933"/>
          <cell r="M2933"/>
        </row>
        <row r="2934">
          <cell r="G2934"/>
          <cell r="H2934"/>
          <cell r="L2934"/>
          <cell r="M2934"/>
        </row>
        <row r="2935">
          <cell r="G2935"/>
          <cell r="H2935"/>
          <cell r="L2935"/>
          <cell r="M2935"/>
        </row>
        <row r="2936">
          <cell r="G2936"/>
          <cell r="H2936"/>
          <cell r="L2936"/>
          <cell r="M2936"/>
        </row>
        <row r="2937">
          <cell r="G2937"/>
          <cell r="H2937"/>
          <cell r="L2937"/>
          <cell r="M2937"/>
        </row>
        <row r="2938">
          <cell r="G2938"/>
          <cell r="H2938"/>
          <cell r="L2938"/>
          <cell r="M2938"/>
        </row>
        <row r="2939">
          <cell r="G2939"/>
          <cell r="H2939"/>
          <cell r="L2939"/>
          <cell r="M2939"/>
        </row>
        <row r="2940">
          <cell r="G2940"/>
          <cell r="H2940"/>
          <cell r="L2940"/>
          <cell r="M2940"/>
        </row>
        <row r="2941">
          <cell r="G2941"/>
          <cell r="H2941"/>
          <cell r="L2941"/>
          <cell r="M2941"/>
        </row>
        <row r="2942">
          <cell r="G2942"/>
          <cell r="H2942"/>
          <cell r="L2942"/>
          <cell r="M2942"/>
        </row>
        <row r="2943">
          <cell r="G2943"/>
          <cell r="H2943"/>
          <cell r="L2943"/>
          <cell r="M2943"/>
        </row>
        <row r="2944">
          <cell r="G2944"/>
          <cell r="H2944"/>
          <cell r="L2944"/>
          <cell r="M2944"/>
        </row>
        <row r="2945">
          <cell r="G2945"/>
          <cell r="H2945"/>
          <cell r="L2945"/>
          <cell r="M2945"/>
        </row>
        <row r="2946">
          <cell r="G2946"/>
          <cell r="H2946"/>
          <cell r="L2946"/>
          <cell r="M2946"/>
        </row>
        <row r="2947">
          <cell r="G2947"/>
          <cell r="H2947"/>
          <cell r="L2947"/>
          <cell r="M2947"/>
        </row>
        <row r="2948">
          <cell r="G2948"/>
          <cell r="H2948"/>
          <cell r="L2948"/>
          <cell r="M2948"/>
        </row>
        <row r="2949">
          <cell r="G2949"/>
          <cell r="H2949"/>
          <cell r="L2949"/>
          <cell r="M2949"/>
        </row>
        <row r="2950">
          <cell r="G2950"/>
          <cell r="H2950"/>
          <cell r="L2950"/>
          <cell r="M2950"/>
        </row>
        <row r="2951">
          <cell r="G2951"/>
          <cell r="H2951"/>
          <cell r="L2951"/>
          <cell r="M2951"/>
        </row>
        <row r="2952">
          <cell r="G2952"/>
          <cell r="H2952"/>
          <cell r="L2952"/>
          <cell r="M2952"/>
        </row>
        <row r="2953">
          <cell r="G2953"/>
          <cell r="H2953"/>
          <cell r="L2953"/>
          <cell r="M2953"/>
        </row>
        <row r="2954">
          <cell r="G2954"/>
          <cell r="H2954"/>
          <cell r="L2954"/>
          <cell r="M2954"/>
        </row>
        <row r="2955">
          <cell r="G2955"/>
          <cell r="H2955"/>
          <cell r="L2955"/>
          <cell r="M2955"/>
        </row>
        <row r="2956">
          <cell r="G2956"/>
          <cell r="H2956"/>
          <cell r="L2956"/>
          <cell r="M2956"/>
        </row>
        <row r="2957">
          <cell r="G2957"/>
          <cell r="H2957"/>
          <cell r="L2957"/>
          <cell r="M2957"/>
        </row>
        <row r="2958">
          <cell r="G2958"/>
          <cell r="H2958"/>
          <cell r="L2958"/>
          <cell r="M2958"/>
        </row>
        <row r="2959">
          <cell r="G2959"/>
          <cell r="H2959"/>
          <cell r="L2959"/>
          <cell r="M2959"/>
        </row>
        <row r="2960">
          <cell r="G2960"/>
          <cell r="H2960"/>
          <cell r="L2960"/>
          <cell r="M2960"/>
        </row>
        <row r="2961">
          <cell r="G2961"/>
          <cell r="H2961"/>
          <cell r="L2961"/>
          <cell r="M2961"/>
        </row>
        <row r="2962">
          <cell r="G2962"/>
          <cell r="H2962"/>
          <cell r="L2962"/>
          <cell r="M2962"/>
        </row>
        <row r="2963">
          <cell r="G2963"/>
          <cell r="H2963"/>
          <cell r="L2963"/>
          <cell r="M2963"/>
        </row>
        <row r="2964">
          <cell r="G2964"/>
          <cell r="H2964"/>
          <cell r="L2964"/>
          <cell r="M2964"/>
        </row>
        <row r="2965">
          <cell r="G2965"/>
          <cell r="H2965"/>
          <cell r="L2965"/>
          <cell r="M2965"/>
        </row>
        <row r="2966">
          <cell r="G2966"/>
          <cell r="H2966"/>
          <cell r="L2966"/>
          <cell r="M2966"/>
        </row>
        <row r="2967">
          <cell r="G2967"/>
          <cell r="H2967"/>
          <cell r="L2967"/>
          <cell r="M2967"/>
        </row>
        <row r="2968">
          <cell r="G2968"/>
          <cell r="H2968"/>
          <cell r="L2968"/>
          <cell r="M2968"/>
        </row>
        <row r="2969">
          <cell r="G2969"/>
          <cell r="H2969"/>
          <cell r="L2969"/>
          <cell r="M2969"/>
        </row>
        <row r="2970">
          <cell r="G2970"/>
          <cell r="H2970"/>
          <cell r="L2970"/>
          <cell r="M2970"/>
        </row>
        <row r="2971">
          <cell r="G2971"/>
          <cell r="H2971"/>
          <cell r="L2971"/>
          <cell r="M2971"/>
        </row>
        <row r="2972">
          <cell r="G2972"/>
          <cell r="H2972"/>
          <cell r="L2972"/>
          <cell r="M2972"/>
        </row>
        <row r="2973">
          <cell r="G2973"/>
          <cell r="H2973"/>
          <cell r="L2973"/>
          <cell r="M2973"/>
        </row>
        <row r="2974">
          <cell r="G2974"/>
          <cell r="H2974"/>
          <cell r="L2974"/>
          <cell r="M2974"/>
        </row>
        <row r="2975">
          <cell r="G2975"/>
          <cell r="H2975"/>
          <cell r="L2975"/>
          <cell r="M2975"/>
        </row>
        <row r="2976">
          <cell r="G2976"/>
          <cell r="H2976"/>
          <cell r="L2976"/>
          <cell r="M2976"/>
        </row>
        <row r="2977">
          <cell r="G2977"/>
          <cell r="H2977"/>
          <cell r="L2977"/>
          <cell r="M2977"/>
        </row>
        <row r="2978">
          <cell r="G2978"/>
          <cell r="H2978"/>
          <cell r="L2978"/>
          <cell r="M2978"/>
        </row>
        <row r="2979">
          <cell r="G2979"/>
          <cell r="H2979"/>
          <cell r="L2979"/>
          <cell r="M2979"/>
        </row>
        <row r="2980">
          <cell r="G2980"/>
          <cell r="H2980"/>
          <cell r="L2980"/>
          <cell r="M2980"/>
        </row>
        <row r="2981">
          <cell r="G2981"/>
          <cell r="H2981"/>
          <cell r="L2981"/>
          <cell r="M2981"/>
        </row>
        <row r="2982">
          <cell r="G2982"/>
          <cell r="H2982"/>
          <cell r="L2982"/>
          <cell r="M2982"/>
        </row>
        <row r="2983">
          <cell r="G2983"/>
          <cell r="H2983"/>
          <cell r="L2983"/>
          <cell r="M2983"/>
        </row>
        <row r="2984">
          <cell r="G2984"/>
          <cell r="H2984"/>
          <cell r="L2984"/>
          <cell r="M2984"/>
        </row>
        <row r="2985">
          <cell r="G2985"/>
          <cell r="H2985"/>
          <cell r="L2985"/>
          <cell r="M2985"/>
        </row>
        <row r="2986">
          <cell r="G2986"/>
          <cell r="H2986"/>
          <cell r="L2986"/>
          <cell r="M2986"/>
        </row>
        <row r="2987">
          <cell r="G2987"/>
          <cell r="H2987"/>
          <cell r="L2987"/>
          <cell r="M2987"/>
        </row>
        <row r="2988">
          <cell r="G2988"/>
          <cell r="H2988"/>
          <cell r="L2988"/>
          <cell r="M2988"/>
        </row>
        <row r="2989">
          <cell r="G2989"/>
          <cell r="H2989"/>
          <cell r="L2989"/>
          <cell r="M2989"/>
        </row>
        <row r="2990">
          <cell r="G2990"/>
          <cell r="H2990"/>
          <cell r="L2990"/>
          <cell r="M2990"/>
        </row>
        <row r="2991">
          <cell r="G2991"/>
          <cell r="H2991"/>
          <cell r="L2991"/>
          <cell r="M2991"/>
        </row>
        <row r="2992">
          <cell r="G2992"/>
          <cell r="H2992"/>
          <cell r="L2992"/>
          <cell r="M2992"/>
        </row>
        <row r="2993">
          <cell r="G2993"/>
          <cell r="H2993"/>
          <cell r="L2993"/>
          <cell r="M2993"/>
        </row>
        <row r="2994">
          <cell r="G2994"/>
          <cell r="H2994"/>
          <cell r="L2994"/>
          <cell r="M2994"/>
        </row>
        <row r="2995">
          <cell r="G2995"/>
          <cell r="H2995"/>
          <cell r="L2995"/>
          <cell r="M2995"/>
        </row>
        <row r="2996">
          <cell r="G2996"/>
          <cell r="H2996"/>
          <cell r="L2996"/>
          <cell r="M2996"/>
        </row>
        <row r="2997">
          <cell r="G2997"/>
          <cell r="H2997"/>
          <cell r="L2997"/>
          <cell r="M2997"/>
        </row>
        <row r="2998">
          <cell r="G2998"/>
          <cell r="H2998"/>
          <cell r="L2998"/>
          <cell r="M2998"/>
        </row>
        <row r="2999">
          <cell r="G2999"/>
          <cell r="H2999"/>
          <cell r="L2999"/>
          <cell r="M2999"/>
        </row>
        <row r="3000">
          <cell r="G3000"/>
          <cell r="H3000"/>
          <cell r="L3000"/>
          <cell r="M3000"/>
        </row>
        <row r="3001">
          <cell r="G3001"/>
          <cell r="H3001"/>
          <cell r="L3001"/>
          <cell r="M3001"/>
        </row>
        <row r="3002">
          <cell r="G3002"/>
          <cell r="H3002"/>
          <cell r="L3002"/>
          <cell r="M3002"/>
        </row>
        <row r="3003">
          <cell r="G3003"/>
          <cell r="H3003"/>
          <cell r="L3003"/>
          <cell r="M3003"/>
        </row>
        <row r="3004">
          <cell r="G3004"/>
          <cell r="H3004"/>
          <cell r="L3004"/>
          <cell r="M3004"/>
        </row>
        <row r="3005">
          <cell r="G3005"/>
          <cell r="H3005"/>
          <cell r="L3005"/>
          <cell r="M3005"/>
        </row>
        <row r="3006">
          <cell r="G3006"/>
          <cell r="H3006"/>
          <cell r="L3006"/>
          <cell r="M3006"/>
        </row>
        <row r="3007">
          <cell r="G3007"/>
          <cell r="H3007"/>
          <cell r="L3007"/>
          <cell r="M3007"/>
        </row>
        <row r="3008">
          <cell r="G3008"/>
          <cell r="H3008"/>
          <cell r="L3008"/>
          <cell r="M3008"/>
        </row>
        <row r="3009">
          <cell r="G3009"/>
          <cell r="H3009"/>
          <cell r="L3009"/>
          <cell r="M3009"/>
        </row>
        <row r="3010">
          <cell r="G3010"/>
          <cell r="H3010"/>
          <cell r="L3010"/>
          <cell r="M3010"/>
        </row>
        <row r="3011">
          <cell r="G3011"/>
          <cell r="H3011"/>
          <cell r="L3011"/>
          <cell r="M3011"/>
        </row>
        <row r="3012">
          <cell r="G3012"/>
          <cell r="H3012"/>
          <cell r="L3012"/>
          <cell r="M3012"/>
        </row>
        <row r="3013">
          <cell r="G3013"/>
          <cell r="H3013"/>
          <cell r="L3013"/>
          <cell r="M3013"/>
        </row>
        <row r="3014">
          <cell r="G3014"/>
          <cell r="H3014"/>
          <cell r="L3014"/>
          <cell r="M3014"/>
        </row>
        <row r="3015">
          <cell r="G3015"/>
          <cell r="H3015"/>
          <cell r="L3015"/>
          <cell r="M3015"/>
        </row>
        <row r="3016">
          <cell r="G3016"/>
          <cell r="H3016"/>
          <cell r="L3016"/>
          <cell r="M3016"/>
        </row>
        <row r="3017">
          <cell r="G3017"/>
          <cell r="H3017"/>
          <cell r="L3017"/>
          <cell r="M3017"/>
        </row>
        <row r="3018">
          <cell r="G3018"/>
          <cell r="H3018"/>
          <cell r="L3018"/>
          <cell r="M3018"/>
        </row>
        <row r="3019">
          <cell r="G3019"/>
          <cell r="H3019"/>
          <cell r="L3019"/>
          <cell r="M3019"/>
        </row>
        <row r="3020">
          <cell r="G3020"/>
          <cell r="H3020"/>
          <cell r="L3020"/>
          <cell r="M3020"/>
        </row>
        <row r="3021">
          <cell r="G3021"/>
          <cell r="H3021"/>
          <cell r="L3021"/>
          <cell r="M3021"/>
        </row>
        <row r="3022">
          <cell r="G3022"/>
          <cell r="H3022"/>
          <cell r="L3022"/>
          <cell r="M3022"/>
        </row>
        <row r="3023">
          <cell r="G3023"/>
          <cell r="H3023"/>
          <cell r="L3023"/>
          <cell r="M3023"/>
        </row>
        <row r="3024">
          <cell r="G3024"/>
          <cell r="H3024"/>
          <cell r="L3024"/>
          <cell r="M3024"/>
        </row>
        <row r="3025">
          <cell r="G3025"/>
          <cell r="H3025"/>
          <cell r="L3025"/>
          <cell r="M3025"/>
        </row>
        <row r="3026">
          <cell r="G3026"/>
          <cell r="H3026"/>
          <cell r="L3026"/>
          <cell r="M3026"/>
        </row>
        <row r="3027">
          <cell r="G3027"/>
          <cell r="H3027"/>
          <cell r="L3027"/>
          <cell r="M3027"/>
        </row>
        <row r="3028">
          <cell r="G3028"/>
          <cell r="H3028"/>
          <cell r="L3028"/>
          <cell r="M3028"/>
        </row>
        <row r="3029">
          <cell r="G3029"/>
          <cell r="H3029"/>
          <cell r="L3029"/>
          <cell r="M3029"/>
        </row>
        <row r="3030">
          <cell r="G3030"/>
          <cell r="H3030"/>
          <cell r="L3030"/>
          <cell r="M3030"/>
        </row>
        <row r="3031">
          <cell r="G3031"/>
          <cell r="H3031"/>
          <cell r="L3031"/>
          <cell r="M3031"/>
        </row>
        <row r="3032">
          <cell r="G3032"/>
          <cell r="H3032"/>
          <cell r="L3032"/>
          <cell r="M3032"/>
        </row>
        <row r="3033">
          <cell r="G3033"/>
          <cell r="H3033"/>
          <cell r="L3033"/>
          <cell r="M3033"/>
        </row>
        <row r="3034">
          <cell r="G3034"/>
          <cell r="H3034"/>
          <cell r="L3034"/>
          <cell r="M3034"/>
        </row>
        <row r="3035">
          <cell r="G3035"/>
          <cell r="H3035"/>
          <cell r="L3035"/>
          <cell r="M3035"/>
        </row>
        <row r="3036">
          <cell r="G3036"/>
          <cell r="H3036"/>
          <cell r="L3036"/>
          <cell r="M3036"/>
        </row>
        <row r="3037">
          <cell r="G3037"/>
          <cell r="H3037"/>
          <cell r="L3037"/>
          <cell r="M3037"/>
        </row>
        <row r="3038">
          <cell r="G3038"/>
          <cell r="H3038"/>
          <cell r="L3038"/>
          <cell r="M3038"/>
        </row>
        <row r="3039">
          <cell r="G3039"/>
          <cell r="H3039"/>
          <cell r="L3039"/>
          <cell r="M3039"/>
        </row>
        <row r="3040">
          <cell r="G3040"/>
          <cell r="H3040"/>
          <cell r="L3040"/>
          <cell r="M3040"/>
        </row>
        <row r="3041">
          <cell r="G3041"/>
          <cell r="H3041"/>
          <cell r="L3041"/>
          <cell r="M3041"/>
        </row>
        <row r="3042">
          <cell r="G3042"/>
          <cell r="H3042"/>
          <cell r="L3042"/>
          <cell r="M3042"/>
        </row>
        <row r="3043">
          <cell r="G3043"/>
          <cell r="H3043"/>
          <cell r="L3043"/>
          <cell r="M3043"/>
        </row>
        <row r="3044">
          <cell r="G3044"/>
          <cell r="H3044"/>
          <cell r="L3044"/>
          <cell r="M3044"/>
        </row>
        <row r="3045">
          <cell r="G3045"/>
          <cell r="H3045"/>
          <cell r="L3045"/>
          <cell r="M3045"/>
        </row>
        <row r="3046">
          <cell r="G3046"/>
          <cell r="H3046"/>
          <cell r="L3046"/>
          <cell r="M3046"/>
        </row>
        <row r="3047">
          <cell r="G3047"/>
          <cell r="H3047"/>
          <cell r="L3047"/>
          <cell r="M3047"/>
        </row>
        <row r="3048">
          <cell r="G3048"/>
          <cell r="H3048"/>
          <cell r="L3048"/>
          <cell r="M3048"/>
        </row>
        <row r="3049">
          <cell r="G3049"/>
          <cell r="H3049"/>
          <cell r="L3049"/>
          <cell r="M3049"/>
        </row>
        <row r="3050">
          <cell r="G3050"/>
          <cell r="H3050"/>
          <cell r="L3050"/>
          <cell r="M3050"/>
        </row>
        <row r="3051">
          <cell r="G3051"/>
          <cell r="H3051"/>
          <cell r="L3051"/>
          <cell r="M3051"/>
        </row>
        <row r="3052">
          <cell r="G3052"/>
          <cell r="H3052"/>
          <cell r="L3052"/>
          <cell r="M3052"/>
        </row>
        <row r="3053">
          <cell r="G3053"/>
          <cell r="H3053"/>
          <cell r="L3053"/>
          <cell r="M3053"/>
        </row>
        <row r="3054">
          <cell r="G3054"/>
          <cell r="H3054"/>
          <cell r="L3054"/>
          <cell r="M3054"/>
        </row>
        <row r="3055">
          <cell r="G3055"/>
          <cell r="H3055"/>
          <cell r="L3055"/>
          <cell r="M3055"/>
        </row>
        <row r="3056">
          <cell r="G3056"/>
          <cell r="H3056"/>
          <cell r="L3056"/>
          <cell r="M3056"/>
        </row>
        <row r="3057">
          <cell r="G3057"/>
          <cell r="H3057"/>
          <cell r="L3057"/>
          <cell r="M3057"/>
        </row>
        <row r="3058">
          <cell r="G3058"/>
          <cell r="H3058"/>
          <cell r="L3058"/>
          <cell r="M3058"/>
        </row>
        <row r="3059">
          <cell r="G3059"/>
          <cell r="H3059"/>
          <cell r="L3059"/>
          <cell r="M3059"/>
        </row>
        <row r="3060">
          <cell r="G3060"/>
          <cell r="H3060"/>
          <cell r="L3060"/>
          <cell r="M3060"/>
        </row>
        <row r="3061">
          <cell r="G3061"/>
          <cell r="H3061"/>
          <cell r="L3061"/>
          <cell r="M3061"/>
        </row>
        <row r="3062">
          <cell r="G3062"/>
          <cell r="H3062"/>
          <cell r="L3062"/>
          <cell r="M3062"/>
        </row>
        <row r="3063">
          <cell r="G3063"/>
          <cell r="H3063"/>
          <cell r="L3063"/>
          <cell r="M3063"/>
        </row>
        <row r="3064">
          <cell r="G3064"/>
          <cell r="H3064"/>
          <cell r="L3064"/>
          <cell r="M3064"/>
        </row>
        <row r="3065">
          <cell r="G3065"/>
          <cell r="H3065"/>
          <cell r="L3065"/>
          <cell r="M3065"/>
        </row>
        <row r="3066">
          <cell r="G3066"/>
          <cell r="H3066"/>
          <cell r="L3066"/>
          <cell r="M3066"/>
        </row>
        <row r="3067">
          <cell r="G3067"/>
          <cell r="H3067"/>
          <cell r="L3067"/>
          <cell r="M3067"/>
        </row>
        <row r="3068">
          <cell r="G3068"/>
          <cell r="H3068"/>
          <cell r="L3068"/>
          <cell r="M3068"/>
        </row>
        <row r="3069">
          <cell r="G3069"/>
          <cell r="H3069"/>
          <cell r="L3069"/>
          <cell r="M3069"/>
        </row>
        <row r="3070">
          <cell r="G3070"/>
          <cell r="H3070"/>
          <cell r="L3070"/>
          <cell r="M3070"/>
        </row>
        <row r="3071">
          <cell r="G3071"/>
          <cell r="H3071"/>
          <cell r="L3071"/>
          <cell r="M3071"/>
        </row>
        <row r="3072">
          <cell r="G3072"/>
          <cell r="H3072"/>
          <cell r="L3072"/>
          <cell r="M3072"/>
        </row>
        <row r="3073">
          <cell r="G3073"/>
          <cell r="H3073"/>
          <cell r="L3073"/>
          <cell r="M3073"/>
        </row>
        <row r="3074">
          <cell r="G3074"/>
          <cell r="H3074"/>
          <cell r="L3074"/>
          <cell r="M3074"/>
        </row>
        <row r="3075">
          <cell r="G3075"/>
          <cell r="H3075"/>
          <cell r="L3075"/>
          <cell r="M3075"/>
        </row>
        <row r="3076">
          <cell r="G3076"/>
          <cell r="H3076"/>
          <cell r="L3076"/>
          <cell r="M3076"/>
        </row>
        <row r="3077">
          <cell r="G3077"/>
          <cell r="H3077"/>
          <cell r="L3077"/>
          <cell r="M3077"/>
        </row>
        <row r="3078">
          <cell r="G3078"/>
          <cell r="H3078"/>
          <cell r="L3078"/>
          <cell r="M3078"/>
        </row>
        <row r="3079">
          <cell r="G3079"/>
          <cell r="H3079"/>
          <cell r="L3079"/>
          <cell r="M3079"/>
        </row>
        <row r="3080">
          <cell r="G3080"/>
          <cell r="H3080"/>
          <cell r="L3080"/>
          <cell r="M3080"/>
        </row>
        <row r="3081">
          <cell r="G3081"/>
          <cell r="H3081"/>
          <cell r="L3081"/>
          <cell r="M3081"/>
        </row>
        <row r="3082">
          <cell r="G3082"/>
          <cell r="H3082"/>
          <cell r="L3082"/>
          <cell r="M3082"/>
        </row>
        <row r="3083">
          <cell r="G3083"/>
          <cell r="H3083"/>
          <cell r="L3083"/>
          <cell r="M3083"/>
        </row>
        <row r="3084">
          <cell r="G3084"/>
          <cell r="H3084"/>
          <cell r="L3084"/>
          <cell r="M3084"/>
        </row>
        <row r="3085">
          <cell r="G3085"/>
          <cell r="H3085"/>
          <cell r="L3085"/>
          <cell r="M3085"/>
        </row>
        <row r="3086">
          <cell r="G3086"/>
          <cell r="H3086"/>
          <cell r="L3086"/>
          <cell r="M3086"/>
        </row>
        <row r="3087">
          <cell r="G3087"/>
          <cell r="H3087"/>
          <cell r="L3087"/>
          <cell r="M3087"/>
        </row>
        <row r="3088">
          <cell r="G3088"/>
          <cell r="H3088"/>
          <cell r="L3088"/>
          <cell r="M3088"/>
        </row>
        <row r="3089">
          <cell r="G3089"/>
          <cell r="H3089"/>
          <cell r="L3089"/>
          <cell r="M3089"/>
        </row>
        <row r="3090">
          <cell r="G3090"/>
          <cell r="H3090"/>
          <cell r="L3090"/>
          <cell r="M3090"/>
        </row>
        <row r="3091">
          <cell r="G3091"/>
          <cell r="H3091"/>
          <cell r="L3091"/>
          <cell r="M3091"/>
        </row>
        <row r="3092">
          <cell r="G3092"/>
          <cell r="H3092"/>
          <cell r="L3092"/>
          <cell r="M3092"/>
        </row>
        <row r="3093">
          <cell r="G3093"/>
          <cell r="H3093"/>
          <cell r="L3093"/>
          <cell r="M3093"/>
        </row>
        <row r="3094">
          <cell r="G3094"/>
          <cell r="H3094"/>
          <cell r="L3094"/>
          <cell r="M3094"/>
        </row>
        <row r="3095">
          <cell r="G3095"/>
          <cell r="H3095"/>
          <cell r="L3095"/>
          <cell r="M3095"/>
        </row>
        <row r="3096">
          <cell r="G3096"/>
          <cell r="H3096"/>
          <cell r="L3096"/>
          <cell r="M3096"/>
        </row>
        <row r="3097">
          <cell r="G3097"/>
          <cell r="H3097"/>
          <cell r="L3097"/>
          <cell r="M3097"/>
        </row>
        <row r="3098">
          <cell r="G3098"/>
          <cell r="H3098"/>
          <cell r="L3098"/>
          <cell r="M3098"/>
        </row>
        <row r="3099">
          <cell r="G3099"/>
          <cell r="H3099"/>
          <cell r="L3099"/>
          <cell r="M3099"/>
        </row>
        <row r="3100">
          <cell r="G3100"/>
          <cell r="H3100"/>
          <cell r="L3100"/>
          <cell r="M3100"/>
        </row>
        <row r="3101">
          <cell r="G3101"/>
          <cell r="H3101"/>
          <cell r="L3101"/>
          <cell r="M3101"/>
        </row>
        <row r="3102">
          <cell r="G3102"/>
          <cell r="H3102"/>
          <cell r="L3102"/>
          <cell r="M3102"/>
        </row>
        <row r="3103">
          <cell r="G3103"/>
          <cell r="H3103"/>
          <cell r="L3103"/>
          <cell r="M3103"/>
        </row>
        <row r="3104">
          <cell r="G3104"/>
          <cell r="H3104"/>
          <cell r="L3104"/>
          <cell r="M3104"/>
        </row>
        <row r="3105">
          <cell r="G3105"/>
          <cell r="H3105"/>
          <cell r="L3105"/>
          <cell r="M3105"/>
        </row>
        <row r="3106">
          <cell r="G3106"/>
          <cell r="H3106"/>
          <cell r="L3106"/>
          <cell r="M3106"/>
        </row>
        <row r="3107">
          <cell r="G3107"/>
          <cell r="H3107"/>
          <cell r="L3107"/>
          <cell r="M3107"/>
        </row>
        <row r="3108">
          <cell r="G3108"/>
          <cell r="H3108"/>
          <cell r="L3108"/>
          <cell r="M3108"/>
        </row>
        <row r="3109">
          <cell r="G3109"/>
          <cell r="H3109"/>
          <cell r="L3109"/>
          <cell r="M3109"/>
        </row>
        <row r="3110">
          <cell r="G3110"/>
          <cell r="H3110"/>
          <cell r="L3110"/>
          <cell r="M3110"/>
        </row>
        <row r="3111">
          <cell r="G3111"/>
          <cell r="H3111"/>
          <cell r="L3111"/>
          <cell r="M3111"/>
        </row>
        <row r="3112">
          <cell r="G3112"/>
          <cell r="H3112"/>
          <cell r="L3112"/>
          <cell r="M3112"/>
        </row>
        <row r="3113">
          <cell r="G3113"/>
          <cell r="H3113"/>
          <cell r="L3113"/>
          <cell r="M3113"/>
        </row>
        <row r="3114">
          <cell r="G3114"/>
          <cell r="H3114"/>
          <cell r="L3114"/>
          <cell r="M3114"/>
        </row>
        <row r="3115">
          <cell r="G3115"/>
          <cell r="H3115"/>
          <cell r="L3115"/>
          <cell r="M3115"/>
        </row>
        <row r="3116">
          <cell r="G3116"/>
          <cell r="H3116"/>
          <cell r="L3116"/>
          <cell r="M3116"/>
        </row>
        <row r="3117">
          <cell r="G3117"/>
          <cell r="H3117"/>
          <cell r="L3117"/>
          <cell r="M3117"/>
        </row>
        <row r="3118">
          <cell r="G3118"/>
          <cell r="H3118"/>
          <cell r="L3118"/>
          <cell r="M3118"/>
        </row>
        <row r="3119">
          <cell r="G3119"/>
          <cell r="H3119"/>
          <cell r="L3119"/>
          <cell r="M3119"/>
        </row>
        <row r="3120">
          <cell r="G3120"/>
          <cell r="H3120"/>
          <cell r="L3120"/>
          <cell r="M3120"/>
        </row>
        <row r="3121">
          <cell r="G3121"/>
          <cell r="H3121"/>
          <cell r="L3121"/>
          <cell r="M3121"/>
        </row>
        <row r="3122">
          <cell r="G3122"/>
          <cell r="H3122"/>
          <cell r="L3122"/>
          <cell r="M3122"/>
        </row>
        <row r="3123">
          <cell r="G3123"/>
          <cell r="H3123"/>
          <cell r="L3123"/>
          <cell r="M3123"/>
        </row>
        <row r="3124">
          <cell r="G3124"/>
          <cell r="H3124"/>
          <cell r="L3124"/>
          <cell r="M3124"/>
        </row>
        <row r="3125">
          <cell r="G3125"/>
          <cell r="H3125"/>
          <cell r="L3125"/>
          <cell r="M3125"/>
        </row>
        <row r="3126">
          <cell r="G3126"/>
          <cell r="H3126"/>
          <cell r="L3126"/>
          <cell r="M3126"/>
        </row>
        <row r="3127">
          <cell r="G3127"/>
          <cell r="H3127"/>
          <cell r="L3127"/>
          <cell r="M3127"/>
        </row>
        <row r="3128">
          <cell r="G3128"/>
          <cell r="H3128"/>
          <cell r="L3128"/>
          <cell r="M3128"/>
        </row>
        <row r="3129">
          <cell r="G3129"/>
          <cell r="H3129"/>
          <cell r="L3129"/>
          <cell r="M3129"/>
        </row>
        <row r="3130">
          <cell r="G3130"/>
          <cell r="H3130"/>
          <cell r="L3130"/>
          <cell r="M3130"/>
        </row>
        <row r="3131">
          <cell r="G3131"/>
          <cell r="H3131"/>
          <cell r="L3131"/>
          <cell r="M3131"/>
        </row>
        <row r="3132">
          <cell r="G3132"/>
          <cell r="H3132"/>
          <cell r="L3132"/>
          <cell r="M3132"/>
        </row>
        <row r="3133">
          <cell r="G3133"/>
          <cell r="H3133"/>
          <cell r="L3133"/>
          <cell r="M3133"/>
        </row>
        <row r="3134">
          <cell r="G3134"/>
          <cell r="H3134"/>
          <cell r="L3134"/>
          <cell r="M3134"/>
        </row>
        <row r="3135">
          <cell r="G3135"/>
          <cell r="H3135"/>
          <cell r="L3135"/>
          <cell r="M3135"/>
        </row>
        <row r="3136">
          <cell r="G3136"/>
          <cell r="H3136"/>
          <cell r="L3136"/>
          <cell r="M3136"/>
        </row>
        <row r="3137">
          <cell r="G3137"/>
          <cell r="H3137"/>
          <cell r="L3137"/>
          <cell r="M3137"/>
        </row>
        <row r="3138">
          <cell r="G3138"/>
          <cell r="H3138"/>
          <cell r="L3138"/>
          <cell r="M3138"/>
        </row>
        <row r="3139">
          <cell r="G3139"/>
          <cell r="H3139"/>
          <cell r="L3139"/>
          <cell r="M3139"/>
        </row>
        <row r="3140">
          <cell r="G3140"/>
          <cell r="H3140"/>
          <cell r="L3140"/>
          <cell r="M3140"/>
        </row>
        <row r="3141">
          <cell r="G3141"/>
          <cell r="H3141"/>
          <cell r="L3141"/>
          <cell r="M3141"/>
        </row>
        <row r="3142">
          <cell r="G3142"/>
          <cell r="H3142"/>
          <cell r="L3142"/>
          <cell r="M3142"/>
        </row>
        <row r="3143">
          <cell r="G3143"/>
          <cell r="H3143"/>
          <cell r="L3143"/>
          <cell r="M3143"/>
        </row>
        <row r="3144">
          <cell r="G3144"/>
          <cell r="H3144"/>
          <cell r="L3144"/>
          <cell r="M3144"/>
        </row>
        <row r="3145">
          <cell r="G3145"/>
          <cell r="H3145"/>
          <cell r="L3145"/>
          <cell r="M3145"/>
        </row>
        <row r="3146">
          <cell r="G3146"/>
          <cell r="H3146"/>
          <cell r="L3146"/>
          <cell r="M3146"/>
        </row>
        <row r="3147">
          <cell r="G3147"/>
          <cell r="H3147"/>
          <cell r="L3147"/>
          <cell r="M3147"/>
        </row>
        <row r="3148">
          <cell r="G3148"/>
          <cell r="H3148"/>
          <cell r="L3148"/>
          <cell r="M3148"/>
        </row>
        <row r="3149">
          <cell r="G3149"/>
          <cell r="H3149"/>
          <cell r="L3149"/>
          <cell r="M3149"/>
        </row>
        <row r="3150">
          <cell r="G3150"/>
          <cell r="H3150"/>
          <cell r="L3150"/>
          <cell r="M3150"/>
        </row>
        <row r="3151">
          <cell r="G3151"/>
          <cell r="H3151"/>
          <cell r="L3151"/>
          <cell r="M3151"/>
        </row>
        <row r="3152">
          <cell r="G3152"/>
          <cell r="H3152"/>
          <cell r="L3152"/>
          <cell r="M3152"/>
        </row>
        <row r="3153">
          <cell r="G3153"/>
          <cell r="H3153"/>
          <cell r="L3153"/>
          <cell r="M3153"/>
        </row>
        <row r="3154">
          <cell r="G3154"/>
          <cell r="H3154"/>
          <cell r="L3154"/>
          <cell r="M3154"/>
        </row>
        <row r="3155">
          <cell r="G3155"/>
          <cell r="H3155"/>
          <cell r="L3155"/>
          <cell r="M3155"/>
        </row>
        <row r="3156">
          <cell r="G3156"/>
          <cell r="H3156"/>
          <cell r="L3156"/>
          <cell r="M3156"/>
        </row>
        <row r="3157">
          <cell r="G3157"/>
          <cell r="H3157"/>
          <cell r="L3157"/>
          <cell r="M3157"/>
        </row>
        <row r="3158">
          <cell r="G3158"/>
          <cell r="H3158"/>
          <cell r="L3158"/>
          <cell r="M3158"/>
        </row>
        <row r="3159">
          <cell r="G3159"/>
          <cell r="H3159"/>
          <cell r="L3159"/>
          <cell r="M3159"/>
        </row>
        <row r="3160">
          <cell r="G3160"/>
          <cell r="H3160"/>
          <cell r="L3160"/>
          <cell r="M3160"/>
        </row>
        <row r="3161">
          <cell r="G3161"/>
          <cell r="H3161"/>
          <cell r="L3161"/>
          <cell r="M3161"/>
        </row>
        <row r="3162">
          <cell r="G3162"/>
          <cell r="H3162"/>
          <cell r="L3162"/>
          <cell r="M3162"/>
        </row>
        <row r="3163">
          <cell r="G3163"/>
          <cell r="H3163"/>
          <cell r="L3163"/>
          <cell r="M3163"/>
        </row>
        <row r="3164">
          <cell r="G3164"/>
          <cell r="H3164"/>
          <cell r="L3164"/>
          <cell r="M3164"/>
        </row>
        <row r="3165">
          <cell r="G3165"/>
          <cell r="H3165"/>
          <cell r="L3165"/>
          <cell r="M3165"/>
        </row>
        <row r="3166">
          <cell r="G3166"/>
          <cell r="H3166"/>
          <cell r="L3166"/>
          <cell r="M3166"/>
        </row>
        <row r="3167">
          <cell r="G3167"/>
          <cell r="H3167"/>
          <cell r="L3167"/>
          <cell r="M3167"/>
        </row>
        <row r="3168">
          <cell r="G3168"/>
          <cell r="H3168"/>
          <cell r="L3168"/>
          <cell r="M3168"/>
        </row>
        <row r="3169">
          <cell r="G3169"/>
          <cell r="H3169"/>
          <cell r="L3169"/>
          <cell r="M3169"/>
        </row>
        <row r="3170">
          <cell r="G3170"/>
          <cell r="H3170"/>
          <cell r="L3170"/>
          <cell r="M3170"/>
        </row>
        <row r="3171">
          <cell r="G3171"/>
          <cell r="H3171"/>
          <cell r="L3171"/>
          <cell r="M3171"/>
        </row>
        <row r="3172">
          <cell r="G3172"/>
          <cell r="H3172"/>
          <cell r="L3172"/>
          <cell r="M3172"/>
        </row>
        <row r="3173">
          <cell r="G3173"/>
          <cell r="H3173"/>
          <cell r="L3173"/>
          <cell r="M3173"/>
        </row>
        <row r="3174">
          <cell r="G3174"/>
          <cell r="H3174"/>
          <cell r="L3174"/>
          <cell r="M3174"/>
        </row>
        <row r="3175">
          <cell r="G3175"/>
          <cell r="H3175"/>
          <cell r="L3175"/>
          <cell r="M3175"/>
        </row>
        <row r="3176">
          <cell r="G3176"/>
          <cell r="H3176"/>
          <cell r="L3176"/>
          <cell r="M3176"/>
        </row>
        <row r="3177">
          <cell r="G3177"/>
          <cell r="H3177"/>
          <cell r="L3177"/>
          <cell r="M3177"/>
        </row>
        <row r="3178">
          <cell r="G3178"/>
          <cell r="H3178"/>
          <cell r="L3178"/>
          <cell r="M3178"/>
        </row>
        <row r="3179">
          <cell r="G3179"/>
          <cell r="H3179"/>
          <cell r="L3179"/>
          <cell r="M3179"/>
        </row>
        <row r="3180">
          <cell r="G3180"/>
          <cell r="H3180"/>
          <cell r="L3180"/>
          <cell r="M3180"/>
        </row>
        <row r="3181">
          <cell r="G3181"/>
          <cell r="H3181"/>
          <cell r="L3181"/>
          <cell r="M3181"/>
        </row>
        <row r="3182">
          <cell r="G3182"/>
          <cell r="H3182"/>
          <cell r="L3182"/>
          <cell r="M3182"/>
        </row>
        <row r="3183">
          <cell r="G3183"/>
          <cell r="H3183"/>
          <cell r="L3183"/>
          <cell r="M3183"/>
        </row>
        <row r="3184">
          <cell r="G3184"/>
          <cell r="H3184"/>
          <cell r="L3184"/>
          <cell r="M3184"/>
        </row>
        <row r="3185">
          <cell r="G3185"/>
          <cell r="H3185"/>
          <cell r="L3185"/>
          <cell r="M3185"/>
        </row>
        <row r="3186">
          <cell r="G3186"/>
          <cell r="H3186"/>
          <cell r="L3186"/>
          <cell r="M3186"/>
        </row>
        <row r="3187">
          <cell r="G3187"/>
          <cell r="H3187"/>
          <cell r="L3187"/>
          <cell r="M3187"/>
        </row>
        <row r="3188">
          <cell r="G3188"/>
          <cell r="H3188"/>
          <cell r="L3188"/>
          <cell r="M3188"/>
        </row>
        <row r="3189">
          <cell r="G3189"/>
          <cell r="H3189"/>
          <cell r="L3189"/>
          <cell r="M3189"/>
        </row>
        <row r="3190">
          <cell r="G3190"/>
          <cell r="H3190"/>
          <cell r="L3190"/>
          <cell r="M3190"/>
        </row>
        <row r="3191">
          <cell r="G3191"/>
          <cell r="H3191"/>
          <cell r="L3191"/>
          <cell r="M3191"/>
        </row>
        <row r="3192">
          <cell r="G3192"/>
          <cell r="H3192"/>
          <cell r="L3192"/>
          <cell r="M3192"/>
        </row>
        <row r="3193">
          <cell r="G3193"/>
          <cell r="H3193"/>
          <cell r="L3193"/>
          <cell r="M3193"/>
        </row>
        <row r="3194">
          <cell r="G3194"/>
          <cell r="H3194"/>
          <cell r="L3194"/>
          <cell r="M3194"/>
        </row>
        <row r="3195">
          <cell r="G3195"/>
          <cell r="H3195"/>
          <cell r="L3195"/>
          <cell r="M3195"/>
        </row>
        <row r="3196">
          <cell r="G3196"/>
          <cell r="H3196"/>
          <cell r="L3196"/>
          <cell r="M3196"/>
        </row>
        <row r="3197">
          <cell r="G3197"/>
          <cell r="H3197"/>
          <cell r="L3197"/>
          <cell r="M3197"/>
        </row>
        <row r="3198">
          <cell r="G3198"/>
          <cell r="H3198"/>
          <cell r="L3198"/>
          <cell r="M3198"/>
        </row>
        <row r="3199">
          <cell r="G3199"/>
          <cell r="H3199"/>
          <cell r="L3199"/>
          <cell r="M3199"/>
        </row>
        <row r="3200">
          <cell r="G3200"/>
          <cell r="H3200"/>
          <cell r="L3200"/>
          <cell r="M3200"/>
        </row>
        <row r="3201">
          <cell r="G3201"/>
          <cell r="H3201"/>
          <cell r="L3201"/>
          <cell r="M3201"/>
        </row>
        <row r="3202">
          <cell r="G3202"/>
          <cell r="H3202"/>
          <cell r="L3202"/>
          <cell r="M3202"/>
        </row>
        <row r="3203">
          <cell r="G3203"/>
          <cell r="H3203"/>
          <cell r="L3203"/>
          <cell r="M3203"/>
        </row>
        <row r="3204">
          <cell r="G3204"/>
          <cell r="H3204"/>
          <cell r="L3204"/>
          <cell r="M3204"/>
        </row>
        <row r="3205">
          <cell r="G3205"/>
          <cell r="H3205"/>
          <cell r="L3205"/>
          <cell r="M3205"/>
        </row>
        <row r="3206">
          <cell r="G3206"/>
          <cell r="H3206"/>
          <cell r="L3206"/>
          <cell r="M3206"/>
        </row>
        <row r="3207">
          <cell r="G3207"/>
          <cell r="H3207"/>
          <cell r="L3207"/>
          <cell r="M3207"/>
        </row>
        <row r="3208">
          <cell r="G3208"/>
          <cell r="H3208"/>
          <cell r="L3208"/>
          <cell r="M3208"/>
        </row>
        <row r="3209">
          <cell r="G3209"/>
          <cell r="H3209"/>
          <cell r="L3209"/>
          <cell r="M3209"/>
        </row>
        <row r="3210">
          <cell r="G3210"/>
          <cell r="H3210"/>
          <cell r="L3210"/>
          <cell r="M3210"/>
        </row>
        <row r="3211">
          <cell r="G3211"/>
          <cell r="H3211"/>
          <cell r="L3211"/>
          <cell r="M3211"/>
        </row>
        <row r="3212">
          <cell r="G3212"/>
          <cell r="H3212"/>
          <cell r="L3212"/>
          <cell r="M3212"/>
        </row>
        <row r="3213">
          <cell r="G3213"/>
          <cell r="H3213"/>
          <cell r="L3213"/>
          <cell r="M3213"/>
        </row>
        <row r="3214">
          <cell r="G3214"/>
          <cell r="H3214"/>
          <cell r="L3214"/>
          <cell r="M3214"/>
        </row>
        <row r="3215">
          <cell r="G3215"/>
          <cell r="H3215"/>
          <cell r="L3215"/>
          <cell r="M3215"/>
        </row>
        <row r="3216">
          <cell r="G3216"/>
          <cell r="H3216"/>
          <cell r="L3216"/>
          <cell r="M3216"/>
        </row>
        <row r="3217">
          <cell r="G3217"/>
          <cell r="H3217"/>
          <cell r="L3217"/>
          <cell r="M3217"/>
        </row>
        <row r="3218">
          <cell r="G3218"/>
          <cell r="H3218"/>
          <cell r="L3218"/>
          <cell r="M3218"/>
        </row>
        <row r="3219">
          <cell r="G3219"/>
          <cell r="H3219"/>
          <cell r="L3219"/>
          <cell r="M3219"/>
        </row>
        <row r="3220">
          <cell r="G3220"/>
          <cell r="H3220"/>
          <cell r="L3220"/>
          <cell r="M3220"/>
        </row>
        <row r="3221">
          <cell r="G3221"/>
          <cell r="H3221"/>
          <cell r="L3221"/>
          <cell r="M3221"/>
        </row>
        <row r="3222">
          <cell r="G3222"/>
          <cell r="H3222"/>
          <cell r="L3222"/>
          <cell r="M3222"/>
        </row>
        <row r="3223">
          <cell r="G3223"/>
          <cell r="H3223"/>
          <cell r="L3223"/>
          <cell r="M3223"/>
        </row>
        <row r="3224">
          <cell r="G3224"/>
          <cell r="H3224"/>
          <cell r="L3224"/>
          <cell r="M3224"/>
        </row>
        <row r="3225">
          <cell r="G3225"/>
          <cell r="H3225"/>
          <cell r="L3225"/>
          <cell r="M3225"/>
        </row>
        <row r="3226">
          <cell r="G3226"/>
          <cell r="H3226"/>
          <cell r="L3226"/>
          <cell r="M3226"/>
        </row>
        <row r="3227">
          <cell r="G3227"/>
          <cell r="H3227"/>
          <cell r="L3227"/>
          <cell r="M3227"/>
        </row>
        <row r="3228">
          <cell r="G3228"/>
          <cell r="H3228"/>
          <cell r="L3228"/>
          <cell r="M3228"/>
        </row>
        <row r="3229">
          <cell r="G3229"/>
          <cell r="H3229"/>
          <cell r="L3229"/>
          <cell r="M3229"/>
        </row>
        <row r="3230">
          <cell r="G3230"/>
          <cell r="H3230"/>
          <cell r="L3230"/>
          <cell r="M3230"/>
        </row>
        <row r="3231">
          <cell r="G3231"/>
          <cell r="H3231"/>
          <cell r="L3231"/>
          <cell r="M3231"/>
        </row>
        <row r="3232">
          <cell r="G3232"/>
          <cell r="H3232"/>
          <cell r="L3232"/>
          <cell r="M3232"/>
        </row>
        <row r="3233">
          <cell r="G3233"/>
          <cell r="H3233"/>
          <cell r="L3233"/>
          <cell r="M3233"/>
        </row>
        <row r="3234">
          <cell r="G3234"/>
          <cell r="H3234"/>
          <cell r="L3234"/>
          <cell r="M3234"/>
        </row>
        <row r="3235">
          <cell r="G3235"/>
          <cell r="H3235"/>
          <cell r="L3235"/>
          <cell r="M3235"/>
        </row>
        <row r="3236">
          <cell r="G3236"/>
          <cell r="H3236"/>
          <cell r="L3236"/>
          <cell r="M3236"/>
        </row>
        <row r="3237">
          <cell r="G3237"/>
          <cell r="H3237"/>
          <cell r="L3237"/>
          <cell r="M3237"/>
        </row>
        <row r="3238">
          <cell r="G3238"/>
          <cell r="H3238"/>
          <cell r="L3238"/>
          <cell r="M3238"/>
        </row>
        <row r="3239">
          <cell r="G3239"/>
          <cell r="H3239"/>
          <cell r="L3239"/>
          <cell r="M3239"/>
        </row>
        <row r="3240">
          <cell r="G3240"/>
          <cell r="H3240"/>
          <cell r="L3240"/>
          <cell r="M3240"/>
        </row>
        <row r="3241">
          <cell r="G3241"/>
          <cell r="H3241"/>
          <cell r="L3241"/>
          <cell r="M3241"/>
        </row>
        <row r="3242">
          <cell r="G3242"/>
          <cell r="H3242"/>
          <cell r="L3242"/>
          <cell r="M3242"/>
        </row>
        <row r="3243">
          <cell r="G3243"/>
          <cell r="H3243"/>
          <cell r="L3243"/>
          <cell r="M3243"/>
        </row>
        <row r="3244">
          <cell r="G3244"/>
          <cell r="H3244"/>
          <cell r="L3244"/>
          <cell r="M3244"/>
        </row>
        <row r="3245">
          <cell r="G3245"/>
          <cell r="H3245"/>
          <cell r="L3245"/>
          <cell r="M3245"/>
        </row>
        <row r="3246">
          <cell r="G3246"/>
          <cell r="H3246"/>
          <cell r="L3246"/>
          <cell r="M3246"/>
        </row>
        <row r="3247">
          <cell r="G3247"/>
          <cell r="H3247"/>
          <cell r="L3247"/>
          <cell r="M3247"/>
        </row>
        <row r="3248">
          <cell r="G3248"/>
          <cell r="H3248"/>
          <cell r="L3248"/>
          <cell r="M3248"/>
        </row>
        <row r="3249">
          <cell r="G3249"/>
          <cell r="H3249"/>
          <cell r="L3249"/>
          <cell r="M3249"/>
        </row>
        <row r="3250">
          <cell r="G3250"/>
          <cell r="H3250"/>
          <cell r="L3250"/>
          <cell r="M3250"/>
        </row>
        <row r="3251">
          <cell r="G3251"/>
          <cell r="H3251"/>
          <cell r="L3251"/>
          <cell r="M3251"/>
        </row>
        <row r="3252">
          <cell r="G3252"/>
          <cell r="H3252"/>
          <cell r="L3252"/>
          <cell r="M3252"/>
        </row>
        <row r="3253">
          <cell r="G3253"/>
          <cell r="H3253"/>
          <cell r="L3253"/>
          <cell r="M3253"/>
        </row>
        <row r="3254">
          <cell r="G3254"/>
          <cell r="H3254"/>
          <cell r="L3254"/>
          <cell r="M3254"/>
        </row>
        <row r="3255">
          <cell r="G3255"/>
          <cell r="H3255"/>
          <cell r="L3255"/>
          <cell r="M3255"/>
        </row>
        <row r="3256">
          <cell r="G3256"/>
          <cell r="H3256"/>
          <cell r="L3256"/>
          <cell r="M3256"/>
        </row>
        <row r="3257">
          <cell r="G3257"/>
          <cell r="H3257"/>
          <cell r="L3257"/>
          <cell r="M3257"/>
        </row>
        <row r="3258">
          <cell r="G3258"/>
          <cell r="H3258"/>
          <cell r="L3258"/>
          <cell r="M3258"/>
        </row>
        <row r="3259">
          <cell r="G3259"/>
          <cell r="H3259"/>
          <cell r="L3259"/>
          <cell r="M3259"/>
        </row>
        <row r="3260">
          <cell r="G3260"/>
          <cell r="H3260"/>
          <cell r="L3260"/>
          <cell r="M3260"/>
        </row>
        <row r="3261">
          <cell r="G3261"/>
          <cell r="H3261"/>
          <cell r="L3261"/>
          <cell r="M3261"/>
        </row>
        <row r="3262">
          <cell r="G3262"/>
          <cell r="H3262"/>
          <cell r="L3262"/>
          <cell r="M3262"/>
        </row>
        <row r="3263">
          <cell r="G3263"/>
          <cell r="H3263"/>
          <cell r="L3263"/>
          <cell r="M3263"/>
        </row>
        <row r="3264">
          <cell r="G3264"/>
          <cell r="H3264"/>
          <cell r="L3264"/>
          <cell r="M3264"/>
        </row>
        <row r="3265">
          <cell r="G3265"/>
          <cell r="H3265"/>
          <cell r="L3265"/>
          <cell r="M3265"/>
        </row>
        <row r="3266">
          <cell r="G3266"/>
          <cell r="H3266"/>
          <cell r="L3266"/>
          <cell r="M3266"/>
        </row>
        <row r="3267">
          <cell r="G3267"/>
          <cell r="H3267"/>
          <cell r="L3267"/>
          <cell r="M3267"/>
        </row>
        <row r="3268">
          <cell r="G3268"/>
          <cell r="H3268"/>
          <cell r="L3268"/>
          <cell r="M3268"/>
        </row>
        <row r="3269">
          <cell r="G3269"/>
          <cell r="H3269"/>
          <cell r="L3269"/>
          <cell r="M3269"/>
        </row>
        <row r="3270">
          <cell r="G3270"/>
          <cell r="H3270"/>
          <cell r="L3270"/>
          <cell r="M3270"/>
        </row>
        <row r="3271">
          <cell r="G3271"/>
          <cell r="H3271"/>
          <cell r="L3271"/>
          <cell r="M3271"/>
        </row>
        <row r="3272">
          <cell r="G3272"/>
          <cell r="H3272"/>
          <cell r="L3272"/>
          <cell r="M3272"/>
        </row>
        <row r="3273">
          <cell r="G3273"/>
          <cell r="H3273"/>
          <cell r="L3273"/>
          <cell r="M3273"/>
        </row>
        <row r="3274">
          <cell r="G3274"/>
          <cell r="H3274"/>
          <cell r="L3274"/>
          <cell r="M3274"/>
        </row>
        <row r="3275">
          <cell r="G3275"/>
          <cell r="H3275"/>
          <cell r="L3275"/>
          <cell r="M3275"/>
        </row>
        <row r="3276">
          <cell r="G3276"/>
          <cell r="H3276"/>
          <cell r="L3276"/>
          <cell r="M3276"/>
        </row>
        <row r="3277">
          <cell r="G3277"/>
          <cell r="H3277"/>
          <cell r="L3277"/>
          <cell r="M3277"/>
        </row>
        <row r="3278">
          <cell r="G3278"/>
          <cell r="H3278"/>
          <cell r="L3278"/>
          <cell r="M3278"/>
        </row>
        <row r="3279">
          <cell r="G3279"/>
          <cell r="H3279"/>
          <cell r="L3279"/>
          <cell r="M3279"/>
        </row>
        <row r="3280">
          <cell r="G3280"/>
          <cell r="H3280"/>
          <cell r="L3280"/>
          <cell r="M3280"/>
        </row>
        <row r="3281">
          <cell r="G3281"/>
          <cell r="H3281"/>
          <cell r="L3281"/>
          <cell r="M3281"/>
        </row>
        <row r="3282">
          <cell r="G3282"/>
          <cell r="H3282"/>
          <cell r="L3282"/>
          <cell r="M3282"/>
        </row>
        <row r="3283">
          <cell r="G3283"/>
          <cell r="H3283"/>
          <cell r="L3283"/>
          <cell r="M3283"/>
        </row>
        <row r="3284">
          <cell r="G3284"/>
          <cell r="H3284"/>
          <cell r="L3284"/>
          <cell r="M3284"/>
        </row>
        <row r="3285">
          <cell r="G3285"/>
          <cell r="H3285"/>
          <cell r="L3285"/>
          <cell r="M3285"/>
        </row>
        <row r="3286">
          <cell r="G3286"/>
          <cell r="H3286"/>
          <cell r="L3286"/>
          <cell r="M3286"/>
        </row>
        <row r="3287">
          <cell r="G3287"/>
          <cell r="H3287"/>
          <cell r="L3287"/>
          <cell r="M3287"/>
        </row>
        <row r="3288">
          <cell r="G3288"/>
          <cell r="H3288"/>
          <cell r="L3288"/>
          <cell r="M3288"/>
        </row>
        <row r="3289">
          <cell r="G3289"/>
          <cell r="H3289"/>
          <cell r="L3289"/>
          <cell r="M3289"/>
        </row>
        <row r="3290">
          <cell r="G3290"/>
          <cell r="H3290"/>
          <cell r="L3290"/>
          <cell r="M3290"/>
        </row>
        <row r="3291">
          <cell r="G3291"/>
          <cell r="H3291"/>
          <cell r="L3291"/>
          <cell r="M3291"/>
        </row>
        <row r="3292">
          <cell r="G3292"/>
          <cell r="H3292"/>
          <cell r="L3292"/>
          <cell r="M3292"/>
        </row>
        <row r="3293">
          <cell r="G3293"/>
          <cell r="H3293"/>
          <cell r="L3293"/>
          <cell r="M3293"/>
        </row>
        <row r="3294">
          <cell r="G3294"/>
          <cell r="H3294"/>
          <cell r="L3294"/>
          <cell r="M3294"/>
        </row>
        <row r="3295">
          <cell r="G3295"/>
          <cell r="H3295"/>
          <cell r="L3295"/>
          <cell r="M3295"/>
        </row>
        <row r="3296">
          <cell r="G3296"/>
          <cell r="H3296"/>
          <cell r="L3296"/>
          <cell r="M3296"/>
        </row>
        <row r="3297">
          <cell r="G3297"/>
          <cell r="H3297"/>
          <cell r="L3297"/>
          <cell r="M3297"/>
        </row>
        <row r="3298">
          <cell r="G3298"/>
          <cell r="H3298"/>
          <cell r="L3298"/>
          <cell r="M3298"/>
        </row>
        <row r="3299">
          <cell r="G3299"/>
          <cell r="H3299"/>
          <cell r="L3299"/>
          <cell r="M3299"/>
        </row>
        <row r="3300">
          <cell r="G3300"/>
          <cell r="H3300"/>
          <cell r="L3300"/>
          <cell r="M3300"/>
        </row>
        <row r="3301">
          <cell r="G3301"/>
          <cell r="H3301"/>
          <cell r="L3301"/>
          <cell r="M3301"/>
        </row>
        <row r="3302">
          <cell r="G3302"/>
          <cell r="H3302"/>
          <cell r="L3302"/>
          <cell r="M3302"/>
        </row>
        <row r="3303">
          <cell r="G3303"/>
          <cell r="H3303"/>
          <cell r="L3303"/>
          <cell r="M3303"/>
        </row>
        <row r="3304">
          <cell r="G3304"/>
          <cell r="H3304"/>
          <cell r="L3304"/>
          <cell r="M3304"/>
        </row>
        <row r="3305">
          <cell r="G3305"/>
          <cell r="H3305"/>
          <cell r="L3305"/>
          <cell r="M3305"/>
        </row>
        <row r="3306">
          <cell r="G3306"/>
          <cell r="H3306"/>
          <cell r="L3306"/>
          <cell r="M3306"/>
        </row>
        <row r="3307">
          <cell r="G3307"/>
          <cell r="H3307"/>
          <cell r="L3307"/>
          <cell r="M3307"/>
        </row>
        <row r="3308">
          <cell r="G3308"/>
          <cell r="H3308"/>
          <cell r="L3308"/>
          <cell r="M3308"/>
        </row>
        <row r="3309">
          <cell r="G3309"/>
          <cell r="H3309"/>
          <cell r="L3309"/>
          <cell r="M3309"/>
        </row>
        <row r="3310">
          <cell r="G3310"/>
          <cell r="H3310"/>
          <cell r="L3310"/>
          <cell r="M3310"/>
        </row>
        <row r="3311">
          <cell r="G3311"/>
          <cell r="H3311"/>
          <cell r="L3311"/>
          <cell r="M3311"/>
        </row>
        <row r="3312">
          <cell r="G3312"/>
          <cell r="H3312"/>
          <cell r="L3312"/>
          <cell r="M3312"/>
        </row>
        <row r="3313">
          <cell r="G3313"/>
          <cell r="H3313"/>
          <cell r="L3313"/>
          <cell r="M3313"/>
        </row>
        <row r="3314">
          <cell r="G3314"/>
          <cell r="H3314"/>
          <cell r="L3314"/>
          <cell r="M3314"/>
        </row>
        <row r="3315">
          <cell r="G3315"/>
          <cell r="H3315"/>
          <cell r="L3315"/>
          <cell r="M3315"/>
        </row>
        <row r="3316">
          <cell r="G3316"/>
          <cell r="H3316"/>
          <cell r="L3316"/>
          <cell r="M3316"/>
        </row>
        <row r="3317">
          <cell r="G3317"/>
          <cell r="H3317"/>
          <cell r="L3317"/>
          <cell r="M3317"/>
        </row>
        <row r="3318">
          <cell r="G3318"/>
          <cell r="H3318"/>
          <cell r="L3318"/>
          <cell r="M3318"/>
        </row>
        <row r="3319">
          <cell r="G3319"/>
          <cell r="H3319"/>
          <cell r="L3319"/>
          <cell r="M3319"/>
        </row>
        <row r="3320">
          <cell r="G3320"/>
          <cell r="H3320"/>
          <cell r="L3320"/>
          <cell r="M3320"/>
        </row>
        <row r="3321">
          <cell r="G3321"/>
          <cell r="H3321"/>
          <cell r="L3321"/>
          <cell r="M3321"/>
        </row>
        <row r="3322">
          <cell r="G3322"/>
          <cell r="H3322"/>
          <cell r="L3322"/>
          <cell r="M3322"/>
        </row>
        <row r="3323">
          <cell r="G3323"/>
          <cell r="H3323"/>
          <cell r="L3323"/>
          <cell r="M3323"/>
        </row>
        <row r="3324">
          <cell r="G3324"/>
          <cell r="H3324"/>
          <cell r="L3324"/>
          <cell r="M3324"/>
        </row>
        <row r="3325">
          <cell r="G3325"/>
          <cell r="H3325"/>
          <cell r="L3325"/>
          <cell r="M3325"/>
        </row>
        <row r="3326">
          <cell r="G3326"/>
          <cell r="H3326"/>
          <cell r="L3326"/>
          <cell r="M3326"/>
        </row>
        <row r="3327">
          <cell r="G3327"/>
          <cell r="H3327"/>
          <cell r="L3327"/>
          <cell r="M3327"/>
        </row>
        <row r="3328">
          <cell r="G3328"/>
          <cell r="H3328"/>
          <cell r="L3328"/>
          <cell r="M3328"/>
        </row>
        <row r="3329">
          <cell r="G3329"/>
          <cell r="H3329"/>
          <cell r="L3329"/>
          <cell r="M3329"/>
        </row>
        <row r="3330">
          <cell r="G3330"/>
          <cell r="H3330"/>
          <cell r="L3330"/>
          <cell r="M3330"/>
        </row>
        <row r="3331">
          <cell r="G3331"/>
          <cell r="H3331"/>
          <cell r="L3331"/>
          <cell r="M3331"/>
        </row>
        <row r="3332">
          <cell r="G3332"/>
          <cell r="H3332"/>
          <cell r="L3332"/>
          <cell r="M3332"/>
        </row>
        <row r="3333">
          <cell r="G3333"/>
          <cell r="H3333"/>
          <cell r="L3333"/>
          <cell r="M3333"/>
        </row>
        <row r="3334">
          <cell r="G3334"/>
          <cell r="H3334"/>
          <cell r="L3334"/>
          <cell r="M3334"/>
        </row>
        <row r="3335">
          <cell r="G3335"/>
          <cell r="H3335"/>
          <cell r="L3335"/>
          <cell r="M3335"/>
        </row>
        <row r="3336">
          <cell r="G3336"/>
          <cell r="H3336"/>
          <cell r="L3336"/>
          <cell r="M3336"/>
        </row>
        <row r="3337">
          <cell r="G3337"/>
          <cell r="H3337"/>
          <cell r="L3337"/>
          <cell r="M3337"/>
        </row>
        <row r="3338">
          <cell r="G3338"/>
          <cell r="H3338"/>
          <cell r="L3338"/>
          <cell r="M3338"/>
        </row>
        <row r="3339">
          <cell r="G3339"/>
          <cell r="H3339"/>
          <cell r="L3339"/>
          <cell r="M3339"/>
        </row>
        <row r="3340">
          <cell r="G3340"/>
          <cell r="H3340"/>
          <cell r="L3340"/>
          <cell r="M3340"/>
        </row>
        <row r="3341">
          <cell r="G3341"/>
          <cell r="H3341"/>
          <cell r="L3341"/>
          <cell r="M3341"/>
        </row>
        <row r="3342">
          <cell r="G3342"/>
          <cell r="H3342"/>
          <cell r="L3342"/>
          <cell r="M3342"/>
        </row>
        <row r="3343">
          <cell r="G3343"/>
          <cell r="H3343"/>
          <cell r="L3343"/>
          <cell r="M3343"/>
        </row>
        <row r="3344">
          <cell r="G3344"/>
          <cell r="H3344"/>
          <cell r="L3344"/>
          <cell r="M3344"/>
        </row>
        <row r="3345">
          <cell r="G3345"/>
          <cell r="H3345"/>
          <cell r="L3345"/>
          <cell r="M3345"/>
        </row>
        <row r="3346">
          <cell r="G3346"/>
          <cell r="H3346"/>
          <cell r="L3346"/>
          <cell r="M3346"/>
        </row>
        <row r="3347">
          <cell r="G3347"/>
          <cell r="H3347"/>
          <cell r="L3347"/>
          <cell r="M3347"/>
        </row>
        <row r="3348">
          <cell r="G3348"/>
          <cell r="H3348"/>
          <cell r="L3348"/>
          <cell r="M3348"/>
        </row>
        <row r="3349">
          <cell r="G3349"/>
          <cell r="H3349"/>
          <cell r="L3349"/>
          <cell r="M3349"/>
        </row>
        <row r="3350">
          <cell r="G3350"/>
          <cell r="H3350"/>
          <cell r="L3350"/>
          <cell r="M3350"/>
        </row>
        <row r="3351">
          <cell r="G3351"/>
          <cell r="H3351"/>
          <cell r="L3351"/>
          <cell r="M3351"/>
        </row>
        <row r="3352">
          <cell r="G3352"/>
          <cell r="H3352"/>
          <cell r="L3352"/>
          <cell r="M3352"/>
        </row>
        <row r="3353">
          <cell r="G3353"/>
          <cell r="H3353"/>
          <cell r="L3353"/>
          <cell r="M3353"/>
        </row>
        <row r="3354">
          <cell r="G3354"/>
          <cell r="H3354"/>
          <cell r="L3354"/>
          <cell r="M3354"/>
        </row>
        <row r="3355">
          <cell r="G3355"/>
          <cell r="H3355"/>
          <cell r="L3355"/>
          <cell r="M3355"/>
        </row>
        <row r="3356">
          <cell r="G3356"/>
          <cell r="H3356"/>
          <cell r="L3356"/>
          <cell r="M3356"/>
        </row>
        <row r="3357">
          <cell r="G3357"/>
          <cell r="H3357"/>
          <cell r="L3357"/>
          <cell r="M3357"/>
        </row>
        <row r="3358">
          <cell r="G3358"/>
          <cell r="H3358"/>
          <cell r="L3358"/>
          <cell r="M3358"/>
        </row>
        <row r="3359">
          <cell r="G3359"/>
          <cell r="H3359"/>
          <cell r="L3359"/>
          <cell r="M3359"/>
        </row>
        <row r="3360">
          <cell r="G3360"/>
          <cell r="H3360"/>
          <cell r="L3360"/>
          <cell r="M3360"/>
        </row>
        <row r="3361">
          <cell r="G3361"/>
          <cell r="H3361"/>
          <cell r="L3361"/>
          <cell r="M3361"/>
        </row>
        <row r="3362">
          <cell r="G3362"/>
          <cell r="H3362"/>
          <cell r="L3362"/>
          <cell r="M3362"/>
        </row>
        <row r="3363">
          <cell r="G3363"/>
          <cell r="H3363"/>
          <cell r="L3363"/>
          <cell r="M3363"/>
        </row>
        <row r="3364">
          <cell r="G3364"/>
          <cell r="H3364"/>
          <cell r="L3364"/>
          <cell r="M3364"/>
        </row>
        <row r="3365">
          <cell r="G3365"/>
          <cell r="H3365"/>
          <cell r="L3365"/>
          <cell r="M3365"/>
        </row>
        <row r="3366">
          <cell r="G3366"/>
          <cell r="H3366"/>
          <cell r="L3366"/>
          <cell r="M3366"/>
        </row>
        <row r="3367">
          <cell r="G3367"/>
          <cell r="H3367"/>
          <cell r="L3367"/>
          <cell r="M3367"/>
        </row>
        <row r="3368">
          <cell r="G3368"/>
          <cell r="H3368"/>
          <cell r="L3368"/>
          <cell r="M3368"/>
        </row>
        <row r="3369">
          <cell r="G3369"/>
          <cell r="H3369"/>
          <cell r="L3369"/>
          <cell r="M3369"/>
        </row>
        <row r="3370">
          <cell r="G3370"/>
          <cell r="H3370"/>
          <cell r="L3370"/>
          <cell r="M3370"/>
        </row>
        <row r="3371">
          <cell r="G3371"/>
          <cell r="H3371"/>
          <cell r="L3371"/>
          <cell r="M3371"/>
        </row>
        <row r="3372">
          <cell r="G3372"/>
          <cell r="H3372"/>
          <cell r="L3372"/>
          <cell r="M3372"/>
        </row>
        <row r="3373">
          <cell r="G3373"/>
          <cell r="H3373"/>
          <cell r="L3373"/>
          <cell r="M3373"/>
        </row>
        <row r="3374">
          <cell r="G3374"/>
          <cell r="H3374"/>
          <cell r="L3374"/>
          <cell r="M3374"/>
        </row>
        <row r="3375">
          <cell r="G3375"/>
          <cell r="H3375"/>
          <cell r="L3375"/>
          <cell r="M3375"/>
        </row>
        <row r="3376">
          <cell r="G3376"/>
          <cell r="H3376"/>
          <cell r="L3376"/>
          <cell r="M3376"/>
        </row>
        <row r="3377">
          <cell r="G3377"/>
          <cell r="H3377"/>
          <cell r="L3377"/>
          <cell r="M3377"/>
        </row>
        <row r="3378">
          <cell r="G3378"/>
          <cell r="H3378"/>
          <cell r="L3378"/>
          <cell r="M3378"/>
        </row>
        <row r="3379">
          <cell r="G3379"/>
          <cell r="H3379"/>
          <cell r="L3379"/>
          <cell r="M3379"/>
        </row>
        <row r="3380">
          <cell r="G3380"/>
          <cell r="H3380"/>
          <cell r="L3380"/>
          <cell r="M3380"/>
        </row>
        <row r="3381">
          <cell r="G3381"/>
          <cell r="H3381"/>
          <cell r="L3381"/>
          <cell r="M3381"/>
        </row>
        <row r="3382">
          <cell r="G3382"/>
          <cell r="H3382"/>
          <cell r="L3382"/>
          <cell r="M3382"/>
        </row>
        <row r="3383">
          <cell r="G3383"/>
          <cell r="H3383"/>
          <cell r="L3383"/>
          <cell r="M3383"/>
        </row>
        <row r="3384">
          <cell r="G3384"/>
          <cell r="H3384"/>
          <cell r="L3384"/>
          <cell r="M3384"/>
        </row>
        <row r="3385">
          <cell r="G3385"/>
          <cell r="H3385"/>
          <cell r="L3385"/>
          <cell r="M3385"/>
        </row>
        <row r="3386">
          <cell r="G3386"/>
          <cell r="H3386"/>
          <cell r="L3386"/>
          <cell r="M3386"/>
        </row>
        <row r="3387">
          <cell r="G3387"/>
          <cell r="H3387"/>
          <cell r="L3387"/>
          <cell r="M3387"/>
        </row>
        <row r="3388">
          <cell r="G3388"/>
          <cell r="H3388"/>
          <cell r="L3388"/>
          <cell r="M3388"/>
        </row>
        <row r="3389">
          <cell r="G3389"/>
          <cell r="H3389"/>
          <cell r="L3389"/>
          <cell r="M3389"/>
        </row>
        <row r="3390">
          <cell r="G3390"/>
          <cell r="H3390"/>
          <cell r="L3390"/>
          <cell r="M3390"/>
        </row>
        <row r="3391">
          <cell r="G3391"/>
          <cell r="H3391"/>
          <cell r="L3391"/>
          <cell r="M3391"/>
        </row>
        <row r="3392">
          <cell r="G3392"/>
          <cell r="H3392"/>
          <cell r="L3392"/>
          <cell r="M3392"/>
        </row>
        <row r="3393">
          <cell r="G3393"/>
          <cell r="H3393"/>
          <cell r="L3393"/>
          <cell r="M3393"/>
        </row>
        <row r="3394">
          <cell r="G3394"/>
          <cell r="H3394"/>
          <cell r="L3394"/>
          <cell r="M3394"/>
        </row>
        <row r="3395">
          <cell r="G3395"/>
          <cell r="H3395"/>
          <cell r="L3395"/>
          <cell r="M3395"/>
        </row>
        <row r="3396">
          <cell r="G3396"/>
          <cell r="H3396"/>
          <cell r="L3396"/>
          <cell r="M3396"/>
        </row>
        <row r="3397">
          <cell r="G3397"/>
          <cell r="H3397"/>
          <cell r="L3397"/>
          <cell r="M3397"/>
        </row>
        <row r="3398">
          <cell r="G3398"/>
          <cell r="H3398"/>
          <cell r="L3398"/>
          <cell r="M3398"/>
        </row>
        <row r="3399">
          <cell r="G3399"/>
          <cell r="H3399"/>
          <cell r="L3399"/>
          <cell r="M3399"/>
        </row>
        <row r="3400">
          <cell r="G3400"/>
          <cell r="H3400"/>
          <cell r="L3400"/>
          <cell r="M3400"/>
        </row>
        <row r="3401">
          <cell r="G3401"/>
          <cell r="H3401"/>
          <cell r="L3401"/>
          <cell r="M3401"/>
        </row>
        <row r="3402">
          <cell r="G3402"/>
          <cell r="H3402"/>
          <cell r="L3402"/>
          <cell r="M3402"/>
        </row>
        <row r="3403">
          <cell r="G3403"/>
          <cell r="H3403"/>
          <cell r="L3403"/>
          <cell r="M3403"/>
        </row>
        <row r="3404">
          <cell r="G3404"/>
          <cell r="H3404"/>
          <cell r="L3404"/>
          <cell r="M3404"/>
        </row>
        <row r="3405">
          <cell r="G3405"/>
          <cell r="H3405"/>
          <cell r="L3405"/>
          <cell r="M3405"/>
        </row>
        <row r="3406">
          <cell r="G3406"/>
          <cell r="H3406"/>
          <cell r="L3406"/>
          <cell r="M3406"/>
        </row>
        <row r="3407">
          <cell r="G3407"/>
          <cell r="H3407"/>
          <cell r="L3407"/>
          <cell r="M3407"/>
        </row>
        <row r="3408">
          <cell r="G3408"/>
          <cell r="H3408"/>
          <cell r="L3408"/>
          <cell r="M3408"/>
        </row>
        <row r="3409">
          <cell r="G3409"/>
          <cell r="H3409"/>
          <cell r="L3409"/>
          <cell r="M3409"/>
        </row>
        <row r="3410">
          <cell r="G3410"/>
          <cell r="H3410"/>
          <cell r="L3410"/>
          <cell r="M3410"/>
        </row>
        <row r="3411">
          <cell r="G3411"/>
          <cell r="H3411"/>
          <cell r="L3411"/>
          <cell r="M3411"/>
        </row>
        <row r="3412">
          <cell r="G3412"/>
          <cell r="H3412"/>
          <cell r="L3412"/>
          <cell r="M3412"/>
        </row>
        <row r="3413">
          <cell r="G3413"/>
          <cell r="H3413"/>
          <cell r="L3413"/>
          <cell r="M3413"/>
        </row>
        <row r="3414">
          <cell r="G3414"/>
          <cell r="H3414"/>
          <cell r="L3414"/>
          <cell r="M3414"/>
        </row>
        <row r="3415">
          <cell r="G3415"/>
          <cell r="H3415"/>
          <cell r="L3415"/>
          <cell r="M3415"/>
        </row>
        <row r="3416">
          <cell r="G3416"/>
          <cell r="H3416"/>
          <cell r="L3416"/>
          <cell r="M3416"/>
        </row>
        <row r="3417">
          <cell r="G3417"/>
          <cell r="H3417"/>
          <cell r="L3417"/>
          <cell r="M3417"/>
        </row>
        <row r="3418">
          <cell r="G3418"/>
          <cell r="H3418"/>
          <cell r="L3418"/>
          <cell r="M3418"/>
        </row>
        <row r="3419">
          <cell r="G3419"/>
          <cell r="H3419"/>
          <cell r="L3419"/>
          <cell r="M3419"/>
        </row>
        <row r="3420">
          <cell r="G3420"/>
          <cell r="H3420"/>
          <cell r="L3420"/>
          <cell r="M3420"/>
        </row>
        <row r="3421">
          <cell r="G3421"/>
          <cell r="H3421"/>
          <cell r="L3421"/>
          <cell r="M3421"/>
        </row>
        <row r="3422">
          <cell r="G3422"/>
          <cell r="H3422"/>
          <cell r="L3422"/>
          <cell r="M3422"/>
        </row>
        <row r="3423">
          <cell r="G3423"/>
          <cell r="H3423"/>
          <cell r="L3423"/>
          <cell r="M3423"/>
        </row>
        <row r="3424">
          <cell r="G3424"/>
          <cell r="H3424"/>
          <cell r="L3424"/>
          <cell r="M3424"/>
        </row>
        <row r="3425">
          <cell r="G3425"/>
          <cell r="H3425"/>
          <cell r="L3425"/>
          <cell r="M3425"/>
        </row>
        <row r="3426">
          <cell r="G3426"/>
          <cell r="H3426"/>
          <cell r="L3426"/>
          <cell r="M3426"/>
        </row>
        <row r="3427">
          <cell r="G3427"/>
          <cell r="H3427"/>
          <cell r="L3427"/>
          <cell r="M3427"/>
        </row>
        <row r="3428">
          <cell r="G3428"/>
          <cell r="H3428"/>
          <cell r="L3428"/>
          <cell r="M3428"/>
        </row>
        <row r="3429">
          <cell r="G3429"/>
          <cell r="H3429"/>
          <cell r="L3429"/>
          <cell r="M3429"/>
        </row>
        <row r="3430">
          <cell r="G3430"/>
          <cell r="H3430"/>
          <cell r="L3430"/>
          <cell r="M3430"/>
        </row>
        <row r="3431">
          <cell r="G3431"/>
          <cell r="H3431"/>
          <cell r="L3431"/>
          <cell r="M3431"/>
        </row>
        <row r="3432">
          <cell r="G3432"/>
          <cell r="H3432"/>
          <cell r="L3432"/>
          <cell r="M3432"/>
        </row>
        <row r="3433">
          <cell r="G3433"/>
          <cell r="H3433"/>
          <cell r="L3433"/>
          <cell r="M3433"/>
        </row>
        <row r="3434">
          <cell r="G3434"/>
          <cell r="H3434"/>
          <cell r="L3434"/>
          <cell r="M3434"/>
        </row>
        <row r="3435">
          <cell r="G3435"/>
          <cell r="H3435"/>
          <cell r="L3435"/>
          <cell r="M3435"/>
        </row>
        <row r="3436">
          <cell r="G3436"/>
          <cell r="H3436"/>
          <cell r="L3436"/>
          <cell r="M3436"/>
        </row>
        <row r="3437">
          <cell r="G3437"/>
          <cell r="H3437"/>
          <cell r="L3437"/>
          <cell r="M3437"/>
        </row>
        <row r="3438">
          <cell r="G3438"/>
          <cell r="H3438"/>
          <cell r="L3438"/>
          <cell r="M3438"/>
        </row>
        <row r="3439">
          <cell r="G3439"/>
          <cell r="H3439"/>
          <cell r="L3439"/>
          <cell r="M3439"/>
        </row>
        <row r="3440">
          <cell r="G3440"/>
          <cell r="H3440"/>
          <cell r="L3440"/>
          <cell r="M3440"/>
        </row>
        <row r="3441">
          <cell r="G3441"/>
          <cell r="H3441"/>
          <cell r="L3441"/>
          <cell r="M3441"/>
        </row>
        <row r="3442">
          <cell r="G3442"/>
          <cell r="H3442"/>
          <cell r="L3442"/>
          <cell r="M3442"/>
        </row>
        <row r="3443">
          <cell r="G3443"/>
          <cell r="H3443"/>
          <cell r="L3443"/>
          <cell r="M3443"/>
        </row>
        <row r="3444">
          <cell r="G3444"/>
          <cell r="H3444"/>
          <cell r="L3444"/>
          <cell r="M3444"/>
        </row>
        <row r="3445">
          <cell r="G3445"/>
          <cell r="H3445"/>
          <cell r="L3445"/>
          <cell r="M3445"/>
        </row>
        <row r="3446">
          <cell r="G3446"/>
          <cell r="H3446"/>
          <cell r="L3446"/>
          <cell r="M3446"/>
        </row>
        <row r="3447">
          <cell r="G3447"/>
          <cell r="H3447"/>
          <cell r="L3447"/>
          <cell r="M3447"/>
        </row>
        <row r="3448">
          <cell r="G3448"/>
          <cell r="H3448"/>
          <cell r="L3448"/>
          <cell r="M3448"/>
        </row>
        <row r="3449">
          <cell r="G3449"/>
          <cell r="H3449"/>
          <cell r="L3449"/>
          <cell r="M3449"/>
        </row>
        <row r="3450">
          <cell r="G3450"/>
          <cell r="H3450"/>
          <cell r="L3450"/>
          <cell r="M3450"/>
        </row>
        <row r="3451">
          <cell r="G3451"/>
          <cell r="H3451"/>
          <cell r="L3451"/>
          <cell r="M3451"/>
        </row>
        <row r="3452">
          <cell r="G3452"/>
          <cell r="H3452"/>
          <cell r="L3452"/>
          <cell r="M3452"/>
        </row>
        <row r="3453">
          <cell r="G3453"/>
          <cell r="H3453"/>
          <cell r="L3453"/>
          <cell r="M3453"/>
        </row>
        <row r="3454">
          <cell r="G3454"/>
          <cell r="H3454"/>
          <cell r="L3454"/>
          <cell r="M3454"/>
        </row>
        <row r="3455">
          <cell r="G3455"/>
          <cell r="H3455"/>
          <cell r="L3455"/>
          <cell r="M3455"/>
        </row>
        <row r="3456">
          <cell r="G3456"/>
          <cell r="H3456"/>
          <cell r="L3456"/>
          <cell r="M3456"/>
        </row>
        <row r="3457">
          <cell r="G3457"/>
          <cell r="H3457"/>
          <cell r="L3457"/>
          <cell r="M3457"/>
        </row>
        <row r="3458">
          <cell r="G3458"/>
          <cell r="H3458"/>
          <cell r="L3458"/>
          <cell r="M3458"/>
        </row>
        <row r="3459">
          <cell r="G3459"/>
          <cell r="H3459"/>
          <cell r="L3459"/>
          <cell r="M3459"/>
        </row>
        <row r="3460">
          <cell r="G3460"/>
          <cell r="H3460"/>
          <cell r="L3460"/>
          <cell r="M3460"/>
        </row>
        <row r="3461">
          <cell r="G3461"/>
          <cell r="H3461"/>
          <cell r="L3461"/>
          <cell r="M3461"/>
        </row>
        <row r="3462">
          <cell r="G3462"/>
          <cell r="H3462"/>
          <cell r="L3462"/>
          <cell r="M3462"/>
        </row>
        <row r="3463">
          <cell r="G3463"/>
          <cell r="H3463"/>
          <cell r="L3463"/>
          <cell r="M3463"/>
        </row>
        <row r="3464">
          <cell r="G3464"/>
          <cell r="H3464"/>
          <cell r="L3464"/>
          <cell r="M3464"/>
        </row>
        <row r="3465">
          <cell r="G3465"/>
          <cell r="H3465"/>
          <cell r="L3465"/>
          <cell r="M3465"/>
        </row>
        <row r="3466">
          <cell r="G3466"/>
          <cell r="H3466"/>
          <cell r="L3466"/>
          <cell r="M3466"/>
        </row>
        <row r="3467">
          <cell r="G3467"/>
          <cell r="H3467"/>
          <cell r="L3467"/>
          <cell r="M3467"/>
        </row>
        <row r="3468">
          <cell r="G3468"/>
          <cell r="H3468"/>
          <cell r="L3468"/>
          <cell r="M3468"/>
        </row>
        <row r="3469">
          <cell r="G3469"/>
          <cell r="H3469"/>
          <cell r="L3469"/>
          <cell r="M3469"/>
        </row>
        <row r="3470">
          <cell r="G3470"/>
          <cell r="H3470"/>
          <cell r="L3470"/>
          <cell r="M3470"/>
        </row>
        <row r="3471">
          <cell r="G3471"/>
          <cell r="H3471"/>
          <cell r="L3471"/>
          <cell r="M3471"/>
        </row>
        <row r="3472">
          <cell r="G3472"/>
          <cell r="H3472"/>
          <cell r="L3472"/>
          <cell r="M3472"/>
        </row>
        <row r="3473">
          <cell r="G3473"/>
          <cell r="H3473"/>
          <cell r="L3473"/>
          <cell r="M3473"/>
        </row>
        <row r="3474">
          <cell r="G3474"/>
          <cell r="H3474"/>
          <cell r="L3474"/>
          <cell r="M3474"/>
        </row>
        <row r="3475">
          <cell r="G3475"/>
          <cell r="H3475"/>
          <cell r="L3475"/>
          <cell r="M3475"/>
        </row>
        <row r="3476">
          <cell r="G3476"/>
          <cell r="H3476"/>
          <cell r="L3476"/>
          <cell r="M3476"/>
        </row>
        <row r="3477">
          <cell r="G3477"/>
          <cell r="H3477"/>
          <cell r="L3477"/>
          <cell r="M3477"/>
        </row>
        <row r="3478">
          <cell r="G3478"/>
          <cell r="H3478"/>
          <cell r="L3478"/>
          <cell r="M3478"/>
        </row>
        <row r="3479">
          <cell r="G3479"/>
          <cell r="H3479"/>
          <cell r="L3479"/>
          <cell r="M3479"/>
        </row>
        <row r="3480">
          <cell r="G3480"/>
          <cell r="H3480"/>
          <cell r="L3480"/>
          <cell r="M3480"/>
        </row>
        <row r="3481">
          <cell r="G3481"/>
          <cell r="H3481"/>
          <cell r="L3481"/>
          <cell r="M3481"/>
        </row>
        <row r="3482">
          <cell r="G3482"/>
          <cell r="H3482"/>
          <cell r="L3482"/>
          <cell r="M3482"/>
        </row>
        <row r="3483">
          <cell r="G3483"/>
          <cell r="H3483"/>
          <cell r="L3483"/>
          <cell r="M3483"/>
        </row>
        <row r="3484">
          <cell r="G3484"/>
          <cell r="H3484"/>
          <cell r="L3484"/>
          <cell r="M3484"/>
        </row>
        <row r="3485">
          <cell r="G3485"/>
          <cell r="H3485"/>
          <cell r="L3485"/>
          <cell r="M3485"/>
        </row>
        <row r="3486">
          <cell r="G3486"/>
          <cell r="H3486"/>
          <cell r="L3486"/>
          <cell r="M3486"/>
        </row>
        <row r="3487">
          <cell r="G3487"/>
          <cell r="H3487"/>
          <cell r="L3487"/>
          <cell r="M3487"/>
        </row>
        <row r="3488">
          <cell r="G3488"/>
          <cell r="H3488"/>
          <cell r="L3488"/>
          <cell r="M3488"/>
        </row>
        <row r="3489">
          <cell r="G3489"/>
          <cell r="H3489"/>
          <cell r="L3489"/>
          <cell r="M3489"/>
        </row>
        <row r="3490">
          <cell r="G3490"/>
          <cell r="H3490"/>
          <cell r="L3490"/>
          <cell r="M3490"/>
        </row>
        <row r="3491">
          <cell r="G3491"/>
          <cell r="H3491"/>
          <cell r="L3491"/>
          <cell r="M3491"/>
        </row>
        <row r="3492">
          <cell r="G3492"/>
          <cell r="H3492"/>
          <cell r="L3492"/>
          <cell r="M3492"/>
        </row>
        <row r="3493">
          <cell r="G3493"/>
          <cell r="H3493"/>
          <cell r="L3493"/>
          <cell r="M3493"/>
        </row>
        <row r="3494">
          <cell r="G3494"/>
          <cell r="H3494"/>
          <cell r="L3494"/>
          <cell r="M3494"/>
        </row>
        <row r="3495">
          <cell r="G3495"/>
          <cell r="H3495"/>
          <cell r="L3495"/>
          <cell r="M3495"/>
        </row>
        <row r="3496">
          <cell r="G3496"/>
          <cell r="H3496"/>
          <cell r="L3496"/>
          <cell r="M3496"/>
        </row>
        <row r="3497">
          <cell r="G3497"/>
          <cell r="H3497"/>
          <cell r="L3497"/>
          <cell r="M3497"/>
        </row>
        <row r="3498">
          <cell r="G3498"/>
          <cell r="H3498"/>
          <cell r="L3498"/>
          <cell r="M3498"/>
        </row>
        <row r="3499">
          <cell r="G3499"/>
          <cell r="H3499"/>
          <cell r="L3499"/>
          <cell r="M3499"/>
        </row>
        <row r="3500">
          <cell r="G3500"/>
          <cell r="H3500"/>
          <cell r="L3500"/>
          <cell r="M3500"/>
        </row>
        <row r="3501">
          <cell r="G3501"/>
          <cell r="H3501"/>
          <cell r="L3501"/>
          <cell r="M3501"/>
        </row>
        <row r="3502">
          <cell r="G3502"/>
          <cell r="H3502"/>
          <cell r="L3502"/>
          <cell r="M3502"/>
        </row>
        <row r="3503">
          <cell r="G3503"/>
          <cell r="H3503"/>
          <cell r="L3503"/>
          <cell r="M3503"/>
        </row>
        <row r="3504">
          <cell r="G3504"/>
          <cell r="H3504"/>
          <cell r="L3504"/>
          <cell r="M3504"/>
        </row>
        <row r="3505">
          <cell r="G3505"/>
          <cell r="H3505"/>
          <cell r="L3505"/>
          <cell r="M3505"/>
        </row>
        <row r="3506">
          <cell r="G3506"/>
          <cell r="H3506"/>
          <cell r="L3506"/>
          <cell r="M3506"/>
        </row>
        <row r="3507">
          <cell r="G3507"/>
          <cell r="H3507"/>
          <cell r="L3507"/>
          <cell r="M3507"/>
        </row>
        <row r="3508">
          <cell r="G3508"/>
          <cell r="H3508"/>
          <cell r="L3508"/>
          <cell r="M3508"/>
        </row>
        <row r="3509">
          <cell r="G3509"/>
          <cell r="H3509"/>
          <cell r="L3509"/>
          <cell r="M3509"/>
        </row>
        <row r="3510">
          <cell r="G3510"/>
          <cell r="H3510"/>
          <cell r="L3510"/>
          <cell r="M3510"/>
        </row>
        <row r="3511">
          <cell r="G3511"/>
          <cell r="H3511"/>
          <cell r="L3511"/>
          <cell r="M3511"/>
        </row>
        <row r="3512">
          <cell r="G3512"/>
          <cell r="H3512"/>
          <cell r="L3512"/>
          <cell r="M3512"/>
        </row>
        <row r="3513">
          <cell r="G3513"/>
          <cell r="H3513"/>
          <cell r="L3513"/>
          <cell r="M3513"/>
        </row>
        <row r="3514">
          <cell r="G3514"/>
          <cell r="H3514"/>
          <cell r="L3514"/>
          <cell r="M3514"/>
        </row>
        <row r="3515">
          <cell r="G3515"/>
          <cell r="H3515"/>
          <cell r="L3515"/>
          <cell r="M3515"/>
        </row>
        <row r="3516">
          <cell r="G3516"/>
          <cell r="H3516"/>
          <cell r="L3516"/>
          <cell r="M3516"/>
        </row>
        <row r="3517">
          <cell r="G3517"/>
          <cell r="H3517"/>
          <cell r="L3517"/>
          <cell r="M3517"/>
        </row>
        <row r="3518">
          <cell r="G3518"/>
          <cell r="H3518"/>
          <cell r="L3518"/>
          <cell r="M3518"/>
        </row>
        <row r="3519">
          <cell r="G3519"/>
          <cell r="H3519"/>
          <cell r="L3519"/>
          <cell r="M3519"/>
        </row>
        <row r="3520">
          <cell r="G3520"/>
          <cell r="H3520"/>
          <cell r="L3520"/>
          <cell r="M3520"/>
        </row>
        <row r="3521">
          <cell r="G3521"/>
          <cell r="H3521"/>
          <cell r="L3521"/>
          <cell r="M3521"/>
        </row>
        <row r="3522">
          <cell r="G3522"/>
          <cell r="H3522"/>
          <cell r="L3522"/>
          <cell r="M3522"/>
        </row>
        <row r="3523">
          <cell r="G3523"/>
          <cell r="H3523"/>
          <cell r="L3523"/>
          <cell r="M3523"/>
        </row>
        <row r="3524">
          <cell r="G3524"/>
          <cell r="H3524"/>
          <cell r="L3524"/>
          <cell r="M3524"/>
        </row>
        <row r="3525">
          <cell r="G3525"/>
          <cell r="H3525"/>
          <cell r="L3525"/>
          <cell r="M3525"/>
        </row>
        <row r="3526">
          <cell r="G3526"/>
          <cell r="H3526"/>
          <cell r="L3526"/>
          <cell r="M3526"/>
        </row>
        <row r="3527">
          <cell r="G3527"/>
          <cell r="H3527"/>
          <cell r="L3527"/>
          <cell r="M3527"/>
        </row>
        <row r="3528">
          <cell r="G3528"/>
          <cell r="H3528"/>
          <cell r="L3528"/>
          <cell r="M3528"/>
        </row>
        <row r="3529">
          <cell r="G3529"/>
          <cell r="H3529"/>
          <cell r="L3529"/>
          <cell r="M3529"/>
        </row>
        <row r="3530">
          <cell r="G3530"/>
          <cell r="H3530"/>
          <cell r="L3530"/>
          <cell r="M3530"/>
        </row>
        <row r="3531">
          <cell r="G3531"/>
          <cell r="H3531"/>
          <cell r="L3531"/>
          <cell r="M3531"/>
        </row>
        <row r="3532">
          <cell r="G3532"/>
          <cell r="H3532"/>
          <cell r="L3532"/>
          <cell r="M3532"/>
        </row>
        <row r="3533">
          <cell r="G3533"/>
          <cell r="H3533"/>
          <cell r="L3533"/>
          <cell r="M3533"/>
        </row>
        <row r="3534">
          <cell r="G3534"/>
          <cell r="H3534"/>
          <cell r="L3534"/>
          <cell r="M3534"/>
        </row>
        <row r="3535">
          <cell r="G3535"/>
          <cell r="H3535"/>
          <cell r="L3535"/>
          <cell r="M3535"/>
        </row>
        <row r="3536">
          <cell r="G3536"/>
          <cell r="H3536"/>
          <cell r="L3536"/>
          <cell r="M3536"/>
        </row>
        <row r="3537">
          <cell r="G3537"/>
          <cell r="H3537"/>
          <cell r="L3537"/>
          <cell r="M3537"/>
        </row>
        <row r="3538">
          <cell r="G3538"/>
          <cell r="H3538"/>
          <cell r="L3538"/>
          <cell r="M3538"/>
        </row>
        <row r="3539">
          <cell r="G3539"/>
          <cell r="H3539"/>
          <cell r="L3539"/>
          <cell r="M3539"/>
        </row>
        <row r="3540">
          <cell r="G3540"/>
          <cell r="H3540"/>
          <cell r="L3540"/>
          <cell r="M3540"/>
        </row>
        <row r="3541">
          <cell r="G3541"/>
          <cell r="H3541"/>
          <cell r="L3541"/>
          <cell r="M3541"/>
        </row>
        <row r="3542">
          <cell r="G3542"/>
          <cell r="H3542"/>
          <cell r="L3542"/>
          <cell r="M3542"/>
        </row>
        <row r="3543">
          <cell r="G3543"/>
          <cell r="H3543"/>
          <cell r="L3543"/>
          <cell r="M3543"/>
        </row>
        <row r="3544">
          <cell r="G3544"/>
          <cell r="H3544"/>
          <cell r="L3544"/>
          <cell r="M3544"/>
        </row>
        <row r="3545">
          <cell r="G3545"/>
          <cell r="H3545"/>
          <cell r="L3545"/>
          <cell r="M3545"/>
        </row>
        <row r="3546">
          <cell r="G3546"/>
          <cell r="H3546"/>
          <cell r="L3546"/>
          <cell r="M3546"/>
        </row>
        <row r="3547">
          <cell r="G3547"/>
          <cell r="H3547"/>
          <cell r="L3547"/>
          <cell r="M3547"/>
        </row>
        <row r="3548">
          <cell r="G3548"/>
          <cell r="H3548"/>
          <cell r="L3548"/>
          <cell r="M3548"/>
        </row>
        <row r="3549">
          <cell r="G3549"/>
          <cell r="H3549"/>
          <cell r="L3549"/>
          <cell r="M3549"/>
        </row>
        <row r="3550">
          <cell r="G3550"/>
          <cell r="H3550"/>
          <cell r="L3550"/>
          <cell r="M3550"/>
        </row>
        <row r="3551">
          <cell r="G3551"/>
          <cell r="H3551"/>
          <cell r="L3551"/>
          <cell r="M3551"/>
        </row>
        <row r="3552">
          <cell r="G3552"/>
          <cell r="H3552"/>
          <cell r="L3552"/>
          <cell r="M3552"/>
        </row>
        <row r="3553">
          <cell r="G3553"/>
          <cell r="H3553"/>
          <cell r="L3553"/>
          <cell r="M3553"/>
        </row>
        <row r="3554">
          <cell r="G3554"/>
          <cell r="H3554"/>
          <cell r="L3554"/>
          <cell r="M3554"/>
        </row>
        <row r="3555">
          <cell r="G3555"/>
          <cell r="H3555"/>
          <cell r="L3555"/>
          <cell r="M3555"/>
        </row>
        <row r="3556">
          <cell r="G3556"/>
          <cell r="H3556"/>
          <cell r="L3556"/>
          <cell r="M3556"/>
        </row>
        <row r="3557">
          <cell r="G3557"/>
          <cell r="H3557"/>
          <cell r="L3557"/>
          <cell r="M3557"/>
        </row>
        <row r="3558">
          <cell r="G3558"/>
          <cell r="H3558"/>
          <cell r="L3558"/>
          <cell r="M3558"/>
        </row>
        <row r="3559">
          <cell r="G3559"/>
          <cell r="H3559"/>
          <cell r="L3559"/>
          <cell r="M3559"/>
        </row>
        <row r="3560">
          <cell r="G3560"/>
          <cell r="H3560"/>
          <cell r="L3560"/>
          <cell r="M3560"/>
        </row>
        <row r="3561">
          <cell r="G3561"/>
          <cell r="H3561"/>
          <cell r="L3561"/>
          <cell r="M3561"/>
        </row>
        <row r="3562">
          <cell r="G3562"/>
          <cell r="H3562"/>
          <cell r="L3562"/>
          <cell r="M3562"/>
        </row>
        <row r="3563">
          <cell r="G3563"/>
          <cell r="H3563"/>
          <cell r="L3563"/>
          <cell r="M3563"/>
        </row>
        <row r="3564">
          <cell r="G3564"/>
          <cell r="H3564"/>
          <cell r="L3564"/>
          <cell r="M3564"/>
        </row>
        <row r="3565">
          <cell r="G3565"/>
          <cell r="H3565"/>
          <cell r="L3565"/>
          <cell r="M3565"/>
        </row>
        <row r="3566">
          <cell r="G3566"/>
          <cell r="H3566"/>
          <cell r="L3566"/>
          <cell r="M3566"/>
        </row>
        <row r="3567">
          <cell r="G3567"/>
          <cell r="H3567"/>
          <cell r="L3567"/>
          <cell r="M3567"/>
        </row>
        <row r="3568">
          <cell r="G3568"/>
          <cell r="H3568"/>
          <cell r="L3568"/>
          <cell r="M3568"/>
        </row>
        <row r="3569">
          <cell r="G3569"/>
          <cell r="H3569"/>
          <cell r="L3569"/>
          <cell r="M3569"/>
        </row>
        <row r="3570">
          <cell r="G3570"/>
          <cell r="H3570"/>
          <cell r="L3570"/>
          <cell r="M3570"/>
        </row>
        <row r="3571">
          <cell r="G3571"/>
          <cell r="H3571"/>
          <cell r="L3571"/>
          <cell r="M3571"/>
        </row>
        <row r="3572">
          <cell r="G3572"/>
          <cell r="H3572"/>
          <cell r="L3572"/>
          <cell r="M3572"/>
        </row>
        <row r="3573">
          <cell r="G3573"/>
          <cell r="H3573"/>
          <cell r="L3573"/>
          <cell r="M3573"/>
        </row>
        <row r="3574">
          <cell r="G3574"/>
          <cell r="H3574"/>
          <cell r="L3574"/>
          <cell r="M3574"/>
        </row>
        <row r="3575">
          <cell r="G3575"/>
          <cell r="H3575"/>
          <cell r="L3575"/>
          <cell r="M3575"/>
        </row>
        <row r="3576">
          <cell r="G3576"/>
          <cell r="H3576"/>
          <cell r="L3576"/>
          <cell r="M3576"/>
        </row>
        <row r="3577">
          <cell r="G3577"/>
          <cell r="H3577"/>
          <cell r="L3577"/>
          <cell r="M3577"/>
        </row>
        <row r="3578">
          <cell r="G3578"/>
          <cell r="H3578"/>
          <cell r="L3578"/>
          <cell r="M3578"/>
        </row>
        <row r="3579">
          <cell r="G3579"/>
          <cell r="H3579"/>
          <cell r="L3579"/>
          <cell r="M3579"/>
        </row>
        <row r="3580">
          <cell r="G3580"/>
          <cell r="H3580"/>
          <cell r="L3580"/>
          <cell r="M3580"/>
        </row>
        <row r="3581">
          <cell r="G3581"/>
          <cell r="H3581"/>
          <cell r="L3581"/>
          <cell r="M3581"/>
        </row>
        <row r="3582">
          <cell r="G3582"/>
          <cell r="H3582"/>
          <cell r="L3582"/>
          <cell r="M3582"/>
        </row>
        <row r="3583">
          <cell r="G3583"/>
          <cell r="H3583"/>
          <cell r="L3583"/>
          <cell r="M3583"/>
        </row>
        <row r="3584">
          <cell r="G3584"/>
          <cell r="H3584"/>
          <cell r="L3584"/>
          <cell r="M3584"/>
        </row>
        <row r="3585">
          <cell r="G3585"/>
          <cell r="H3585"/>
          <cell r="L3585"/>
          <cell r="M3585"/>
        </row>
        <row r="3586">
          <cell r="G3586"/>
          <cell r="H3586"/>
          <cell r="L3586"/>
          <cell r="M3586"/>
        </row>
        <row r="3587">
          <cell r="G3587"/>
          <cell r="H3587"/>
          <cell r="L3587"/>
          <cell r="M3587"/>
        </row>
        <row r="3588">
          <cell r="G3588"/>
          <cell r="H3588"/>
          <cell r="L3588"/>
          <cell r="M3588"/>
        </row>
        <row r="3589">
          <cell r="G3589"/>
          <cell r="H3589"/>
          <cell r="L3589"/>
          <cell r="M3589"/>
        </row>
        <row r="3590">
          <cell r="G3590"/>
          <cell r="H3590"/>
          <cell r="L3590"/>
          <cell r="M3590"/>
        </row>
        <row r="3591">
          <cell r="G3591"/>
          <cell r="H3591"/>
          <cell r="L3591"/>
          <cell r="M3591"/>
        </row>
        <row r="3592">
          <cell r="G3592"/>
          <cell r="H3592"/>
          <cell r="L3592"/>
          <cell r="M3592"/>
        </row>
        <row r="3593">
          <cell r="G3593"/>
          <cell r="H3593"/>
          <cell r="L3593"/>
          <cell r="M3593"/>
        </row>
        <row r="3594">
          <cell r="G3594"/>
          <cell r="H3594"/>
          <cell r="L3594"/>
          <cell r="M3594"/>
        </row>
        <row r="3595">
          <cell r="G3595"/>
          <cell r="H3595"/>
          <cell r="L3595"/>
          <cell r="M3595"/>
        </row>
        <row r="3596">
          <cell r="G3596"/>
          <cell r="H3596"/>
          <cell r="L3596"/>
          <cell r="M3596"/>
        </row>
        <row r="3597">
          <cell r="G3597"/>
          <cell r="H3597"/>
          <cell r="L3597"/>
          <cell r="M3597"/>
        </row>
        <row r="3598">
          <cell r="G3598"/>
          <cell r="H3598"/>
          <cell r="L3598"/>
          <cell r="M3598"/>
        </row>
        <row r="3599">
          <cell r="G3599"/>
          <cell r="H3599"/>
          <cell r="L3599"/>
          <cell r="M3599"/>
        </row>
        <row r="3600">
          <cell r="G3600"/>
          <cell r="H3600"/>
          <cell r="L3600"/>
          <cell r="M3600"/>
        </row>
        <row r="3601">
          <cell r="G3601"/>
          <cell r="H3601"/>
          <cell r="L3601"/>
          <cell r="M3601"/>
        </row>
        <row r="3602">
          <cell r="G3602"/>
          <cell r="H3602"/>
          <cell r="L3602"/>
          <cell r="M3602"/>
        </row>
        <row r="3603">
          <cell r="G3603"/>
          <cell r="H3603"/>
          <cell r="L3603"/>
          <cell r="M3603"/>
        </row>
        <row r="3604">
          <cell r="G3604"/>
          <cell r="H3604"/>
          <cell r="L3604"/>
          <cell r="M3604"/>
        </row>
        <row r="3605">
          <cell r="G3605"/>
          <cell r="H3605"/>
          <cell r="L3605"/>
          <cell r="M3605"/>
        </row>
        <row r="3606">
          <cell r="G3606"/>
          <cell r="H3606"/>
          <cell r="L3606"/>
          <cell r="M3606"/>
        </row>
        <row r="3607">
          <cell r="G3607"/>
          <cell r="H3607"/>
          <cell r="L3607"/>
          <cell r="M3607"/>
        </row>
        <row r="3608">
          <cell r="G3608"/>
          <cell r="H3608"/>
          <cell r="L3608"/>
          <cell r="M3608"/>
        </row>
        <row r="3609">
          <cell r="G3609"/>
          <cell r="H3609"/>
          <cell r="L3609"/>
          <cell r="M3609"/>
        </row>
        <row r="3610">
          <cell r="G3610"/>
          <cell r="H3610"/>
          <cell r="L3610"/>
          <cell r="M3610"/>
        </row>
        <row r="3611">
          <cell r="G3611"/>
          <cell r="H3611"/>
          <cell r="L3611"/>
          <cell r="M3611"/>
        </row>
        <row r="3612">
          <cell r="G3612"/>
          <cell r="H3612"/>
          <cell r="L3612"/>
          <cell r="M3612"/>
        </row>
        <row r="3613">
          <cell r="G3613"/>
          <cell r="H3613"/>
          <cell r="L3613"/>
          <cell r="M3613"/>
        </row>
        <row r="3614">
          <cell r="G3614"/>
          <cell r="H3614"/>
          <cell r="L3614"/>
          <cell r="M3614"/>
        </row>
        <row r="3615">
          <cell r="G3615"/>
          <cell r="H3615"/>
          <cell r="L3615"/>
          <cell r="M3615"/>
        </row>
        <row r="3616">
          <cell r="G3616"/>
          <cell r="H3616"/>
          <cell r="L3616"/>
          <cell r="M3616"/>
        </row>
        <row r="3617">
          <cell r="G3617"/>
          <cell r="H3617"/>
          <cell r="L3617"/>
          <cell r="M3617"/>
        </row>
        <row r="3618">
          <cell r="G3618"/>
          <cell r="H3618"/>
          <cell r="L3618"/>
          <cell r="M3618"/>
        </row>
        <row r="3619">
          <cell r="G3619"/>
          <cell r="H3619"/>
          <cell r="L3619"/>
          <cell r="M3619"/>
        </row>
        <row r="3620">
          <cell r="G3620"/>
          <cell r="H3620"/>
          <cell r="L3620"/>
          <cell r="M3620"/>
        </row>
        <row r="3621">
          <cell r="G3621"/>
          <cell r="H3621"/>
          <cell r="L3621"/>
          <cell r="M3621"/>
        </row>
        <row r="3622">
          <cell r="G3622"/>
          <cell r="H3622"/>
          <cell r="L3622"/>
          <cell r="M3622"/>
        </row>
        <row r="3623">
          <cell r="G3623"/>
          <cell r="H3623"/>
          <cell r="L3623"/>
          <cell r="M3623"/>
        </row>
        <row r="3624">
          <cell r="G3624"/>
          <cell r="H3624"/>
          <cell r="L3624"/>
          <cell r="M3624"/>
        </row>
        <row r="3625">
          <cell r="G3625"/>
          <cell r="H3625"/>
          <cell r="L3625"/>
          <cell r="M3625"/>
        </row>
        <row r="3626">
          <cell r="G3626"/>
          <cell r="H3626"/>
          <cell r="L3626"/>
          <cell r="M3626"/>
        </row>
        <row r="3627">
          <cell r="G3627"/>
          <cell r="H3627"/>
          <cell r="L3627"/>
          <cell r="M3627"/>
        </row>
        <row r="3628">
          <cell r="G3628"/>
          <cell r="H3628"/>
          <cell r="L3628"/>
          <cell r="M3628"/>
        </row>
        <row r="3629">
          <cell r="G3629"/>
          <cell r="H3629"/>
          <cell r="L3629"/>
          <cell r="M3629"/>
        </row>
        <row r="3630">
          <cell r="G3630"/>
          <cell r="H3630"/>
          <cell r="L3630"/>
          <cell r="M3630"/>
        </row>
        <row r="3631">
          <cell r="G3631"/>
          <cell r="H3631"/>
          <cell r="L3631"/>
          <cell r="M3631"/>
        </row>
        <row r="3632">
          <cell r="G3632"/>
          <cell r="H3632"/>
          <cell r="L3632"/>
          <cell r="M3632"/>
        </row>
        <row r="3633">
          <cell r="G3633"/>
          <cell r="H3633"/>
          <cell r="L3633"/>
          <cell r="M3633"/>
        </row>
        <row r="3634">
          <cell r="G3634"/>
          <cell r="H3634"/>
          <cell r="L3634"/>
          <cell r="M3634"/>
        </row>
        <row r="3635">
          <cell r="G3635"/>
          <cell r="H3635"/>
          <cell r="L3635"/>
          <cell r="M3635"/>
        </row>
        <row r="3636">
          <cell r="G3636"/>
          <cell r="H3636"/>
          <cell r="L3636"/>
          <cell r="M3636"/>
        </row>
        <row r="3637">
          <cell r="G3637"/>
          <cell r="H3637"/>
          <cell r="L3637"/>
          <cell r="M3637"/>
        </row>
        <row r="3638">
          <cell r="G3638"/>
          <cell r="H3638"/>
          <cell r="L3638"/>
          <cell r="M3638"/>
        </row>
        <row r="3639">
          <cell r="G3639"/>
          <cell r="H3639"/>
          <cell r="L3639"/>
          <cell r="M3639"/>
        </row>
        <row r="3640">
          <cell r="G3640"/>
          <cell r="H3640"/>
          <cell r="L3640"/>
          <cell r="M3640"/>
        </row>
        <row r="3641">
          <cell r="G3641"/>
          <cell r="H3641"/>
          <cell r="L3641"/>
          <cell r="M3641"/>
        </row>
        <row r="3642">
          <cell r="G3642"/>
          <cell r="H3642"/>
          <cell r="L3642"/>
          <cell r="M3642"/>
        </row>
        <row r="3643">
          <cell r="G3643"/>
          <cell r="H3643"/>
          <cell r="L3643"/>
          <cell r="M3643"/>
        </row>
        <row r="3644">
          <cell r="G3644"/>
          <cell r="H3644"/>
          <cell r="L3644"/>
          <cell r="M3644"/>
        </row>
        <row r="3645">
          <cell r="G3645"/>
          <cell r="H3645"/>
          <cell r="L3645"/>
          <cell r="M3645"/>
        </row>
        <row r="3646">
          <cell r="G3646"/>
          <cell r="H3646"/>
          <cell r="L3646"/>
          <cell r="M3646"/>
        </row>
        <row r="3647">
          <cell r="G3647"/>
          <cell r="H3647"/>
          <cell r="L3647"/>
          <cell r="M3647"/>
        </row>
        <row r="3648">
          <cell r="G3648"/>
          <cell r="H3648"/>
          <cell r="L3648"/>
          <cell r="M3648"/>
        </row>
        <row r="3649">
          <cell r="G3649"/>
          <cell r="H3649"/>
          <cell r="L3649"/>
          <cell r="M3649"/>
        </row>
        <row r="3650">
          <cell r="G3650"/>
          <cell r="H3650"/>
          <cell r="L3650"/>
          <cell r="M3650"/>
        </row>
        <row r="3651">
          <cell r="G3651"/>
          <cell r="H3651"/>
          <cell r="L3651"/>
          <cell r="M3651"/>
        </row>
        <row r="3652">
          <cell r="G3652"/>
          <cell r="H3652"/>
          <cell r="L3652"/>
          <cell r="M3652"/>
        </row>
        <row r="3653">
          <cell r="G3653"/>
          <cell r="H3653"/>
          <cell r="L3653"/>
          <cell r="M3653"/>
        </row>
        <row r="3654">
          <cell r="G3654"/>
          <cell r="H3654"/>
          <cell r="L3654"/>
          <cell r="M3654"/>
        </row>
        <row r="3655">
          <cell r="G3655"/>
          <cell r="H3655"/>
          <cell r="L3655"/>
          <cell r="M3655"/>
        </row>
        <row r="3656">
          <cell r="G3656"/>
          <cell r="H3656"/>
          <cell r="L3656"/>
          <cell r="M3656"/>
        </row>
        <row r="3657">
          <cell r="G3657"/>
          <cell r="H3657"/>
          <cell r="L3657"/>
          <cell r="M3657"/>
        </row>
        <row r="3658">
          <cell r="G3658"/>
          <cell r="H3658"/>
          <cell r="L3658"/>
          <cell r="M3658"/>
        </row>
        <row r="3659">
          <cell r="G3659"/>
          <cell r="H3659"/>
          <cell r="L3659"/>
          <cell r="M3659"/>
        </row>
        <row r="3660">
          <cell r="G3660"/>
          <cell r="H3660"/>
          <cell r="L3660"/>
          <cell r="M3660"/>
        </row>
        <row r="3661">
          <cell r="G3661"/>
          <cell r="H3661"/>
          <cell r="L3661"/>
          <cell r="M3661"/>
        </row>
        <row r="3662">
          <cell r="G3662"/>
          <cell r="H3662"/>
          <cell r="L3662"/>
          <cell r="M3662"/>
        </row>
        <row r="3663">
          <cell r="G3663"/>
          <cell r="H3663"/>
          <cell r="L3663"/>
          <cell r="M3663"/>
        </row>
        <row r="3664">
          <cell r="G3664"/>
          <cell r="H3664"/>
          <cell r="L3664"/>
          <cell r="M3664"/>
        </row>
        <row r="3665">
          <cell r="G3665"/>
          <cell r="H3665"/>
          <cell r="L3665"/>
          <cell r="M3665"/>
        </row>
        <row r="3666">
          <cell r="G3666"/>
          <cell r="H3666"/>
          <cell r="L3666"/>
          <cell r="M3666"/>
        </row>
        <row r="3667">
          <cell r="G3667"/>
          <cell r="H3667"/>
          <cell r="L3667"/>
          <cell r="M3667"/>
        </row>
        <row r="3668">
          <cell r="G3668"/>
          <cell r="H3668"/>
          <cell r="L3668"/>
          <cell r="M3668"/>
        </row>
        <row r="3669">
          <cell r="G3669"/>
          <cell r="H3669"/>
          <cell r="L3669"/>
          <cell r="M3669"/>
        </row>
        <row r="3670">
          <cell r="G3670"/>
          <cell r="H3670"/>
          <cell r="L3670"/>
          <cell r="M3670"/>
        </row>
        <row r="3671">
          <cell r="G3671"/>
          <cell r="H3671"/>
          <cell r="L3671"/>
          <cell r="M3671"/>
        </row>
        <row r="3672">
          <cell r="G3672"/>
          <cell r="H3672"/>
          <cell r="L3672"/>
          <cell r="M3672"/>
        </row>
        <row r="3673">
          <cell r="G3673"/>
          <cell r="H3673"/>
          <cell r="L3673"/>
          <cell r="M3673"/>
        </row>
        <row r="3674">
          <cell r="G3674"/>
          <cell r="H3674"/>
          <cell r="L3674"/>
          <cell r="M3674"/>
        </row>
        <row r="3675">
          <cell r="G3675"/>
          <cell r="H3675"/>
          <cell r="L3675"/>
          <cell r="M3675"/>
        </row>
        <row r="3676">
          <cell r="G3676"/>
          <cell r="H3676"/>
          <cell r="L3676"/>
          <cell r="M3676"/>
        </row>
        <row r="3677">
          <cell r="G3677"/>
          <cell r="H3677"/>
          <cell r="L3677"/>
          <cell r="M3677"/>
        </row>
        <row r="3678">
          <cell r="G3678"/>
          <cell r="H3678"/>
          <cell r="L3678"/>
          <cell r="M3678"/>
        </row>
        <row r="3679">
          <cell r="G3679"/>
          <cell r="H3679"/>
          <cell r="L3679"/>
          <cell r="M3679"/>
        </row>
        <row r="3680">
          <cell r="G3680"/>
          <cell r="H3680"/>
          <cell r="L3680"/>
          <cell r="M3680"/>
        </row>
        <row r="3681">
          <cell r="G3681"/>
          <cell r="H3681"/>
          <cell r="L3681"/>
          <cell r="M3681"/>
        </row>
        <row r="3682">
          <cell r="G3682"/>
          <cell r="H3682"/>
          <cell r="L3682"/>
          <cell r="M3682"/>
        </row>
        <row r="3683">
          <cell r="G3683"/>
          <cell r="H3683"/>
          <cell r="L3683"/>
          <cell r="M3683"/>
        </row>
        <row r="3684">
          <cell r="G3684"/>
          <cell r="H3684"/>
          <cell r="L3684"/>
          <cell r="M3684"/>
        </row>
        <row r="3685">
          <cell r="G3685"/>
          <cell r="H3685"/>
          <cell r="L3685"/>
          <cell r="M3685"/>
        </row>
        <row r="3686">
          <cell r="G3686"/>
          <cell r="H3686"/>
          <cell r="L3686"/>
          <cell r="M3686"/>
        </row>
        <row r="3687">
          <cell r="G3687"/>
          <cell r="H3687"/>
          <cell r="L3687"/>
          <cell r="M3687"/>
        </row>
        <row r="3688">
          <cell r="G3688"/>
          <cell r="H3688"/>
          <cell r="L3688"/>
          <cell r="M3688"/>
        </row>
        <row r="3689">
          <cell r="G3689"/>
          <cell r="H3689"/>
          <cell r="L3689"/>
          <cell r="M3689"/>
        </row>
        <row r="3690">
          <cell r="G3690"/>
          <cell r="H3690"/>
          <cell r="L3690"/>
          <cell r="M3690"/>
        </row>
        <row r="3691">
          <cell r="G3691"/>
          <cell r="H3691"/>
          <cell r="L3691"/>
          <cell r="M3691"/>
        </row>
        <row r="3692">
          <cell r="G3692"/>
          <cell r="H3692"/>
          <cell r="L3692"/>
          <cell r="M3692"/>
        </row>
        <row r="3693">
          <cell r="G3693"/>
          <cell r="H3693"/>
          <cell r="L3693"/>
          <cell r="M3693"/>
        </row>
        <row r="3694">
          <cell r="G3694"/>
          <cell r="H3694"/>
          <cell r="L3694"/>
          <cell r="M3694"/>
        </row>
        <row r="3695">
          <cell r="G3695"/>
          <cell r="H3695"/>
          <cell r="L3695"/>
          <cell r="M3695"/>
        </row>
        <row r="3696">
          <cell r="G3696"/>
          <cell r="H3696"/>
          <cell r="L3696"/>
          <cell r="M3696"/>
        </row>
        <row r="3697">
          <cell r="G3697"/>
          <cell r="H3697"/>
          <cell r="L3697"/>
          <cell r="M3697"/>
        </row>
        <row r="3698">
          <cell r="G3698"/>
          <cell r="H3698"/>
          <cell r="L3698"/>
          <cell r="M3698"/>
        </row>
        <row r="3699">
          <cell r="G3699"/>
          <cell r="H3699"/>
          <cell r="L3699"/>
          <cell r="M3699"/>
        </row>
        <row r="3700">
          <cell r="G3700"/>
          <cell r="H3700"/>
          <cell r="L3700"/>
          <cell r="M3700"/>
        </row>
        <row r="3701">
          <cell r="G3701"/>
          <cell r="H3701"/>
          <cell r="L3701"/>
          <cell r="M3701"/>
        </row>
        <row r="3702">
          <cell r="G3702"/>
          <cell r="H3702"/>
          <cell r="L3702"/>
          <cell r="M3702"/>
        </row>
        <row r="3703">
          <cell r="G3703"/>
          <cell r="H3703"/>
          <cell r="L3703"/>
          <cell r="M3703"/>
        </row>
        <row r="3704">
          <cell r="G3704"/>
          <cell r="H3704"/>
          <cell r="L3704"/>
          <cell r="M3704"/>
        </row>
        <row r="3705">
          <cell r="G3705"/>
          <cell r="H3705"/>
          <cell r="L3705"/>
          <cell r="M3705"/>
        </row>
        <row r="3706">
          <cell r="G3706"/>
          <cell r="H3706"/>
          <cell r="L3706"/>
          <cell r="M3706"/>
        </row>
        <row r="3707">
          <cell r="G3707"/>
          <cell r="H3707"/>
          <cell r="L3707"/>
          <cell r="M3707"/>
        </row>
        <row r="3708">
          <cell r="G3708"/>
          <cell r="H3708"/>
          <cell r="L3708"/>
          <cell r="M3708"/>
        </row>
        <row r="3709">
          <cell r="G3709"/>
          <cell r="H3709"/>
          <cell r="L3709"/>
          <cell r="M3709"/>
        </row>
        <row r="3710">
          <cell r="G3710"/>
          <cell r="H3710"/>
          <cell r="L3710"/>
          <cell r="M3710"/>
        </row>
        <row r="3711">
          <cell r="G3711"/>
          <cell r="H3711"/>
          <cell r="L3711"/>
          <cell r="M3711"/>
        </row>
        <row r="3712">
          <cell r="G3712"/>
          <cell r="H3712"/>
          <cell r="L3712"/>
          <cell r="M3712"/>
        </row>
        <row r="3713">
          <cell r="G3713"/>
          <cell r="H3713"/>
          <cell r="L3713"/>
          <cell r="M3713"/>
        </row>
        <row r="3714">
          <cell r="G3714"/>
          <cell r="H3714"/>
          <cell r="L3714"/>
          <cell r="M3714"/>
        </row>
        <row r="3715">
          <cell r="G3715"/>
          <cell r="H3715"/>
          <cell r="L3715"/>
          <cell r="M3715"/>
        </row>
        <row r="3716">
          <cell r="G3716"/>
          <cell r="H3716"/>
          <cell r="L3716"/>
          <cell r="M3716"/>
        </row>
        <row r="3717">
          <cell r="G3717"/>
          <cell r="H3717"/>
          <cell r="L3717"/>
          <cell r="M3717"/>
        </row>
        <row r="3718">
          <cell r="G3718"/>
          <cell r="H3718"/>
          <cell r="L3718"/>
          <cell r="M3718"/>
        </row>
        <row r="3719">
          <cell r="G3719"/>
          <cell r="H3719"/>
          <cell r="L3719"/>
          <cell r="M3719"/>
        </row>
        <row r="3720">
          <cell r="G3720"/>
          <cell r="H3720"/>
          <cell r="L3720"/>
          <cell r="M3720"/>
        </row>
        <row r="3721">
          <cell r="G3721"/>
          <cell r="H3721"/>
          <cell r="L3721"/>
          <cell r="M3721"/>
        </row>
        <row r="3722">
          <cell r="G3722"/>
          <cell r="H3722"/>
          <cell r="L3722"/>
          <cell r="M3722"/>
        </row>
        <row r="3723">
          <cell r="G3723"/>
          <cell r="H3723"/>
          <cell r="L3723"/>
          <cell r="M3723"/>
        </row>
        <row r="3724">
          <cell r="G3724"/>
          <cell r="H3724"/>
          <cell r="L3724"/>
          <cell r="M3724"/>
        </row>
        <row r="3725">
          <cell r="G3725"/>
          <cell r="H3725"/>
          <cell r="L3725"/>
          <cell r="M3725"/>
        </row>
        <row r="3726">
          <cell r="G3726"/>
          <cell r="H3726"/>
          <cell r="L3726"/>
          <cell r="M3726"/>
        </row>
        <row r="3727">
          <cell r="G3727"/>
          <cell r="H3727"/>
          <cell r="L3727"/>
          <cell r="M3727"/>
        </row>
        <row r="3728">
          <cell r="G3728"/>
          <cell r="H3728"/>
          <cell r="L3728"/>
          <cell r="M3728"/>
        </row>
        <row r="3729">
          <cell r="G3729"/>
          <cell r="H3729"/>
          <cell r="L3729"/>
          <cell r="M3729"/>
        </row>
        <row r="3730">
          <cell r="G3730"/>
          <cell r="H3730"/>
          <cell r="L3730"/>
          <cell r="M3730"/>
        </row>
        <row r="3731">
          <cell r="G3731"/>
          <cell r="H3731"/>
          <cell r="L3731"/>
          <cell r="M3731"/>
        </row>
        <row r="3732">
          <cell r="G3732"/>
          <cell r="H3732"/>
          <cell r="L3732"/>
          <cell r="M3732"/>
        </row>
        <row r="3733">
          <cell r="G3733"/>
          <cell r="H3733"/>
          <cell r="L3733"/>
          <cell r="M3733"/>
        </row>
        <row r="3734">
          <cell r="G3734"/>
          <cell r="H3734"/>
          <cell r="L3734"/>
          <cell r="M3734"/>
        </row>
        <row r="3735">
          <cell r="G3735"/>
          <cell r="H3735"/>
          <cell r="L3735"/>
          <cell r="M3735"/>
        </row>
        <row r="3736">
          <cell r="G3736"/>
          <cell r="H3736"/>
          <cell r="L3736"/>
          <cell r="M3736"/>
        </row>
        <row r="3737">
          <cell r="G3737"/>
          <cell r="H3737"/>
          <cell r="L3737"/>
          <cell r="M3737"/>
        </row>
        <row r="3738">
          <cell r="G3738"/>
          <cell r="H3738"/>
          <cell r="L3738"/>
          <cell r="M3738"/>
        </row>
        <row r="3739">
          <cell r="G3739"/>
          <cell r="H3739"/>
          <cell r="L3739"/>
          <cell r="M3739"/>
        </row>
        <row r="3740">
          <cell r="G3740"/>
          <cell r="H3740"/>
          <cell r="L3740"/>
          <cell r="M3740"/>
        </row>
        <row r="3741">
          <cell r="G3741"/>
          <cell r="H3741"/>
          <cell r="L3741"/>
          <cell r="M3741"/>
        </row>
        <row r="3742">
          <cell r="G3742"/>
          <cell r="H3742"/>
          <cell r="L3742"/>
          <cell r="M3742"/>
        </row>
        <row r="3743">
          <cell r="G3743"/>
          <cell r="H3743"/>
          <cell r="L3743"/>
          <cell r="M3743"/>
        </row>
        <row r="3744">
          <cell r="G3744"/>
          <cell r="H3744"/>
          <cell r="L3744"/>
          <cell r="M3744"/>
        </row>
        <row r="3745">
          <cell r="G3745"/>
          <cell r="H3745"/>
          <cell r="L3745"/>
          <cell r="M3745"/>
        </row>
        <row r="3746">
          <cell r="G3746"/>
          <cell r="H3746"/>
          <cell r="L3746"/>
          <cell r="M3746"/>
        </row>
        <row r="3747">
          <cell r="G3747"/>
          <cell r="H3747"/>
          <cell r="L3747"/>
          <cell r="M3747"/>
        </row>
        <row r="3748">
          <cell r="G3748"/>
          <cell r="H3748"/>
          <cell r="L3748"/>
          <cell r="M3748"/>
        </row>
        <row r="3749">
          <cell r="G3749"/>
          <cell r="H3749"/>
          <cell r="L3749"/>
          <cell r="M3749"/>
        </row>
        <row r="3750">
          <cell r="G3750"/>
          <cell r="H3750"/>
          <cell r="L3750"/>
          <cell r="M3750"/>
        </row>
        <row r="3751">
          <cell r="G3751"/>
          <cell r="H3751"/>
          <cell r="L3751"/>
          <cell r="M3751"/>
        </row>
        <row r="3752">
          <cell r="G3752"/>
          <cell r="H3752"/>
          <cell r="L3752"/>
          <cell r="M3752"/>
        </row>
        <row r="3753">
          <cell r="G3753"/>
          <cell r="H3753"/>
          <cell r="L3753"/>
          <cell r="M3753"/>
        </row>
        <row r="3754">
          <cell r="G3754"/>
          <cell r="H3754"/>
          <cell r="L3754"/>
          <cell r="M3754"/>
        </row>
        <row r="3755">
          <cell r="G3755"/>
          <cell r="H3755"/>
          <cell r="L3755"/>
          <cell r="M3755"/>
        </row>
        <row r="3756">
          <cell r="G3756"/>
          <cell r="H3756"/>
          <cell r="L3756"/>
          <cell r="M3756"/>
        </row>
        <row r="3757">
          <cell r="G3757"/>
          <cell r="H3757"/>
          <cell r="L3757"/>
          <cell r="M3757"/>
        </row>
        <row r="3758">
          <cell r="G3758"/>
          <cell r="H3758"/>
          <cell r="L3758"/>
          <cell r="M3758"/>
        </row>
        <row r="3759">
          <cell r="G3759"/>
          <cell r="H3759"/>
          <cell r="L3759"/>
          <cell r="M3759"/>
        </row>
        <row r="3760">
          <cell r="G3760"/>
          <cell r="H3760"/>
          <cell r="L3760"/>
          <cell r="M3760"/>
        </row>
        <row r="3761">
          <cell r="G3761"/>
          <cell r="H3761"/>
          <cell r="L3761"/>
          <cell r="M3761"/>
        </row>
        <row r="3762">
          <cell r="G3762"/>
          <cell r="H3762"/>
          <cell r="L3762"/>
          <cell r="M3762"/>
        </row>
        <row r="3763">
          <cell r="G3763"/>
          <cell r="H3763"/>
          <cell r="L3763"/>
          <cell r="M3763"/>
        </row>
        <row r="3764">
          <cell r="G3764"/>
          <cell r="H3764"/>
          <cell r="L3764"/>
          <cell r="M3764"/>
        </row>
        <row r="3765">
          <cell r="G3765"/>
          <cell r="H3765"/>
          <cell r="L3765"/>
          <cell r="M3765"/>
        </row>
        <row r="3766">
          <cell r="G3766"/>
          <cell r="H3766"/>
          <cell r="L3766"/>
          <cell r="M3766"/>
        </row>
        <row r="3767">
          <cell r="G3767"/>
          <cell r="H3767"/>
          <cell r="L3767"/>
          <cell r="M3767"/>
        </row>
        <row r="3768">
          <cell r="G3768"/>
          <cell r="H3768"/>
          <cell r="L3768"/>
          <cell r="M3768"/>
        </row>
        <row r="3769">
          <cell r="G3769"/>
          <cell r="H3769"/>
          <cell r="L3769"/>
          <cell r="M3769"/>
        </row>
        <row r="3770">
          <cell r="G3770"/>
          <cell r="H3770"/>
          <cell r="L3770"/>
          <cell r="M3770"/>
        </row>
        <row r="3771">
          <cell r="G3771"/>
          <cell r="H3771"/>
          <cell r="L3771"/>
          <cell r="M3771"/>
        </row>
        <row r="3772">
          <cell r="G3772"/>
          <cell r="H3772"/>
          <cell r="L3772"/>
          <cell r="M3772"/>
        </row>
        <row r="3773">
          <cell r="G3773"/>
          <cell r="H3773"/>
          <cell r="L3773"/>
          <cell r="M3773"/>
        </row>
        <row r="3774">
          <cell r="G3774"/>
          <cell r="H3774"/>
          <cell r="L3774"/>
          <cell r="M3774"/>
        </row>
        <row r="3775">
          <cell r="G3775"/>
          <cell r="H3775"/>
          <cell r="L3775"/>
          <cell r="M3775"/>
        </row>
        <row r="3776">
          <cell r="G3776"/>
          <cell r="H3776"/>
          <cell r="L3776"/>
          <cell r="M3776"/>
        </row>
        <row r="3777">
          <cell r="G3777"/>
          <cell r="H3777"/>
          <cell r="L3777"/>
          <cell r="M3777"/>
        </row>
        <row r="3778">
          <cell r="G3778"/>
          <cell r="H3778"/>
          <cell r="L3778"/>
          <cell r="M3778"/>
        </row>
        <row r="3779">
          <cell r="G3779"/>
          <cell r="H3779"/>
          <cell r="L3779"/>
          <cell r="M3779"/>
        </row>
        <row r="3780">
          <cell r="G3780"/>
          <cell r="H3780"/>
          <cell r="L3780"/>
          <cell r="M3780"/>
        </row>
        <row r="3781">
          <cell r="G3781"/>
          <cell r="H3781"/>
          <cell r="L3781"/>
          <cell r="M3781"/>
        </row>
        <row r="3782">
          <cell r="G3782"/>
          <cell r="H3782"/>
          <cell r="L3782"/>
          <cell r="M3782"/>
        </row>
        <row r="3783">
          <cell r="G3783"/>
          <cell r="H3783"/>
          <cell r="L3783"/>
          <cell r="M3783"/>
        </row>
        <row r="3784">
          <cell r="G3784"/>
          <cell r="H3784"/>
          <cell r="L3784"/>
          <cell r="M3784"/>
        </row>
        <row r="3785">
          <cell r="G3785"/>
          <cell r="H3785"/>
          <cell r="L3785"/>
          <cell r="M3785"/>
        </row>
        <row r="3786">
          <cell r="G3786"/>
          <cell r="H3786"/>
          <cell r="L3786"/>
          <cell r="M3786"/>
        </row>
        <row r="3787">
          <cell r="G3787"/>
          <cell r="H3787"/>
          <cell r="L3787"/>
          <cell r="M3787"/>
        </row>
        <row r="3788">
          <cell r="G3788"/>
          <cell r="H3788"/>
          <cell r="L3788"/>
          <cell r="M3788"/>
        </row>
        <row r="3789">
          <cell r="G3789"/>
          <cell r="H3789"/>
          <cell r="L3789"/>
          <cell r="M3789"/>
        </row>
        <row r="3790">
          <cell r="G3790"/>
          <cell r="H3790"/>
          <cell r="L3790"/>
          <cell r="M3790"/>
        </row>
        <row r="3791">
          <cell r="G3791"/>
          <cell r="H3791"/>
          <cell r="L3791"/>
          <cell r="M3791"/>
        </row>
        <row r="3792">
          <cell r="G3792"/>
          <cell r="H3792"/>
          <cell r="L3792"/>
          <cell r="M3792"/>
        </row>
        <row r="3793">
          <cell r="G3793"/>
          <cell r="H3793"/>
          <cell r="L3793"/>
          <cell r="M3793"/>
        </row>
        <row r="3794">
          <cell r="G3794"/>
          <cell r="H3794"/>
          <cell r="L3794"/>
          <cell r="M3794"/>
        </row>
        <row r="3795">
          <cell r="G3795"/>
          <cell r="H3795"/>
          <cell r="L3795"/>
          <cell r="M3795"/>
        </row>
        <row r="3796">
          <cell r="G3796"/>
          <cell r="H3796"/>
          <cell r="L3796"/>
          <cell r="M3796"/>
        </row>
        <row r="3797">
          <cell r="G3797"/>
          <cell r="H3797"/>
          <cell r="L3797"/>
          <cell r="M3797"/>
        </row>
        <row r="3798">
          <cell r="G3798"/>
          <cell r="H3798"/>
          <cell r="L3798"/>
          <cell r="M3798"/>
        </row>
        <row r="3799">
          <cell r="G3799"/>
          <cell r="H3799"/>
          <cell r="L3799"/>
          <cell r="M3799"/>
        </row>
        <row r="3800">
          <cell r="G3800"/>
          <cell r="H3800"/>
          <cell r="L3800"/>
          <cell r="M3800"/>
        </row>
        <row r="3801">
          <cell r="G3801"/>
          <cell r="H3801"/>
          <cell r="L3801"/>
          <cell r="M3801"/>
        </row>
        <row r="3802">
          <cell r="G3802"/>
          <cell r="H3802"/>
          <cell r="L3802"/>
          <cell r="M3802"/>
        </row>
        <row r="3803">
          <cell r="G3803"/>
          <cell r="H3803"/>
          <cell r="L3803"/>
          <cell r="M3803"/>
        </row>
        <row r="3804">
          <cell r="G3804"/>
          <cell r="H3804"/>
          <cell r="L3804"/>
          <cell r="M3804"/>
        </row>
        <row r="3805">
          <cell r="G3805"/>
          <cell r="H3805"/>
          <cell r="L3805"/>
          <cell r="M3805"/>
        </row>
        <row r="3806">
          <cell r="G3806"/>
          <cell r="H3806"/>
          <cell r="L3806"/>
          <cell r="M3806"/>
        </row>
        <row r="3807">
          <cell r="G3807"/>
          <cell r="H3807"/>
          <cell r="L3807"/>
          <cell r="M3807"/>
        </row>
        <row r="3808">
          <cell r="G3808"/>
          <cell r="H3808"/>
          <cell r="L3808"/>
          <cell r="M3808"/>
        </row>
        <row r="3809">
          <cell r="G3809"/>
          <cell r="H3809"/>
          <cell r="L3809"/>
          <cell r="M3809"/>
        </row>
        <row r="3810">
          <cell r="G3810"/>
          <cell r="H3810"/>
          <cell r="L3810"/>
          <cell r="M3810"/>
        </row>
        <row r="3811">
          <cell r="G3811"/>
          <cell r="H3811"/>
          <cell r="L3811"/>
          <cell r="M3811"/>
        </row>
        <row r="3812">
          <cell r="G3812"/>
          <cell r="H3812"/>
          <cell r="L3812"/>
          <cell r="M3812"/>
        </row>
        <row r="3813">
          <cell r="G3813"/>
          <cell r="H3813"/>
          <cell r="L3813"/>
          <cell r="M3813"/>
        </row>
        <row r="3814">
          <cell r="G3814"/>
          <cell r="H3814"/>
          <cell r="L3814"/>
          <cell r="M3814"/>
        </row>
        <row r="3815">
          <cell r="G3815"/>
          <cell r="H3815"/>
          <cell r="L3815"/>
          <cell r="M3815"/>
        </row>
        <row r="3816">
          <cell r="G3816"/>
          <cell r="H3816"/>
          <cell r="L3816"/>
          <cell r="M3816"/>
        </row>
        <row r="3817">
          <cell r="G3817"/>
          <cell r="H3817"/>
          <cell r="L3817"/>
          <cell r="M3817"/>
        </row>
        <row r="3818">
          <cell r="G3818"/>
          <cell r="H3818"/>
          <cell r="L3818"/>
          <cell r="M3818"/>
        </row>
        <row r="3819">
          <cell r="G3819"/>
          <cell r="H3819"/>
          <cell r="L3819"/>
          <cell r="M3819"/>
        </row>
        <row r="3820">
          <cell r="G3820"/>
          <cell r="H3820"/>
          <cell r="L3820"/>
          <cell r="M3820"/>
        </row>
        <row r="3821">
          <cell r="G3821"/>
          <cell r="H3821"/>
          <cell r="L3821"/>
          <cell r="M3821"/>
        </row>
        <row r="3822">
          <cell r="G3822"/>
          <cell r="H3822"/>
          <cell r="L3822"/>
          <cell r="M3822"/>
        </row>
        <row r="3823">
          <cell r="G3823"/>
          <cell r="H3823"/>
          <cell r="L3823"/>
          <cell r="M3823"/>
        </row>
        <row r="3824">
          <cell r="G3824"/>
          <cell r="H3824"/>
          <cell r="L3824"/>
          <cell r="M3824"/>
        </row>
        <row r="3825">
          <cell r="G3825"/>
          <cell r="H3825"/>
          <cell r="L3825"/>
          <cell r="M3825"/>
        </row>
        <row r="3826">
          <cell r="G3826"/>
          <cell r="H3826"/>
          <cell r="L3826"/>
          <cell r="M3826"/>
        </row>
        <row r="3827">
          <cell r="G3827"/>
          <cell r="H3827"/>
          <cell r="L3827"/>
          <cell r="M3827"/>
        </row>
        <row r="3828">
          <cell r="G3828"/>
          <cell r="H3828"/>
          <cell r="L3828"/>
          <cell r="M3828"/>
        </row>
        <row r="3829">
          <cell r="G3829"/>
          <cell r="H3829"/>
          <cell r="L3829"/>
          <cell r="M3829"/>
        </row>
        <row r="3830">
          <cell r="G3830"/>
          <cell r="H3830"/>
          <cell r="L3830"/>
          <cell r="M3830"/>
        </row>
        <row r="3831">
          <cell r="G3831"/>
          <cell r="H3831"/>
          <cell r="L3831"/>
          <cell r="M3831"/>
        </row>
        <row r="3832">
          <cell r="G3832"/>
          <cell r="H3832"/>
          <cell r="L3832"/>
          <cell r="M3832"/>
        </row>
        <row r="3833">
          <cell r="G3833"/>
          <cell r="H3833"/>
          <cell r="L3833"/>
          <cell r="M3833"/>
        </row>
        <row r="3834">
          <cell r="G3834"/>
          <cell r="H3834"/>
          <cell r="L3834"/>
          <cell r="M3834"/>
        </row>
        <row r="3835">
          <cell r="G3835"/>
          <cell r="H3835"/>
          <cell r="L3835"/>
          <cell r="M3835"/>
        </row>
        <row r="3836">
          <cell r="G3836"/>
          <cell r="H3836"/>
          <cell r="L3836"/>
          <cell r="M3836"/>
        </row>
        <row r="3837">
          <cell r="G3837"/>
          <cell r="H3837"/>
          <cell r="L3837"/>
          <cell r="M3837"/>
        </row>
        <row r="3838">
          <cell r="G3838"/>
          <cell r="H3838"/>
          <cell r="L3838"/>
          <cell r="M3838"/>
        </row>
        <row r="3839">
          <cell r="G3839"/>
          <cell r="H3839"/>
          <cell r="L3839"/>
          <cell r="M3839"/>
        </row>
        <row r="3840">
          <cell r="G3840"/>
          <cell r="H3840"/>
          <cell r="L3840"/>
          <cell r="M3840"/>
        </row>
        <row r="3841">
          <cell r="G3841"/>
          <cell r="H3841"/>
          <cell r="L3841"/>
          <cell r="M3841"/>
        </row>
        <row r="3842">
          <cell r="G3842"/>
          <cell r="H3842"/>
          <cell r="L3842"/>
          <cell r="M3842"/>
        </row>
        <row r="3843">
          <cell r="G3843"/>
          <cell r="H3843"/>
          <cell r="L3843"/>
          <cell r="M3843"/>
        </row>
        <row r="3844">
          <cell r="G3844"/>
          <cell r="H3844"/>
          <cell r="L3844"/>
          <cell r="M3844"/>
        </row>
        <row r="3845">
          <cell r="G3845"/>
          <cell r="H3845"/>
          <cell r="L3845"/>
          <cell r="M3845"/>
        </row>
        <row r="3846">
          <cell r="G3846"/>
          <cell r="H3846"/>
          <cell r="L3846"/>
          <cell r="M3846"/>
        </row>
        <row r="3847">
          <cell r="G3847"/>
          <cell r="H3847"/>
          <cell r="L3847"/>
          <cell r="M3847"/>
        </row>
        <row r="3848">
          <cell r="G3848"/>
          <cell r="H3848"/>
          <cell r="L3848"/>
          <cell r="M3848"/>
        </row>
        <row r="3849">
          <cell r="G3849"/>
          <cell r="H3849"/>
          <cell r="L3849"/>
          <cell r="M3849"/>
        </row>
        <row r="3850">
          <cell r="G3850"/>
          <cell r="H3850"/>
          <cell r="L3850"/>
          <cell r="M3850"/>
        </row>
        <row r="3851">
          <cell r="G3851"/>
          <cell r="H3851"/>
          <cell r="L3851"/>
          <cell r="M3851"/>
        </row>
        <row r="3852">
          <cell r="G3852"/>
          <cell r="H3852"/>
          <cell r="L3852"/>
          <cell r="M3852"/>
        </row>
        <row r="3853">
          <cell r="G3853"/>
          <cell r="H3853"/>
          <cell r="L3853"/>
          <cell r="M3853"/>
        </row>
        <row r="3854">
          <cell r="G3854"/>
          <cell r="H3854"/>
          <cell r="L3854"/>
          <cell r="M3854"/>
        </row>
        <row r="3855">
          <cell r="G3855"/>
          <cell r="H3855"/>
          <cell r="L3855"/>
          <cell r="M3855"/>
        </row>
        <row r="3856">
          <cell r="G3856"/>
          <cell r="H3856"/>
          <cell r="L3856"/>
          <cell r="M3856"/>
        </row>
        <row r="3857">
          <cell r="G3857"/>
          <cell r="H3857"/>
          <cell r="L3857"/>
          <cell r="M3857"/>
        </row>
        <row r="3858">
          <cell r="G3858"/>
          <cell r="H3858"/>
          <cell r="L3858"/>
          <cell r="M3858"/>
        </row>
        <row r="3859">
          <cell r="G3859"/>
          <cell r="H3859"/>
          <cell r="L3859"/>
          <cell r="M3859"/>
        </row>
        <row r="3860">
          <cell r="G3860"/>
          <cell r="H3860"/>
          <cell r="L3860"/>
          <cell r="M3860"/>
        </row>
        <row r="3861">
          <cell r="G3861"/>
          <cell r="H3861"/>
          <cell r="L3861"/>
          <cell r="M3861"/>
        </row>
        <row r="3862">
          <cell r="G3862"/>
          <cell r="H3862"/>
          <cell r="L3862"/>
          <cell r="M3862"/>
        </row>
        <row r="3863">
          <cell r="G3863"/>
          <cell r="H3863"/>
          <cell r="L3863"/>
          <cell r="M3863"/>
        </row>
        <row r="3864">
          <cell r="G3864"/>
          <cell r="H3864"/>
          <cell r="L3864"/>
          <cell r="M3864"/>
        </row>
        <row r="3865">
          <cell r="G3865"/>
          <cell r="H3865"/>
          <cell r="L3865"/>
          <cell r="M3865"/>
        </row>
        <row r="3866">
          <cell r="G3866"/>
          <cell r="H3866"/>
          <cell r="L3866"/>
          <cell r="M3866"/>
        </row>
        <row r="3867">
          <cell r="G3867"/>
          <cell r="H3867"/>
          <cell r="L3867"/>
          <cell r="M3867"/>
        </row>
        <row r="3868">
          <cell r="G3868"/>
          <cell r="H3868"/>
          <cell r="L3868"/>
          <cell r="M3868"/>
        </row>
        <row r="3869">
          <cell r="G3869"/>
          <cell r="H3869"/>
          <cell r="L3869"/>
          <cell r="M3869"/>
        </row>
        <row r="3870">
          <cell r="G3870"/>
          <cell r="H3870"/>
          <cell r="L3870"/>
          <cell r="M3870"/>
        </row>
        <row r="3871">
          <cell r="G3871"/>
          <cell r="H3871"/>
          <cell r="L3871"/>
          <cell r="M3871"/>
        </row>
        <row r="3872">
          <cell r="G3872"/>
          <cell r="H3872"/>
          <cell r="L3872"/>
          <cell r="M3872"/>
        </row>
        <row r="3873">
          <cell r="G3873"/>
          <cell r="H3873"/>
          <cell r="L3873"/>
          <cell r="M3873"/>
        </row>
        <row r="3874">
          <cell r="G3874"/>
          <cell r="H3874"/>
          <cell r="L3874"/>
          <cell r="M3874"/>
        </row>
        <row r="3875">
          <cell r="G3875"/>
          <cell r="H3875"/>
          <cell r="L3875"/>
          <cell r="M3875"/>
        </row>
        <row r="3876">
          <cell r="G3876"/>
          <cell r="H3876"/>
          <cell r="L3876"/>
          <cell r="M3876"/>
        </row>
        <row r="3877">
          <cell r="G3877"/>
          <cell r="H3877"/>
          <cell r="L3877"/>
          <cell r="M3877"/>
        </row>
        <row r="3878">
          <cell r="G3878"/>
          <cell r="H3878"/>
          <cell r="L3878"/>
          <cell r="M3878"/>
        </row>
        <row r="3879">
          <cell r="G3879"/>
          <cell r="H3879"/>
          <cell r="L3879"/>
          <cell r="M3879"/>
        </row>
        <row r="3880">
          <cell r="G3880"/>
          <cell r="H3880"/>
          <cell r="L3880"/>
          <cell r="M3880"/>
        </row>
        <row r="3881">
          <cell r="G3881"/>
          <cell r="H3881"/>
          <cell r="L3881"/>
          <cell r="M3881"/>
        </row>
        <row r="3882">
          <cell r="G3882"/>
          <cell r="H3882"/>
          <cell r="L3882"/>
          <cell r="M3882"/>
        </row>
        <row r="3883">
          <cell r="G3883"/>
          <cell r="H3883"/>
          <cell r="L3883"/>
          <cell r="M3883"/>
        </row>
        <row r="3884">
          <cell r="G3884"/>
          <cell r="H3884"/>
          <cell r="L3884"/>
          <cell r="M3884"/>
        </row>
        <row r="3885">
          <cell r="G3885"/>
          <cell r="H3885"/>
          <cell r="L3885"/>
          <cell r="M3885"/>
        </row>
        <row r="3886">
          <cell r="G3886"/>
          <cell r="H3886"/>
          <cell r="L3886"/>
          <cell r="M3886"/>
        </row>
        <row r="3887">
          <cell r="G3887"/>
          <cell r="H3887"/>
          <cell r="L3887"/>
          <cell r="M3887"/>
        </row>
        <row r="3888">
          <cell r="G3888"/>
          <cell r="H3888"/>
          <cell r="L3888"/>
          <cell r="M3888"/>
        </row>
        <row r="3889">
          <cell r="G3889"/>
          <cell r="H3889"/>
          <cell r="L3889"/>
          <cell r="M3889"/>
        </row>
        <row r="3890">
          <cell r="G3890"/>
          <cell r="H3890"/>
          <cell r="L3890"/>
          <cell r="M3890"/>
        </row>
        <row r="3891">
          <cell r="G3891"/>
          <cell r="H3891"/>
          <cell r="L3891"/>
          <cell r="M3891"/>
        </row>
        <row r="3892">
          <cell r="G3892"/>
          <cell r="H3892"/>
          <cell r="L3892"/>
          <cell r="M3892"/>
        </row>
        <row r="3893">
          <cell r="G3893"/>
          <cell r="H3893"/>
          <cell r="L3893"/>
          <cell r="M3893"/>
        </row>
        <row r="3894">
          <cell r="G3894"/>
          <cell r="H3894"/>
          <cell r="L3894"/>
          <cell r="M3894"/>
        </row>
        <row r="3895">
          <cell r="G3895"/>
          <cell r="H3895"/>
          <cell r="L3895"/>
          <cell r="M3895"/>
        </row>
        <row r="3896">
          <cell r="G3896"/>
          <cell r="H3896"/>
          <cell r="L3896"/>
          <cell r="M3896"/>
        </row>
        <row r="3897">
          <cell r="G3897"/>
          <cell r="H3897"/>
          <cell r="L3897"/>
          <cell r="M3897"/>
        </row>
        <row r="3898">
          <cell r="G3898"/>
          <cell r="H3898"/>
          <cell r="L3898"/>
          <cell r="M3898"/>
        </row>
        <row r="3899">
          <cell r="G3899"/>
          <cell r="H3899"/>
          <cell r="L3899"/>
          <cell r="M3899"/>
        </row>
        <row r="3900">
          <cell r="G3900"/>
          <cell r="H3900"/>
          <cell r="L3900"/>
          <cell r="M3900"/>
        </row>
        <row r="3901">
          <cell r="G3901"/>
          <cell r="H3901"/>
          <cell r="L3901"/>
          <cell r="M3901"/>
        </row>
        <row r="3902">
          <cell r="G3902"/>
          <cell r="H3902"/>
          <cell r="L3902"/>
          <cell r="M3902"/>
        </row>
        <row r="3903">
          <cell r="G3903"/>
          <cell r="H3903"/>
          <cell r="L3903"/>
          <cell r="M3903"/>
        </row>
        <row r="3904">
          <cell r="G3904"/>
          <cell r="H3904"/>
          <cell r="L3904"/>
          <cell r="M3904"/>
        </row>
        <row r="3905">
          <cell r="G3905"/>
          <cell r="H3905"/>
          <cell r="L3905"/>
          <cell r="M3905"/>
        </row>
        <row r="3906">
          <cell r="G3906"/>
          <cell r="H3906"/>
          <cell r="L3906"/>
          <cell r="M3906"/>
        </row>
        <row r="3907">
          <cell r="G3907"/>
          <cell r="H3907"/>
          <cell r="L3907"/>
          <cell r="M3907"/>
        </row>
        <row r="3908">
          <cell r="G3908"/>
          <cell r="H3908"/>
          <cell r="L3908"/>
          <cell r="M3908"/>
        </row>
        <row r="3909">
          <cell r="G3909"/>
          <cell r="H3909"/>
          <cell r="L3909"/>
          <cell r="M3909"/>
        </row>
        <row r="3910">
          <cell r="G3910"/>
          <cell r="H3910"/>
          <cell r="L3910"/>
          <cell r="M3910"/>
        </row>
        <row r="3911">
          <cell r="G3911"/>
          <cell r="H3911"/>
          <cell r="L3911"/>
          <cell r="M3911"/>
        </row>
        <row r="3912">
          <cell r="G3912"/>
          <cell r="H3912"/>
          <cell r="L3912"/>
          <cell r="M3912"/>
        </row>
        <row r="3913">
          <cell r="G3913"/>
          <cell r="H3913"/>
          <cell r="L3913"/>
          <cell r="M3913"/>
        </row>
        <row r="3914">
          <cell r="G3914"/>
          <cell r="H3914"/>
          <cell r="L3914"/>
          <cell r="M3914"/>
        </row>
        <row r="3915">
          <cell r="G3915"/>
          <cell r="H3915"/>
          <cell r="L3915"/>
          <cell r="M3915"/>
        </row>
        <row r="3916">
          <cell r="G3916"/>
          <cell r="H3916"/>
          <cell r="L3916"/>
          <cell r="M3916"/>
        </row>
        <row r="3917">
          <cell r="G3917"/>
          <cell r="H3917"/>
          <cell r="L3917"/>
          <cell r="M3917"/>
        </row>
        <row r="3918">
          <cell r="G3918"/>
          <cell r="H3918"/>
          <cell r="L3918"/>
          <cell r="M3918"/>
        </row>
        <row r="3919">
          <cell r="G3919"/>
          <cell r="H3919"/>
          <cell r="L3919"/>
          <cell r="M3919"/>
        </row>
        <row r="3920">
          <cell r="G3920"/>
          <cell r="H3920"/>
          <cell r="L3920"/>
          <cell r="M3920"/>
        </row>
        <row r="3921">
          <cell r="G3921"/>
          <cell r="H3921"/>
          <cell r="L3921"/>
          <cell r="M3921"/>
        </row>
        <row r="3922">
          <cell r="G3922"/>
          <cell r="H3922"/>
          <cell r="L3922"/>
          <cell r="M3922"/>
        </row>
        <row r="3923">
          <cell r="G3923"/>
          <cell r="H3923"/>
          <cell r="L3923"/>
          <cell r="M3923"/>
        </row>
        <row r="3924">
          <cell r="G3924"/>
          <cell r="H3924"/>
          <cell r="L3924"/>
          <cell r="M3924"/>
        </row>
        <row r="3925">
          <cell r="G3925"/>
          <cell r="H3925"/>
          <cell r="L3925"/>
          <cell r="M3925"/>
        </row>
        <row r="3926">
          <cell r="G3926"/>
          <cell r="H3926"/>
          <cell r="L3926"/>
          <cell r="M3926"/>
        </row>
        <row r="3927">
          <cell r="G3927"/>
          <cell r="H3927"/>
          <cell r="L3927"/>
          <cell r="M3927"/>
        </row>
        <row r="3928">
          <cell r="G3928"/>
          <cell r="H3928"/>
          <cell r="L3928"/>
          <cell r="M3928"/>
        </row>
        <row r="3929">
          <cell r="G3929"/>
          <cell r="H3929"/>
          <cell r="L3929"/>
          <cell r="M3929"/>
        </row>
        <row r="3930">
          <cell r="G3930"/>
          <cell r="H3930"/>
          <cell r="L3930"/>
          <cell r="M3930"/>
        </row>
        <row r="3931">
          <cell r="G3931"/>
          <cell r="H3931"/>
          <cell r="L3931"/>
          <cell r="M3931"/>
        </row>
        <row r="3932">
          <cell r="G3932"/>
          <cell r="H3932"/>
          <cell r="L3932"/>
          <cell r="M3932"/>
        </row>
        <row r="3933">
          <cell r="G3933"/>
          <cell r="H3933"/>
          <cell r="L3933"/>
          <cell r="M3933"/>
        </row>
        <row r="3934">
          <cell r="G3934"/>
          <cell r="H3934"/>
          <cell r="L3934"/>
          <cell r="M3934"/>
        </row>
        <row r="3935">
          <cell r="G3935"/>
          <cell r="H3935"/>
          <cell r="L3935"/>
          <cell r="M3935"/>
        </row>
        <row r="3936">
          <cell r="G3936"/>
          <cell r="H3936"/>
          <cell r="L3936"/>
          <cell r="M3936"/>
        </row>
        <row r="3937">
          <cell r="G3937"/>
          <cell r="H3937"/>
          <cell r="L3937"/>
          <cell r="M3937"/>
        </row>
        <row r="3938">
          <cell r="G3938"/>
          <cell r="H3938"/>
          <cell r="L3938"/>
          <cell r="M3938"/>
        </row>
        <row r="3939">
          <cell r="G3939"/>
          <cell r="H3939"/>
          <cell r="L3939"/>
          <cell r="M3939"/>
        </row>
        <row r="3940">
          <cell r="G3940"/>
          <cell r="H3940"/>
          <cell r="L3940"/>
          <cell r="M3940"/>
        </row>
        <row r="3941">
          <cell r="G3941"/>
          <cell r="H3941"/>
          <cell r="L3941"/>
          <cell r="M3941"/>
        </row>
        <row r="3942">
          <cell r="G3942"/>
          <cell r="H3942"/>
          <cell r="L3942"/>
          <cell r="M3942"/>
        </row>
        <row r="3943">
          <cell r="G3943"/>
          <cell r="H3943"/>
          <cell r="L3943"/>
          <cell r="M3943"/>
        </row>
        <row r="3944">
          <cell r="G3944"/>
          <cell r="H3944"/>
          <cell r="L3944"/>
          <cell r="M3944"/>
        </row>
        <row r="3945">
          <cell r="G3945"/>
          <cell r="H3945"/>
          <cell r="L3945"/>
          <cell r="M3945"/>
        </row>
        <row r="3946">
          <cell r="G3946"/>
          <cell r="H3946"/>
          <cell r="L3946"/>
          <cell r="M3946"/>
        </row>
        <row r="3947">
          <cell r="G3947"/>
          <cell r="H3947"/>
          <cell r="L3947"/>
          <cell r="M3947"/>
        </row>
        <row r="3948">
          <cell r="G3948"/>
          <cell r="H3948"/>
          <cell r="L3948"/>
          <cell r="M3948"/>
        </row>
        <row r="3949">
          <cell r="G3949"/>
          <cell r="H3949"/>
          <cell r="L3949"/>
          <cell r="M3949"/>
        </row>
        <row r="3950">
          <cell r="G3950"/>
          <cell r="H3950"/>
          <cell r="L3950"/>
          <cell r="M3950"/>
        </row>
        <row r="3951">
          <cell r="G3951"/>
          <cell r="H3951"/>
          <cell r="L3951"/>
          <cell r="M3951"/>
        </row>
        <row r="3952">
          <cell r="G3952"/>
          <cell r="H3952"/>
          <cell r="L3952"/>
          <cell r="M3952"/>
        </row>
        <row r="3953">
          <cell r="G3953"/>
          <cell r="H3953"/>
          <cell r="L3953"/>
          <cell r="M3953"/>
        </row>
        <row r="3954">
          <cell r="G3954"/>
          <cell r="H3954"/>
          <cell r="L3954"/>
          <cell r="M3954"/>
        </row>
        <row r="3955">
          <cell r="G3955"/>
          <cell r="H3955"/>
          <cell r="L3955"/>
          <cell r="M3955"/>
        </row>
        <row r="3956">
          <cell r="G3956"/>
          <cell r="H3956"/>
          <cell r="L3956"/>
          <cell r="M3956"/>
        </row>
        <row r="3957">
          <cell r="G3957"/>
          <cell r="H3957"/>
          <cell r="L3957"/>
          <cell r="M3957"/>
        </row>
        <row r="3958">
          <cell r="G3958"/>
          <cell r="H3958"/>
          <cell r="L3958"/>
          <cell r="M3958"/>
        </row>
        <row r="3959">
          <cell r="G3959"/>
          <cell r="H3959"/>
          <cell r="L3959"/>
          <cell r="M3959"/>
        </row>
        <row r="3960">
          <cell r="G3960"/>
          <cell r="H3960"/>
          <cell r="L3960"/>
          <cell r="M3960"/>
        </row>
        <row r="3961">
          <cell r="G3961"/>
          <cell r="H3961"/>
          <cell r="L3961"/>
          <cell r="M3961"/>
        </row>
        <row r="3962">
          <cell r="G3962"/>
          <cell r="H3962"/>
          <cell r="L3962"/>
          <cell r="M3962"/>
        </row>
        <row r="3963">
          <cell r="G3963"/>
          <cell r="H3963"/>
          <cell r="L3963"/>
          <cell r="M3963"/>
        </row>
        <row r="3964">
          <cell r="G3964"/>
          <cell r="H3964"/>
          <cell r="L3964"/>
          <cell r="M3964"/>
        </row>
        <row r="3965">
          <cell r="G3965"/>
          <cell r="H3965"/>
          <cell r="L3965"/>
          <cell r="M3965"/>
        </row>
        <row r="3966">
          <cell r="G3966"/>
          <cell r="H3966"/>
          <cell r="L3966"/>
          <cell r="M3966"/>
        </row>
        <row r="3967">
          <cell r="G3967"/>
          <cell r="H3967"/>
          <cell r="L3967"/>
          <cell r="M3967"/>
        </row>
        <row r="3968">
          <cell r="G3968"/>
          <cell r="H3968"/>
          <cell r="L3968"/>
          <cell r="M3968"/>
        </row>
        <row r="3969">
          <cell r="G3969"/>
          <cell r="H3969"/>
          <cell r="L3969"/>
          <cell r="M3969"/>
        </row>
        <row r="3970">
          <cell r="G3970"/>
          <cell r="H3970"/>
          <cell r="L3970"/>
          <cell r="M3970"/>
        </row>
        <row r="3971">
          <cell r="G3971"/>
          <cell r="H3971"/>
          <cell r="L3971"/>
          <cell r="M3971"/>
        </row>
        <row r="3972">
          <cell r="G3972"/>
          <cell r="H3972"/>
          <cell r="L3972"/>
          <cell r="M3972"/>
        </row>
        <row r="3973">
          <cell r="G3973"/>
          <cell r="H3973"/>
          <cell r="L3973"/>
          <cell r="M3973"/>
        </row>
        <row r="3974">
          <cell r="G3974"/>
          <cell r="H3974"/>
          <cell r="L3974"/>
          <cell r="M3974"/>
        </row>
        <row r="3975">
          <cell r="G3975"/>
          <cell r="H3975"/>
          <cell r="L3975"/>
          <cell r="M3975"/>
        </row>
        <row r="3976">
          <cell r="G3976"/>
          <cell r="H3976"/>
          <cell r="L3976"/>
          <cell r="M3976"/>
        </row>
        <row r="3977">
          <cell r="G3977"/>
          <cell r="H3977"/>
          <cell r="L3977"/>
          <cell r="M3977"/>
        </row>
        <row r="3978">
          <cell r="G3978"/>
          <cell r="H3978"/>
          <cell r="L3978"/>
          <cell r="M3978"/>
        </row>
        <row r="3979">
          <cell r="G3979"/>
          <cell r="H3979"/>
          <cell r="L3979"/>
          <cell r="M3979"/>
        </row>
        <row r="3980">
          <cell r="G3980"/>
          <cell r="H3980"/>
          <cell r="L3980"/>
          <cell r="M3980"/>
        </row>
        <row r="3981">
          <cell r="G3981"/>
          <cell r="H3981"/>
          <cell r="L3981"/>
          <cell r="M3981"/>
        </row>
        <row r="3982">
          <cell r="G3982"/>
          <cell r="H3982"/>
          <cell r="L3982"/>
          <cell r="M3982"/>
        </row>
        <row r="3983">
          <cell r="G3983"/>
          <cell r="H3983"/>
          <cell r="L3983"/>
          <cell r="M3983"/>
        </row>
        <row r="3984">
          <cell r="G3984"/>
          <cell r="H3984"/>
          <cell r="L3984"/>
          <cell r="M3984"/>
        </row>
        <row r="3985">
          <cell r="G3985"/>
          <cell r="H3985"/>
          <cell r="L3985"/>
          <cell r="M3985"/>
        </row>
        <row r="3986">
          <cell r="G3986"/>
          <cell r="H3986"/>
          <cell r="L3986"/>
          <cell r="M3986"/>
        </row>
        <row r="3987">
          <cell r="G3987"/>
          <cell r="H3987"/>
          <cell r="L3987"/>
          <cell r="M3987"/>
        </row>
        <row r="3988">
          <cell r="G3988"/>
          <cell r="H3988"/>
          <cell r="L3988"/>
          <cell r="M3988"/>
        </row>
        <row r="3989">
          <cell r="G3989"/>
          <cell r="H3989"/>
          <cell r="L3989"/>
          <cell r="M3989"/>
        </row>
        <row r="3990">
          <cell r="G3990"/>
          <cell r="H3990"/>
          <cell r="L3990"/>
          <cell r="M3990"/>
        </row>
        <row r="3991">
          <cell r="G3991"/>
          <cell r="H3991"/>
          <cell r="L3991"/>
          <cell r="M3991"/>
        </row>
        <row r="3992">
          <cell r="G3992"/>
          <cell r="H3992"/>
          <cell r="L3992"/>
          <cell r="M3992"/>
        </row>
        <row r="3993">
          <cell r="G3993"/>
          <cell r="H3993"/>
          <cell r="L3993"/>
          <cell r="M3993"/>
        </row>
        <row r="3994">
          <cell r="G3994"/>
          <cell r="H3994"/>
          <cell r="L3994"/>
          <cell r="M3994"/>
        </row>
        <row r="3995">
          <cell r="G3995"/>
          <cell r="H3995"/>
          <cell r="L3995"/>
          <cell r="M3995"/>
        </row>
        <row r="3996">
          <cell r="G3996"/>
          <cell r="H3996"/>
          <cell r="L3996"/>
          <cell r="M3996"/>
        </row>
        <row r="3997">
          <cell r="G3997"/>
          <cell r="H3997"/>
          <cell r="L3997"/>
          <cell r="M3997"/>
        </row>
        <row r="3998">
          <cell r="G3998"/>
          <cell r="H3998"/>
          <cell r="L3998"/>
          <cell r="M3998"/>
        </row>
        <row r="3999">
          <cell r="G3999"/>
          <cell r="H3999"/>
          <cell r="L3999"/>
          <cell r="M3999"/>
        </row>
        <row r="4000">
          <cell r="G4000"/>
          <cell r="H4000"/>
          <cell r="L4000"/>
          <cell r="M4000"/>
        </row>
        <row r="4001">
          <cell r="G4001"/>
          <cell r="H4001"/>
          <cell r="L4001"/>
          <cell r="M4001"/>
        </row>
        <row r="4002">
          <cell r="G4002"/>
          <cell r="H4002"/>
          <cell r="L4002"/>
          <cell r="M4002"/>
        </row>
        <row r="4003">
          <cell r="G4003"/>
          <cell r="H4003"/>
          <cell r="L4003"/>
          <cell r="M4003"/>
        </row>
        <row r="4004">
          <cell r="G4004"/>
          <cell r="H4004"/>
          <cell r="L4004"/>
          <cell r="M4004"/>
        </row>
        <row r="4005">
          <cell r="G4005"/>
          <cell r="H4005"/>
          <cell r="L4005"/>
          <cell r="M4005"/>
        </row>
        <row r="4006">
          <cell r="G4006"/>
          <cell r="H4006"/>
          <cell r="L4006"/>
          <cell r="M4006"/>
        </row>
        <row r="4007">
          <cell r="G4007"/>
          <cell r="H4007"/>
          <cell r="L4007"/>
          <cell r="M4007"/>
        </row>
        <row r="4008">
          <cell r="G4008"/>
          <cell r="H4008"/>
          <cell r="L4008"/>
          <cell r="M4008"/>
        </row>
        <row r="4009">
          <cell r="G4009"/>
          <cell r="H4009"/>
          <cell r="L4009"/>
          <cell r="M4009"/>
        </row>
        <row r="4010">
          <cell r="G4010"/>
          <cell r="H4010"/>
          <cell r="L4010"/>
          <cell r="M4010"/>
        </row>
        <row r="4011">
          <cell r="G4011"/>
          <cell r="H4011"/>
          <cell r="L4011"/>
          <cell r="M4011"/>
        </row>
        <row r="4012">
          <cell r="G4012"/>
          <cell r="H4012"/>
          <cell r="L4012"/>
          <cell r="M4012"/>
        </row>
        <row r="4013">
          <cell r="G4013"/>
          <cell r="H4013"/>
          <cell r="L4013"/>
          <cell r="M4013"/>
        </row>
        <row r="4014">
          <cell r="G4014"/>
          <cell r="H4014"/>
          <cell r="L4014"/>
          <cell r="M4014"/>
        </row>
        <row r="4015">
          <cell r="G4015"/>
          <cell r="H4015"/>
          <cell r="L4015"/>
          <cell r="M4015"/>
        </row>
        <row r="4016">
          <cell r="G4016"/>
          <cell r="H4016"/>
          <cell r="L4016"/>
          <cell r="M4016"/>
        </row>
        <row r="4017">
          <cell r="G4017"/>
          <cell r="H4017"/>
          <cell r="L4017"/>
          <cell r="M4017"/>
        </row>
        <row r="4018">
          <cell r="G4018"/>
          <cell r="H4018"/>
          <cell r="L4018"/>
          <cell r="M4018"/>
        </row>
        <row r="4019">
          <cell r="G4019"/>
          <cell r="H4019"/>
          <cell r="L4019"/>
          <cell r="M4019"/>
        </row>
        <row r="4020">
          <cell r="G4020"/>
          <cell r="H4020"/>
          <cell r="L4020"/>
          <cell r="M4020"/>
        </row>
        <row r="4021">
          <cell r="G4021"/>
          <cell r="H4021"/>
          <cell r="L4021"/>
          <cell r="M4021"/>
        </row>
        <row r="4022">
          <cell r="G4022"/>
          <cell r="H4022"/>
          <cell r="L4022"/>
          <cell r="M4022"/>
        </row>
        <row r="4023">
          <cell r="G4023"/>
          <cell r="H4023"/>
          <cell r="L4023"/>
          <cell r="M4023"/>
        </row>
        <row r="4024">
          <cell r="G4024"/>
          <cell r="H4024"/>
          <cell r="L4024"/>
          <cell r="M4024"/>
        </row>
        <row r="4025">
          <cell r="G4025"/>
          <cell r="H4025"/>
          <cell r="L4025"/>
          <cell r="M4025"/>
        </row>
        <row r="4026">
          <cell r="G4026"/>
          <cell r="H4026"/>
          <cell r="L4026"/>
          <cell r="M4026"/>
        </row>
        <row r="4027">
          <cell r="G4027"/>
          <cell r="H4027"/>
          <cell r="L4027"/>
          <cell r="M4027"/>
        </row>
        <row r="4028">
          <cell r="G4028"/>
          <cell r="H4028"/>
          <cell r="L4028"/>
          <cell r="M4028"/>
        </row>
        <row r="4029">
          <cell r="G4029"/>
          <cell r="H4029"/>
          <cell r="L4029"/>
          <cell r="M4029"/>
        </row>
        <row r="4030">
          <cell r="G4030"/>
          <cell r="H4030"/>
          <cell r="L4030"/>
          <cell r="M4030"/>
        </row>
        <row r="4031">
          <cell r="G4031"/>
          <cell r="H4031"/>
          <cell r="L4031"/>
          <cell r="M4031"/>
        </row>
        <row r="4032">
          <cell r="G4032"/>
          <cell r="H4032"/>
          <cell r="L4032"/>
          <cell r="M4032"/>
        </row>
        <row r="4033">
          <cell r="G4033"/>
          <cell r="H4033"/>
          <cell r="L4033"/>
          <cell r="M4033"/>
        </row>
        <row r="4034">
          <cell r="G4034"/>
          <cell r="H4034"/>
          <cell r="L4034"/>
          <cell r="M4034"/>
        </row>
        <row r="4035">
          <cell r="G4035"/>
          <cell r="H4035"/>
          <cell r="L4035"/>
          <cell r="M4035"/>
        </row>
        <row r="4036">
          <cell r="G4036"/>
          <cell r="H4036"/>
          <cell r="L4036"/>
          <cell r="M4036"/>
        </row>
        <row r="4037">
          <cell r="G4037"/>
          <cell r="H4037"/>
          <cell r="L4037"/>
          <cell r="M4037"/>
        </row>
        <row r="4038">
          <cell r="G4038"/>
          <cell r="H4038"/>
          <cell r="L4038"/>
          <cell r="M4038"/>
        </row>
        <row r="4039">
          <cell r="G4039"/>
          <cell r="H4039"/>
          <cell r="L4039"/>
          <cell r="M4039"/>
        </row>
        <row r="4040">
          <cell r="G4040"/>
          <cell r="H4040"/>
          <cell r="L4040"/>
          <cell r="M4040"/>
        </row>
        <row r="4041">
          <cell r="G4041"/>
          <cell r="H4041"/>
          <cell r="L4041"/>
          <cell r="M4041"/>
        </row>
        <row r="4042">
          <cell r="G4042"/>
          <cell r="H4042"/>
          <cell r="L4042"/>
          <cell r="M4042"/>
        </row>
        <row r="4043">
          <cell r="G4043"/>
          <cell r="H4043"/>
          <cell r="L4043"/>
          <cell r="M4043"/>
        </row>
        <row r="4044">
          <cell r="G4044"/>
          <cell r="H4044"/>
          <cell r="L4044"/>
          <cell r="M4044"/>
        </row>
        <row r="4045">
          <cell r="G4045"/>
          <cell r="H4045"/>
          <cell r="L4045"/>
          <cell r="M4045"/>
        </row>
        <row r="4046">
          <cell r="G4046"/>
          <cell r="H4046"/>
          <cell r="L4046"/>
          <cell r="M4046"/>
        </row>
        <row r="4047">
          <cell r="G4047"/>
          <cell r="H4047"/>
          <cell r="L4047"/>
          <cell r="M4047"/>
        </row>
        <row r="4048">
          <cell r="G4048"/>
          <cell r="H4048"/>
          <cell r="L4048"/>
          <cell r="M4048"/>
        </row>
        <row r="4049">
          <cell r="G4049"/>
          <cell r="H4049"/>
          <cell r="L4049"/>
          <cell r="M4049"/>
        </row>
        <row r="4050">
          <cell r="G4050"/>
          <cell r="H4050"/>
          <cell r="L4050"/>
          <cell r="M4050"/>
        </row>
        <row r="4051">
          <cell r="G4051"/>
          <cell r="H4051"/>
          <cell r="L4051"/>
          <cell r="M4051"/>
        </row>
        <row r="4052">
          <cell r="G4052"/>
          <cell r="H4052"/>
          <cell r="L4052"/>
          <cell r="M4052"/>
        </row>
        <row r="4053">
          <cell r="G4053"/>
          <cell r="H4053"/>
          <cell r="L4053"/>
          <cell r="M4053"/>
        </row>
        <row r="4054">
          <cell r="G4054"/>
          <cell r="H4054"/>
          <cell r="L4054"/>
          <cell r="M4054"/>
        </row>
        <row r="4055">
          <cell r="G4055"/>
          <cell r="H4055"/>
          <cell r="L4055"/>
          <cell r="M4055"/>
        </row>
        <row r="4056">
          <cell r="G4056"/>
          <cell r="H4056"/>
          <cell r="L4056"/>
          <cell r="M4056"/>
        </row>
        <row r="4057">
          <cell r="G4057"/>
          <cell r="H4057"/>
          <cell r="L4057"/>
          <cell r="M4057"/>
        </row>
        <row r="4058">
          <cell r="G4058"/>
          <cell r="H4058"/>
          <cell r="L4058"/>
          <cell r="M4058"/>
        </row>
        <row r="4059">
          <cell r="G4059"/>
          <cell r="H4059"/>
          <cell r="L4059"/>
          <cell r="M4059"/>
        </row>
        <row r="4060">
          <cell r="G4060"/>
          <cell r="H4060"/>
          <cell r="L4060"/>
          <cell r="M4060"/>
        </row>
        <row r="4061">
          <cell r="G4061"/>
          <cell r="H4061"/>
          <cell r="L4061"/>
          <cell r="M4061"/>
        </row>
        <row r="4062">
          <cell r="G4062"/>
          <cell r="H4062"/>
          <cell r="L4062"/>
          <cell r="M4062"/>
        </row>
        <row r="4063">
          <cell r="G4063"/>
          <cell r="H4063"/>
          <cell r="L4063"/>
          <cell r="M4063"/>
        </row>
        <row r="4064">
          <cell r="G4064"/>
          <cell r="H4064"/>
          <cell r="L4064"/>
          <cell r="M4064"/>
        </row>
        <row r="4065">
          <cell r="G4065"/>
          <cell r="H4065"/>
          <cell r="L4065"/>
          <cell r="M4065"/>
        </row>
        <row r="4066">
          <cell r="G4066"/>
          <cell r="H4066"/>
          <cell r="L4066"/>
          <cell r="M4066"/>
        </row>
        <row r="4067">
          <cell r="G4067"/>
          <cell r="H4067"/>
          <cell r="L4067"/>
          <cell r="M4067"/>
        </row>
        <row r="4068">
          <cell r="G4068"/>
          <cell r="H4068"/>
          <cell r="L4068"/>
          <cell r="M4068"/>
        </row>
        <row r="4069">
          <cell r="G4069"/>
          <cell r="H4069"/>
          <cell r="L4069"/>
          <cell r="M4069"/>
        </row>
        <row r="4070">
          <cell r="G4070"/>
          <cell r="H4070"/>
          <cell r="L4070"/>
          <cell r="M4070"/>
        </row>
        <row r="4071">
          <cell r="G4071"/>
          <cell r="H4071"/>
          <cell r="L4071"/>
          <cell r="M4071"/>
        </row>
        <row r="4072">
          <cell r="G4072"/>
          <cell r="H4072"/>
          <cell r="L4072"/>
          <cell r="M4072"/>
        </row>
        <row r="4073">
          <cell r="G4073"/>
          <cell r="H4073"/>
          <cell r="L4073"/>
          <cell r="M4073"/>
        </row>
        <row r="4074">
          <cell r="G4074"/>
          <cell r="H4074"/>
          <cell r="L4074"/>
          <cell r="M4074"/>
        </row>
        <row r="4075">
          <cell r="G4075"/>
          <cell r="H4075"/>
          <cell r="L4075"/>
          <cell r="M4075"/>
        </row>
        <row r="4076">
          <cell r="G4076"/>
          <cell r="H4076"/>
          <cell r="L4076"/>
          <cell r="M4076"/>
        </row>
        <row r="4077">
          <cell r="G4077"/>
          <cell r="H4077"/>
          <cell r="L4077"/>
          <cell r="M4077"/>
        </row>
        <row r="4078">
          <cell r="G4078"/>
          <cell r="H4078"/>
          <cell r="L4078"/>
          <cell r="M4078"/>
        </row>
        <row r="4079">
          <cell r="G4079"/>
          <cell r="H4079"/>
          <cell r="L4079"/>
          <cell r="M4079"/>
        </row>
        <row r="4080">
          <cell r="G4080"/>
          <cell r="H4080"/>
          <cell r="L4080"/>
          <cell r="M4080"/>
        </row>
        <row r="4081">
          <cell r="G4081"/>
          <cell r="H4081"/>
          <cell r="L4081"/>
          <cell r="M4081"/>
        </row>
        <row r="4082">
          <cell r="G4082"/>
          <cell r="H4082"/>
          <cell r="L4082"/>
          <cell r="M4082"/>
        </row>
        <row r="4083">
          <cell r="G4083"/>
          <cell r="H4083"/>
          <cell r="L4083"/>
          <cell r="M4083"/>
        </row>
        <row r="4084">
          <cell r="G4084"/>
          <cell r="H4084"/>
          <cell r="L4084"/>
          <cell r="M4084"/>
        </row>
        <row r="4085">
          <cell r="G4085"/>
          <cell r="H4085"/>
          <cell r="L4085"/>
          <cell r="M4085"/>
        </row>
        <row r="4086">
          <cell r="G4086"/>
          <cell r="H4086"/>
          <cell r="L4086"/>
          <cell r="M4086"/>
        </row>
        <row r="4087">
          <cell r="G4087"/>
          <cell r="H4087"/>
          <cell r="L4087"/>
          <cell r="M4087"/>
        </row>
        <row r="4088">
          <cell r="G4088"/>
          <cell r="H4088"/>
          <cell r="L4088"/>
          <cell r="M4088"/>
        </row>
        <row r="4089">
          <cell r="G4089"/>
          <cell r="H4089"/>
          <cell r="L4089"/>
          <cell r="M4089"/>
        </row>
        <row r="4090">
          <cell r="G4090"/>
          <cell r="H4090"/>
          <cell r="L4090"/>
          <cell r="M4090"/>
        </row>
        <row r="4091">
          <cell r="G4091"/>
          <cell r="H4091"/>
          <cell r="L4091"/>
          <cell r="M4091"/>
        </row>
        <row r="4092">
          <cell r="G4092"/>
          <cell r="H4092"/>
          <cell r="L4092"/>
          <cell r="M4092"/>
        </row>
        <row r="4093">
          <cell r="G4093"/>
          <cell r="H4093"/>
          <cell r="L4093"/>
          <cell r="M4093"/>
        </row>
        <row r="4094">
          <cell r="G4094"/>
          <cell r="H4094"/>
          <cell r="L4094"/>
          <cell r="M4094"/>
        </row>
        <row r="4095">
          <cell r="G4095"/>
          <cell r="H4095"/>
          <cell r="L4095"/>
          <cell r="M4095"/>
        </row>
        <row r="4096">
          <cell r="G4096"/>
          <cell r="H4096"/>
          <cell r="L4096"/>
          <cell r="M4096"/>
        </row>
        <row r="4097">
          <cell r="G4097"/>
          <cell r="H4097"/>
          <cell r="L4097"/>
          <cell r="M4097"/>
        </row>
        <row r="4098">
          <cell r="G4098"/>
          <cell r="H4098"/>
          <cell r="L4098"/>
          <cell r="M4098"/>
        </row>
        <row r="4099">
          <cell r="G4099"/>
          <cell r="H4099"/>
          <cell r="L4099"/>
          <cell r="M4099"/>
        </row>
        <row r="4100">
          <cell r="G4100"/>
          <cell r="H4100"/>
          <cell r="L4100"/>
          <cell r="M4100"/>
        </row>
        <row r="4101">
          <cell r="G4101"/>
          <cell r="H4101"/>
          <cell r="L4101"/>
          <cell r="M4101"/>
        </row>
        <row r="4102">
          <cell r="G4102"/>
          <cell r="H4102"/>
          <cell r="L4102"/>
          <cell r="M4102"/>
        </row>
        <row r="4103">
          <cell r="G4103"/>
          <cell r="H4103"/>
          <cell r="L4103"/>
          <cell r="M4103"/>
        </row>
        <row r="4104">
          <cell r="G4104"/>
          <cell r="H4104"/>
          <cell r="L4104"/>
          <cell r="M4104"/>
        </row>
        <row r="4105">
          <cell r="G4105"/>
          <cell r="H4105"/>
          <cell r="L4105"/>
          <cell r="M4105"/>
        </row>
        <row r="4106">
          <cell r="G4106"/>
          <cell r="H4106"/>
          <cell r="L4106"/>
          <cell r="M4106"/>
        </row>
        <row r="4107">
          <cell r="G4107"/>
          <cell r="H4107"/>
          <cell r="L4107"/>
          <cell r="M4107"/>
        </row>
        <row r="4108">
          <cell r="G4108"/>
          <cell r="H4108"/>
          <cell r="L4108"/>
          <cell r="M4108"/>
        </row>
        <row r="4109">
          <cell r="G4109"/>
          <cell r="H4109"/>
          <cell r="L4109"/>
          <cell r="M4109"/>
        </row>
        <row r="4110">
          <cell r="G4110"/>
          <cell r="H4110"/>
          <cell r="L4110"/>
          <cell r="M4110"/>
        </row>
        <row r="4111">
          <cell r="G4111"/>
          <cell r="H4111"/>
          <cell r="L4111"/>
          <cell r="M4111"/>
        </row>
        <row r="4112">
          <cell r="G4112"/>
          <cell r="H4112"/>
          <cell r="L4112"/>
          <cell r="M4112"/>
        </row>
        <row r="4113">
          <cell r="G4113"/>
          <cell r="H4113"/>
          <cell r="L4113"/>
          <cell r="M4113"/>
        </row>
        <row r="4114">
          <cell r="G4114"/>
          <cell r="H4114"/>
          <cell r="L4114"/>
          <cell r="M4114"/>
        </row>
        <row r="4115">
          <cell r="G4115"/>
          <cell r="H4115"/>
          <cell r="L4115"/>
          <cell r="M4115"/>
        </row>
        <row r="4116">
          <cell r="G4116"/>
          <cell r="H4116"/>
          <cell r="L4116"/>
          <cell r="M4116"/>
        </row>
        <row r="4117">
          <cell r="G4117"/>
          <cell r="H4117"/>
          <cell r="L4117"/>
          <cell r="M4117"/>
        </row>
        <row r="4118">
          <cell r="G4118"/>
          <cell r="H4118"/>
          <cell r="L4118"/>
          <cell r="M4118"/>
        </row>
        <row r="4119">
          <cell r="G4119"/>
          <cell r="H4119"/>
          <cell r="L4119"/>
          <cell r="M4119"/>
        </row>
        <row r="4120">
          <cell r="G4120"/>
          <cell r="H4120"/>
          <cell r="L4120"/>
          <cell r="M4120"/>
        </row>
        <row r="4121">
          <cell r="G4121"/>
          <cell r="H4121"/>
          <cell r="L4121"/>
          <cell r="M4121"/>
        </row>
        <row r="4122">
          <cell r="G4122"/>
          <cell r="H4122"/>
          <cell r="L4122"/>
          <cell r="M4122"/>
        </row>
        <row r="4123">
          <cell r="G4123"/>
          <cell r="H4123"/>
          <cell r="L4123"/>
          <cell r="M4123"/>
        </row>
        <row r="4124">
          <cell r="G4124"/>
          <cell r="H4124"/>
          <cell r="L4124"/>
          <cell r="M4124"/>
        </row>
        <row r="4125">
          <cell r="G4125"/>
          <cell r="H4125"/>
          <cell r="L4125"/>
          <cell r="M4125"/>
        </row>
        <row r="4126">
          <cell r="G4126"/>
          <cell r="H4126"/>
          <cell r="L4126"/>
          <cell r="M4126"/>
        </row>
        <row r="4127">
          <cell r="G4127"/>
          <cell r="H4127"/>
          <cell r="L4127"/>
          <cell r="M4127"/>
        </row>
        <row r="4128">
          <cell r="G4128"/>
          <cell r="H4128"/>
          <cell r="L4128"/>
          <cell r="M4128"/>
        </row>
        <row r="4129">
          <cell r="G4129"/>
          <cell r="H4129"/>
          <cell r="L4129"/>
          <cell r="M4129"/>
        </row>
        <row r="4130">
          <cell r="G4130"/>
          <cell r="H4130"/>
          <cell r="L4130"/>
          <cell r="M4130"/>
        </row>
        <row r="4131">
          <cell r="G4131"/>
          <cell r="H4131"/>
          <cell r="L4131"/>
          <cell r="M4131"/>
        </row>
        <row r="4132">
          <cell r="G4132"/>
          <cell r="H4132"/>
          <cell r="L4132"/>
          <cell r="M4132"/>
        </row>
        <row r="4133">
          <cell r="G4133"/>
          <cell r="H4133"/>
          <cell r="L4133"/>
          <cell r="M4133"/>
        </row>
        <row r="4134">
          <cell r="G4134"/>
          <cell r="H4134"/>
          <cell r="L4134"/>
          <cell r="M4134"/>
        </row>
        <row r="4135">
          <cell r="G4135"/>
          <cell r="H4135"/>
          <cell r="L4135"/>
          <cell r="M4135"/>
        </row>
        <row r="4136">
          <cell r="G4136"/>
          <cell r="H4136"/>
          <cell r="L4136"/>
          <cell r="M4136"/>
        </row>
        <row r="4137">
          <cell r="G4137"/>
          <cell r="H4137"/>
          <cell r="L4137"/>
          <cell r="M4137"/>
        </row>
        <row r="4138">
          <cell r="G4138"/>
          <cell r="H4138"/>
          <cell r="L4138"/>
          <cell r="M4138"/>
        </row>
        <row r="4139">
          <cell r="G4139"/>
          <cell r="H4139"/>
          <cell r="L4139"/>
          <cell r="M4139"/>
        </row>
        <row r="4140">
          <cell r="G4140"/>
          <cell r="H4140"/>
          <cell r="L4140"/>
          <cell r="M4140"/>
        </row>
        <row r="4141">
          <cell r="G4141"/>
          <cell r="H4141"/>
          <cell r="L4141"/>
          <cell r="M4141"/>
        </row>
        <row r="4142">
          <cell r="G4142"/>
          <cell r="H4142"/>
          <cell r="L4142"/>
          <cell r="M4142"/>
        </row>
        <row r="4143">
          <cell r="G4143"/>
          <cell r="H4143"/>
          <cell r="L4143"/>
          <cell r="M4143"/>
        </row>
        <row r="4144">
          <cell r="G4144"/>
          <cell r="H4144"/>
          <cell r="L4144"/>
          <cell r="M4144"/>
        </row>
        <row r="4145">
          <cell r="G4145"/>
          <cell r="H4145"/>
          <cell r="L4145"/>
          <cell r="M4145"/>
        </row>
        <row r="4146">
          <cell r="G4146"/>
          <cell r="H4146"/>
          <cell r="L4146"/>
          <cell r="M4146"/>
        </row>
        <row r="4147">
          <cell r="G4147"/>
          <cell r="H4147"/>
          <cell r="L4147"/>
          <cell r="M4147"/>
        </row>
        <row r="4148">
          <cell r="G4148"/>
          <cell r="H4148"/>
          <cell r="L4148"/>
          <cell r="M4148"/>
        </row>
        <row r="4149">
          <cell r="G4149"/>
          <cell r="H4149"/>
          <cell r="L4149"/>
          <cell r="M4149"/>
        </row>
        <row r="4150">
          <cell r="G4150"/>
          <cell r="H4150"/>
          <cell r="L4150"/>
          <cell r="M4150"/>
        </row>
        <row r="4151">
          <cell r="G4151"/>
          <cell r="H4151"/>
          <cell r="L4151"/>
          <cell r="M4151"/>
        </row>
        <row r="4152">
          <cell r="G4152"/>
          <cell r="H4152"/>
          <cell r="L4152"/>
          <cell r="M4152"/>
        </row>
        <row r="4153">
          <cell r="G4153"/>
          <cell r="H4153"/>
          <cell r="L4153"/>
          <cell r="M4153"/>
        </row>
        <row r="4154">
          <cell r="G4154"/>
          <cell r="H4154"/>
          <cell r="L4154"/>
          <cell r="M4154"/>
        </row>
        <row r="4155">
          <cell r="G4155"/>
          <cell r="H4155"/>
          <cell r="L4155"/>
          <cell r="M4155"/>
        </row>
        <row r="4156">
          <cell r="G4156"/>
          <cell r="H4156"/>
          <cell r="L4156"/>
          <cell r="M4156"/>
        </row>
        <row r="4157">
          <cell r="G4157"/>
          <cell r="H4157"/>
          <cell r="L4157"/>
          <cell r="M4157"/>
        </row>
        <row r="4158">
          <cell r="G4158"/>
          <cell r="H4158"/>
          <cell r="L4158"/>
          <cell r="M4158"/>
        </row>
        <row r="4159">
          <cell r="G4159"/>
          <cell r="H4159"/>
          <cell r="L4159"/>
          <cell r="M4159"/>
        </row>
        <row r="4160">
          <cell r="G4160"/>
          <cell r="H4160"/>
          <cell r="L4160"/>
          <cell r="M4160"/>
        </row>
        <row r="4161">
          <cell r="G4161"/>
          <cell r="H4161"/>
          <cell r="L4161"/>
          <cell r="M4161"/>
        </row>
        <row r="4162">
          <cell r="G4162"/>
          <cell r="H4162"/>
          <cell r="L4162"/>
          <cell r="M4162"/>
        </row>
        <row r="4163">
          <cell r="G4163"/>
          <cell r="H4163"/>
          <cell r="L4163"/>
          <cell r="M4163"/>
        </row>
        <row r="4164">
          <cell r="G4164"/>
          <cell r="H4164"/>
          <cell r="L4164"/>
          <cell r="M4164"/>
        </row>
        <row r="4165">
          <cell r="G4165"/>
          <cell r="H4165"/>
          <cell r="L4165"/>
          <cell r="M4165"/>
        </row>
        <row r="4166">
          <cell r="G4166"/>
          <cell r="H4166"/>
          <cell r="L4166"/>
          <cell r="M4166"/>
        </row>
        <row r="4167">
          <cell r="G4167"/>
          <cell r="H4167"/>
          <cell r="L4167"/>
          <cell r="M4167"/>
        </row>
        <row r="4168">
          <cell r="G4168"/>
          <cell r="H4168"/>
          <cell r="L4168"/>
          <cell r="M4168"/>
        </row>
        <row r="4169">
          <cell r="G4169"/>
          <cell r="H4169"/>
          <cell r="L4169"/>
          <cell r="M4169"/>
        </row>
        <row r="4170">
          <cell r="G4170"/>
          <cell r="H4170"/>
          <cell r="L4170"/>
          <cell r="M4170"/>
        </row>
        <row r="4171">
          <cell r="G4171"/>
          <cell r="H4171"/>
          <cell r="L4171"/>
          <cell r="M4171"/>
        </row>
        <row r="4172">
          <cell r="G4172"/>
          <cell r="H4172"/>
          <cell r="L4172"/>
          <cell r="M4172"/>
        </row>
        <row r="4173">
          <cell r="G4173"/>
          <cell r="H4173"/>
          <cell r="L4173"/>
          <cell r="M4173"/>
        </row>
        <row r="4174">
          <cell r="G4174"/>
          <cell r="H4174"/>
          <cell r="L4174"/>
          <cell r="M4174"/>
        </row>
        <row r="4175">
          <cell r="G4175"/>
          <cell r="H4175"/>
          <cell r="L4175"/>
          <cell r="M4175"/>
        </row>
        <row r="4176">
          <cell r="G4176"/>
          <cell r="H4176"/>
          <cell r="L4176"/>
          <cell r="M4176"/>
        </row>
        <row r="4177">
          <cell r="G4177"/>
          <cell r="H4177"/>
          <cell r="L4177"/>
          <cell r="M4177"/>
        </row>
        <row r="4178">
          <cell r="G4178"/>
          <cell r="H4178"/>
          <cell r="L4178"/>
          <cell r="M4178"/>
        </row>
        <row r="4179">
          <cell r="G4179"/>
          <cell r="H4179"/>
          <cell r="L4179"/>
          <cell r="M4179"/>
        </row>
        <row r="4180">
          <cell r="G4180"/>
          <cell r="H4180"/>
          <cell r="L4180"/>
          <cell r="M4180"/>
        </row>
        <row r="4181">
          <cell r="G4181"/>
          <cell r="H4181"/>
          <cell r="L4181"/>
          <cell r="M4181"/>
        </row>
        <row r="4182">
          <cell r="G4182"/>
          <cell r="H4182"/>
          <cell r="L4182"/>
          <cell r="M4182"/>
        </row>
        <row r="4183">
          <cell r="G4183"/>
          <cell r="H4183"/>
          <cell r="L4183"/>
          <cell r="M4183"/>
        </row>
        <row r="4184">
          <cell r="G4184"/>
          <cell r="H4184"/>
          <cell r="L4184"/>
          <cell r="M4184"/>
        </row>
        <row r="4185">
          <cell r="G4185"/>
          <cell r="H4185"/>
          <cell r="L4185"/>
          <cell r="M4185"/>
        </row>
        <row r="4186">
          <cell r="G4186"/>
          <cell r="H4186"/>
          <cell r="L4186"/>
          <cell r="M4186"/>
        </row>
        <row r="4187">
          <cell r="G4187"/>
          <cell r="H4187"/>
          <cell r="L4187"/>
          <cell r="M4187"/>
        </row>
        <row r="4188">
          <cell r="G4188"/>
          <cell r="H4188"/>
          <cell r="L4188"/>
          <cell r="M4188"/>
        </row>
        <row r="4189">
          <cell r="G4189"/>
          <cell r="H4189"/>
          <cell r="L4189"/>
          <cell r="M4189"/>
        </row>
        <row r="4190">
          <cell r="G4190"/>
          <cell r="H4190"/>
          <cell r="L4190"/>
          <cell r="M4190"/>
        </row>
        <row r="4191">
          <cell r="G4191"/>
          <cell r="H4191"/>
          <cell r="L4191"/>
          <cell r="M4191"/>
        </row>
        <row r="4192">
          <cell r="G4192"/>
          <cell r="H4192"/>
          <cell r="L4192"/>
          <cell r="M4192"/>
        </row>
        <row r="4193">
          <cell r="G4193"/>
          <cell r="H4193"/>
          <cell r="L4193"/>
          <cell r="M4193"/>
        </row>
        <row r="4194">
          <cell r="G4194"/>
          <cell r="H4194"/>
          <cell r="L4194"/>
          <cell r="M4194"/>
        </row>
        <row r="4195">
          <cell r="G4195"/>
          <cell r="H4195"/>
          <cell r="L4195"/>
          <cell r="M4195"/>
        </row>
        <row r="4196">
          <cell r="G4196"/>
          <cell r="H4196"/>
          <cell r="L4196"/>
          <cell r="M4196"/>
        </row>
        <row r="4197">
          <cell r="G4197"/>
          <cell r="H4197"/>
          <cell r="L4197"/>
          <cell r="M4197"/>
        </row>
        <row r="4198">
          <cell r="G4198"/>
          <cell r="H4198"/>
          <cell r="L4198"/>
          <cell r="M4198"/>
        </row>
        <row r="4199">
          <cell r="G4199"/>
          <cell r="H4199"/>
          <cell r="L4199"/>
          <cell r="M4199"/>
        </row>
        <row r="4200">
          <cell r="G4200"/>
          <cell r="H4200"/>
          <cell r="L4200"/>
          <cell r="M4200"/>
        </row>
        <row r="4201">
          <cell r="G4201"/>
          <cell r="H4201"/>
          <cell r="L4201"/>
          <cell r="M4201"/>
        </row>
        <row r="4202">
          <cell r="G4202"/>
          <cell r="H4202"/>
          <cell r="L4202"/>
          <cell r="M4202"/>
        </row>
        <row r="4203">
          <cell r="G4203"/>
          <cell r="H4203"/>
          <cell r="L4203"/>
          <cell r="M4203"/>
        </row>
        <row r="4204">
          <cell r="G4204"/>
          <cell r="H4204"/>
          <cell r="L4204"/>
          <cell r="M4204"/>
        </row>
        <row r="4205">
          <cell r="G4205"/>
          <cell r="H4205"/>
          <cell r="L4205"/>
          <cell r="M4205"/>
        </row>
        <row r="4206">
          <cell r="G4206"/>
          <cell r="H4206"/>
          <cell r="L4206"/>
          <cell r="M4206"/>
        </row>
        <row r="4207">
          <cell r="G4207"/>
          <cell r="H4207"/>
          <cell r="L4207"/>
          <cell r="M4207"/>
        </row>
        <row r="4208">
          <cell r="G4208"/>
          <cell r="H4208"/>
          <cell r="L4208"/>
          <cell r="M4208"/>
        </row>
        <row r="4209">
          <cell r="G4209"/>
          <cell r="H4209"/>
          <cell r="L4209"/>
          <cell r="M4209"/>
        </row>
        <row r="4210">
          <cell r="G4210"/>
          <cell r="H4210"/>
          <cell r="L4210"/>
          <cell r="M4210"/>
        </row>
        <row r="4211">
          <cell r="G4211"/>
          <cell r="H4211"/>
          <cell r="L4211"/>
          <cell r="M4211"/>
        </row>
        <row r="4212">
          <cell r="G4212"/>
          <cell r="H4212"/>
          <cell r="L4212"/>
          <cell r="M4212"/>
        </row>
        <row r="4213">
          <cell r="G4213"/>
          <cell r="H4213"/>
          <cell r="L4213"/>
          <cell r="M4213"/>
        </row>
        <row r="4214">
          <cell r="G4214"/>
          <cell r="H4214"/>
          <cell r="L4214"/>
          <cell r="M4214"/>
        </row>
        <row r="4215">
          <cell r="G4215"/>
          <cell r="H4215"/>
          <cell r="L4215"/>
          <cell r="M4215"/>
        </row>
        <row r="4216">
          <cell r="G4216"/>
          <cell r="H4216"/>
          <cell r="L4216"/>
          <cell r="M4216"/>
        </row>
        <row r="4217">
          <cell r="G4217"/>
          <cell r="H4217"/>
          <cell r="L4217"/>
          <cell r="M4217"/>
        </row>
        <row r="4218">
          <cell r="G4218"/>
          <cell r="H4218"/>
          <cell r="L4218"/>
          <cell r="M4218"/>
        </row>
        <row r="4219">
          <cell r="G4219"/>
          <cell r="H4219"/>
          <cell r="L4219"/>
          <cell r="M4219"/>
        </row>
        <row r="4220">
          <cell r="G4220"/>
          <cell r="H4220"/>
          <cell r="L4220"/>
          <cell r="M4220"/>
        </row>
        <row r="4221">
          <cell r="G4221"/>
          <cell r="H4221"/>
          <cell r="L4221"/>
          <cell r="M4221"/>
        </row>
        <row r="4222">
          <cell r="G4222"/>
          <cell r="H4222"/>
          <cell r="L4222"/>
          <cell r="M4222"/>
        </row>
        <row r="4223">
          <cell r="G4223"/>
          <cell r="H4223"/>
          <cell r="L4223"/>
          <cell r="M4223"/>
        </row>
        <row r="4224">
          <cell r="G4224"/>
          <cell r="H4224"/>
          <cell r="L4224"/>
          <cell r="M4224"/>
        </row>
        <row r="4225">
          <cell r="G4225"/>
          <cell r="H4225"/>
          <cell r="L4225"/>
          <cell r="M4225"/>
        </row>
        <row r="4226">
          <cell r="G4226"/>
          <cell r="H4226"/>
          <cell r="L4226"/>
          <cell r="M4226"/>
        </row>
        <row r="4227">
          <cell r="G4227"/>
          <cell r="H4227"/>
          <cell r="L4227"/>
          <cell r="M4227"/>
        </row>
        <row r="4228">
          <cell r="G4228"/>
          <cell r="H4228"/>
          <cell r="L4228"/>
          <cell r="M4228"/>
        </row>
        <row r="4229">
          <cell r="G4229"/>
          <cell r="H4229"/>
          <cell r="L4229"/>
          <cell r="M4229"/>
        </row>
        <row r="4230">
          <cell r="G4230"/>
          <cell r="H4230"/>
          <cell r="L4230"/>
          <cell r="M4230"/>
        </row>
        <row r="4231">
          <cell r="G4231"/>
          <cell r="H4231"/>
          <cell r="L4231"/>
          <cell r="M4231"/>
        </row>
        <row r="4232">
          <cell r="G4232"/>
          <cell r="H4232"/>
          <cell r="L4232"/>
          <cell r="M4232"/>
        </row>
        <row r="4233">
          <cell r="G4233"/>
          <cell r="H4233"/>
          <cell r="L4233"/>
          <cell r="M4233"/>
        </row>
        <row r="4234">
          <cell r="G4234"/>
          <cell r="H4234"/>
          <cell r="L4234"/>
          <cell r="M4234"/>
        </row>
        <row r="4235">
          <cell r="G4235"/>
          <cell r="H4235"/>
          <cell r="L4235"/>
          <cell r="M4235"/>
        </row>
        <row r="4236">
          <cell r="G4236"/>
          <cell r="H4236"/>
          <cell r="L4236"/>
          <cell r="M4236"/>
        </row>
        <row r="4237">
          <cell r="G4237"/>
          <cell r="H4237"/>
          <cell r="L4237"/>
          <cell r="M4237"/>
        </row>
        <row r="4238">
          <cell r="G4238"/>
          <cell r="H4238"/>
          <cell r="L4238"/>
          <cell r="M4238"/>
        </row>
        <row r="4239">
          <cell r="G4239"/>
          <cell r="H4239"/>
          <cell r="L4239"/>
          <cell r="M4239"/>
        </row>
        <row r="4240">
          <cell r="G4240"/>
          <cell r="H4240"/>
          <cell r="L4240"/>
          <cell r="M4240"/>
        </row>
        <row r="4241">
          <cell r="G4241"/>
          <cell r="H4241"/>
          <cell r="L4241"/>
          <cell r="M4241"/>
        </row>
        <row r="4242">
          <cell r="G4242"/>
          <cell r="H4242"/>
          <cell r="L4242"/>
          <cell r="M4242"/>
        </row>
        <row r="4243">
          <cell r="G4243"/>
          <cell r="H4243"/>
          <cell r="L4243"/>
          <cell r="M4243"/>
        </row>
        <row r="4244">
          <cell r="G4244"/>
          <cell r="H4244"/>
          <cell r="L4244"/>
          <cell r="M4244"/>
        </row>
        <row r="4245">
          <cell r="G4245"/>
          <cell r="H4245"/>
          <cell r="L4245"/>
          <cell r="M4245"/>
        </row>
        <row r="4246">
          <cell r="G4246"/>
          <cell r="H4246"/>
          <cell r="L4246"/>
          <cell r="M4246"/>
        </row>
        <row r="4247">
          <cell r="G4247"/>
          <cell r="H4247"/>
          <cell r="L4247"/>
          <cell r="M4247"/>
        </row>
        <row r="4248">
          <cell r="G4248"/>
          <cell r="H4248"/>
          <cell r="L4248"/>
          <cell r="M4248"/>
        </row>
        <row r="4249">
          <cell r="G4249"/>
          <cell r="H4249"/>
          <cell r="L4249"/>
          <cell r="M4249"/>
        </row>
        <row r="4250">
          <cell r="G4250"/>
          <cell r="H4250"/>
          <cell r="L4250"/>
          <cell r="M4250"/>
        </row>
        <row r="4251">
          <cell r="G4251"/>
          <cell r="H4251"/>
          <cell r="L4251"/>
          <cell r="M4251"/>
        </row>
        <row r="4252">
          <cell r="G4252"/>
          <cell r="H4252"/>
          <cell r="L4252"/>
          <cell r="M4252"/>
        </row>
        <row r="4253">
          <cell r="G4253"/>
          <cell r="H4253"/>
          <cell r="L4253"/>
          <cell r="M4253"/>
        </row>
        <row r="4254">
          <cell r="G4254"/>
          <cell r="H4254"/>
          <cell r="L4254"/>
          <cell r="M4254"/>
        </row>
        <row r="4255">
          <cell r="G4255"/>
          <cell r="H4255"/>
          <cell r="L4255"/>
          <cell r="M4255"/>
        </row>
        <row r="4256">
          <cell r="G4256"/>
          <cell r="H4256"/>
          <cell r="L4256"/>
          <cell r="M4256"/>
        </row>
        <row r="4257">
          <cell r="G4257"/>
          <cell r="H4257"/>
          <cell r="L4257"/>
          <cell r="M4257"/>
        </row>
        <row r="4258">
          <cell r="G4258"/>
          <cell r="H4258"/>
          <cell r="L4258"/>
          <cell r="M4258"/>
        </row>
        <row r="4259">
          <cell r="G4259"/>
          <cell r="H4259"/>
          <cell r="L4259"/>
          <cell r="M4259"/>
        </row>
        <row r="4260">
          <cell r="G4260"/>
          <cell r="H4260"/>
          <cell r="L4260"/>
          <cell r="M4260"/>
        </row>
        <row r="4261">
          <cell r="G4261"/>
          <cell r="H4261"/>
          <cell r="L4261"/>
          <cell r="M4261"/>
        </row>
        <row r="4262">
          <cell r="G4262"/>
          <cell r="H4262"/>
          <cell r="L4262"/>
          <cell r="M4262"/>
        </row>
        <row r="4263">
          <cell r="G4263"/>
          <cell r="H4263"/>
          <cell r="L4263"/>
          <cell r="M4263"/>
        </row>
        <row r="4264">
          <cell r="G4264"/>
          <cell r="H4264"/>
          <cell r="L4264"/>
          <cell r="M4264"/>
        </row>
        <row r="4265">
          <cell r="G4265"/>
          <cell r="H4265"/>
          <cell r="L4265"/>
          <cell r="M4265"/>
        </row>
        <row r="4266">
          <cell r="G4266"/>
          <cell r="H4266"/>
          <cell r="L4266"/>
          <cell r="M4266"/>
        </row>
        <row r="4267">
          <cell r="G4267"/>
          <cell r="H4267"/>
          <cell r="L4267"/>
          <cell r="M4267"/>
        </row>
        <row r="4268">
          <cell r="G4268"/>
          <cell r="H4268"/>
          <cell r="L4268"/>
          <cell r="M4268"/>
        </row>
        <row r="4269">
          <cell r="G4269"/>
          <cell r="H4269"/>
          <cell r="L4269"/>
          <cell r="M4269"/>
        </row>
        <row r="4270">
          <cell r="G4270"/>
          <cell r="H4270"/>
          <cell r="L4270"/>
          <cell r="M4270"/>
        </row>
        <row r="4271">
          <cell r="G4271"/>
          <cell r="H4271"/>
          <cell r="L4271"/>
          <cell r="M4271"/>
        </row>
        <row r="4272">
          <cell r="G4272"/>
          <cell r="H4272"/>
          <cell r="L4272"/>
          <cell r="M4272"/>
        </row>
        <row r="4273">
          <cell r="G4273"/>
          <cell r="H4273"/>
          <cell r="L4273"/>
          <cell r="M4273"/>
        </row>
        <row r="4274">
          <cell r="G4274"/>
          <cell r="H4274"/>
          <cell r="L4274"/>
          <cell r="M4274"/>
        </row>
        <row r="4275">
          <cell r="G4275"/>
          <cell r="H4275"/>
          <cell r="L4275"/>
          <cell r="M4275"/>
        </row>
        <row r="4276">
          <cell r="G4276"/>
          <cell r="H4276"/>
          <cell r="L4276"/>
          <cell r="M4276"/>
        </row>
        <row r="4277">
          <cell r="G4277"/>
          <cell r="H4277"/>
          <cell r="L4277"/>
          <cell r="M4277"/>
        </row>
        <row r="4278">
          <cell r="G4278"/>
          <cell r="H4278"/>
          <cell r="L4278"/>
          <cell r="M4278"/>
        </row>
        <row r="4279">
          <cell r="G4279"/>
          <cell r="H4279"/>
          <cell r="L4279"/>
          <cell r="M4279"/>
        </row>
        <row r="4280">
          <cell r="G4280"/>
          <cell r="H4280"/>
          <cell r="L4280"/>
          <cell r="M4280"/>
        </row>
        <row r="4281">
          <cell r="G4281"/>
          <cell r="H4281"/>
          <cell r="L4281"/>
          <cell r="M4281"/>
        </row>
        <row r="4282">
          <cell r="G4282"/>
          <cell r="H4282"/>
          <cell r="L4282"/>
          <cell r="M4282"/>
        </row>
        <row r="4283">
          <cell r="G4283"/>
          <cell r="H4283"/>
          <cell r="L4283"/>
          <cell r="M4283"/>
        </row>
        <row r="4284">
          <cell r="G4284"/>
          <cell r="H4284"/>
          <cell r="L4284"/>
          <cell r="M4284"/>
        </row>
        <row r="4285">
          <cell r="G4285"/>
          <cell r="H4285"/>
          <cell r="L4285"/>
          <cell r="M4285"/>
        </row>
        <row r="4286">
          <cell r="G4286"/>
          <cell r="H4286"/>
          <cell r="L4286"/>
          <cell r="M4286"/>
        </row>
        <row r="4287">
          <cell r="G4287"/>
          <cell r="H4287"/>
          <cell r="L4287"/>
          <cell r="M4287"/>
        </row>
        <row r="4288">
          <cell r="G4288"/>
          <cell r="H4288"/>
          <cell r="L4288"/>
          <cell r="M4288"/>
        </row>
        <row r="4289">
          <cell r="G4289"/>
          <cell r="H4289"/>
          <cell r="L4289"/>
          <cell r="M4289"/>
        </row>
        <row r="4290">
          <cell r="G4290"/>
          <cell r="H4290"/>
          <cell r="L4290"/>
          <cell r="M4290"/>
        </row>
        <row r="4291">
          <cell r="G4291"/>
          <cell r="H4291"/>
          <cell r="L4291"/>
          <cell r="M4291"/>
        </row>
        <row r="4292">
          <cell r="G4292"/>
          <cell r="H4292"/>
          <cell r="L4292"/>
          <cell r="M4292"/>
        </row>
        <row r="4293">
          <cell r="G4293"/>
          <cell r="H4293"/>
          <cell r="L4293"/>
          <cell r="M4293"/>
        </row>
        <row r="4294">
          <cell r="G4294"/>
          <cell r="H4294"/>
          <cell r="L4294"/>
          <cell r="M4294"/>
        </row>
        <row r="4295">
          <cell r="G4295"/>
          <cell r="H4295"/>
          <cell r="L4295"/>
          <cell r="M4295"/>
        </row>
        <row r="4296">
          <cell r="G4296"/>
          <cell r="H4296"/>
          <cell r="L4296"/>
          <cell r="M4296"/>
        </row>
        <row r="4297">
          <cell r="G4297"/>
          <cell r="H4297"/>
          <cell r="L4297"/>
          <cell r="M4297"/>
        </row>
        <row r="4298">
          <cell r="G4298"/>
          <cell r="H4298"/>
          <cell r="L4298"/>
          <cell r="M4298"/>
        </row>
        <row r="4299">
          <cell r="G4299"/>
          <cell r="H4299"/>
          <cell r="L4299"/>
          <cell r="M4299"/>
        </row>
        <row r="4300">
          <cell r="G4300"/>
          <cell r="H4300"/>
          <cell r="L4300"/>
          <cell r="M4300"/>
        </row>
        <row r="4301">
          <cell r="G4301"/>
          <cell r="H4301"/>
          <cell r="L4301"/>
          <cell r="M4301"/>
        </row>
        <row r="4302">
          <cell r="G4302"/>
          <cell r="H4302"/>
          <cell r="L4302"/>
          <cell r="M4302"/>
        </row>
        <row r="4303">
          <cell r="G4303"/>
          <cell r="H4303"/>
          <cell r="L4303"/>
          <cell r="M4303"/>
        </row>
        <row r="4304">
          <cell r="G4304"/>
          <cell r="H4304"/>
          <cell r="L4304"/>
          <cell r="M4304"/>
        </row>
        <row r="4305">
          <cell r="G4305"/>
          <cell r="H4305"/>
          <cell r="L4305"/>
          <cell r="M4305"/>
        </row>
        <row r="4306">
          <cell r="G4306"/>
          <cell r="H4306"/>
          <cell r="L4306"/>
          <cell r="M4306"/>
        </row>
        <row r="4307">
          <cell r="G4307"/>
          <cell r="H4307"/>
          <cell r="L4307"/>
          <cell r="M4307"/>
        </row>
        <row r="4308">
          <cell r="G4308"/>
          <cell r="H4308"/>
          <cell r="L4308"/>
          <cell r="M4308"/>
        </row>
        <row r="4309">
          <cell r="G4309"/>
          <cell r="H4309"/>
          <cell r="L4309"/>
          <cell r="M4309"/>
        </row>
        <row r="4310">
          <cell r="G4310"/>
          <cell r="H4310"/>
          <cell r="L4310"/>
          <cell r="M4310"/>
        </row>
        <row r="4311">
          <cell r="G4311"/>
          <cell r="H4311"/>
          <cell r="L4311"/>
          <cell r="M4311"/>
        </row>
        <row r="4312">
          <cell r="G4312"/>
          <cell r="H4312"/>
          <cell r="L4312"/>
          <cell r="M4312"/>
        </row>
        <row r="4313">
          <cell r="G4313"/>
          <cell r="H4313"/>
          <cell r="L4313"/>
          <cell r="M4313"/>
        </row>
        <row r="4314">
          <cell r="G4314"/>
          <cell r="H4314"/>
          <cell r="L4314"/>
          <cell r="M4314"/>
        </row>
        <row r="4315">
          <cell r="G4315"/>
          <cell r="H4315"/>
          <cell r="L4315"/>
          <cell r="M4315"/>
        </row>
        <row r="4316">
          <cell r="G4316"/>
          <cell r="H4316"/>
          <cell r="L4316"/>
          <cell r="M4316"/>
        </row>
        <row r="4317">
          <cell r="G4317"/>
          <cell r="H4317"/>
          <cell r="L4317"/>
          <cell r="M4317"/>
        </row>
        <row r="4318">
          <cell r="G4318"/>
          <cell r="H4318"/>
          <cell r="L4318"/>
          <cell r="M4318"/>
        </row>
        <row r="4319">
          <cell r="G4319"/>
          <cell r="H4319"/>
          <cell r="L4319"/>
          <cell r="M4319"/>
        </row>
        <row r="4320">
          <cell r="G4320"/>
          <cell r="H4320"/>
          <cell r="L4320"/>
          <cell r="M4320"/>
        </row>
        <row r="4321">
          <cell r="G4321"/>
          <cell r="H4321"/>
          <cell r="L4321"/>
          <cell r="M4321"/>
        </row>
        <row r="4322">
          <cell r="G4322"/>
          <cell r="H4322"/>
          <cell r="L4322"/>
          <cell r="M4322"/>
        </row>
        <row r="4323">
          <cell r="G4323"/>
          <cell r="H4323"/>
          <cell r="L4323"/>
          <cell r="M4323"/>
        </row>
        <row r="4324">
          <cell r="G4324"/>
          <cell r="H4324"/>
          <cell r="L4324"/>
          <cell r="M4324"/>
        </row>
        <row r="4325">
          <cell r="G4325"/>
          <cell r="H4325"/>
          <cell r="L4325"/>
          <cell r="M4325"/>
        </row>
        <row r="4326">
          <cell r="G4326"/>
          <cell r="H4326"/>
          <cell r="L4326"/>
          <cell r="M4326"/>
        </row>
        <row r="4327">
          <cell r="G4327"/>
          <cell r="H4327"/>
          <cell r="L4327"/>
          <cell r="M4327"/>
        </row>
        <row r="4328">
          <cell r="G4328"/>
          <cell r="H4328"/>
          <cell r="L4328"/>
          <cell r="M4328"/>
        </row>
        <row r="4329">
          <cell r="G4329"/>
          <cell r="H4329"/>
          <cell r="L4329"/>
          <cell r="M4329"/>
        </row>
        <row r="4330">
          <cell r="G4330"/>
          <cell r="H4330"/>
          <cell r="L4330"/>
          <cell r="M4330"/>
        </row>
        <row r="4331">
          <cell r="G4331"/>
          <cell r="H4331"/>
          <cell r="L4331"/>
          <cell r="M4331"/>
        </row>
        <row r="4332">
          <cell r="G4332"/>
          <cell r="H4332"/>
          <cell r="L4332"/>
          <cell r="M4332"/>
        </row>
        <row r="4333">
          <cell r="G4333"/>
          <cell r="H4333"/>
          <cell r="L4333"/>
          <cell r="M4333"/>
        </row>
        <row r="4334">
          <cell r="G4334"/>
          <cell r="H4334"/>
          <cell r="L4334"/>
          <cell r="M4334"/>
        </row>
        <row r="4335">
          <cell r="G4335"/>
          <cell r="H4335"/>
          <cell r="L4335"/>
          <cell r="M4335"/>
        </row>
        <row r="4336">
          <cell r="G4336"/>
          <cell r="H4336"/>
          <cell r="L4336"/>
          <cell r="M4336"/>
        </row>
        <row r="4337">
          <cell r="G4337"/>
          <cell r="H4337"/>
          <cell r="L4337"/>
          <cell r="M4337"/>
        </row>
        <row r="4338">
          <cell r="G4338"/>
          <cell r="H4338"/>
          <cell r="L4338"/>
          <cell r="M4338"/>
        </row>
        <row r="4339">
          <cell r="G4339"/>
          <cell r="H4339"/>
          <cell r="L4339"/>
          <cell r="M4339"/>
        </row>
        <row r="4340">
          <cell r="G4340"/>
          <cell r="H4340"/>
          <cell r="L4340"/>
          <cell r="M4340"/>
        </row>
        <row r="4341">
          <cell r="G4341"/>
          <cell r="H4341"/>
          <cell r="L4341"/>
          <cell r="M4341"/>
        </row>
        <row r="4342">
          <cell r="G4342"/>
          <cell r="H4342"/>
          <cell r="L4342"/>
          <cell r="M4342"/>
        </row>
        <row r="4343">
          <cell r="G4343"/>
          <cell r="H4343"/>
          <cell r="L4343"/>
          <cell r="M4343"/>
        </row>
        <row r="4344">
          <cell r="G4344"/>
          <cell r="H4344"/>
          <cell r="L4344"/>
          <cell r="M4344"/>
        </row>
        <row r="4345">
          <cell r="G4345"/>
          <cell r="H4345"/>
          <cell r="L4345"/>
          <cell r="M4345"/>
        </row>
        <row r="4346">
          <cell r="G4346"/>
          <cell r="H4346"/>
          <cell r="L4346"/>
          <cell r="M4346"/>
        </row>
        <row r="4347">
          <cell r="G4347"/>
          <cell r="H4347"/>
          <cell r="L4347"/>
          <cell r="M4347"/>
        </row>
        <row r="4348">
          <cell r="G4348"/>
          <cell r="H4348"/>
          <cell r="L4348"/>
          <cell r="M4348"/>
        </row>
        <row r="4349">
          <cell r="G4349"/>
          <cell r="H4349"/>
          <cell r="L4349"/>
          <cell r="M4349"/>
        </row>
        <row r="4350">
          <cell r="G4350"/>
          <cell r="H4350"/>
          <cell r="L4350"/>
          <cell r="M4350"/>
        </row>
        <row r="4351">
          <cell r="G4351"/>
          <cell r="H4351"/>
          <cell r="L4351"/>
          <cell r="M4351"/>
        </row>
        <row r="4352">
          <cell r="G4352"/>
          <cell r="H4352"/>
          <cell r="L4352"/>
          <cell r="M4352"/>
        </row>
        <row r="4353">
          <cell r="G4353"/>
          <cell r="H4353"/>
          <cell r="L4353"/>
          <cell r="M4353"/>
        </row>
        <row r="4354">
          <cell r="G4354"/>
          <cell r="H4354"/>
          <cell r="L4354"/>
          <cell r="M4354"/>
        </row>
        <row r="4355">
          <cell r="G4355"/>
          <cell r="H4355"/>
          <cell r="L4355"/>
          <cell r="M4355"/>
        </row>
        <row r="4356">
          <cell r="G4356"/>
          <cell r="H4356"/>
          <cell r="L4356"/>
          <cell r="M4356"/>
        </row>
        <row r="4357">
          <cell r="G4357"/>
          <cell r="H4357"/>
          <cell r="L4357"/>
          <cell r="M4357"/>
        </row>
        <row r="4358">
          <cell r="G4358"/>
          <cell r="H4358"/>
          <cell r="L4358"/>
          <cell r="M4358"/>
        </row>
        <row r="4359">
          <cell r="G4359"/>
          <cell r="H4359"/>
          <cell r="L4359"/>
          <cell r="M4359"/>
        </row>
        <row r="4360">
          <cell r="G4360"/>
          <cell r="H4360"/>
          <cell r="L4360"/>
          <cell r="M4360"/>
        </row>
        <row r="4361">
          <cell r="G4361"/>
          <cell r="H4361"/>
          <cell r="L4361"/>
          <cell r="M4361"/>
        </row>
        <row r="4362">
          <cell r="G4362"/>
          <cell r="H4362"/>
          <cell r="L4362"/>
          <cell r="M4362"/>
        </row>
        <row r="4363">
          <cell r="G4363"/>
          <cell r="H4363"/>
          <cell r="L4363"/>
          <cell r="M4363"/>
        </row>
        <row r="4364">
          <cell r="G4364"/>
          <cell r="H4364"/>
          <cell r="L4364"/>
          <cell r="M4364"/>
        </row>
        <row r="4365">
          <cell r="G4365"/>
          <cell r="H4365"/>
          <cell r="L4365"/>
          <cell r="M4365"/>
        </row>
        <row r="4366">
          <cell r="G4366"/>
          <cell r="H4366"/>
          <cell r="L4366"/>
          <cell r="M4366"/>
        </row>
        <row r="4367">
          <cell r="G4367"/>
          <cell r="H4367"/>
          <cell r="L4367"/>
          <cell r="M4367"/>
        </row>
        <row r="4368">
          <cell r="G4368"/>
          <cell r="H4368"/>
          <cell r="L4368"/>
          <cell r="M4368"/>
        </row>
        <row r="4369">
          <cell r="G4369"/>
          <cell r="H4369"/>
          <cell r="L4369"/>
          <cell r="M4369"/>
        </row>
        <row r="4370">
          <cell r="G4370"/>
          <cell r="H4370"/>
          <cell r="L4370"/>
          <cell r="M4370"/>
        </row>
        <row r="4371">
          <cell r="G4371"/>
          <cell r="H4371"/>
          <cell r="L4371"/>
          <cell r="M4371"/>
        </row>
        <row r="4372">
          <cell r="G4372"/>
          <cell r="H4372"/>
          <cell r="L4372"/>
          <cell r="M4372"/>
        </row>
        <row r="4373">
          <cell r="G4373"/>
          <cell r="H4373"/>
          <cell r="L4373"/>
          <cell r="M4373"/>
        </row>
        <row r="4374">
          <cell r="G4374"/>
          <cell r="H4374"/>
          <cell r="L4374"/>
          <cell r="M4374"/>
        </row>
        <row r="4375">
          <cell r="G4375"/>
          <cell r="H4375"/>
          <cell r="L4375"/>
          <cell r="M4375"/>
        </row>
        <row r="4376">
          <cell r="G4376"/>
          <cell r="H4376"/>
          <cell r="L4376"/>
          <cell r="M4376"/>
        </row>
        <row r="4377">
          <cell r="G4377"/>
          <cell r="H4377"/>
          <cell r="L4377"/>
          <cell r="M4377"/>
        </row>
        <row r="4378">
          <cell r="G4378"/>
          <cell r="H4378"/>
          <cell r="L4378"/>
          <cell r="M4378"/>
        </row>
        <row r="4379">
          <cell r="G4379"/>
          <cell r="H4379"/>
          <cell r="L4379"/>
          <cell r="M4379"/>
        </row>
        <row r="4380">
          <cell r="G4380"/>
          <cell r="H4380"/>
          <cell r="L4380"/>
          <cell r="M4380"/>
        </row>
        <row r="4381">
          <cell r="G4381"/>
          <cell r="H4381"/>
          <cell r="L4381"/>
          <cell r="M4381"/>
        </row>
        <row r="4382">
          <cell r="G4382"/>
          <cell r="H4382"/>
          <cell r="L4382"/>
          <cell r="M4382"/>
        </row>
        <row r="4383">
          <cell r="G4383"/>
          <cell r="H4383"/>
          <cell r="L4383"/>
          <cell r="M4383"/>
        </row>
        <row r="4384">
          <cell r="G4384"/>
          <cell r="H4384"/>
          <cell r="L4384"/>
          <cell r="M4384"/>
        </row>
        <row r="4385">
          <cell r="G4385"/>
          <cell r="H4385"/>
          <cell r="L4385"/>
          <cell r="M4385"/>
        </row>
        <row r="4386">
          <cell r="G4386"/>
          <cell r="H4386"/>
          <cell r="L4386"/>
          <cell r="M4386"/>
        </row>
        <row r="4387">
          <cell r="G4387"/>
          <cell r="H4387"/>
          <cell r="L4387"/>
          <cell r="M4387"/>
        </row>
        <row r="4388">
          <cell r="G4388"/>
          <cell r="H4388"/>
          <cell r="L4388"/>
          <cell r="M4388"/>
        </row>
        <row r="4389">
          <cell r="G4389"/>
          <cell r="H4389"/>
          <cell r="L4389"/>
          <cell r="M4389"/>
        </row>
        <row r="4390">
          <cell r="G4390"/>
          <cell r="H4390"/>
          <cell r="L4390"/>
          <cell r="M4390"/>
        </row>
        <row r="4391">
          <cell r="G4391"/>
          <cell r="H4391"/>
          <cell r="L4391"/>
          <cell r="M4391"/>
        </row>
        <row r="4392">
          <cell r="G4392"/>
          <cell r="H4392"/>
          <cell r="L4392"/>
          <cell r="M4392"/>
        </row>
        <row r="4393">
          <cell r="G4393"/>
          <cell r="H4393"/>
          <cell r="L4393"/>
          <cell r="M4393"/>
        </row>
        <row r="4394">
          <cell r="G4394"/>
          <cell r="H4394"/>
          <cell r="L4394"/>
          <cell r="M4394"/>
        </row>
        <row r="4395">
          <cell r="G4395"/>
          <cell r="H4395"/>
          <cell r="L4395"/>
          <cell r="M4395"/>
        </row>
        <row r="4396">
          <cell r="G4396"/>
          <cell r="H4396"/>
          <cell r="L4396"/>
          <cell r="M4396"/>
        </row>
        <row r="4397">
          <cell r="G4397"/>
          <cell r="H4397"/>
          <cell r="L4397"/>
          <cell r="M4397"/>
        </row>
        <row r="4398">
          <cell r="G4398"/>
          <cell r="H4398"/>
          <cell r="L4398"/>
          <cell r="M4398"/>
        </row>
        <row r="4399">
          <cell r="G4399"/>
          <cell r="H4399"/>
          <cell r="L4399"/>
          <cell r="M4399"/>
        </row>
        <row r="4400">
          <cell r="G4400"/>
          <cell r="H4400"/>
          <cell r="L4400"/>
          <cell r="M4400"/>
        </row>
        <row r="4401">
          <cell r="G4401"/>
          <cell r="H4401"/>
          <cell r="L4401"/>
          <cell r="M4401"/>
        </row>
        <row r="4402">
          <cell r="G4402"/>
          <cell r="H4402"/>
          <cell r="L4402"/>
          <cell r="M4402"/>
        </row>
        <row r="4403">
          <cell r="G4403"/>
          <cell r="H4403"/>
          <cell r="L4403"/>
          <cell r="M4403"/>
        </row>
        <row r="4404">
          <cell r="G4404"/>
          <cell r="H4404"/>
          <cell r="L4404"/>
          <cell r="M4404"/>
        </row>
        <row r="4405">
          <cell r="G4405"/>
          <cell r="H4405"/>
          <cell r="L4405"/>
          <cell r="M4405"/>
        </row>
        <row r="4406">
          <cell r="G4406"/>
          <cell r="H4406"/>
          <cell r="L4406"/>
          <cell r="M4406"/>
        </row>
        <row r="4407">
          <cell r="G4407"/>
          <cell r="H4407"/>
          <cell r="L4407"/>
          <cell r="M4407"/>
        </row>
        <row r="4408">
          <cell r="G4408"/>
          <cell r="H4408"/>
          <cell r="L4408"/>
          <cell r="M4408"/>
        </row>
        <row r="4409">
          <cell r="G4409"/>
          <cell r="H4409"/>
          <cell r="L4409"/>
          <cell r="M4409"/>
        </row>
        <row r="4410">
          <cell r="G4410"/>
          <cell r="H4410"/>
          <cell r="L4410"/>
          <cell r="M4410"/>
        </row>
        <row r="4411">
          <cell r="G4411"/>
          <cell r="H4411"/>
          <cell r="L4411"/>
          <cell r="M4411"/>
        </row>
        <row r="4412">
          <cell r="G4412"/>
          <cell r="H4412"/>
          <cell r="L4412"/>
          <cell r="M4412"/>
        </row>
        <row r="4413">
          <cell r="G4413"/>
          <cell r="H4413"/>
          <cell r="L4413"/>
          <cell r="M4413"/>
        </row>
        <row r="4414">
          <cell r="G4414"/>
          <cell r="H4414"/>
          <cell r="L4414"/>
          <cell r="M4414"/>
        </row>
        <row r="4415">
          <cell r="G4415"/>
          <cell r="H4415"/>
          <cell r="L4415"/>
          <cell r="M4415"/>
        </row>
        <row r="4416">
          <cell r="G4416"/>
          <cell r="H4416"/>
          <cell r="L4416"/>
          <cell r="M4416"/>
        </row>
        <row r="4417">
          <cell r="G4417"/>
          <cell r="H4417"/>
          <cell r="L4417"/>
          <cell r="M4417"/>
        </row>
        <row r="4418">
          <cell r="G4418"/>
          <cell r="H4418"/>
          <cell r="L4418"/>
          <cell r="M4418"/>
        </row>
        <row r="4419">
          <cell r="G4419"/>
          <cell r="H4419"/>
          <cell r="L4419"/>
          <cell r="M4419"/>
        </row>
        <row r="4420">
          <cell r="G4420"/>
          <cell r="H4420"/>
          <cell r="L4420"/>
          <cell r="M4420"/>
        </row>
        <row r="4421">
          <cell r="G4421"/>
          <cell r="H4421"/>
          <cell r="L4421"/>
          <cell r="M4421"/>
        </row>
        <row r="4422">
          <cell r="G4422"/>
          <cell r="H4422"/>
          <cell r="L4422"/>
          <cell r="M4422"/>
        </row>
        <row r="4423">
          <cell r="G4423"/>
          <cell r="H4423"/>
          <cell r="L4423"/>
          <cell r="M4423"/>
        </row>
        <row r="4424">
          <cell r="G4424"/>
          <cell r="H4424"/>
          <cell r="L4424"/>
          <cell r="M4424"/>
        </row>
        <row r="4425">
          <cell r="G4425"/>
          <cell r="H4425"/>
          <cell r="L4425"/>
          <cell r="M4425"/>
        </row>
        <row r="4426">
          <cell r="G4426"/>
          <cell r="H4426"/>
          <cell r="L4426"/>
          <cell r="M4426"/>
        </row>
        <row r="4427">
          <cell r="G4427"/>
          <cell r="H4427"/>
          <cell r="L4427"/>
          <cell r="M4427"/>
        </row>
        <row r="4428">
          <cell r="G4428"/>
          <cell r="H4428"/>
          <cell r="L4428"/>
          <cell r="M4428"/>
        </row>
        <row r="4429">
          <cell r="G4429"/>
          <cell r="H4429"/>
          <cell r="L4429"/>
          <cell r="M4429"/>
        </row>
        <row r="4430">
          <cell r="G4430"/>
          <cell r="H4430"/>
          <cell r="L4430"/>
          <cell r="M4430"/>
        </row>
        <row r="4431">
          <cell r="G4431"/>
          <cell r="H4431"/>
          <cell r="L4431"/>
          <cell r="M4431"/>
        </row>
        <row r="4432">
          <cell r="G4432"/>
          <cell r="H4432"/>
          <cell r="L4432"/>
          <cell r="M4432"/>
        </row>
        <row r="4433">
          <cell r="G4433"/>
          <cell r="H4433"/>
          <cell r="L4433"/>
          <cell r="M4433"/>
        </row>
        <row r="4434">
          <cell r="G4434"/>
          <cell r="H4434"/>
          <cell r="L4434"/>
          <cell r="M4434"/>
        </row>
        <row r="4435">
          <cell r="G4435"/>
          <cell r="H4435"/>
          <cell r="L4435"/>
          <cell r="M4435"/>
        </row>
        <row r="4436">
          <cell r="G4436"/>
          <cell r="H4436"/>
          <cell r="L4436"/>
          <cell r="M4436"/>
        </row>
        <row r="4437">
          <cell r="G4437"/>
          <cell r="H4437"/>
          <cell r="L4437"/>
          <cell r="M4437"/>
        </row>
        <row r="4438">
          <cell r="G4438"/>
          <cell r="H4438"/>
          <cell r="L4438"/>
          <cell r="M4438"/>
        </row>
        <row r="4439">
          <cell r="G4439"/>
          <cell r="H4439"/>
          <cell r="L4439"/>
          <cell r="M4439"/>
        </row>
        <row r="4440">
          <cell r="G4440"/>
          <cell r="H4440"/>
          <cell r="L4440"/>
          <cell r="M4440"/>
        </row>
        <row r="4441">
          <cell r="G4441"/>
          <cell r="H4441"/>
          <cell r="L4441"/>
          <cell r="M4441"/>
        </row>
        <row r="4442">
          <cell r="G4442"/>
          <cell r="H4442"/>
          <cell r="L4442"/>
          <cell r="M4442"/>
        </row>
        <row r="4443">
          <cell r="G4443"/>
          <cell r="H4443"/>
          <cell r="L4443"/>
          <cell r="M4443"/>
        </row>
        <row r="4444">
          <cell r="G4444"/>
          <cell r="H4444"/>
          <cell r="L4444"/>
          <cell r="M4444"/>
        </row>
        <row r="4445">
          <cell r="G4445"/>
          <cell r="H4445"/>
          <cell r="L4445"/>
          <cell r="M4445"/>
        </row>
        <row r="4446">
          <cell r="G4446"/>
          <cell r="H4446"/>
          <cell r="L4446"/>
          <cell r="M4446"/>
        </row>
        <row r="4447">
          <cell r="G4447"/>
          <cell r="H4447"/>
          <cell r="L4447"/>
          <cell r="M4447"/>
        </row>
        <row r="4448">
          <cell r="G4448"/>
          <cell r="H4448"/>
          <cell r="L4448"/>
          <cell r="M4448"/>
        </row>
        <row r="4449">
          <cell r="G4449"/>
          <cell r="H4449"/>
          <cell r="L4449"/>
          <cell r="M4449"/>
        </row>
        <row r="4450">
          <cell r="G4450"/>
          <cell r="H4450"/>
          <cell r="L4450"/>
          <cell r="M4450"/>
        </row>
        <row r="4451">
          <cell r="G4451"/>
          <cell r="H4451"/>
          <cell r="L4451"/>
          <cell r="M4451"/>
        </row>
        <row r="4452">
          <cell r="G4452"/>
          <cell r="H4452"/>
          <cell r="L4452"/>
          <cell r="M4452"/>
        </row>
        <row r="4453">
          <cell r="G4453"/>
          <cell r="H4453"/>
          <cell r="L4453"/>
          <cell r="M4453"/>
        </row>
        <row r="4454">
          <cell r="G4454"/>
          <cell r="H4454"/>
          <cell r="L4454"/>
          <cell r="M4454"/>
        </row>
        <row r="4455">
          <cell r="G4455"/>
          <cell r="H4455"/>
          <cell r="L4455"/>
          <cell r="M4455"/>
        </row>
        <row r="4456">
          <cell r="G4456"/>
          <cell r="H4456"/>
          <cell r="L4456"/>
          <cell r="M4456"/>
        </row>
        <row r="4457">
          <cell r="G4457"/>
          <cell r="H4457"/>
          <cell r="L4457"/>
          <cell r="M4457"/>
        </row>
        <row r="4458">
          <cell r="G4458"/>
          <cell r="H4458"/>
          <cell r="L4458"/>
          <cell r="M4458"/>
        </row>
        <row r="4459">
          <cell r="G4459"/>
          <cell r="H4459"/>
          <cell r="L4459"/>
          <cell r="M4459"/>
        </row>
        <row r="4460">
          <cell r="G4460"/>
          <cell r="H4460"/>
          <cell r="L4460"/>
          <cell r="M4460"/>
        </row>
        <row r="4461">
          <cell r="G4461"/>
          <cell r="H4461"/>
          <cell r="L4461"/>
          <cell r="M4461"/>
        </row>
        <row r="4462">
          <cell r="G4462"/>
          <cell r="H4462"/>
          <cell r="L4462"/>
          <cell r="M4462"/>
        </row>
        <row r="4463">
          <cell r="G4463"/>
          <cell r="H4463"/>
          <cell r="L4463"/>
          <cell r="M4463"/>
        </row>
        <row r="4464">
          <cell r="G4464"/>
          <cell r="H4464"/>
          <cell r="L4464"/>
          <cell r="M4464"/>
        </row>
        <row r="4465">
          <cell r="G4465"/>
          <cell r="H4465"/>
          <cell r="L4465"/>
          <cell r="M4465"/>
        </row>
        <row r="4466">
          <cell r="G4466"/>
          <cell r="H4466"/>
          <cell r="L4466"/>
          <cell r="M4466"/>
        </row>
        <row r="4467">
          <cell r="G4467"/>
          <cell r="H4467"/>
          <cell r="L4467"/>
          <cell r="M4467"/>
        </row>
        <row r="4468">
          <cell r="G4468"/>
          <cell r="H4468"/>
          <cell r="L4468"/>
          <cell r="M4468"/>
        </row>
        <row r="4469">
          <cell r="G4469"/>
          <cell r="H4469"/>
          <cell r="L4469"/>
          <cell r="M4469"/>
        </row>
        <row r="4470">
          <cell r="G4470"/>
          <cell r="H4470"/>
          <cell r="L4470"/>
          <cell r="M4470"/>
        </row>
        <row r="4471">
          <cell r="G4471"/>
          <cell r="H4471"/>
          <cell r="L4471"/>
          <cell r="M4471"/>
        </row>
        <row r="4472">
          <cell r="G4472"/>
          <cell r="H4472"/>
          <cell r="L4472"/>
          <cell r="M4472"/>
        </row>
        <row r="4473">
          <cell r="G4473"/>
          <cell r="H4473"/>
          <cell r="L4473"/>
          <cell r="M4473"/>
        </row>
        <row r="4474">
          <cell r="G4474"/>
          <cell r="H4474"/>
          <cell r="L4474"/>
          <cell r="M4474"/>
        </row>
        <row r="4475">
          <cell r="G4475"/>
          <cell r="H4475"/>
          <cell r="L4475"/>
          <cell r="M4475"/>
        </row>
        <row r="4476">
          <cell r="G4476"/>
          <cell r="H4476"/>
          <cell r="L4476"/>
          <cell r="M4476"/>
        </row>
        <row r="4477">
          <cell r="G4477"/>
          <cell r="H4477"/>
          <cell r="L4477"/>
          <cell r="M4477"/>
        </row>
        <row r="4478">
          <cell r="G4478"/>
          <cell r="H4478"/>
          <cell r="L4478"/>
          <cell r="M4478"/>
        </row>
        <row r="4479">
          <cell r="G4479"/>
          <cell r="H4479"/>
          <cell r="L4479"/>
          <cell r="M4479"/>
        </row>
        <row r="4480">
          <cell r="G4480"/>
          <cell r="H4480"/>
          <cell r="L4480"/>
          <cell r="M4480"/>
        </row>
        <row r="4481">
          <cell r="G4481"/>
          <cell r="H4481"/>
          <cell r="L4481"/>
          <cell r="M4481"/>
        </row>
        <row r="4482">
          <cell r="G4482"/>
          <cell r="H4482"/>
          <cell r="L4482"/>
          <cell r="M4482"/>
        </row>
        <row r="4483">
          <cell r="G4483"/>
          <cell r="H4483"/>
          <cell r="L4483"/>
          <cell r="M4483"/>
        </row>
        <row r="4484">
          <cell r="G4484"/>
          <cell r="H4484"/>
          <cell r="L4484"/>
          <cell r="M4484"/>
        </row>
        <row r="4485">
          <cell r="G4485"/>
          <cell r="H4485"/>
          <cell r="L4485"/>
          <cell r="M4485"/>
        </row>
        <row r="4486">
          <cell r="G4486"/>
          <cell r="H4486"/>
          <cell r="L4486"/>
          <cell r="M4486"/>
        </row>
        <row r="4487">
          <cell r="G4487"/>
          <cell r="H4487"/>
          <cell r="L4487"/>
          <cell r="M4487"/>
        </row>
        <row r="4488">
          <cell r="G4488"/>
          <cell r="H4488"/>
          <cell r="L4488"/>
          <cell r="M4488"/>
        </row>
        <row r="4489">
          <cell r="G4489"/>
          <cell r="H4489"/>
          <cell r="L4489"/>
          <cell r="M4489"/>
        </row>
        <row r="4490">
          <cell r="G4490"/>
          <cell r="H4490"/>
          <cell r="L4490"/>
          <cell r="M4490"/>
        </row>
        <row r="4491">
          <cell r="G4491"/>
          <cell r="H4491"/>
          <cell r="L4491"/>
          <cell r="M4491"/>
        </row>
        <row r="4492">
          <cell r="G4492"/>
          <cell r="H4492"/>
          <cell r="L4492"/>
          <cell r="M4492"/>
        </row>
        <row r="4493">
          <cell r="G4493"/>
          <cell r="H4493"/>
          <cell r="L4493"/>
          <cell r="M4493"/>
        </row>
        <row r="4494">
          <cell r="G4494"/>
          <cell r="H4494"/>
          <cell r="L4494"/>
          <cell r="M4494"/>
        </row>
        <row r="4495">
          <cell r="G4495"/>
          <cell r="H4495"/>
          <cell r="L4495"/>
          <cell r="M4495"/>
        </row>
        <row r="4496">
          <cell r="G4496"/>
          <cell r="H4496"/>
          <cell r="L4496"/>
          <cell r="M4496"/>
        </row>
        <row r="4497">
          <cell r="G4497"/>
          <cell r="H4497"/>
          <cell r="L4497"/>
          <cell r="M4497"/>
        </row>
        <row r="4498">
          <cell r="G4498"/>
          <cell r="H4498"/>
          <cell r="L4498"/>
          <cell r="M4498"/>
        </row>
        <row r="4499">
          <cell r="G4499"/>
          <cell r="H4499"/>
          <cell r="L4499"/>
          <cell r="M4499"/>
        </row>
        <row r="4500">
          <cell r="G4500"/>
          <cell r="H4500"/>
          <cell r="L4500"/>
          <cell r="M4500"/>
        </row>
        <row r="4501">
          <cell r="G4501"/>
          <cell r="H4501"/>
          <cell r="L4501"/>
          <cell r="M4501"/>
        </row>
        <row r="4502">
          <cell r="G4502"/>
          <cell r="H4502"/>
          <cell r="L4502"/>
          <cell r="M4502"/>
        </row>
        <row r="4503">
          <cell r="G4503"/>
          <cell r="H4503"/>
          <cell r="L4503"/>
          <cell r="M4503"/>
        </row>
        <row r="4504">
          <cell r="G4504"/>
          <cell r="H4504"/>
          <cell r="L4504"/>
          <cell r="M4504"/>
        </row>
        <row r="4505">
          <cell r="G4505"/>
          <cell r="H4505"/>
          <cell r="L4505"/>
          <cell r="M4505"/>
        </row>
        <row r="4506">
          <cell r="G4506"/>
          <cell r="H4506"/>
          <cell r="L4506"/>
          <cell r="M4506"/>
        </row>
        <row r="4507">
          <cell r="G4507"/>
          <cell r="H4507"/>
          <cell r="L4507"/>
          <cell r="M4507"/>
        </row>
        <row r="4508">
          <cell r="G4508"/>
          <cell r="H4508"/>
          <cell r="L4508"/>
          <cell r="M4508"/>
        </row>
        <row r="4509">
          <cell r="G4509"/>
          <cell r="H4509"/>
          <cell r="L4509"/>
          <cell r="M4509"/>
        </row>
        <row r="4510">
          <cell r="G4510"/>
          <cell r="H4510"/>
          <cell r="L4510"/>
          <cell r="M4510"/>
        </row>
        <row r="4511">
          <cell r="G4511"/>
          <cell r="H4511"/>
          <cell r="L4511"/>
          <cell r="M4511"/>
        </row>
        <row r="4512">
          <cell r="G4512"/>
          <cell r="H4512"/>
          <cell r="L4512"/>
          <cell r="M4512"/>
        </row>
        <row r="4513">
          <cell r="G4513"/>
          <cell r="H4513"/>
          <cell r="L4513"/>
          <cell r="M4513"/>
        </row>
        <row r="4514">
          <cell r="G4514"/>
          <cell r="H4514"/>
          <cell r="L4514"/>
          <cell r="M4514"/>
        </row>
        <row r="4515">
          <cell r="G4515"/>
          <cell r="H4515"/>
          <cell r="L4515"/>
          <cell r="M4515"/>
        </row>
        <row r="4516">
          <cell r="G4516"/>
          <cell r="H4516"/>
          <cell r="L4516"/>
          <cell r="M4516"/>
        </row>
        <row r="4517">
          <cell r="G4517"/>
          <cell r="H4517"/>
          <cell r="L4517"/>
          <cell r="M4517"/>
        </row>
        <row r="4518">
          <cell r="G4518"/>
          <cell r="H4518"/>
          <cell r="L4518"/>
          <cell r="M4518"/>
        </row>
        <row r="4519">
          <cell r="G4519"/>
          <cell r="H4519"/>
          <cell r="L4519"/>
          <cell r="M4519"/>
        </row>
        <row r="4520">
          <cell r="G4520"/>
          <cell r="H4520"/>
          <cell r="L4520"/>
          <cell r="M4520"/>
        </row>
        <row r="4521">
          <cell r="G4521"/>
          <cell r="H4521"/>
          <cell r="L4521"/>
          <cell r="M4521"/>
        </row>
        <row r="4522">
          <cell r="G4522"/>
          <cell r="H4522"/>
          <cell r="L4522"/>
          <cell r="M4522"/>
        </row>
        <row r="4523">
          <cell r="G4523"/>
          <cell r="H4523"/>
          <cell r="L4523"/>
          <cell r="M4523"/>
        </row>
        <row r="4524">
          <cell r="G4524"/>
          <cell r="H4524"/>
          <cell r="L4524"/>
          <cell r="M4524"/>
        </row>
        <row r="4525">
          <cell r="G4525"/>
          <cell r="H4525"/>
          <cell r="L4525"/>
          <cell r="M4525"/>
        </row>
        <row r="4526">
          <cell r="G4526"/>
          <cell r="H4526"/>
          <cell r="L4526"/>
          <cell r="M4526"/>
        </row>
        <row r="4527">
          <cell r="G4527"/>
          <cell r="H4527"/>
          <cell r="L4527"/>
          <cell r="M4527"/>
        </row>
        <row r="4528">
          <cell r="G4528"/>
          <cell r="H4528"/>
          <cell r="L4528"/>
          <cell r="M4528"/>
        </row>
        <row r="4529">
          <cell r="G4529"/>
          <cell r="H4529"/>
          <cell r="L4529"/>
          <cell r="M4529"/>
        </row>
        <row r="4530">
          <cell r="G4530"/>
          <cell r="H4530"/>
          <cell r="L4530"/>
          <cell r="M4530"/>
        </row>
        <row r="4531">
          <cell r="G4531"/>
          <cell r="H4531"/>
          <cell r="L4531"/>
          <cell r="M4531"/>
        </row>
        <row r="4532">
          <cell r="G4532"/>
          <cell r="H4532"/>
          <cell r="L4532"/>
          <cell r="M4532"/>
        </row>
        <row r="4533">
          <cell r="G4533"/>
          <cell r="H4533"/>
          <cell r="L4533"/>
          <cell r="M4533"/>
        </row>
        <row r="4534">
          <cell r="G4534"/>
          <cell r="H4534"/>
          <cell r="L4534"/>
          <cell r="M4534"/>
        </row>
        <row r="4535">
          <cell r="G4535"/>
          <cell r="H4535"/>
          <cell r="L4535"/>
          <cell r="M4535"/>
        </row>
        <row r="4536">
          <cell r="G4536"/>
          <cell r="H4536"/>
          <cell r="L4536"/>
          <cell r="M4536"/>
        </row>
        <row r="4537">
          <cell r="G4537"/>
          <cell r="H4537"/>
          <cell r="L4537"/>
          <cell r="M4537"/>
        </row>
        <row r="4538">
          <cell r="G4538"/>
          <cell r="H4538"/>
          <cell r="L4538"/>
          <cell r="M4538"/>
        </row>
        <row r="4539">
          <cell r="G4539"/>
          <cell r="H4539"/>
          <cell r="L4539"/>
          <cell r="M4539"/>
        </row>
        <row r="4540">
          <cell r="G4540"/>
          <cell r="H4540"/>
          <cell r="L4540"/>
          <cell r="M4540"/>
        </row>
        <row r="4541">
          <cell r="G4541"/>
          <cell r="H4541"/>
          <cell r="L4541"/>
          <cell r="M4541"/>
        </row>
        <row r="4542">
          <cell r="G4542"/>
          <cell r="H4542"/>
          <cell r="L4542"/>
          <cell r="M4542"/>
        </row>
        <row r="4543">
          <cell r="G4543"/>
          <cell r="H4543"/>
          <cell r="L4543"/>
          <cell r="M4543"/>
        </row>
        <row r="4544">
          <cell r="G4544"/>
          <cell r="H4544"/>
          <cell r="L4544"/>
          <cell r="M4544"/>
        </row>
        <row r="4545">
          <cell r="G4545"/>
          <cell r="H4545"/>
          <cell r="L4545"/>
          <cell r="M4545"/>
        </row>
        <row r="4546">
          <cell r="G4546"/>
          <cell r="H4546"/>
          <cell r="L4546"/>
          <cell r="M4546"/>
        </row>
        <row r="4547">
          <cell r="G4547"/>
          <cell r="H4547"/>
          <cell r="L4547"/>
          <cell r="M4547"/>
        </row>
        <row r="4548">
          <cell r="G4548"/>
          <cell r="H4548"/>
          <cell r="L4548"/>
          <cell r="M4548"/>
        </row>
        <row r="4549">
          <cell r="G4549"/>
          <cell r="H4549"/>
          <cell r="L4549"/>
          <cell r="M4549"/>
        </row>
        <row r="4550">
          <cell r="G4550"/>
          <cell r="H4550"/>
          <cell r="L4550"/>
          <cell r="M4550"/>
        </row>
        <row r="4551">
          <cell r="G4551"/>
          <cell r="H4551"/>
          <cell r="L4551"/>
          <cell r="M4551"/>
        </row>
        <row r="4552">
          <cell r="G4552"/>
          <cell r="H4552"/>
          <cell r="L4552"/>
          <cell r="M4552"/>
        </row>
        <row r="4553">
          <cell r="G4553"/>
          <cell r="H4553"/>
          <cell r="L4553"/>
          <cell r="M4553"/>
        </row>
        <row r="4554">
          <cell r="G4554"/>
          <cell r="H4554"/>
          <cell r="L4554"/>
          <cell r="M4554"/>
        </row>
        <row r="4555">
          <cell r="G4555"/>
          <cell r="H4555"/>
          <cell r="L4555"/>
          <cell r="M4555"/>
        </row>
        <row r="4556">
          <cell r="G4556"/>
          <cell r="H4556"/>
          <cell r="L4556"/>
          <cell r="M4556"/>
        </row>
        <row r="4557">
          <cell r="G4557"/>
          <cell r="H4557"/>
          <cell r="L4557"/>
          <cell r="M4557"/>
        </row>
        <row r="4558">
          <cell r="G4558"/>
          <cell r="H4558"/>
          <cell r="L4558"/>
          <cell r="M4558"/>
        </row>
        <row r="4559">
          <cell r="G4559"/>
          <cell r="H4559"/>
          <cell r="L4559"/>
          <cell r="M4559"/>
        </row>
        <row r="4560">
          <cell r="G4560"/>
          <cell r="H4560"/>
          <cell r="L4560"/>
          <cell r="M4560"/>
        </row>
        <row r="4561">
          <cell r="G4561"/>
          <cell r="H4561"/>
          <cell r="L4561"/>
          <cell r="M4561"/>
        </row>
        <row r="4562">
          <cell r="G4562"/>
          <cell r="H4562"/>
          <cell r="L4562"/>
          <cell r="M4562"/>
        </row>
        <row r="4563">
          <cell r="G4563"/>
          <cell r="H4563"/>
          <cell r="L4563"/>
          <cell r="M4563"/>
        </row>
        <row r="4564">
          <cell r="G4564"/>
          <cell r="H4564"/>
          <cell r="L4564"/>
          <cell r="M4564"/>
        </row>
        <row r="4565">
          <cell r="G4565"/>
          <cell r="H4565"/>
          <cell r="L4565"/>
          <cell r="M4565"/>
        </row>
        <row r="4566">
          <cell r="G4566"/>
          <cell r="H4566"/>
          <cell r="L4566"/>
          <cell r="M4566"/>
        </row>
        <row r="4567">
          <cell r="G4567"/>
          <cell r="H4567"/>
          <cell r="L4567"/>
          <cell r="M4567"/>
        </row>
        <row r="4568">
          <cell r="G4568"/>
          <cell r="H4568"/>
          <cell r="L4568"/>
          <cell r="M4568"/>
        </row>
        <row r="4569">
          <cell r="G4569"/>
          <cell r="H4569"/>
          <cell r="L4569"/>
          <cell r="M4569"/>
        </row>
        <row r="4570">
          <cell r="G4570"/>
          <cell r="H4570"/>
          <cell r="L4570"/>
          <cell r="M4570"/>
        </row>
        <row r="4571">
          <cell r="G4571"/>
          <cell r="H4571"/>
          <cell r="L4571"/>
          <cell r="M4571"/>
        </row>
        <row r="4572">
          <cell r="G4572"/>
          <cell r="H4572"/>
          <cell r="L4572"/>
          <cell r="M4572"/>
        </row>
        <row r="4573">
          <cell r="G4573"/>
          <cell r="H4573"/>
          <cell r="L4573"/>
          <cell r="M4573"/>
        </row>
        <row r="4574">
          <cell r="G4574"/>
          <cell r="H4574"/>
          <cell r="L4574"/>
          <cell r="M4574"/>
        </row>
        <row r="4575">
          <cell r="G4575"/>
          <cell r="H4575"/>
          <cell r="L4575"/>
          <cell r="M4575"/>
        </row>
        <row r="4576">
          <cell r="G4576"/>
          <cell r="H4576"/>
          <cell r="L4576"/>
          <cell r="M4576"/>
        </row>
        <row r="4577">
          <cell r="G4577"/>
          <cell r="H4577"/>
          <cell r="L4577"/>
          <cell r="M4577"/>
        </row>
        <row r="4578">
          <cell r="G4578"/>
          <cell r="H4578"/>
          <cell r="L4578"/>
          <cell r="M4578"/>
        </row>
        <row r="4579">
          <cell r="G4579"/>
          <cell r="H4579"/>
          <cell r="L4579"/>
          <cell r="M4579"/>
        </row>
        <row r="4580">
          <cell r="G4580"/>
          <cell r="H4580"/>
          <cell r="L4580"/>
          <cell r="M4580"/>
        </row>
        <row r="4581">
          <cell r="G4581"/>
          <cell r="H4581"/>
          <cell r="L4581"/>
          <cell r="M4581"/>
        </row>
        <row r="4582">
          <cell r="G4582"/>
          <cell r="H4582"/>
          <cell r="L4582"/>
          <cell r="M4582"/>
        </row>
        <row r="4583">
          <cell r="G4583"/>
          <cell r="H4583"/>
          <cell r="L4583"/>
          <cell r="M4583"/>
        </row>
        <row r="4584">
          <cell r="G4584"/>
          <cell r="H4584"/>
          <cell r="L4584"/>
          <cell r="M4584"/>
        </row>
        <row r="4585">
          <cell r="G4585"/>
          <cell r="H4585"/>
          <cell r="L4585"/>
          <cell r="M4585"/>
        </row>
        <row r="4586">
          <cell r="G4586"/>
          <cell r="H4586"/>
          <cell r="L4586"/>
          <cell r="M4586"/>
        </row>
        <row r="4587">
          <cell r="G4587"/>
          <cell r="H4587"/>
          <cell r="L4587"/>
          <cell r="M4587"/>
        </row>
        <row r="4588">
          <cell r="G4588"/>
          <cell r="H4588"/>
          <cell r="L4588"/>
          <cell r="M4588"/>
        </row>
        <row r="4589">
          <cell r="G4589"/>
          <cell r="H4589"/>
          <cell r="L4589"/>
          <cell r="M4589"/>
        </row>
        <row r="4590">
          <cell r="G4590"/>
          <cell r="H4590"/>
          <cell r="L4590"/>
          <cell r="M4590"/>
        </row>
        <row r="4591">
          <cell r="G4591"/>
          <cell r="H4591"/>
          <cell r="L4591"/>
          <cell r="M4591"/>
        </row>
        <row r="4592">
          <cell r="G4592"/>
          <cell r="H4592"/>
          <cell r="L4592"/>
          <cell r="M4592"/>
        </row>
        <row r="4593">
          <cell r="G4593"/>
          <cell r="H4593"/>
          <cell r="L4593"/>
          <cell r="M4593"/>
        </row>
        <row r="4594">
          <cell r="G4594"/>
          <cell r="H4594"/>
          <cell r="L4594"/>
          <cell r="M4594"/>
        </row>
        <row r="4595">
          <cell r="G4595"/>
          <cell r="H4595"/>
          <cell r="L4595"/>
          <cell r="M4595"/>
        </row>
        <row r="4596">
          <cell r="G4596"/>
          <cell r="H4596"/>
          <cell r="L4596"/>
          <cell r="M4596"/>
        </row>
        <row r="4597">
          <cell r="G4597"/>
          <cell r="H4597"/>
          <cell r="L4597"/>
          <cell r="M4597"/>
        </row>
        <row r="4598">
          <cell r="G4598"/>
          <cell r="H4598"/>
          <cell r="L4598"/>
          <cell r="M4598"/>
        </row>
        <row r="4599">
          <cell r="G4599"/>
          <cell r="H4599"/>
          <cell r="L4599"/>
          <cell r="M4599"/>
        </row>
        <row r="4600">
          <cell r="G4600"/>
          <cell r="H4600"/>
          <cell r="L4600"/>
          <cell r="M4600"/>
        </row>
        <row r="4601">
          <cell r="G4601"/>
          <cell r="H4601"/>
          <cell r="L4601"/>
          <cell r="M4601"/>
        </row>
        <row r="4602">
          <cell r="G4602"/>
          <cell r="H4602"/>
          <cell r="L4602"/>
          <cell r="M4602"/>
        </row>
        <row r="4603">
          <cell r="G4603"/>
          <cell r="H4603"/>
          <cell r="L4603"/>
          <cell r="M4603"/>
        </row>
        <row r="4604">
          <cell r="G4604"/>
          <cell r="H4604"/>
          <cell r="L4604"/>
          <cell r="M4604"/>
        </row>
        <row r="4605">
          <cell r="G4605"/>
          <cell r="H4605"/>
          <cell r="L4605"/>
          <cell r="M4605"/>
        </row>
        <row r="4606">
          <cell r="G4606"/>
          <cell r="H4606"/>
          <cell r="L4606"/>
          <cell r="M4606"/>
        </row>
        <row r="4607">
          <cell r="G4607"/>
          <cell r="H4607"/>
          <cell r="L4607"/>
          <cell r="M4607"/>
        </row>
        <row r="4608">
          <cell r="G4608"/>
          <cell r="H4608"/>
          <cell r="L4608"/>
          <cell r="M4608"/>
        </row>
        <row r="4609">
          <cell r="G4609"/>
          <cell r="H4609"/>
          <cell r="L4609"/>
          <cell r="M4609"/>
        </row>
        <row r="4610">
          <cell r="G4610"/>
          <cell r="H4610"/>
          <cell r="L4610"/>
          <cell r="M4610"/>
        </row>
        <row r="4611">
          <cell r="G4611"/>
          <cell r="H4611"/>
          <cell r="L4611"/>
          <cell r="M4611"/>
        </row>
        <row r="4612">
          <cell r="G4612"/>
          <cell r="H4612"/>
          <cell r="L4612"/>
          <cell r="M4612"/>
        </row>
        <row r="4613">
          <cell r="G4613"/>
          <cell r="H4613"/>
          <cell r="L4613"/>
          <cell r="M4613"/>
        </row>
        <row r="4614">
          <cell r="G4614"/>
          <cell r="H4614"/>
          <cell r="L4614"/>
          <cell r="M4614"/>
        </row>
        <row r="4615">
          <cell r="G4615"/>
          <cell r="H4615"/>
          <cell r="L4615"/>
          <cell r="M4615"/>
        </row>
        <row r="4616">
          <cell r="G4616"/>
          <cell r="H4616"/>
          <cell r="L4616"/>
          <cell r="M4616"/>
        </row>
        <row r="4617">
          <cell r="G4617"/>
          <cell r="H4617"/>
          <cell r="L4617"/>
          <cell r="M4617"/>
        </row>
        <row r="4618">
          <cell r="G4618"/>
          <cell r="H4618"/>
          <cell r="L4618"/>
          <cell r="M4618"/>
        </row>
        <row r="4619">
          <cell r="G4619"/>
          <cell r="H4619"/>
          <cell r="L4619"/>
          <cell r="M4619"/>
        </row>
        <row r="4620">
          <cell r="G4620"/>
          <cell r="H4620"/>
          <cell r="L4620"/>
          <cell r="M4620"/>
        </row>
        <row r="4621">
          <cell r="G4621"/>
          <cell r="H4621"/>
          <cell r="L4621"/>
          <cell r="M4621"/>
        </row>
        <row r="4622">
          <cell r="G4622"/>
          <cell r="H4622"/>
          <cell r="L4622"/>
          <cell r="M4622"/>
        </row>
        <row r="4623">
          <cell r="G4623"/>
          <cell r="H4623"/>
          <cell r="L4623"/>
          <cell r="M4623"/>
        </row>
        <row r="4624">
          <cell r="G4624"/>
          <cell r="H4624"/>
          <cell r="L4624"/>
          <cell r="M4624"/>
        </row>
        <row r="4625">
          <cell r="G4625"/>
          <cell r="H4625"/>
          <cell r="L4625"/>
          <cell r="M4625"/>
        </row>
        <row r="4626">
          <cell r="G4626"/>
          <cell r="H4626"/>
          <cell r="L4626"/>
          <cell r="M4626"/>
        </row>
        <row r="4627">
          <cell r="G4627"/>
          <cell r="H4627"/>
          <cell r="L4627"/>
          <cell r="M4627"/>
        </row>
        <row r="4628">
          <cell r="G4628"/>
          <cell r="H4628"/>
          <cell r="L4628"/>
          <cell r="M4628"/>
        </row>
        <row r="4629">
          <cell r="G4629"/>
          <cell r="H4629"/>
          <cell r="L4629"/>
          <cell r="M4629"/>
        </row>
        <row r="4630">
          <cell r="G4630"/>
          <cell r="H4630"/>
          <cell r="L4630"/>
          <cell r="M4630"/>
        </row>
        <row r="4631">
          <cell r="G4631"/>
          <cell r="H4631"/>
          <cell r="L4631"/>
          <cell r="M4631"/>
        </row>
        <row r="4632">
          <cell r="G4632"/>
          <cell r="H4632"/>
          <cell r="L4632"/>
          <cell r="M4632"/>
        </row>
        <row r="4633">
          <cell r="G4633"/>
          <cell r="H4633"/>
          <cell r="L4633"/>
          <cell r="M4633"/>
        </row>
        <row r="4634">
          <cell r="G4634"/>
          <cell r="H4634"/>
          <cell r="L4634"/>
          <cell r="M4634"/>
        </row>
        <row r="4635">
          <cell r="G4635"/>
          <cell r="H4635"/>
          <cell r="L4635"/>
          <cell r="M4635"/>
        </row>
        <row r="4636">
          <cell r="G4636"/>
          <cell r="H4636"/>
          <cell r="L4636"/>
          <cell r="M4636"/>
        </row>
        <row r="4637">
          <cell r="G4637"/>
          <cell r="H4637"/>
          <cell r="L4637"/>
          <cell r="M4637"/>
        </row>
        <row r="4638">
          <cell r="G4638"/>
          <cell r="H4638"/>
          <cell r="L4638"/>
          <cell r="M4638"/>
        </row>
        <row r="4639">
          <cell r="G4639"/>
          <cell r="H4639"/>
          <cell r="L4639"/>
          <cell r="M4639"/>
        </row>
        <row r="4640">
          <cell r="G4640"/>
          <cell r="H4640"/>
          <cell r="L4640"/>
          <cell r="M4640"/>
        </row>
        <row r="4641">
          <cell r="G4641"/>
          <cell r="H4641"/>
          <cell r="L4641"/>
          <cell r="M4641"/>
        </row>
        <row r="4642">
          <cell r="G4642"/>
          <cell r="H4642"/>
          <cell r="L4642"/>
          <cell r="M4642"/>
        </row>
        <row r="4643">
          <cell r="G4643"/>
          <cell r="H4643"/>
          <cell r="L4643"/>
          <cell r="M4643"/>
        </row>
        <row r="4644">
          <cell r="G4644"/>
          <cell r="H4644"/>
          <cell r="L4644"/>
          <cell r="M4644"/>
        </row>
        <row r="4645">
          <cell r="G4645"/>
          <cell r="H4645"/>
          <cell r="L4645"/>
          <cell r="M4645"/>
        </row>
        <row r="4646">
          <cell r="G4646"/>
          <cell r="H4646"/>
          <cell r="L4646"/>
          <cell r="M4646"/>
        </row>
        <row r="4647">
          <cell r="G4647"/>
          <cell r="H4647"/>
          <cell r="L4647"/>
          <cell r="M4647"/>
        </row>
        <row r="4648">
          <cell r="G4648"/>
          <cell r="H4648"/>
          <cell r="L4648"/>
          <cell r="M4648"/>
        </row>
        <row r="4649">
          <cell r="G4649"/>
          <cell r="H4649"/>
          <cell r="L4649"/>
          <cell r="M4649"/>
        </row>
        <row r="4650">
          <cell r="G4650"/>
          <cell r="H4650"/>
          <cell r="L4650"/>
          <cell r="M4650"/>
        </row>
        <row r="4651">
          <cell r="G4651"/>
          <cell r="H4651"/>
          <cell r="L4651"/>
          <cell r="M4651"/>
        </row>
        <row r="4652">
          <cell r="G4652"/>
          <cell r="H4652"/>
          <cell r="L4652"/>
          <cell r="M4652"/>
        </row>
        <row r="4653">
          <cell r="G4653"/>
          <cell r="H4653"/>
          <cell r="L4653"/>
          <cell r="M4653"/>
        </row>
        <row r="4654">
          <cell r="G4654"/>
          <cell r="H4654"/>
          <cell r="L4654"/>
          <cell r="M4654"/>
        </row>
        <row r="4655">
          <cell r="G4655"/>
          <cell r="H4655"/>
          <cell r="L4655"/>
          <cell r="M4655"/>
        </row>
        <row r="4656">
          <cell r="G4656"/>
          <cell r="H4656"/>
          <cell r="L4656"/>
          <cell r="M4656"/>
        </row>
        <row r="4657">
          <cell r="G4657"/>
          <cell r="H4657"/>
          <cell r="L4657"/>
          <cell r="M4657"/>
        </row>
        <row r="4658">
          <cell r="G4658"/>
          <cell r="H4658"/>
          <cell r="L4658"/>
          <cell r="M4658"/>
        </row>
        <row r="4659">
          <cell r="G4659"/>
          <cell r="H4659"/>
          <cell r="L4659"/>
          <cell r="M4659"/>
        </row>
        <row r="4660">
          <cell r="G4660"/>
          <cell r="H4660"/>
          <cell r="L4660"/>
          <cell r="M4660"/>
        </row>
        <row r="4661">
          <cell r="G4661"/>
          <cell r="H4661"/>
          <cell r="L4661"/>
          <cell r="M4661"/>
        </row>
        <row r="4662">
          <cell r="G4662"/>
          <cell r="H4662"/>
          <cell r="L4662"/>
          <cell r="M4662"/>
        </row>
        <row r="4663">
          <cell r="G4663"/>
          <cell r="H4663"/>
          <cell r="L4663"/>
          <cell r="M4663"/>
        </row>
        <row r="4664">
          <cell r="G4664"/>
          <cell r="H4664"/>
          <cell r="L4664"/>
          <cell r="M4664"/>
        </row>
        <row r="4665">
          <cell r="G4665"/>
          <cell r="H4665"/>
          <cell r="L4665"/>
          <cell r="M4665"/>
        </row>
        <row r="4666">
          <cell r="G4666"/>
          <cell r="H4666"/>
          <cell r="L4666"/>
          <cell r="M4666"/>
        </row>
        <row r="4667">
          <cell r="G4667"/>
          <cell r="H4667"/>
          <cell r="L4667"/>
          <cell r="M4667"/>
        </row>
        <row r="4668">
          <cell r="G4668"/>
          <cell r="H4668"/>
          <cell r="L4668"/>
          <cell r="M4668"/>
        </row>
        <row r="4669">
          <cell r="G4669"/>
          <cell r="H4669"/>
          <cell r="L4669"/>
          <cell r="M4669"/>
        </row>
        <row r="4670">
          <cell r="G4670"/>
          <cell r="H4670"/>
          <cell r="L4670"/>
          <cell r="M4670"/>
        </row>
        <row r="4671">
          <cell r="G4671"/>
          <cell r="H4671"/>
          <cell r="L4671"/>
          <cell r="M4671"/>
        </row>
        <row r="4672">
          <cell r="G4672"/>
          <cell r="H4672"/>
          <cell r="L4672"/>
          <cell r="M4672"/>
        </row>
        <row r="4673">
          <cell r="G4673"/>
          <cell r="H4673"/>
          <cell r="L4673"/>
          <cell r="M4673"/>
        </row>
        <row r="4674">
          <cell r="G4674"/>
          <cell r="H4674"/>
          <cell r="L4674"/>
          <cell r="M4674"/>
        </row>
        <row r="4675">
          <cell r="G4675"/>
          <cell r="H4675"/>
          <cell r="L4675"/>
          <cell r="M4675"/>
        </row>
        <row r="4676">
          <cell r="G4676"/>
          <cell r="H4676"/>
          <cell r="L4676"/>
          <cell r="M4676"/>
        </row>
        <row r="4677">
          <cell r="G4677"/>
          <cell r="H4677"/>
          <cell r="L4677"/>
          <cell r="M4677"/>
        </row>
        <row r="4678">
          <cell r="G4678"/>
          <cell r="H4678"/>
          <cell r="L4678"/>
          <cell r="M4678"/>
        </row>
        <row r="4679">
          <cell r="G4679"/>
          <cell r="H4679"/>
          <cell r="L4679"/>
          <cell r="M4679"/>
        </row>
        <row r="4680">
          <cell r="G4680"/>
          <cell r="H4680"/>
          <cell r="L4680"/>
          <cell r="M4680"/>
        </row>
        <row r="4681">
          <cell r="G4681"/>
          <cell r="H4681"/>
          <cell r="L4681"/>
          <cell r="M4681"/>
        </row>
        <row r="4682">
          <cell r="G4682"/>
          <cell r="H4682"/>
          <cell r="L4682"/>
          <cell r="M4682"/>
        </row>
        <row r="4683">
          <cell r="G4683"/>
          <cell r="H4683"/>
          <cell r="L4683"/>
          <cell r="M4683"/>
        </row>
        <row r="4684">
          <cell r="G4684"/>
          <cell r="H4684"/>
          <cell r="L4684"/>
          <cell r="M4684"/>
        </row>
        <row r="4685">
          <cell r="G4685"/>
          <cell r="H4685"/>
          <cell r="L4685"/>
          <cell r="M4685"/>
        </row>
        <row r="4686">
          <cell r="G4686"/>
          <cell r="H4686"/>
          <cell r="L4686"/>
          <cell r="M4686"/>
        </row>
        <row r="4687">
          <cell r="G4687"/>
          <cell r="H4687"/>
          <cell r="L4687"/>
          <cell r="M4687"/>
        </row>
        <row r="4688">
          <cell r="G4688"/>
          <cell r="H4688"/>
          <cell r="L4688"/>
          <cell r="M4688"/>
        </row>
        <row r="4689">
          <cell r="G4689"/>
          <cell r="H4689"/>
          <cell r="L4689"/>
          <cell r="M4689"/>
        </row>
        <row r="4690">
          <cell r="G4690"/>
          <cell r="H4690"/>
          <cell r="L4690"/>
          <cell r="M4690"/>
        </row>
        <row r="4691">
          <cell r="G4691"/>
          <cell r="H4691"/>
          <cell r="L4691"/>
          <cell r="M4691"/>
        </row>
        <row r="4692">
          <cell r="G4692"/>
          <cell r="H4692"/>
          <cell r="L4692"/>
          <cell r="M4692"/>
        </row>
        <row r="4693">
          <cell r="G4693"/>
          <cell r="H4693"/>
          <cell r="L4693"/>
          <cell r="M4693"/>
        </row>
        <row r="4694">
          <cell r="G4694"/>
          <cell r="H4694"/>
          <cell r="L4694"/>
          <cell r="M4694"/>
        </row>
        <row r="4695">
          <cell r="G4695"/>
          <cell r="H4695"/>
          <cell r="L4695"/>
          <cell r="M4695"/>
        </row>
        <row r="4696">
          <cell r="G4696"/>
          <cell r="H4696"/>
          <cell r="L4696"/>
          <cell r="M4696"/>
        </row>
        <row r="4697">
          <cell r="G4697"/>
          <cell r="H4697"/>
          <cell r="L4697"/>
          <cell r="M4697"/>
        </row>
        <row r="4698">
          <cell r="G4698"/>
          <cell r="H4698"/>
          <cell r="L4698"/>
          <cell r="M4698"/>
        </row>
        <row r="4699">
          <cell r="G4699"/>
          <cell r="H4699"/>
          <cell r="L4699"/>
          <cell r="M4699"/>
        </row>
        <row r="4700">
          <cell r="G4700"/>
          <cell r="H4700"/>
          <cell r="L4700"/>
          <cell r="M4700"/>
        </row>
        <row r="4701">
          <cell r="G4701"/>
          <cell r="H4701"/>
          <cell r="L4701"/>
          <cell r="M4701"/>
        </row>
        <row r="4702">
          <cell r="G4702"/>
          <cell r="H4702"/>
          <cell r="L4702"/>
          <cell r="M4702"/>
        </row>
        <row r="4703">
          <cell r="G4703"/>
          <cell r="H4703"/>
          <cell r="L4703"/>
          <cell r="M4703"/>
        </row>
        <row r="4704">
          <cell r="G4704"/>
          <cell r="H4704"/>
          <cell r="L4704"/>
          <cell r="M4704"/>
        </row>
        <row r="4705">
          <cell r="G4705"/>
          <cell r="H4705"/>
          <cell r="L4705"/>
          <cell r="M4705"/>
        </row>
        <row r="4706">
          <cell r="G4706"/>
          <cell r="H4706"/>
          <cell r="L4706"/>
          <cell r="M4706"/>
        </row>
        <row r="4707">
          <cell r="G4707"/>
          <cell r="H4707"/>
          <cell r="L4707"/>
          <cell r="M4707"/>
        </row>
        <row r="4708">
          <cell r="G4708"/>
          <cell r="H4708"/>
          <cell r="L4708"/>
          <cell r="M4708"/>
        </row>
        <row r="4709">
          <cell r="G4709"/>
          <cell r="H4709"/>
          <cell r="L4709"/>
          <cell r="M4709"/>
        </row>
        <row r="4710">
          <cell r="G4710"/>
          <cell r="H4710"/>
          <cell r="L4710"/>
          <cell r="M4710"/>
        </row>
        <row r="4711">
          <cell r="G4711"/>
          <cell r="H4711"/>
          <cell r="L4711"/>
          <cell r="M4711"/>
        </row>
        <row r="4712">
          <cell r="G4712"/>
          <cell r="H4712"/>
          <cell r="L4712"/>
          <cell r="M4712"/>
        </row>
        <row r="4713">
          <cell r="G4713"/>
          <cell r="H4713"/>
          <cell r="L4713"/>
          <cell r="M4713"/>
        </row>
        <row r="4714">
          <cell r="G4714"/>
          <cell r="H4714"/>
          <cell r="L4714"/>
          <cell r="M4714"/>
        </row>
        <row r="4715">
          <cell r="G4715"/>
          <cell r="H4715"/>
          <cell r="L4715"/>
          <cell r="M4715"/>
        </row>
        <row r="4716">
          <cell r="G4716"/>
          <cell r="H4716"/>
          <cell r="L4716"/>
          <cell r="M4716"/>
        </row>
        <row r="4717">
          <cell r="G4717"/>
          <cell r="H4717"/>
          <cell r="L4717"/>
          <cell r="M4717"/>
        </row>
        <row r="4718">
          <cell r="G4718"/>
          <cell r="H4718"/>
          <cell r="L4718"/>
          <cell r="M4718"/>
        </row>
        <row r="4719">
          <cell r="G4719"/>
          <cell r="H4719"/>
          <cell r="L4719"/>
          <cell r="M4719"/>
        </row>
        <row r="4720">
          <cell r="G4720"/>
          <cell r="H4720"/>
          <cell r="L4720"/>
          <cell r="M4720"/>
        </row>
        <row r="4721">
          <cell r="G4721"/>
          <cell r="H4721"/>
          <cell r="L4721"/>
          <cell r="M4721"/>
        </row>
        <row r="4722">
          <cell r="G4722"/>
          <cell r="H4722"/>
          <cell r="L4722"/>
          <cell r="M4722"/>
        </row>
        <row r="4723">
          <cell r="G4723"/>
          <cell r="H4723"/>
          <cell r="L4723"/>
          <cell r="M4723"/>
        </row>
        <row r="4724">
          <cell r="G4724"/>
          <cell r="H4724"/>
          <cell r="L4724"/>
          <cell r="M4724"/>
        </row>
        <row r="4725">
          <cell r="G4725"/>
          <cell r="H4725"/>
          <cell r="L4725"/>
          <cell r="M4725"/>
        </row>
        <row r="4726">
          <cell r="G4726"/>
          <cell r="H4726"/>
          <cell r="L4726"/>
          <cell r="M4726"/>
        </row>
        <row r="4727">
          <cell r="G4727"/>
          <cell r="H4727"/>
          <cell r="L4727"/>
          <cell r="M4727"/>
        </row>
        <row r="4728">
          <cell r="G4728"/>
          <cell r="H4728"/>
          <cell r="L4728"/>
          <cell r="M4728"/>
        </row>
        <row r="4729">
          <cell r="G4729"/>
          <cell r="H4729"/>
          <cell r="L4729"/>
          <cell r="M4729"/>
        </row>
        <row r="4730">
          <cell r="G4730"/>
          <cell r="H4730"/>
          <cell r="L4730"/>
          <cell r="M4730"/>
        </row>
        <row r="4731">
          <cell r="G4731"/>
          <cell r="H4731"/>
          <cell r="L4731"/>
          <cell r="M4731"/>
        </row>
        <row r="4732">
          <cell r="G4732"/>
          <cell r="H4732"/>
          <cell r="L4732"/>
          <cell r="M4732"/>
        </row>
        <row r="4733">
          <cell r="G4733"/>
          <cell r="H4733"/>
          <cell r="L4733"/>
          <cell r="M4733"/>
        </row>
        <row r="4734">
          <cell r="G4734"/>
          <cell r="H4734"/>
          <cell r="L4734"/>
          <cell r="M4734"/>
        </row>
        <row r="4735">
          <cell r="G4735"/>
          <cell r="H4735"/>
          <cell r="L4735"/>
          <cell r="M4735"/>
        </row>
        <row r="4736">
          <cell r="G4736"/>
          <cell r="H4736"/>
          <cell r="L4736"/>
          <cell r="M4736"/>
        </row>
        <row r="4737">
          <cell r="G4737"/>
          <cell r="H4737"/>
          <cell r="L4737"/>
          <cell r="M4737"/>
        </row>
        <row r="4738">
          <cell r="G4738"/>
          <cell r="H4738"/>
          <cell r="L4738"/>
          <cell r="M4738"/>
        </row>
        <row r="4739">
          <cell r="G4739"/>
          <cell r="H4739"/>
          <cell r="L4739"/>
          <cell r="M4739"/>
        </row>
        <row r="4740">
          <cell r="G4740"/>
          <cell r="H4740"/>
          <cell r="L4740"/>
          <cell r="M4740"/>
        </row>
        <row r="4741">
          <cell r="G4741"/>
          <cell r="H4741"/>
          <cell r="L4741"/>
          <cell r="M4741"/>
        </row>
        <row r="4742">
          <cell r="G4742"/>
          <cell r="H4742"/>
          <cell r="L4742"/>
          <cell r="M4742"/>
        </row>
        <row r="4743">
          <cell r="G4743"/>
          <cell r="H4743"/>
          <cell r="L4743"/>
          <cell r="M4743"/>
        </row>
        <row r="4744">
          <cell r="G4744"/>
          <cell r="H4744"/>
          <cell r="L4744"/>
          <cell r="M4744"/>
        </row>
        <row r="4745">
          <cell r="G4745"/>
          <cell r="H4745"/>
          <cell r="L4745"/>
          <cell r="M4745"/>
        </row>
        <row r="4746">
          <cell r="G4746"/>
          <cell r="H4746"/>
          <cell r="L4746"/>
          <cell r="M4746"/>
        </row>
        <row r="4747">
          <cell r="G4747"/>
          <cell r="H4747"/>
          <cell r="L4747"/>
          <cell r="M4747"/>
        </row>
        <row r="4748">
          <cell r="G4748"/>
          <cell r="H4748"/>
          <cell r="L4748"/>
          <cell r="M4748"/>
        </row>
        <row r="4749">
          <cell r="G4749"/>
          <cell r="H4749"/>
          <cell r="L4749"/>
          <cell r="M4749"/>
        </row>
        <row r="4750">
          <cell r="G4750"/>
          <cell r="H4750"/>
          <cell r="L4750"/>
          <cell r="M4750"/>
        </row>
        <row r="4751">
          <cell r="G4751"/>
          <cell r="H4751"/>
          <cell r="L4751"/>
          <cell r="M4751"/>
        </row>
        <row r="4752">
          <cell r="G4752"/>
          <cell r="H4752"/>
          <cell r="L4752"/>
          <cell r="M4752"/>
        </row>
        <row r="4753">
          <cell r="G4753"/>
          <cell r="H4753"/>
          <cell r="L4753"/>
          <cell r="M4753"/>
        </row>
        <row r="4754">
          <cell r="G4754"/>
          <cell r="H4754"/>
          <cell r="L4754"/>
          <cell r="M4754"/>
        </row>
        <row r="4755">
          <cell r="G4755"/>
          <cell r="H4755"/>
          <cell r="L4755"/>
          <cell r="M4755"/>
        </row>
        <row r="4756">
          <cell r="G4756"/>
          <cell r="H4756"/>
          <cell r="L4756"/>
          <cell r="M4756"/>
        </row>
        <row r="4757">
          <cell r="G4757"/>
          <cell r="H4757"/>
          <cell r="L4757"/>
          <cell r="M4757"/>
        </row>
        <row r="4758">
          <cell r="G4758"/>
          <cell r="H4758"/>
          <cell r="L4758"/>
          <cell r="M4758"/>
        </row>
        <row r="4759">
          <cell r="G4759"/>
          <cell r="H4759"/>
          <cell r="L4759"/>
          <cell r="M4759"/>
        </row>
        <row r="4760">
          <cell r="G4760"/>
          <cell r="H4760"/>
          <cell r="L4760"/>
          <cell r="M4760"/>
        </row>
        <row r="4761">
          <cell r="G4761"/>
          <cell r="H4761"/>
          <cell r="L4761"/>
          <cell r="M4761"/>
        </row>
        <row r="4762">
          <cell r="G4762"/>
          <cell r="H4762"/>
          <cell r="L4762"/>
          <cell r="M4762"/>
        </row>
        <row r="4763">
          <cell r="G4763"/>
          <cell r="H4763"/>
          <cell r="L4763"/>
          <cell r="M4763"/>
        </row>
        <row r="4764">
          <cell r="G4764"/>
          <cell r="H4764"/>
          <cell r="L4764"/>
          <cell r="M4764"/>
        </row>
        <row r="4765">
          <cell r="G4765"/>
          <cell r="H4765"/>
          <cell r="L4765"/>
          <cell r="M4765"/>
        </row>
        <row r="4766">
          <cell r="G4766"/>
          <cell r="H4766"/>
          <cell r="L4766"/>
          <cell r="M4766"/>
        </row>
        <row r="4767">
          <cell r="G4767"/>
          <cell r="H4767"/>
          <cell r="L4767"/>
          <cell r="M4767"/>
        </row>
        <row r="4768">
          <cell r="G4768"/>
          <cell r="H4768"/>
          <cell r="L4768"/>
          <cell r="M4768"/>
        </row>
        <row r="4769">
          <cell r="G4769"/>
          <cell r="H4769"/>
          <cell r="L4769"/>
          <cell r="M4769"/>
        </row>
        <row r="4770">
          <cell r="G4770"/>
          <cell r="H4770"/>
          <cell r="L4770"/>
          <cell r="M4770"/>
        </row>
        <row r="4771">
          <cell r="G4771"/>
          <cell r="H4771"/>
          <cell r="L4771"/>
          <cell r="M4771"/>
        </row>
        <row r="4772">
          <cell r="G4772"/>
          <cell r="H4772"/>
          <cell r="L4772"/>
          <cell r="M4772"/>
        </row>
        <row r="4773">
          <cell r="G4773"/>
          <cell r="H4773"/>
          <cell r="L4773"/>
          <cell r="M4773"/>
        </row>
        <row r="4774">
          <cell r="G4774"/>
          <cell r="H4774"/>
          <cell r="L4774"/>
          <cell r="M4774"/>
        </row>
        <row r="4775">
          <cell r="G4775"/>
          <cell r="H4775"/>
          <cell r="L4775"/>
          <cell r="M4775"/>
        </row>
        <row r="4776">
          <cell r="G4776"/>
          <cell r="H4776"/>
          <cell r="L4776"/>
          <cell r="M4776"/>
        </row>
        <row r="4777">
          <cell r="G4777"/>
          <cell r="H4777"/>
          <cell r="L4777"/>
          <cell r="M4777"/>
        </row>
        <row r="4778">
          <cell r="G4778"/>
          <cell r="H4778"/>
          <cell r="L4778"/>
          <cell r="M4778"/>
        </row>
        <row r="4779">
          <cell r="G4779"/>
          <cell r="H4779"/>
          <cell r="L4779"/>
          <cell r="M4779"/>
        </row>
        <row r="4780">
          <cell r="G4780"/>
          <cell r="H4780"/>
          <cell r="L4780"/>
          <cell r="M4780"/>
        </row>
        <row r="4781">
          <cell r="G4781"/>
          <cell r="H4781"/>
          <cell r="L4781"/>
          <cell r="M4781"/>
        </row>
        <row r="4782">
          <cell r="G4782"/>
          <cell r="H4782"/>
          <cell r="L4782"/>
          <cell r="M4782"/>
        </row>
        <row r="4783">
          <cell r="G4783"/>
          <cell r="H4783"/>
          <cell r="L4783"/>
          <cell r="M4783"/>
        </row>
        <row r="4784">
          <cell r="G4784"/>
          <cell r="H4784"/>
          <cell r="L4784"/>
          <cell r="M4784"/>
        </row>
        <row r="4785">
          <cell r="G4785"/>
          <cell r="H4785"/>
          <cell r="L4785"/>
          <cell r="M4785"/>
        </row>
        <row r="4786">
          <cell r="G4786"/>
          <cell r="H4786"/>
          <cell r="L4786"/>
          <cell r="M4786"/>
        </row>
        <row r="4787">
          <cell r="G4787"/>
          <cell r="H4787"/>
          <cell r="L4787"/>
          <cell r="M4787"/>
        </row>
        <row r="4788">
          <cell r="G4788"/>
          <cell r="H4788"/>
          <cell r="L4788"/>
          <cell r="M4788"/>
        </row>
        <row r="4789">
          <cell r="G4789"/>
          <cell r="H4789"/>
          <cell r="L4789"/>
          <cell r="M4789"/>
        </row>
        <row r="4790">
          <cell r="G4790"/>
          <cell r="H4790"/>
          <cell r="L4790"/>
          <cell r="M4790"/>
        </row>
        <row r="4791">
          <cell r="G4791"/>
          <cell r="H4791"/>
          <cell r="L4791"/>
          <cell r="M4791"/>
        </row>
        <row r="4792">
          <cell r="G4792"/>
          <cell r="H4792"/>
          <cell r="L4792"/>
          <cell r="M4792"/>
        </row>
        <row r="4793">
          <cell r="G4793"/>
          <cell r="H4793"/>
          <cell r="L4793"/>
          <cell r="M4793"/>
        </row>
        <row r="4794">
          <cell r="G4794"/>
          <cell r="H4794"/>
          <cell r="L4794"/>
          <cell r="M4794"/>
        </row>
        <row r="4795">
          <cell r="G4795"/>
          <cell r="H4795"/>
          <cell r="L4795"/>
          <cell r="M4795"/>
        </row>
        <row r="4796">
          <cell r="G4796"/>
          <cell r="H4796"/>
          <cell r="L4796"/>
          <cell r="M4796"/>
        </row>
        <row r="4797">
          <cell r="G4797"/>
          <cell r="H4797"/>
          <cell r="L4797"/>
          <cell r="M4797"/>
        </row>
        <row r="4798">
          <cell r="G4798"/>
          <cell r="H4798"/>
          <cell r="L4798"/>
          <cell r="M4798"/>
        </row>
        <row r="4799">
          <cell r="G4799"/>
          <cell r="H4799"/>
          <cell r="L4799"/>
          <cell r="M4799"/>
        </row>
        <row r="4800">
          <cell r="G4800"/>
          <cell r="H4800"/>
          <cell r="L4800"/>
          <cell r="M4800"/>
        </row>
        <row r="4801">
          <cell r="G4801"/>
          <cell r="H4801"/>
          <cell r="L4801"/>
          <cell r="M4801"/>
        </row>
        <row r="4802">
          <cell r="G4802"/>
          <cell r="H4802"/>
          <cell r="L4802"/>
          <cell r="M4802"/>
        </row>
        <row r="4803">
          <cell r="G4803"/>
          <cell r="H4803"/>
          <cell r="L4803"/>
          <cell r="M4803"/>
        </row>
        <row r="4804">
          <cell r="G4804"/>
          <cell r="H4804"/>
          <cell r="L4804"/>
          <cell r="M4804"/>
        </row>
        <row r="4805">
          <cell r="G4805"/>
          <cell r="H4805"/>
          <cell r="L4805"/>
          <cell r="M4805"/>
        </row>
        <row r="4806">
          <cell r="G4806"/>
          <cell r="H4806"/>
          <cell r="L4806"/>
          <cell r="M4806"/>
        </row>
        <row r="4807">
          <cell r="G4807"/>
          <cell r="H4807"/>
          <cell r="L4807"/>
          <cell r="M4807"/>
        </row>
        <row r="4808">
          <cell r="G4808"/>
          <cell r="H4808"/>
          <cell r="L4808"/>
          <cell r="M4808"/>
        </row>
        <row r="4809">
          <cell r="G4809"/>
          <cell r="H4809"/>
          <cell r="L4809"/>
          <cell r="M4809"/>
        </row>
        <row r="4810">
          <cell r="G4810"/>
          <cell r="H4810"/>
          <cell r="L4810"/>
          <cell r="M4810"/>
        </row>
        <row r="4811">
          <cell r="G4811"/>
          <cell r="H4811"/>
          <cell r="L4811"/>
          <cell r="M4811"/>
        </row>
        <row r="4812">
          <cell r="G4812"/>
          <cell r="H4812"/>
          <cell r="L4812"/>
          <cell r="M4812"/>
        </row>
        <row r="4813">
          <cell r="G4813"/>
          <cell r="H4813"/>
          <cell r="L4813"/>
          <cell r="M4813"/>
        </row>
        <row r="4814">
          <cell r="G4814"/>
          <cell r="H4814"/>
          <cell r="L4814"/>
          <cell r="M4814"/>
        </row>
        <row r="4815">
          <cell r="G4815"/>
          <cell r="H4815"/>
          <cell r="L4815"/>
          <cell r="M4815"/>
        </row>
        <row r="4816">
          <cell r="G4816"/>
          <cell r="H4816"/>
          <cell r="L4816"/>
          <cell r="M4816"/>
        </row>
        <row r="4817">
          <cell r="G4817"/>
          <cell r="H4817"/>
          <cell r="L4817"/>
          <cell r="M4817"/>
        </row>
        <row r="4818">
          <cell r="G4818"/>
          <cell r="H4818"/>
          <cell r="L4818"/>
          <cell r="M4818"/>
        </row>
        <row r="4819">
          <cell r="G4819"/>
          <cell r="H4819"/>
          <cell r="L4819"/>
          <cell r="M4819"/>
        </row>
        <row r="4820">
          <cell r="G4820"/>
          <cell r="H4820"/>
          <cell r="L4820"/>
          <cell r="M4820"/>
        </row>
        <row r="4821">
          <cell r="G4821"/>
          <cell r="H4821"/>
          <cell r="L4821"/>
          <cell r="M4821"/>
        </row>
        <row r="4822">
          <cell r="G4822"/>
          <cell r="H4822"/>
          <cell r="L4822"/>
          <cell r="M4822"/>
        </row>
        <row r="4823">
          <cell r="G4823"/>
          <cell r="H4823"/>
          <cell r="L4823"/>
          <cell r="M4823"/>
        </row>
        <row r="4824">
          <cell r="G4824"/>
          <cell r="H4824"/>
          <cell r="L4824"/>
          <cell r="M4824"/>
        </row>
        <row r="4825">
          <cell r="G4825"/>
          <cell r="H4825"/>
          <cell r="L4825"/>
          <cell r="M4825"/>
        </row>
        <row r="4826">
          <cell r="G4826"/>
          <cell r="H4826"/>
          <cell r="L4826"/>
          <cell r="M4826"/>
        </row>
        <row r="4827">
          <cell r="G4827"/>
          <cell r="H4827"/>
          <cell r="L4827"/>
          <cell r="M4827"/>
        </row>
        <row r="4828">
          <cell r="G4828"/>
          <cell r="H4828"/>
          <cell r="L4828"/>
          <cell r="M4828"/>
        </row>
        <row r="4829">
          <cell r="G4829"/>
          <cell r="H4829"/>
          <cell r="L4829"/>
          <cell r="M4829"/>
        </row>
        <row r="4830">
          <cell r="G4830"/>
          <cell r="H4830"/>
          <cell r="L4830"/>
          <cell r="M4830"/>
        </row>
        <row r="4831">
          <cell r="G4831"/>
          <cell r="H4831"/>
          <cell r="L4831"/>
          <cell r="M4831"/>
        </row>
        <row r="4832">
          <cell r="G4832"/>
          <cell r="H4832"/>
          <cell r="L4832"/>
          <cell r="M4832"/>
        </row>
        <row r="4833">
          <cell r="G4833"/>
          <cell r="H4833"/>
          <cell r="L4833"/>
          <cell r="M4833"/>
        </row>
        <row r="4834">
          <cell r="G4834"/>
          <cell r="H4834"/>
          <cell r="L4834"/>
          <cell r="M4834"/>
        </row>
      </sheetData>
      <sheetData sheetId="7"/>
      <sheetData sheetId="8"/>
      <sheetData sheetId="9"/>
      <sheetData sheetId="10">
        <row r="18">
          <cell r="A18" t="str">
            <v>复苏（增长上行，通胀下行）</v>
          </cell>
          <cell r="B18" t="str">
            <v>过热（增长上行，通胀上行）</v>
          </cell>
          <cell r="C18" t="str">
            <v>滞涨（增长下行，通胀上行）</v>
          </cell>
          <cell r="D18" t="str">
            <v>衰退（增长下行，通胀下行）</v>
          </cell>
        </row>
        <row r="19">
          <cell r="N19" t="str">
            <v>工业增加值+CPI</v>
          </cell>
          <cell r="O19"/>
          <cell r="P19"/>
          <cell r="Q19"/>
          <cell r="R19"/>
          <cell r="S19" t="str">
            <v>工业增加值+PPI</v>
          </cell>
          <cell r="T19"/>
          <cell r="U19"/>
          <cell r="V19"/>
          <cell r="W19"/>
          <cell r="X19" t="str">
            <v>工业增加值+综合通胀</v>
          </cell>
          <cell r="Y19"/>
          <cell r="Z19"/>
          <cell r="AA19"/>
          <cell r="AB19"/>
        </row>
        <row r="20">
          <cell r="A20" t="str">
            <v>指标名称</v>
          </cell>
          <cell r="B20" t="str">
            <v>工业增加值:当月同比</v>
          </cell>
          <cell r="C20" t="str">
            <v>CPI:当月同比</v>
          </cell>
          <cell r="D20" t="str">
            <v>PPI:全部工业品:当月同比</v>
          </cell>
          <cell r="E20" t="str">
            <v>综合通胀</v>
          </cell>
          <cell r="F20" t="str">
            <v>工业增加值当月同比上行（手动）</v>
          </cell>
          <cell r="G20" t="str">
            <v>工业增加值当月同比下行</v>
          </cell>
          <cell r="H20" t="str">
            <v>CPI当月同比上行（手动）</v>
          </cell>
          <cell r="I20" t="str">
            <v>CPI当月同比下行</v>
          </cell>
          <cell r="J20" t="str">
            <v>PPI当月同比上行（手动）</v>
          </cell>
          <cell r="K20" t="str">
            <v>PPI当月同比下行</v>
          </cell>
          <cell r="L20" t="str">
            <v>综合通胀同比上行（手动）</v>
          </cell>
          <cell r="M20" t="str">
            <v>综合通胀同比下行</v>
          </cell>
          <cell r="N20" t="str">
            <v>复苏</v>
          </cell>
          <cell r="O20" t="str">
            <v>过热</v>
          </cell>
          <cell r="P20" t="str">
            <v>滞涨</v>
          </cell>
          <cell r="Q20" t="str">
            <v>衰退</v>
          </cell>
          <cell r="R20" t="str">
            <v>所处周期</v>
          </cell>
          <cell r="S20" t="str">
            <v>复苏</v>
          </cell>
          <cell r="T20" t="str">
            <v>过热</v>
          </cell>
          <cell r="U20" t="str">
            <v>滞涨</v>
          </cell>
          <cell r="V20" t="str">
            <v>衰退</v>
          </cell>
          <cell r="W20" t="str">
            <v>所处周期</v>
          </cell>
          <cell r="X20" t="str">
            <v>复苏</v>
          </cell>
          <cell r="Y20" t="str">
            <v>过热</v>
          </cell>
          <cell r="Z20" t="str">
            <v>滞涨</v>
          </cell>
          <cell r="AA20" t="str">
            <v>衰退</v>
          </cell>
          <cell r="AB20" t="str">
            <v>所处周期</v>
          </cell>
        </row>
        <row r="21">
          <cell r="A21">
            <v>37315</v>
          </cell>
          <cell r="B21">
            <v>10.9</v>
          </cell>
          <cell r="C21">
            <v>-0.5</v>
          </cell>
          <cell r="D21">
            <v>-4.2</v>
          </cell>
          <cell r="E21">
            <v>-1.9800000000000002</v>
          </cell>
          <cell r="F21">
            <v>1</v>
          </cell>
          <cell r="G21">
            <v>0</v>
          </cell>
          <cell r="H21">
            <v>1</v>
          </cell>
          <cell r="I21">
            <v>0</v>
          </cell>
          <cell r="J21">
            <v>1</v>
          </cell>
          <cell r="K21">
            <v>0</v>
          </cell>
          <cell r="L21">
            <v>1</v>
          </cell>
          <cell r="M21">
            <v>0</v>
          </cell>
          <cell r="N21">
            <v>0</v>
          </cell>
          <cell r="O21">
            <v>1</v>
          </cell>
          <cell r="P21">
            <v>0</v>
          </cell>
          <cell r="Q21">
            <v>0</v>
          </cell>
          <cell r="R21" t="str">
            <v>过热</v>
          </cell>
          <cell r="S21">
            <v>0</v>
          </cell>
          <cell r="T21">
            <v>1</v>
          </cell>
          <cell r="U21">
            <v>0</v>
          </cell>
          <cell r="V21">
            <v>0</v>
          </cell>
          <cell r="W21" t="str">
            <v>过热</v>
          </cell>
          <cell r="X21">
            <v>0</v>
          </cell>
          <cell r="Y21">
            <v>1</v>
          </cell>
          <cell r="Z21">
            <v>0</v>
          </cell>
          <cell r="AA21">
            <v>0</v>
          </cell>
          <cell r="AB21" t="str">
            <v>过热</v>
          </cell>
        </row>
        <row r="22">
          <cell r="A22">
            <v>37346</v>
          </cell>
          <cell r="B22">
            <v>10.9</v>
          </cell>
          <cell r="C22">
            <v>-0.8</v>
          </cell>
          <cell r="D22">
            <v>-4</v>
          </cell>
          <cell r="E22">
            <v>-2.08</v>
          </cell>
          <cell r="F22">
            <v>1</v>
          </cell>
          <cell r="G22">
            <v>0</v>
          </cell>
          <cell r="H22">
            <v>1</v>
          </cell>
          <cell r="I22">
            <v>0</v>
          </cell>
          <cell r="J22">
            <v>1</v>
          </cell>
          <cell r="K22">
            <v>0</v>
          </cell>
          <cell r="L22">
            <v>1</v>
          </cell>
          <cell r="M22">
            <v>0</v>
          </cell>
          <cell r="N22">
            <v>0</v>
          </cell>
          <cell r="O22">
            <v>1</v>
          </cell>
          <cell r="P22">
            <v>0</v>
          </cell>
          <cell r="Q22">
            <v>0</v>
          </cell>
          <cell r="R22" t="str">
            <v>过热</v>
          </cell>
          <cell r="S22">
            <v>0</v>
          </cell>
          <cell r="T22">
            <v>1</v>
          </cell>
          <cell r="U22">
            <v>0</v>
          </cell>
          <cell r="V22">
            <v>0</v>
          </cell>
          <cell r="W22" t="str">
            <v>过热</v>
          </cell>
          <cell r="X22">
            <v>0</v>
          </cell>
          <cell r="Y22">
            <v>1</v>
          </cell>
          <cell r="Z22">
            <v>0</v>
          </cell>
          <cell r="AA22">
            <v>0</v>
          </cell>
          <cell r="AB22" t="str">
            <v>过热</v>
          </cell>
        </row>
        <row r="23">
          <cell r="A23">
            <v>37376</v>
          </cell>
          <cell r="B23">
            <v>12.1</v>
          </cell>
          <cell r="C23">
            <v>-1.3</v>
          </cell>
          <cell r="D23">
            <v>-3.06</v>
          </cell>
          <cell r="E23">
            <v>-2.0040000000000004</v>
          </cell>
          <cell r="F23">
            <v>1</v>
          </cell>
          <cell r="G23">
            <v>0</v>
          </cell>
          <cell r="H23">
            <v>1</v>
          </cell>
          <cell r="I23">
            <v>0</v>
          </cell>
          <cell r="J23">
            <v>1</v>
          </cell>
          <cell r="K23">
            <v>0</v>
          </cell>
          <cell r="L23">
            <v>1</v>
          </cell>
          <cell r="M23">
            <v>0</v>
          </cell>
          <cell r="N23">
            <v>0</v>
          </cell>
          <cell r="O23">
            <v>1</v>
          </cell>
          <cell r="P23">
            <v>0</v>
          </cell>
          <cell r="Q23">
            <v>0</v>
          </cell>
          <cell r="R23" t="str">
            <v>过热</v>
          </cell>
          <cell r="S23">
            <v>0</v>
          </cell>
          <cell r="T23">
            <v>1</v>
          </cell>
          <cell r="U23">
            <v>0</v>
          </cell>
          <cell r="V23">
            <v>0</v>
          </cell>
          <cell r="W23" t="str">
            <v>过热</v>
          </cell>
          <cell r="X23">
            <v>0</v>
          </cell>
          <cell r="Y23">
            <v>1</v>
          </cell>
          <cell r="Z23">
            <v>0</v>
          </cell>
          <cell r="AA23">
            <v>0</v>
          </cell>
          <cell r="AB23" t="str">
            <v>过热</v>
          </cell>
        </row>
        <row r="24">
          <cell r="A24">
            <v>37407</v>
          </cell>
          <cell r="B24">
            <v>12.9</v>
          </cell>
          <cell r="C24">
            <v>-1.1000000000000001</v>
          </cell>
          <cell r="D24">
            <v>-2.63</v>
          </cell>
          <cell r="E24">
            <v>-1.7120000000000002</v>
          </cell>
          <cell r="F24">
            <v>1</v>
          </cell>
          <cell r="G24">
            <v>0</v>
          </cell>
          <cell r="H24">
            <v>1</v>
          </cell>
          <cell r="I24">
            <v>0</v>
          </cell>
          <cell r="J24">
            <v>1</v>
          </cell>
          <cell r="K24">
            <v>0</v>
          </cell>
          <cell r="L24">
            <v>1</v>
          </cell>
          <cell r="M24">
            <v>0</v>
          </cell>
          <cell r="N24">
            <v>0</v>
          </cell>
          <cell r="O24">
            <v>1</v>
          </cell>
          <cell r="P24">
            <v>0</v>
          </cell>
          <cell r="Q24">
            <v>0</v>
          </cell>
          <cell r="R24" t="str">
            <v>过热</v>
          </cell>
          <cell r="S24">
            <v>0</v>
          </cell>
          <cell r="T24">
            <v>1</v>
          </cell>
          <cell r="U24">
            <v>0</v>
          </cell>
          <cell r="V24">
            <v>0</v>
          </cell>
          <cell r="W24" t="str">
            <v>过热</v>
          </cell>
          <cell r="X24">
            <v>0</v>
          </cell>
          <cell r="Y24">
            <v>1</v>
          </cell>
          <cell r="Z24">
            <v>0</v>
          </cell>
          <cell r="AA24">
            <v>0</v>
          </cell>
          <cell r="AB24" t="str">
            <v>过热</v>
          </cell>
        </row>
        <row r="25">
          <cell r="A25">
            <v>37437</v>
          </cell>
          <cell r="B25">
            <v>12.4</v>
          </cell>
          <cell r="C25">
            <v>-0.8</v>
          </cell>
          <cell r="D25">
            <v>-2.5</v>
          </cell>
          <cell r="E25">
            <v>-1.48</v>
          </cell>
          <cell r="F25">
            <v>1</v>
          </cell>
          <cell r="G25">
            <v>0</v>
          </cell>
          <cell r="H25">
            <v>1</v>
          </cell>
          <cell r="I25">
            <v>0</v>
          </cell>
          <cell r="J25">
            <v>1</v>
          </cell>
          <cell r="K25">
            <v>0</v>
          </cell>
          <cell r="L25">
            <v>1</v>
          </cell>
          <cell r="M25">
            <v>0</v>
          </cell>
          <cell r="N25">
            <v>0</v>
          </cell>
          <cell r="O25">
            <v>1</v>
          </cell>
          <cell r="P25">
            <v>0</v>
          </cell>
          <cell r="Q25">
            <v>0</v>
          </cell>
          <cell r="R25" t="str">
            <v>过热</v>
          </cell>
          <cell r="S25">
            <v>0</v>
          </cell>
          <cell r="T25">
            <v>1</v>
          </cell>
          <cell r="U25">
            <v>0</v>
          </cell>
          <cell r="V25">
            <v>0</v>
          </cell>
          <cell r="W25" t="str">
            <v>过热</v>
          </cell>
          <cell r="X25">
            <v>0</v>
          </cell>
          <cell r="Y25">
            <v>1</v>
          </cell>
          <cell r="Z25">
            <v>0</v>
          </cell>
          <cell r="AA25">
            <v>0</v>
          </cell>
          <cell r="AB25" t="str">
            <v>过热</v>
          </cell>
        </row>
        <row r="26">
          <cell r="A26">
            <v>37468</v>
          </cell>
          <cell r="B26">
            <v>12.8</v>
          </cell>
          <cell r="C26">
            <v>-0.9</v>
          </cell>
          <cell r="D26">
            <v>-2.2999999999999998</v>
          </cell>
          <cell r="E26">
            <v>-1.46</v>
          </cell>
          <cell r="F26">
            <v>1</v>
          </cell>
          <cell r="G26">
            <v>0</v>
          </cell>
          <cell r="H26">
            <v>1</v>
          </cell>
          <cell r="I26">
            <v>0</v>
          </cell>
          <cell r="J26">
            <v>1</v>
          </cell>
          <cell r="K26">
            <v>0</v>
          </cell>
          <cell r="L26">
            <v>1</v>
          </cell>
          <cell r="M26">
            <v>0</v>
          </cell>
          <cell r="N26">
            <v>0</v>
          </cell>
          <cell r="O26">
            <v>1</v>
          </cell>
          <cell r="P26">
            <v>0</v>
          </cell>
          <cell r="Q26">
            <v>0</v>
          </cell>
          <cell r="R26" t="str">
            <v>过热</v>
          </cell>
          <cell r="S26">
            <v>0</v>
          </cell>
          <cell r="T26">
            <v>1</v>
          </cell>
          <cell r="U26">
            <v>0</v>
          </cell>
          <cell r="V26">
            <v>0</v>
          </cell>
          <cell r="W26" t="str">
            <v>过热</v>
          </cell>
          <cell r="X26">
            <v>0</v>
          </cell>
          <cell r="Y26">
            <v>1</v>
          </cell>
          <cell r="Z26">
            <v>0</v>
          </cell>
          <cell r="AA26">
            <v>0</v>
          </cell>
          <cell r="AB26" t="str">
            <v>过热</v>
          </cell>
        </row>
        <row r="27">
          <cell r="A27">
            <v>37499</v>
          </cell>
          <cell r="B27">
            <v>12.7</v>
          </cell>
          <cell r="C27">
            <v>-0.7</v>
          </cell>
          <cell r="D27">
            <v>-1.7</v>
          </cell>
          <cell r="E27">
            <v>-1.1000000000000001</v>
          </cell>
          <cell r="F27">
            <v>1</v>
          </cell>
          <cell r="G27">
            <v>0</v>
          </cell>
          <cell r="H27">
            <v>1</v>
          </cell>
          <cell r="I27">
            <v>0</v>
          </cell>
          <cell r="J27">
            <v>1</v>
          </cell>
          <cell r="K27">
            <v>0</v>
          </cell>
          <cell r="L27">
            <v>1</v>
          </cell>
          <cell r="M27">
            <v>0</v>
          </cell>
          <cell r="N27">
            <v>0</v>
          </cell>
          <cell r="O27">
            <v>1</v>
          </cell>
          <cell r="P27">
            <v>0</v>
          </cell>
          <cell r="Q27">
            <v>0</v>
          </cell>
          <cell r="R27" t="str">
            <v>过热</v>
          </cell>
          <cell r="S27">
            <v>0</v>
          </cell>
          <cell r="T27">
            <v>1</v>
          </cell>
          <cell r="U27">
            <v>0</v>
          </cell>
          <cell r="V27">
            <v>0</v>
          </cell>
          <cell r="W27" t="str">
            <v>过热</v>
          </cell>
          <cell r="X27">
            <v>0</v>
          </cell>
          <cell r="Y27">
            <v>1</v>
          </cell>
          <cell r="Z27">
            <v>0</v>
          </cell>
          <cell r="AA27">
            <v>0</v>
          </cell>
          <cell r="AB27" t="str">
            <v>过热</v>
          </cell>
        </row>
        <row r="28">
          <cell r="A28">
            <v>37529</v>
          </cell>
          <cell r="B28">
            <v>13.8</v>
          </cell>
          <cell r="C28">
            <v>-0.7</v>
          </cell>
          <cell r="D28">
            <v>-1.4</v>
          </cell>
          <cell r="E28">
            <v>-0.98</v>
          </cell>
          <cell r="F28">
            <v>1</v>
          </cell>
          <cell r="G28">
            <v>0</v>
          </cell>
          <cell r="H28">
            <v>1</v>
          </cell>
          <cell r="I28">
            <v>0</v>
          </cell>
          <cell r="J28">
            <v>1</v>
          </cell>
          <cell r="K28">
            <v>0</v>
          </cell>
          <cell r="L28">
            <v>1</v>
          </cell>
          <cell r="M28">
            <v>0</v>
          </cell>
          <cell r="N28">
            <v>0</v>
          </cell>
          <cell r="O28">
            <v>1</v>
          </cell>
          <cell r="P28">
            <v>0</v>
          </cell>
          <cell r="Q28">
            <v>0</v>
          </cell>
          <cell r="R28" t="str">
            <v>过热</v>
          </cell>
          <cell r="S28">
            <v>0</v>
          </cell>
          <cell r="T28">
            <v>1</v>
          </cell>
          <cell r="U28">
            <v>0</v>
          </cell>
          <cell r="V28">
            <v>0</v>
          </cell>
          <cell r="W28" t="str">
            <v>过热</v>
          </cell>
          <cell r="X28">
            <v>0</v>
          </cell>
          <cell r="Y28">
            <v>1</v>
          </cell>
          <cell r="Z28">
            <v>0</v>
          </cell>
          <cell r="AA28">
            <v>0</v>
          </cell>
          <cell r="AB28" t="str">
            <v>过热</v>
          </cell>
        </row>
        <row r="29">
          <cell r="A29">
            <v>37560</v>
          </cell>
          <cell r="B29">
            <v>14.2</v>
          </cell>
          <cell r="C29">
            <v>-0.8</v>
          </cell>
          <cell r="D29">
            <v>-1</v>
          </cell>
          <cell r="E29">
            <v>-0.88</v>
          </cell>
          <cell r="F29">
            <v>1</v>
          </cell>
          <cell r="G29">
            <v>0</v>
          </cell>
          <cell r="H29">
            <v>1</v>
          </cell>
          <cell r="I29">
            <v>0</v>
          </cell>
          <cell r="J29">
            <v>1</v>
          </cell>
          <cell r="K29">
            <v>0</v>
          </cell>
          <cell r="L29">
            <v>1</v>
          </cell>
          <cell r="M29">
            <v>0</v>
          </cell>
          <cell r="N29">
            <v>0</v>
          </cell>
          <cell r="O29">
            <v>1</v>
          </cell>
          <cell r="P29">
            <v>0</v>
          </cell>
          <cell r="Q29">
            <v>0</v>
          </cell>
          <cell r="R29" t="str">
            <v>过热</v>
          </cell>
          <cell r="S29">
            <v>0</v>
          </cell>
          <cell r="T29">
            <v>1</v>
          </cell>
          <cell r="U29">
            <v>0</v>
          </cell>
          <cell r="V29">
            <v>0</v>
          </cell>
          <cell r="W29" t="str">
            <v>过热</v>
          </cell>
          <cell r="X29">
            <v>0</v>
          </cell>
          <cell r="Y29">
            <v>1</v>
          </cell>
          <cell r="Z29">
            <v>0</v>
          </cell>
          <cell r="AA29">
            <v>0</v>
          </cell>
          <cell r="AB29" t="str">
            <v>过热</v>
          </cell>
        </row>
        <row r="30">
          <cell r="A30">
            <v>37590</v>
          </cell>
          <cell r="B30">
            <v>14.5</v>
          </cell>
          <cell r="C30">
            <v>-0.7</v>
          </cell>
          <cell r="D30">
            <v>-0.4</v>
          </cell>
          <cell r="E30">
            <v>-0.58000000000000007</v>
          </cell>
          <cell r="F30">
            <v>1</v>
          </cell>
          <cell r="G30">
            <v>0</v>
          </cell>
          <cell r="H30">
            <v>1</v>
          </cell>
          <cell r="I30">
            <v>0</v>
          </cell>
          <cell r="J30">
            <v>1</v>
          </cell>
          <cell r="K30">
            <v>0</v>
          </cell>
          <cell r="L30">
            <v>1</v>
          </cell>
          <cell r="M30">
            <v>0</v>
          </cell>
          <cell r="N30">
            <v>0</v>
          </cell>
          <cell r="O30">
            <v>1</v>
          </cell>
          <cell r="P30">
            <v>0</v>
          </cell>
          <cell r="Q30">
            <v>0</v>
          </cell>
          <cell r="R30" t="str">
            <v>过热</v>
          </cell>
          <cell r="S30">
            <v>0</v>
          </cell>
          <cell r="T30">
            <v>1</v>
          </cell>
          <cell r="U30">
            <v>0</v>
          </cell>
          <cell r="V30">
            <v>0</v>
          </cell>
          <cell r="W30" t="str">
            <v>过热</v>
          </cell>
          <cell r="X30">
            <v>0</v>
          </cell>
          <cell r="Y30">
            <v>1</v>
          </cell>
          <cell r="Z30">
            <v>0</v>
          </cell>
          <cell r="AA30">
            <v>0</v>
          </cell>
          <cell r="AB30" t="str">
            <v>过热</v>
          </cell>
        </row>
        <row r="31">
          <cell r="A31">
            <v>37621</v>
          </cell>
          <cell r="B31">
            <v>14.9</v>
          </cell>
          <cell r="C31">
            <v>-0.4</v>
          </cell>
          <cell r="D31">
            <v>0.4</v>
          </cell>
          <cell r="E31">
            <v>-7.999999999999996E-2</v>
          </cell>
          <cell r="F31">
            <v>1</v>
          </cell>
          <cell r="G31">
            <v>0</v>
          </cell>
          <cell r="H31">
            <v>1</v>
          </cell>
          <cell r="I31">
            <v>0</v>
          </cell>
          <cell r="J31">
            <v>1</v>
          </cell>
          <cell r="K31">
            <v>0</v>
          </cell>
          <cell r="L31">
            <v>1</v>
          </cell>
          <cell r="M31">
            <v>0</v>
          </cell>
          <cell r="N31">
            <v>0</v>
          </cell>
          <cell r="O31">
            <v>1</v>
          </cell>
          <cell r="P31">
            <v>0</v>
          </cell>
          <cell r="Q31">
            <v>0</v>
          </cell>
          <cell r="R31" t="str">
            <v>过热</v>
          </cell>
          <cell r="S31">
            <v>0</v>
          </cell>
          <cell r="T31">
            <v>1</v>
          </cell>
          <cell r="U31">
            <v>0</v>
          </cell>
          <cell r="V31">
            <v>0</v>
          </cell>
          <cell r="W31" t="str">
            <v>过热</v>
          </cell>
          <cell r="X31">
            <v>0</v>
          </cell>
          <cell r="Y31">
            <v>1</v>
          </cell>
          <cell r="Z31">
            <v>0</v>
          </cell>
          <cell r="AA31">
            <v>0</v>
          </cell>
          <cell r="AB31" t="str">
            <v>过热</v>
          </cell>
        </row>
        <row r="32">
          <cell r="A32">
            <v>37680</v>
          </cell>
          <cell r="B32">
            <v>17.5</v>
          </cell>
          <cell r="C32">
            <v>0.3</v>
          </cell>
          <cell r="D32">
            <v>3.2</v>
          </cell>
          <cell r="E32">
            <v>1.4600000000000002</v>
          </cell>
          <cell r="F32">
            <v>1</v>
          </cell>
          <cell r="G32">
            <v>0</v>
          </cell>
          <cell r="H32">
            <v>1</v>
          </cell>
          <cell r="I32">
            <v>0</v>
          </cell>
          <cell r="J32">
            <v>1</v>
          </cell>
          <cell r="K32">
            <v>0</v>
          </cell>
          <cell r="L32">
            <v>1</v>
          </cell>
          <cell r="M32">
            <v>0</v>
          </cell>
          <cell r="N32">
            <v>0</v>
          </cell>
          <cell r="O32">
            <v>1</v>
          </cell>
          <cell r="P32">
            <v>0</v>
          </cell>
          <cell r="Q32">
            <v>0</v>
          </cell>
          <cell r="R32" t="str">
            <v>过热</v>
          </cell>
          <cell r="S32">
            <v>0</v>
          </cell>
          <cell r="T32">
            <v>1</v>
          </cell>
          <cell r="U32">
            <v>0</v>
          </cell>
          <cell r="V32">
            <v>0</v>
          </cell>
          <cell r="W32" t="str">
            <v>过热</v>
          </cell>
          <cell r="X32">
            <v>0</v>
          </cell>
          <cell r="Y32">
            <v>1</v>
          </cell>
          <cell r="Z32">
            <v>0</v>
          </cell>
          <cell r="AA32">
            <v>0</v>
          </cell>
          <cell r="AB32" t="str">
            <v>过热</v>
          </cell>
        </row>
        <row r="33">
          <cell r="A33">
            <v>37711</v>
          </cell>
          <cell r="B33">
            <v>16.899999999999999</v>
          </cell>
          <cell r="C33">
            <v>0.9</v>
          </cell>
          <cell r="D33">
            <v>4.5999999999999996</v>
          </cell>
          <cell r="E33">
            <v>2.38</v>
          </cell>
          <cell r="F33">
            <v>0</v>
          </cell>
          <cell r="G33">
            <v>1</v>
          </cell>
          <cell r="H33">
            <v>1</v>
          </cell>
          <cell r="I33">
            <v>0</v>
          </cell>
          <cell r="J33">
            <v>1</v>
          </cell>
          <cell r="K33">
            <v>0</v>
          </cell>
          <cell r="L33">
            <v>1</v>
          </cell>
          <cell r="M33">
            <v>0</v>
          </cell>
          <cell r="N33">
            <v>0</v>
          </cell>
          <cell r="O33">
            <v>0</v>
          </cell>
          <cell r="P33">
            <v>1</v>
          </cell>
          <cell r="Q33">
            <v>0</v>
          </cell>
          <cell r="R33" t="str">
            <v>滞涨</v>
          </cell>
          <cell r="S33">
            <v>0</v>
          </cell>
          <cell r="T33">
            <v>0</v>
          </cell>
          <cell r="U33">
            <v>1</v>
          </cell>
          <cell r="V33">
            <v>0</v>
          </cell>
          <cell r="W33" t="str">
            <v>滞涨</v>
          </cell>
          <cell r="X33">
            <v>0</v>
          </cell>
          <cell r="Y33">
            <v>0</v>
          </cell>
          <cell r="Z33">
            <v>1</v>
          </cell>
          <cell r="AA33">
            <v>0</v>
          </cell>
          <cell r="AB33" t="str">
            <v>滞涨</v>
          </cell>
        </row>
        <row r="34">
          <cell r="A34">
            <v>37741</v>
          </cell>
          <cell r="B34">
            <v>14.9</v>
          </cell>
          <cell r="C34">
            <v>1</v>
          </cell>
          <cell r="D34">
            <v>3.6</v>
          </cell>
          <cell r="E34">
            <v>2.04</v>
          </cell>
          <cell r="F34">
            <v>0</v>
          </cell>
          <cell r="G34">
            <v>1</v>
          </cell>
          <cell r="H34">
            <v>1</v>
          </cell>
          <cell r="I34">
            <v>0</v>
          </cell>
          <cell r="J34">
            <v>0</v>
          </cell>
          <cell r="K34">
            <v>1</v>
          </cell>
          <cell r="L34">
            <v>0</v>
          </cell>
          <cell r="M34">
            <v>1</v>
          </cell>
          <cell r="N34">
            <v>0</v>
          </cell>
          <cell r="O34">
            <v>0</v>
          </cell>
          <cell r="P34">
            <v>1</v>
          </cell>
          <cell r="Q34">
            <v>0</v>
          </cell>
          <cell r="R34" t="str">
            <v>滞涨</v>
          </cell>
          <cell r="S34">
            <v>0</v>
          </cell>
          <cell r="T34">
            <v>0</v>
          </cell>
          <cell r="U34">
            <v>0</v>
          </cell>
          <cell r="V34">
            <v>1</v>
          </cell>
          <cell r="W34" t="str">
            <v>衰退</v>
          </cell>
          <cell r="X34">
            <v>0</v>
          </cell>
          <cell r="Y34">
            <v>0</v>
          </cell>
          <cell r="Z34">
            <v>0</v>
          </cell>
          <cell r="AA34">
            <v>1</v>
          </cell>
          <cell r="AB34" t="str">
            <v>衰退</v>
          </cell>
        </row>
        <row r="35">
          <cell r="A35">
            <v>37772</v>
          </cell>
          <cell r="B35">
            <v>13.7</v>
          </cell>
          <cell r="C35">
            <v>0.7</v>
          </cell>
          <cell r="D35">
            <v>2</v>
          </cell>
          <cell r="E35">
            <v>1.22</v>
          </cell>
          <cell r="F35">
            <v>0</v>
          </cell>
          <cell r="G35">
            <v>1</v>
          </cell>
          <cell r="H35">
            <v>1</v>
          </cell>
          <cell r="I35">
            <v>0</v>
          </cell>
          <cell r="J35">
            <v>0</v>
          </cell>
          <cell r="K35">
            <v>1</v>
          </cell>
          <cell r="L35">
            <v>0</v>
          </cell>
          <cell r="M35">
            <v>1</v>
          </cell>
          <cell r="N35">
            <v>0</v>
          </cell>
          <cell r="O35">
            <v>0</v>
          </cell>
          <cell r="P35">
            <v>1</v>
          </cell>
          <cell r="Q35">
            <v>0</v>
          </cell>
          <cell r="R35" t="str">
            <v>滞涨</v>
          </cell>
          <cell r="S35">
            <v>0</v>
          </cell>
          <cell r="T35">
            <v>0</v>
          </cell>
          <cell r="U35">
            <v>0</v>
          </cell>
          <cell r="V35">
            <v>1</v>
          </cell>
          <cell r="W35" t="str">
            <v>衰退</v>
          </cell>
          <cell r="X35">
            <v>0</v>
          </cell>
          <cell r="Y35">
            <v>0</v>
          </cell>
          <cell r="Z35">
            <v>0</v>
          </cell>
          <cell r="AA35">
            <v>1</v>
          </cell>
          <cell r="AB35" t="str">
            <v>衰退</v>
          </cell>
        </row>
        <row r="36">
          <cell r="A36">
            <v>37802</v>
          </cell>
          <cell r="B36">
            <v>16.899999999999999</v>
          </cell>
          <cell r="C36">
            <v>0.3</v>
          </cell>
          <cell r="D36">
            <v>1.3</v>
          </cell>
          <cell r="E36">
            <v>0.7</v>
          </cell>
          <cell r="F36">
            <v>1</v>
          </cell>
          <cell r="G36">
            <v>0</v>
          </cell>
          <cell r="H36">
            <v>1</v>
          </cell>
          <cell r="I36">
            <v>0</v>
          </cell>
          <cell r="J36">
            <v>0</v>
          </cell>
          <cell r="K36">
            <v>1</v>
          </cell>
          <cell r="L36">
            <v>0</v>
          </cell>
          <cell r="M36">
            <v>1</v>
          </cell>
          <cell r="N36">
            <v>0</v>
          </cell>
          <cell r="O36">
            <v>1</v>
          </cell>
          <cell r="P36">
            <v>0</v>
          </cell>
          <cell r="Q36">
            <v>0</v>
          </cell>
          <cell r="R36" t="str">
            <v>过热</v>
          </cell>
          <cell r="S36">
            <v>1</v>
          </cell>
          <cell r="T36">
            <v>0</v>
          </cell>
          <cell r="U36">
            <v>0</v>
          </cell>
          <cell r="V36">
            <v>0</v>
          </cell>
          <cell r="W36" t="str">
            <v>复苏</v>
          </cell>
          <cell r="X36">
            <v>1</v>
          </cell>
          <cell r="Y36">
            <v>0</v>
          </cell>
          <cell r="Z36">
            <v>0</v>
          </cell>
          <cell r="AA36">
            <v>0</v>
          </cell>
          <cell r="AB36" t="str">
            <v>复苏</v>
          </cell>
        </row>
        <row r="37">
          <cell r="A37">
            <v>37833</v>
          </cell>
          <cell r="B37">
            <v>16.5</v>
          </cell>
          <cell r="C37">
            <v>0.5</v>
          </cell>
          <cell r="D37">
            <v>1.4</v>
          </cell>
          <cell r="E37">
            <v>0.85999999999999988</v>
          </cell>
          <cell r="F37">
            <v>1</v>
          </cell>
          <cell r="G37">
            <v>0</v>
          </cell>
          <cell r="H37">
            <v>1</v>
          </cell>
          <cell r="I37">
            <v>0</v>
          </cell>
          <cell r="J37">
            <v>0</v>
          </cell>
          <cell r="K37">
            <v>1</v>
          </cell>
          <cell r="L37">
            <v>1</v>
          </cell>
          <cell r="M37">
            <v>0</v>
          </cell>
          <cell r="N37">
            <v>0</v>
          </cell>
          <cell r="O37">
            <v>1</v>
          </cell>
          <cell r="P37">
            <v>0</v>
          </cell>
          <cell r="Q37">
            <v>0</v>
          </cell>
          <cell r="R37" t="str">
            <v>过热</v>
          </cell>
          <cell r="S37">
            <v>1</v>
          </cell>
          <cell r="T37">
            <v>0</v>
          </cell>
          <cell r="U37">
            <v>0</v>
          </cell>
          <cell r="V37">
            <v>0</v>
          </cell>
          <cell r="W37" t="str">
            <v>复苏</v>
          </cell>
          <cell r="X37">
            <v>0</v>
          </cell>
          <cell r="Y37">
            <v>1</v>
          </cell>
          <cell r="Z37">
            <v>0</v>
          </cell>
          <cell r="AA37">
            <v>0</v>
          </cell>
          <cell r="AB37" t="str">
            <v>过热</v>
          </cell>
        </row>
        <row r="38">
          <cell r="A38">
            <v>37864</v>
          </cell>
          <cell r="B38">
            <v>17.100000000000001</v>
          </cell>
          <cell r="C38">
            <v>0.9</v>
          </cell>
          <cell r="D38">
            <v>1.4</v>
          </cell>
          <cell r="E38">
            <v>1.1000000000000001</v>
          </cell>
          <cell r="F38">
            <v>1</v>
          </cell>
          <cell r="G38">
            <v>0</v>
          </cell>
          <cell r="H38">
            <v>1</v>
          </cell>
          <cell r="I38">
            <v>0</v>
          </cell>
          <cell r="J38">
            <v>0</v>
          </cell>
          <cell r="K38">
            <v>1</v>
          </cell>
          <cell r="L38">
            <v>1</v>
          </cell>
          <cell r="M38">
            <v>0</v>
          </cell>
          <cell r="N38">
            <v>0</v>
          </cell>
          <cell r="O38">
            <v>1</v>
          </cell>
          <cell r="P38">
            <v>0</v>
          </cell>
          <cell r="Q38">
            <v>0</v>
          </cell>
          <cell r="R38" t="str">
            <v>过热</v>
          </cell>
          <cell r="S38">
            <v>1</v>
          </cell>
          <cell r="T38">
            <v>0</v>
          </cell>
          <cell r="U38">
            <v>0</v>
          </cell>
          <cell r="V38">
            <v>0</v>
          </cell>
          <cell r="W38" t="str">
            <v>复苏</v>
          </cell>
          <cell r="X38">
            <v>0</v>
          </cell>
          <cell r="Y38">
            <v>1</v>
          </cell>
          <cell r="Z38">
            <v>0</v>
          </cell>
          <cell r="AA38">
            <v>0</v>
          </cell>
          <cell r="AB38" t="str">
            <v>过热</v>
          </cell>
        </row>
        <row r="39">
          <cell r="A39">
            <v>37894</v>
          </cell>
          <cell r="B39">
            <v>16.3</v>
          </cell>
          <cell r="C39">
            <v>1.1000000000000001</v>
          </cell>
          <cell r="D39">
            <v>1.4</v>
          </cell>
          <cell r="E39">
            <v>1.22</v>
          </cell>
          <cell r="F39">
            <v>1</v>
          </cell>
          <cell r="G39">
            <v>0</v>
          </cell>
          <cell r="H39">
            <v>1</v>
          </cell>
          <cell r="I39">
            <v>0</v>
          </cell>
          <cell r="J39">
            <v>0</v>
          </cell>
          <cell r="K39">
            <v>1</v>
          </cell>
          <cell r="L39">
            <v>1</v>
          </cell>
          <cell r="M39">
            <v>0</v>
          </cell>
          <cell r="N39">
            <v>0</v>
          </cell>
          <cell r="O39">
            <v>1</v>
          </cell>
          <cell r="P39">
            <v>0</v>
          </cell>
          <cell r="Q39">
            <v>0</v>
          </cell>
          <cell r="R39" t="str">
            <v>过热</v>
          </cell>
          <cell r="S39">
            <v>1</v>
          </cell>
          <cell r="T39">
            <v>0</v>
          </cell>
          <cell r="U39">
            <v>0</v>
          </cell>
          <cell r="V39">
            <v>0</v>
          </cell>
          <cell r="W39" t="str">
            <v>复苏</v>
          </cell>
          <cell r="X39">
            <v>0</v>
          </cell>
          <cell r="Y39">
            <v>1</v>
          </cell>
          <cell r="Z39">
            <v>0</v>
          </cell>
          <cell r="AA39">
            <v>0</v>
          </cell>
          <cell r="AB39" t="str">
            <v>过热</v>
          </cell>
        </row>
        <row r="40">
          <cell r="A40">
            <v>37925</v>
          </cell>
          <cell r="B40">
            <v>17.2</v>
          </cell>
          <cell r="C40">
            <v>1.8</v>
          </cell>
          <cell r="D40">
            <v>1.2</v>
          </cell>
          <cell r="E40">
            <v>1.56</v>
          </cell>
          <cell r="F40">
            <v>1</v>
          </cell>
          <cell r="G40">
            <v>0</v>
          </cell>
          <cell r="H40">
            <v>1</v>
          </cell>
          <cell r="I40">
            <v>0</v>
          </cell>
          <cell r="J40">
            <v>0</v>
          </cell>
          <cell r="K40">
            <v>1</v>
          </cell>
          <cell r="L40">
            <v>1</v>
          </cell>
          <cell r="M40">
            <v>0</v>
          </cell>
          <cell r="N40">
            <v>0</v>
          </cell>
          <cell r="O40">
            <v>1</v>
          </cell>
          <cell r="P40">
            <v>0</v>
          </cell>
          <cell r="Q40">
            <v>0</v>
          </cell>
          <cell r="R40" t="str">
            <v>过热</v>
          </cell>
          <cell r="S40">
            <v>1</v>
          </cell>
          <cell r="T40">
            <v>0</v>
          </cell>
          <cell r="U40">
            <v>0</v>
          </cell>
          <cell r="V40">
            <v>0</v>
          </cell>
          <cell r="W40" t="str">
            <v>复苏</v>
          </cell>
          <cell r="X40">
            <v>0</v>
          </cell>
          <cell r="Y40">
            <v>1</v>
          </cell>
          <cell r="Z40">
            <v>0</v>
          </cell>
          <cell r="AA40">
            <v>0</v>
          </cell>
          <cell r="AB40" t="str">
            <v>过热</v>
          </cell>
        </row>
        <row r="41">
          <cell r="A41">
            <v>37955</v>
          </cell>
          <cell r="B41">
            <v>17.899999999999999</v>
          </cell>
          <cell r="C41">
            <v>3</v>
          </cell>
          <cell r="D41">
            <v>1.9</v>
          </cell>
          <cell r="E41">
            <v>2.5599999999999996</v>
          </cell>
          <cell r="F41">
            <v>1</v>
          </cell>
          <cell r="G41">
            <v>0</v>
          </cell>
          <cell r="H41">
            <v>1</v>
          </cell>
          <cell r="I41">
            <v>0</v>
          </cell>
          <cell r="J41">
            <v>1</v>
          </cell>
          <cell r="K41">
            <v>0</v>
          </cell>
          <cell r="L41">
            <v>1</v>
          </cell>
          <cell r="M41">
            <v>0</v>
          </cell>
          <cell r="N41">
            <v>0</v>
          </cell>
          <cell r="O41">
            <v>1</v>
          </cell>
          <cell r="P41">
            <v>0</v>
          </cell>
          <cell r="Q41">
            <v>0</v>
          </cell>
          <cell r="R41" t="str">
            <v>过热</v>
          </cell>
          <cell r="S41">
            <v>0</v>
          </cell>
          <cell r="T41">
            <v>1</v>
          </cell>
          <cell r="U41">
            <v>0</v>
          </cell>
          <cell r="V41">
            <v>0</v>
          </cell>
          <cell r="W41" t="str">
            <v>过热</v>
          </cell>
          <cell r="X41">
            <v>0</v>
          </cell>
          <cell r="Y41">
            <v>1</v>
          </cell>
          <cell r="Z41">
            <v>0</v>
          </cell>
          <cell r="AA41">
            <v>0</v>
          </cell>
          <cell r="AB41" t="str">
            <v>过热</v>
          </cell>
        </row>
        <row r="42">
          <cell r="A42">
            <v>37986</v>
          </cell>
          <cell r="B42">
            <v>18.100000000000001</v>
          </cell>
          <cell r="C42">
            <v>3.2</v>
          </cell>
          <cell r="D42">
            <v>3</v>
          </cell>
          <cell r="E42">
            <v>3.12</v>
          </cell>
          <cell r="F42">
            <v>1</v>
          </cell>
          <cell r="G42">
            <v>0</v>
          </cell>
          <cell r="H42">
            <v>1</v>
          </cell>
          <cell r="I42">
            <v>0</v>
          </cell>
          <cell r="J42">
            <v>1</v>
          </cell>
          <cell r="K42">
            <v>0</v>
          </cell>
          <cell r="L42">
            <v>1</v>
          </cell>
          <cell r="M42">
            <v>0</v>
          </cell>
          <cell r="N42">
            <v>0</v>
          </cell>
          <cell r="O42">
            <v>1</v>
          </cell>
          <cell r="P42">
            <v>0</v>
          </cell>
          <cell r="Q42">
            <v>0</v>
          </cell>
          <cell r="R42" t="str">
            <v>过热</v>
          </cell>
          <cell r="S42">
            <v>0</v>
          </cell>
          <cell r="T42">
            <v>1</v>
          </cell>
          <cell r="U42">
            <v>0</v>
          </cell>
          <cell r="V42">
            <v>0</v>
          </cell>
          <cell r="W42" t="str">
            <v>过热</v>
          </cell>
          <cell r="X42">
            <v>0</v>
          </cell>
          <cell r="Y42">
            <v>1</v>
          </cell>
          <cell r="Z42">
            <v>0</v>
          </cell>
          <cell r="AA42">
            <v>0</v>
          </cell>
          <cell r="AB42" t="str">
            <v>过热</v>
          </cell>
        </row>
        <row r="43">
          <cell r="A43">
            <v>38046</v>
          </cell>
          <cell r="B43">
            <v>16.600000000000001</v>
          </cell>
          <cell r="C43">
            <v>2.6</v>
          </cell>
          <cell r="D43">
            <v>3.5</v>
          </cell>
          <cell r="E43">
            <v>2.96</v>
          </cell>
          <cell r="F43">
            <v>1</v>
          </cell>
          <cell r="G43">
            <v>0</v>
          </cell>
          <cell r="H43">
            <v>1</v>
          </cell>
          <cell r="I43">
            <v>0</v>
          </cell>
          <cell r="J43">
            <v>1</v>
          </cell>
          <cell r="K43">
            <v>0</v>
          </cell>
          <cell r="L43">
            <v>1</v>
          </cell>
          <cell r="M43">
            <v>0</v>
          </cell>
          <cell r="N43">
            <v>0</v>
          </cell>
          <cell r="O43">
            <v>1</v>
          </cell>
          <cell r="P43">
            <v>0</v>
          </cell>
          <cell r="Q43">
            <v>0</v>
          </cell>
          <cell r="R43" t="str">
            <v>过热</v>
          </cell>
          <cell r="S43">
            <v>0</v>
          </cell>
          <cell r="T43">
            <v>1</v>
          </cell>
          <cell r="U43">
            <v>0</v>
          </cell>
          <cell r="V43">
            <v>0</v>
          </cell>
          <cell r="W43" t="str">
            <v>过热</v>
          </cell>
          <cell r="X43">
            <v>0</v>
          </cell>
          <cell r="Y43">
            <v>1</v>
          </cell>
          <cell r="Z43">
            <v>0</v>
          </cell>
          <cell r="AA43">
            <v>0</v>
          </cell>
          <cell r="AB43" t="str">
            <v>过热</v>
          </cell>
        </row>
        <row r="44">
          <cell r="A44">
            <v>38077</v>
          </cell>
          <cell r="B44">
            <v>19.399999999999999</v>
          </cell>
          <cell r="C44">
            <v>3</v>
          </cell>
          <cell r="D44">
            <v>4</v>
          </cell>
          <cell r="E44">
            <v>3.4</v>
          </cell>
          <cell r="F44">
            <v>1</v>
          </cell>
          <cell r="G44">
            <v>0</v>
          </cell>
          <cell r="H44">
            <v>1</v>
          </cell>
          <cell r="I44">
            <v>0</v>
          </cell>
          <cell r="J44">
            <v>1</v>
          </cell>
          <cell r="K44">
            <v>0</v>
          </cell>
          <cell r="L44">
            <v>1</v>
          </cell>
          <cell r="M44">
            <v>0</v>
          </cell>
          <cell r="N44">
            <v>0</v>
          </cell>
          <cell r="O44">
            <v>1</v>
          </cell>
          <cell r="P44">
            <v>0</v>
          </cell>
          <cell r="Q44">
            <v>0</v>
          </cell>
          <cell r="R44" t="str">
            <v>过热</v>
          </cell>
          <cell r="S44">
            <v>0</v>
          </cell>
          <cell r="T44">
            <v>1</v>
          </cell>
          <cell r="U44">
            <v>0</v>
          </cell>
          <cell r="V44">
            <v>0</v>
          </cell>
          <cell r="W44" t="str">
            <v>过热</v>
          </cell>
          <cell r="X44">
            <v>0</v>
          </cell>
          <cell r="Y44">
            <v>1</v>
          </cell>
          <cell r="Z44">
            <v>0</v>
          </cell>
          <cell r="AA44">
            <v>0</v>
          </cell>
          <cell r="AB44" t="str">
            <v>过热</v>
          </cell>
        </row>
        <row r="45">
          <cell r="A45">
            <v>38107</v>
          </cell>
          <cell r="B45">
            <v>19.100000000000001</v>
          </cell>
          <cell r="C45">
            <v>3.8</v>
          </cell>
          <cell r="D45">
            <v>5</v>
          </cell>
          <cell r="E45">
            <v>4.2799999999999994</v>
          </cell>
          <cell r="F45">
            <v>0</v>
          </cell>
          <cell r="G45">
            <v>1</v>
          </cell>
          <cell r="H45">
            <v>1</v>
          </cell>
          <cell r="I45">
            <v>0</v>
          </cell>
          <cell r="J45">
            <v>1</v>
          </cell>
          <cell r="K45">
            <v>0</v>
          </cell>
          <cell r="L45">
            <v>1</v>
          </cell>
          <cell r="M45">
            <v>0</v>
          </cell>
          <cell r="N45">
            <v>0</v>
          </cell>
          <cell r="O45">
            <v>0</v>
          </cell>
          <cell r="P45">
            <v>1</v>
          </cell>
          <cell r="Q45">
            <v>0</v>
          </cell>
          <cell r="R45" t="str">
            <v>滞涨</v>
          </cell>
          <cell r="S45">
            <v>0</v>
          </cell>
          <cell r="T45">
            <v>0</v>
          </cell>
          <cell r="U45">
            <v>1</v>
          </cell>
          <cell r="V45">
            <v>0</v>
          </cell>
          <cell r="W45" t="str">
            <v>滞涨</v>
          </cell>
          <cell r="X45">
            <v>0</v>
          </cell>
          <cell r="Y45">
            <v>0</v>
          </cell>
          <cell r="Z45">
            <v>1</v>
          </cell>
          <cell r="AA45">
            <v>0</v>
          </cell>
          <cell r="AB45" t="str">
            <v>滞涨</v>
          </cell>
        </row>
        <row r="46">
          <cell r="A46">
            <v>38138</v>
          </cell>
          <cell r="B46">
            <v>17.5</v>
          </cell>
          <cell r="C46">
            <v>4.4000000000000004</v>
          </cell>
          <cell r="D46">
            <v>5.7</v>
          </cell>
          <cell r="E46">
            <v>4.92</v>
          </cell>
          <cell r="F46">
            <v>0</v>
          </cell>
          <cell r="G46">
            <v>1</v>
          </cell>
          <cell r="H46">
            <v>1</v>
          </cell>
          <cell r="I46">
            <v>0</v>
          </cell>
          <cell r="J46">
            <v>1</v>
          </cell>
          <cell r="K46">
            <v>0</v>
          </cell>
          <cell r="L46">
            <v>1</v>
          </cell>
          <cell r="M46">
            <v>0</v>
          </cell>
          <cell r="N46">
            <v>0</v>
          </cell>
          <cell r="O46">
            <v>0</v>
          </cell>
          <cell r="P46">
            <v>1</v>
          </cell>
          <cell r="Q46">
            <v>0</v>
          </cell>
          <cell r="R46" t="str">
            <v>滞涨</v>
          </cell>
          <cell r="S46">
            <v>0</v>
          </cell>
          <cell r="T46">
            <v>0</v>
          </cell>
          <cell r="U46">
            <v>1</v>
          </cell>
          <cell r="V46">
            <v>0</v>
          </cell>
          <cell r="W46" t="str">
            <v>滞涨</v>
          </cell>
          <cell r="X46">
            <v>0</v>
          </cell>
          <cell r="Y46">
            <v>0</v>
          </cell>
          <cell r="Z46">
            <v>1</v>
          </cell>
          <cell r="AA46">
            <v>0</v>
          </cell>
          <cell r="AB46" t="str">
            <v>滞涨</v>
          </cell>
        </row>
        <row r="47">
          <cell r="A47">
            <v>38168</v>
          </cell>
          <cell r="B47">
            <v>16.2</v>
          </cell>
          <cell r="C47">
            <v>5</v>
          </cell>
          <cell r="D47">
            <v>6.4</v>
          </cell>
          <cell r="E47">
            <v>5.5600000000000005</v>
          </cell>
          <cell r="F47">
            <v>0</v>
          </cell>
          <cell r="G47">
            <v>1</v>
          </cell>
          <cell r="H47">
            <v>1</v>
          </cell>
          <cell r="I47">
            <v>0</v>
          </cell>
          <cell r="J47">
            <v>1</v>
          </cell>
          <cell r="K47">
            <v>0</v>
          </cell>
          <cell r="L47">
            <v>1</v>
          </cell>
          <cell r="M47">
            <v>0</v>
          </cell>
          <cell r="N47">
            <v>0</v>
          </cell>
          <cell r="O47">
            <v>0</v>
          </cell>
          <cell r="P47">
            <v>1</v>
          </cell>
          <cell r="Q47">
            <v>0</v>
          </cell>
          <cell r="R47" t="str">
            <v>滞涨</v>
          </cell>
          <cell r="S47">
            <v>0</v>
          </cell>
          <cell r="T47">
            <v>0</v>
          </cell>
          <cell r="U47">
            <v>1</v>
          </cell>
          <cell r="V47">
            <v>0</v>
          </cell>
          <cell r="W47" t="str">
            <v>滞涨</v>
          </cell>
          <cell r="X47">
            <v>0</v>
          </cell>
          <cell r="Y47">
            <v>0</v>
          </cell>
          <cell r="Z47">
            <v>1</v>
          </cell>
          <cell r="AA47">
            <v>0</v>
          </cell>
          <cell r="AB47" t="str">
            <v>滞涨</v>
          </cell>
        </row>
        <row r="48">
          <cell r="A48">
            <v>38199</v>
          </cell>
          <cell r="B48">
            <v>15.5</v>
          </cell>
          <cell r="C48">
            <v>5.3</v>
          </cell>
          <cell r="D48">
            <v>6.4</v>
          </cell>
          <cell r="E48">
            <v>5.74</v>
          </cell>
          <cell r="F48">
            <v>0</v>
          </cell>
          <cell r="G48">
            <v>1</v>
          </cell>
          <cell r="H48">
            <v>1</v>
          </cell>
          <cell r="I48">
            <v>0</v>
          </cell>
          <cell r="J48">
            <v>1</v>
          </cell>
          <cell r="K48">
            <v>0</v>
          </cell>
          <cell r="L48">
            <v>1</v>
          </cell>
          <cell r="M48">
            <v>0</v>
          </cell>
          <cell r="N48">
            <v>0</v>
          </cell>
          <cell r="O48">
            <v>0</v>
          </cell>
          <cell r="P48">
            <v>1</v>
          </cell>
          <cell r="Q48">
            <v>0</v>
          </cell>
          <cell r="R48" t="str">
            <v>滞涨</v>
          </cell>
          <cell r="S48">
            <v>0</v>
          </cell>
          <cell r="T48">
            <v>0</v>
          </cell>
          <cell r="U48">
            <v>1</v>
          </cell>
          <cell r="V48">
            <v>0</v>
          </cell>
          <cell r="W48" t="str">
            <v>滞涨</v>
          </cell>
          <cell r="X48">
            <v>0</v>
          </cell>
          <cell r="Y48">
            <v>0</v>
          </cell>
          <cell r="Z48">
            <v>1</v>
          </cell>
          <cell r="AA48">
            <v>0</v>
          </cell>
          <cell r="AB48" t="str">
            <v>滞涨</v>
          </cell>
        </row>
        <row r="49">
          <cell r="A49">
            <v>38230</v>
          </cell>
          <cell r="B49">
            <v>15.9</v>
          </cell>
          <cell r="C49">
            <v>5.3</v>
          </cell>
          <cell r="D49">
            <v>6.8</v>
          </cell>
          <cell r="E49">
            <v>5.9</v>
          </cell>
          <cell r="F49">
            <v>0</v>
          </cell>
          <cell r="G49">
            <v>1</v>
          </cell>
          <cell r="H49">
            <v>0</v>
          </cell>
          <cell r="I49">
            <v>1</v>
          </cell>
          <cell r="J49">
            <v>1</v>
          </cell>
          <cell r="K49">
            <v>0</v>
          </cell>
          <cell r="L49">
            <v>1</v>
          </cell>
          <cell r="M49">
            <v>0</v>
          </cell>
          <cell r="N49">
            <v>0</v>
          </cell>
          <cell r="O49">
            <v>0</v>
          </cell>
          <cell r="P49">
            <v>0</v>
          </cell>
          <cell r="Q49">
            <v>1</v>
          </cell>
          <cell r="R49" t="str">
            <v>衰退</v>
          </cell>
          <cell r="S49">
            <v>0</v>
          </cell>
          <cell r="T49">
            <v>0</v>
          </cell>
          <cell r="U49">
            <v>1</v>
          </cell>
          <cell r="V49">
            <v>0</v>
          </cell>
          <cell r="W49" t="str">
            <v>滞涨</v>
          </cell>
          <cell r="X49">
            <v>0</v>
          </cell>
          <cell r="Y49">
            <v>0</v>
          </cell>
          <cell r="Z49">
            <v>1</v>
          </cell>
          <cell r="AA49">
            <v>0</v>
          </cell>
          <cell r="AB49" t="str">
            <v>滞涨</v>
          </cell>
        </row>
        <row r="50">
          <cell r="A50">
            <v>38260</v>
          </cell>
          <cell r="B50">
            <v>16.100000000000001</v>
          </cell>
          <cell r="C50">
            <v>5.2</v>
          </cell>
          <cell r="D50">
            <v>7.9</v>
          </cell>
          <cell r="E50">
            <v>6.28</v>
          </cell>
          <cell r="F50">
            <v>0</v>
          </cell>
          <cell r="G50">
            <v>1</v>
          </cell>
          <cell r="H50">
            <v>0</v>
          </cell>
          <cell r="I50">
            <v>1</v>
          </cell>
          <cell r="J50">
            <v>1</v>
          </cell>
          <cell r="K50">
            <v>0</v>
          </cell>
          <cell r="L50">
            <v>1</v>
          </cell>
          <cell r="M50">
            <v>0</v>
          </cell>
          <cell r="N50">
            <v>0</v>
          </cell>
          <cell r="O50">
            <v>0</v>
          </cell>
          <cell r="P50">
            <v>0</v>
          </cell>
          <cell r="Q50">
            <v>1</v>
          </cell>
          <cell r="R50" t="str">
            <v>衰退</v>
          </cell>
          <cell r="S50">
            <v>0</v>
          </cell>
          <cell r="T50">
            <v>0</v>
          </cell>
          <cell r="U50">
            <v>1</v>
          </cell>
          <cell r="V50">
            <v>0</v>
          </cell>
          <cell r="W50" t="str">
            <v>滞涨</v>
          </cell>
          <cell r="X50">
            <v>0</v>
          </cell>
          <cell r="Y50">
            <v>0</v>
          </cell>
          <cell r="Z50">
            <v>1</v>
          </cell>
          <cell r="AA50">
            <v>0</v>
          </cell>
          <cell r="AB50" t="str">
            <v>滞涨</v>
          </cell>
        </row>
        <row r="51">
          <cell r="A51">
            <v>38291</v>
          </cell>
          <cell r="B51">
            <v>15.7</v>
          </cell>
          <cell r="C51">
            <v>4.3</v>
          </cell>
          <cell r="D51">
            <v>8.4</v>
          </cell>
          <cell r="E51">
            <v>5.9399999999999995</v>
          </cell>
          <cell r="F51">
            <v>0</v>
          </cell>
          <cell r="G51">
            <v>1</v>
          </cell>
          <cell r="H51">
            <v>0</v>
          </cell>
          <cell r="I51">
            <v>1</v>
          </cell>
          <cell r="J51">
            <v>1</v>
          </cell>
          <cell r="K51">
            <v>0</v>
          </cell>
          <cell r="L51">
            <v>0</v>
          </cell>
          <cell r="M51">
            <v>1</v>
          </cell>
          <cell r="N51">
            <v>0</v>
          </cell>
          <cell r="O51">
            <v>0</v>
          </cell>
          <cell r="P51">
            <v>0</v>
          </cell>
          <cell r="Q51">
            <v>1</v>
          </cell>
          <cell r="R51" t="str">
            <v>衰退</v>
          </cell>
          <cell r="S51">
            <v>0</v>
          </cell>
          <cell r="T51">
            <v>0</v>
          </cell>
          <cell r="U51">
            <v>1</v>
          </cell>
          <cell r="V51">
            <v>0</v>
          </cell>
          <cell r="W51" t="str">
            <v>滞涨</v>
          </cell>
          <cell r="X51">
            <v>0</v>
          </cell>
          <cell r="Y51">
            <v>0</v>
          </cell>
          <cell r="Z51">
            <v>0</v>
          </cell>
          <cell r="AA51">
            <v>1</v>
          </cell>
          <cell r="AB51" t="str">
            <v>衰退</v>
          </cell>
        </row>
        <row r="52">
          <cell r="A52">
            <v>38321</v>
          </cell>
          <cell r="B52">
            <v>14.8</v>
          </cell>
          <cell r="C52">
            <v>2.8</v>
          </cell>
          <cell r="D52">
            <v>8.1</v>
          </cell>
          <cell r="E52">
            <v>4.92</v>
          </cell>
          <cell r="F52">
            <v>0</v>
          </cell>
          <cell r="G52">
            <v>1</v>
          </cell>
          <cell r="H52">
            <v>0</v>
          </cell>
          <cell r="I52">
            <v>1</v>
          </cell>
          <cell r="J52">
            <v>0</v>
          </cell>
          <cell r="K52">
            <v>1</v>
          </cell>
          <cell r="L52">
            <v>0</v>
          </cell>
          <cell r="M52">
            <v>1</v>
          </cell>
          <cell r="N52">
            <v>0</v>
          </cell>
          <cell r="O52">
            <v>0</v>
          </cell>
          <cell r="P52">
            <v>0</v>
          </cell>
          <cell r="Q52">
            <v>1</v>
          </cell>
          <cell r="R52" t="str">
            <v>衰退</v>
          </cell>
          <cell r="S52">
            <v>0</v>
          </cell>
          <cell r="T52">
            <v>0</v>
          </cell>
          <cell r="U52">
            <v>0</v>
          </cell>
          <cell r="V52">
            <v>1</v>
          </cell>
          <cell r="W52" t="str">
            <v>衰退</v>
          </cell>
          <cell r="X52">
            <v>0</v>
          </cell>
          <cell r="Y52">
            <v>0</v>
          </cell>
          <cell r="Z52">
            <v>0</v>
          </cell>
          <cell r="AA52">
            <v>1</v>
          </cell>
          <cell r="AB52" t="str">
            <v>衰退</v>
          </cell>
        </row>
        <row r="53">
          <cell r="A53">
            <v>38352</v>
          </cell>
          <cell r="B53">
            <v>14.4</v>
          </cell>
          <cell r="C53">
            <v>2.4</v>
          </cell>
          <cell r="D53">
            <v>7.1</v>
          </cell>
          <cell r="E53">
            <v>4.2799999999999994</v>
          </cell>
          <cell r="F53">
            <v>0</v>
          </cell>
          <cell r="G53">
            <v>1</v>
          </cell>
          <cell r="H53">
            <v>0</v>
          </cell>
          <cell r="I53">
            <v>1</v>
          </cell>
          <cell r="J53">
            <v>0</v>
          </cell>
          <cell r="K53">
            <v>1</v>
          </cell>
          <cell r="L53">
            <v>0</v>
          </cell>
          <cell r="M53">
            <v>1</v>
          </cell>
          <cell r="N53">
            <v>0</v>
          </cell>
          <cell r="O53">
            <v>0</v>
          </cell>
          <cell r="P53">
            <v>0</v>
          </cell>
          <cell r="Q53">
            <v>1</v>
          </cell>
          <cell r="R53" t="str">
            <v>衰退</v>
          </cell>
          <cell r="S53">
            <v>0</v>
          </cell>
          <cell r="T53">
            <v>0</v>
          </cell>
          <cell r="U53">
            <v>0</v>
          </cell>
          <cell r="V53">
            <v>1</v>
          </cell>
          <cell r="W53" t="str">
            <v>衰退</v>
          </cell>
          <cell r="X53">
            <v>0</v>
          </cell>
          <cell r="Y53">
            <v>0</v>
          </cell>
          <cell r="Z53">
            <v>0</v>
          </cell>
          <cell r="AA53">
            <v>1</v>
          </cell>
          <cell r="AB53" t="str">
            <v>衰退</v>
          </cell>
        </row>
        <row r="54">
          <cell r="A54">
            <v>38411</v>
          </cell>
          <cell r="B54">
            <v>16.899999999999999</v>
          </cell>
          <cell r="C54">
            <v>2.9</v>
          </cell>
          <cell r="D54">
            <v>5.6</v>
          </cell>
          <cell r="E54">
            <v>3.9799999999999995</v>
          </cell>
          <cell r="F54">
            <v>1</v>
          </cell>
          <cell r="G54">
            <v>0</v>
          </cell>
          <cell r="H54">
            <v>0</v>
          </cell>
          <cell r="I54">
            <v>1</v>
          </cell>
          <cell r="J54">
            <v>0</v>
          </cell>
          <cell r="K54">
            <v>1</v>
          </cell>
          <cell r="L54">
            <v>0</v>
          </cell>
          <cell r="M54">
            <v>1</v>
          </cell>
          <cell r="N54">
            <v>1</v>
          </cell>
          <cell r="O54">
            <v>0</v>
          </cell>
          <cell r="P54">
            <v>0</v>
          </cell>
          <cell r="Q54">
            <v>0</v>
          </cell>
          <cell r="R54" t="str">
            <v>复苏</v>
          </cell>
          <cell r="S54">
            <v>1</v>
          </cell>
          <cell r="T54">
            <v>0</v>
          </cell>
          <cell r="U54">
            <v>0</v>
          </cell>
          <cell r="V54">
            <v>0</v>
          </cell>
          <cell r="W54" t="str">
            <v>复苏</v>
          </cell>
          <cell r="X54">
            <v>1</v>
          </cell>
          <cell r="Y54">
            <v>0</v>
          </cell>
          <cell r="Z54">
            <v>0</v>
          </cell>
          <cell r="AA54">
            <v>0</v>
          </cell>
          <cell r="AB54" t="str">
            <v>复苏</v>
          </cell>
        </row>
        <row r="55">
          <cell r="A55">
            <v>38442</v>
          </cell>
          <cell r="B55">
            <v>15.1</v>
          </cell>
          <cell r="C55">
            <v>2.7</v>
          </cell>
          <cell r="D55">
            <v>5.6</v>
          </cell>
          <cell r="E55">
            <v>3.86</v>
          </cell>
          <cell r="F55">
            <v>1</v>
          </cell>
          <cell r="G55">
            <v>0</v>
          </cell>
          <cell r="H55">
            <v>0</v>
          </cell>
          <cell r="I55">
            <v>1</v>
          </cell>
          <cell r="J55">
            <v>1</v>
          </cell>
          <cell r="K55">
            <v>0</v>
          </cell>
          <cell r="L55">
            <v>0</v>
          </cell>
          <cell r="M55">
            <v>1</v>
          </cell>
          <cell r="N55">
            <v>1</v>
          </cell>
          <cell r="O55">
            <v>0</v>
          </cell>
          <cell r="P55">
            <v>0</v>
          </cell>
          <cell r="Q55">
            <v>0</v>
          </cell>
          <cell r="R55" t="str">
            <v>复苏</v>
          </cell>
          <cell r="S55">
            <v>0</v>
          </cell>
          <cell r="T55">
            <v>1</v>
          </cell>
          <cell r="U55">
            <v>0</v>
          </cell>
          <cell r="V55">
            <v>0</v>
          </cell>
          <cell r="W55" t="str">
            <v>过热</v>
          </cell>
          <cell r="X55">
            <v>1</v>
          </cell>
          <cell r="Y55">
            <v>0</v>
          </cell>
          <cell r="Z55">
            <v>0</v>
          </cell>
          <cell r="AA55">
            <v>0</v>
          </cell>
          <cell r="AB55" t="str">
            <v>复苏</v>
          </cell>
        </row>
        <row r="56">
          <cell r="A56">
            <v>38472</v>
          </cell>
          <cell r="B56">
            <v>16</v>
          </cell>
          <cell r="C56">
            <v>1.8</v>
          </cell>
          <cell r="D56">
            <v>5.78</v>
          </cell>
          <cell r="E56">
            <v>3.3920000000000003</v>
          </cell>
          <cell r="F56">
            <v>1</v>
          </cell>
          <cell r="G56">
            <v>0</v>
          </cell>
          <cell r="H56">
            <v>0</v>
          </cell>
          <cell r="I56">
            <v>1</v>
          </cell>
          <cell r="J56">
            <v>1</v>
          </cell>
          <cell r="K56">
            <v>0</v>
          </cell>
          <cell r="L56">
            <v>0</v>
          </cell>
          <cell r="M56">
            <v>1</v>
          </cell>
          <cell r="N56">
            <v>1</v>
          </cell>
          <cell r="O56">
            <v>0</v>
          </cell>
          <cell r="P56">
            <v>0</v>
          </cell>
          <cell r="Q56">
            <v>0</v>
          </cell>
          <cell r="R56" t="str">
            <v>复苏</v>
          </cell>
          <cell r="S56">
            <v>0</v>
          </cell>
          <cell r="T56">
            <v>1</v>
          </cell>
          <cell r="U56">
            <v>0</v>
          </cell>
          <cell r="V56">
            <v>0</v>
          </cell>
          <cell r="W56" t="str">
            <v>过热</v>
          </cell>
          <cell r="X56">
            <v>1</v>
          </cell>
          <cell r="Y56">
            <v>0</v>
          </cell>
          <cell r="Z56">
            <v>0</v>
          </cell>
          <cell r="AA56">
            <v>0</v>
          </cell>
          <cell r="AB56" t="str">
            <v>复苏</v>
          </cell>
        </row>
        <row r="57">
          <cell r="A57">
            <v>38503</v>
          </cell>
          <cell r="B57">
            <v>16.600000000000001</v>
          </cell>
          <cell r="C57">
            <v>1.8</v>
          </cell>
          <cell r="D57">
            <v>5.9</v>
          </cell>
          <cell r="E57">
            <v>3.4400000000000004</v>
          </cell>
          <cell r="F57">
            <v>1</v>
          </cell>
          <cell r="G57">
            <v>0</v>
          </cell>
          <cell r="H57">
            <v>0</v>
          </cell>
          <cell r="I57">
            <v>1</v>
          </cell>
          <cell r="J57">
            <v>1</v>
          </cell>
          <cell r="K57">
            <v>0</v>
          </cell>
          <cell r="L57">
            <v>0</v>
          </cell>
          <cell r="M57">
            <v>1</v>
          </cell>
          <cell r="N57">
            <v>1</v>
          </cell>
          <cell r="O57">
            <v>0</v>
          </cell>
          <cell r="P57">
            <v>0</v>
          </cell>
          <cell r="Q57">
            <v>0</v>
          </cell>
          <cell r="R57" t="str">
            <v>复苏</v>
          </cell>
          <cell r="S57">
            <v>0</v>
          </cell>
          <cell r="T57">
            <v>1</v>
          </cell>
          <cell r="U57">
            <v>0</v>
          </cell>
          <cell r="V57">
            <v>0</v>
          </cell>
          <cell r="W57" t="str">
            <v>过热</v>
          </cell>
          <cell r="X57">
            <v>1</v>
          </cell>
          <cell r="Y57">
            <v>0</v>
          </cell>
          <cell r="Z57">
            <v>0</v>
          </cell>
          <cell r="AA57">
            <v>0</v>
          </cell>
          <cell r="AB57" t="str">
            <v>复苏</v>
          </cell>
        </row>
        <row r="58">
          <cell r="A58">
            <v>38533</v>
          </cell>
          <cell r="B58">
            <v>16.8</v>
          </cell>
          <cell r="C58">
            <v>1.6</v>
          </cell>
          <cell r="D58">
            <v>5.2</v>
          </cell>
          <cell r="E58">
            <v>3.04</v>
          </cell>
          <cell r="F58">
            <v>1</v>
          </cell>
          <cell r="G58">
            <v>0</v>
          </cell>
          <cell r="H58">
            <v>0</v>
          </cell>
          <cell r="I58">
            <v>1</v>
          </cell>
          <cell r="J58">
            <v>0</v>
          </cell>
          <cell r="K58">
            <v>1</v>
          </cell>
          <cell r="L58">
            <v>0</v>
          </cell>
          <cell r="M58">
            <v>1</v>
          </cell>
          <cell r="N58">
            <v>1</v>
          </cell>
          <cell r="O58">
            <v>0</v>
          </cell>
          <cell r="P58">
            <v>0</v>
          </cell>
          <cell r="Q58">
            <v>0</v>
          </cell>
          <cell r="R58" t="str">
            <v>复苏</v>
          </cell>
          <cell r="S58">
            <v>1</v>
          </cell>
          <cell r="T58">
            <v>0</v>
          </cell>
          <cell r="U58">
            <v>0</v>
          </cell>
          <cell r="V58">
            <v>0</v>
          </cell>
          <cell r="W58" t="str">
            <v>复苏</v>
          </cell>
          <cell r="X58">
            <v>1</v>
          </cell>
          <cell r="Y58">
            <v>0</v>
          </cell>
          <cell r="Z58">
            <v>0</v>
          </cell>
          <cell r="AA58">
            <v>0</v>
          </cell>
          <cell r="AB58" t="str">
            <v>复苏</v>
          </cell>
        </row>
        <row r="59">
          <cell r="A59">
            <v>38564</v>
          </cell>
          <cell r="B59">
            <v>16.100000000000001</v>
          </cell>
          <cell r="C59">
            <v>1.8</v>
          </cell>
          <cell r="D59">
            <v>5.2</v>
          </cell>
          <cell r="E59">
            <v>3.16</v>
          </cell>
          <cell r="F59">
            <v>1</v>
          </cell>
          <cell r="G59">
            <v>0</v>
          </cell>
          <cell r="H59">
            <v>0</v>
          </cell>
          <cell r="I59">
            <v>1</v>
          </cell>
          <cell r="J59">
            <v>0</v>
          </cell>
          <cell r="K59">
            <v>1</v>
          </cell>
          <cell r="L59">
            <v>0</v>
          </cell>
          <cell r="M59">
            <v>1</v>
          </cell>
          <cell r="N59">
            <v>1</v>
          </cell>
          <cell r="O59">
            <v>0</v>
          </cell>
          <cell r="P59">
            <v>0</v>
          </cell>
          <cell r="Q59">
            <v>0</v>
          </cell>
          <cell r="R59" t="str">
            <v>复苏</v>
          </cell>
          <cell r="S59">
            <v>1</v>
          </cell>
          <cell r="T59">
            <v>0</v>
          </cell>
          <cell r="U59">
            <v>0</v>
          </cell>
          <cell r="V59">
            <v>0</v>
          </cell>
          <cell r="W59" t="str">
            <v>复苏</v>
          </cell>
          <cell r="X59">
            <v>1</v>
          </cell>
          <cell r="Y59">
            <v>0</v>
          </cell>
          <cell r="Z59">
            <v>0</v>
          </cell>
          <cell r="AA59">
            <v>0</v>
          </cell>
          <cell r="AB59" t="str">
            <v>复苏</v>
          </cell>
        </row>
        <row r="60">
          <cell r="A60">
            <v>38595</v>
          </cell>
          <cell r="B60">
            <v>16</v>
          </cell>
          <cell r="C60">
            <v>1.3</v>
          </cell>
          <cell r="D60">
            <v>5.3</v>
          </cell>
          <cell r="E60">
            <v>2.9000000000000004</v>
          </cell>
          <cell r="F60">
            <v>1</v>
          </cell>
          <cell r="G60">
            <v>0</v>
          </cell>
          <cell r="H60">
            <v>0</v>
          </cell>
          <cell r="I60">
            <v>1</v>
          </cell>
          <cell r="J60">
            <v>0</v>
          </cell>
          <cell r="K60">
            <v>1</v>
          </cell>
          <cell r="L60">
            <v>0</v>
          </cell>
          <cell r="M60">
            <v>1</v>
          </cell>
          <cell r="N60">
            <v>1</v>
          </cell>
          <cell r="O60">
            <v>0</v>
          </cell>
          <cell r="P60">
            <v>0</v>
          </cell>
          <cell r="Q60">
            <v>0</v>
          </cell>
          <cell r="R60" t="str">
            <v>复苏</v>
          </cell>
          <cell r="S60">
            <v>1</v>
          </cell>
          <cell r="T60">
            <v>0</v>
          </cell>
          <cell r="U60">
            <v>0</v>
          </cell>
          <cell r="V60">
            <v>0</v>
          </cell>
          <cell r="W60" t="str">
            <v>复苏</v>
          </cell>
          <cell r="X60">
            <v>1</v>
          </cell>
          <cell r="Y60">
            <v>0</v>
          </cell>
          <cell r="Z60">
            <v>0</v>
          </cell>
          <cell r="AA60">
            <v>0</v>
          </cell>
          <cell r="AB60" t="str">
            <v>复苏</v>
          </cell>
        </row>
        <row r="61">
          <cell r="A61">
            <v>38625</v>
          </cell>
          <cell r="B61">
            <v>16.5</v>
          </cell>
          <cell r="C61">
            <v>0.9</v>
          </cell>
          <cell r="D61">
            <v>4.5</v>
          </cell>
          <cell r="E61">
            <v>2.34</v>
          </cell>
          <cell r="F61">
            <v>1</v>
          </cell>
          <cell r="G61">
            <v>0</v>
          </cell>
          <cell r="H61">
            <v>0</v>
          </cell>
          <cell r="I61">
            <v>1</v>
          </cell>
          <cell r="J61">
            <v>0</v>
          </cell>
          <cell r="K61">
            <v>1</v>
          </cell>
          <cell r="L61">
            <v>0</v>
          </cell>
          <cell r="M61">
            <v>1</v>
          </cell>
          <cell r="N61">
            <v>1</v>
          </cell>
          <cell r="O61">
            <v>0</v>
          </cell>
          <cell r="P61">
            <v>0</v>
          </cell>
          <cell r="Q61">
            <v>0</v>
          </cell>
          <cell r="R61" t="str">
            <v>复苏</v>
          </cell>
          <cell r="S61">
            <v>1</v>
          </cell>
          <cell r="T61">
            <v>0</v>
          </cell>
          <cell r="U61">
            <v>0</v>
          </cell>
          <cell r="V61">
            <v>0</v>
          </cell>
          <cell r="W61" t="str">
            <v>复苏</v>
          </cell>
          <cell r="X61">
            <v>1</v>
          </cell>
          <cell r="Y61">
            <v>0</v>
          </cell>
          <cell r="Z61">
            <v>0</v>
          </cell>
          <cell r="AA61">
            <v>0</v>
          </cell>
          <cell r="AB61" t="str">
            <v>复苏</v>
          </cell>
        </row>
        <row r="62">
          <cell r="A62">
            <v>38656</v>
          </cell>
          <cell r="B62">
            <v>16.100000000000001</v>
          </cell>
          <cell r="C62">
            <v>1.2</v>
          </cell>
          <cell r="D62">
            <v>4</v>
          </cell>
          <cell r="E62">
            <v>2.3200000000000003</v>
          </cell>
          <cell r="F62">
            <v>1</v>
          </cell>
          <cell r="G62">
            <v>0</v>
          </cell>
          <cell r="H62">
            <v>0</v>
          </cell>
          <cell r="I62">
            <v>1</v>
          </cell>
          <cell r="J62">
            <v>0</v>
          </cell>
          <cell r="K62">
            <v>1</v>
          </cell>
          <cell r="L62">
            <v>0</v>
          </cell>
          <cell r="M62">
            <v>1</v>
          </cell>
          <cell r="N62">
            <v>1</v>
          </cell>
          <cell r="O62">
            <v>0</v>
          </cell>
          <cell r="P62">
            <v>0</v>
          </cell>
          <cell r="Q62">
            <v>0</v>
          </cell>
          <cell r="R62" t="str">
            <v>复苏</v>
          </cell>
          <cell r="S62">
            <v>1</v>
          </cell>
          <cell r="T62">
            <v>0</v>
          </cell>
          <cell r="U62">
            <v>0</v>
          </cell>
          <cell r="V62">
            <v>0</v>
          </cell>
          <cell r="W62" t="str">
            <v>复苏</v>
          </cell>
          <cell r="X62">
            <v>1</v>
          </cell>
          <cell r="Y62">
            <v>0</v>
          </cell>
          <cell r="Z62">
            <v>0</v>
          </cell>
          <cell r="AA62">
            <v>0</v>
          </cell>
          <cell r="AB62" t="str">
            <v>复苏</v>
          </cell>
        </row>
        <row r="63">
          <cell r="A63">
            <v>38686</v>
          </cell>
          <cell r="B63">
            <v>16.600000000000001</v>
          </cell>
          <cell r="C63">
            <v>1.3</v>
          </cell>
          <cell r="D63">
            <v>3.2</v>
          </cell>
          <cell r="E63">
            <v>2.0600000000000005</v>
          </cell>
          <cell r="F63">
            <v>1</v>
          </cell>
          <cell r="G63">
            <v>0</v>
          </cell>
          <cell r="H63">
            <v>0</v>
          </cell>
          <cell r="I63">
            <v>1</v>
          </cell>
          <cell r="J63">
            <v>0</v>
          </cell>
          <cell r="K63">
            <v>1</v>
          </cell>
          <cell r="L63">
            <v>0</v>
          </cell>
          <cell r="M63">
            <v>1</v>
          </cell>
          <cell r="N63">
            <v>1</v>
          </cell>
          <cell r="O63">
            <v>0</v>
          </cell>
          <cell r="P63">
            <v>0</v>
          </cell>
          <cell r="Q63">
            <v>0</v>
          </cell>
          <cell r="R63" t="str">
            <v>复苏</v>
          </cell>
          <cell r="S63">
            <v>1</v>
          </cell>
          <cell r="T63">
            <v>0</v>
          </cell>
          <cell r="U63">
            <v>0</v>
          </cell>
          <cell r="V63">
            <v>0</v>
          </cell>
          <cell r="W63" t="str">
            <v>复苏</v>
          </cell>
          <cell r="X63">
            <v>1</v>
          </cell>
          <cell r="Y63">
            <v>0</v>
          </cell>
          <cell r="Z63">
            <v>0</v>
          </cell>
          <cell r="AA63">
            <v>0</v>
          </cell>
          <cell r="AB63" t="str">
            <v>复苏</v>
          </cell>
        </row>
        <row r="64">
          <cell r="A64">
            <v>38717</v>
          </cell>
          <cell r="B64">
            <v>16.5</v>
          </cell>
          <cell r="C64">
            <v>1.6</v>
          </cell>
          <cell r="D64">
            <v>3.2</v>
          </cell>
          <cell r="E64">
            <v>2.2400000000000002</v>
          </cell>
          <cell r="F64">
            <v>1</v>
          </cell>
          <cell r="G64">
            <v>0</v>
          </cell>
          <cell r="H64">
            <v>0</v>
          </cell>
          <cell r="I64">
            <v>1</v>
          </cell>
          <cell r="J64">
            <v>0</v>
          </cell>
          <cell r="K64">
            <v>1</v>
          </cell>
          <cell r="L64">
            <v>0</v>
          </cell>
          <cell r="M64">
            <v>1</v>
          </cell>
          <cell r="N64">
            <v>1</v>
          </cell>
          <cell r="O64">
            <v>0</v>
          </cell>
          <cell r="P64">
            <v>0</v>
          </cell>
          <cell r="Q64">
            <v>0</v>
          </cell>
          <cell r="R64" t="str">
            <v>复苏</v>
          </cell>
          <cell r="S64">
            <v>1</v>
          </cell>
          <cell r="T64">
            <v>0</v>
          </cell>
          <cell r="U64">
            <v>0</v>
          </cell>
          <cell r="V64">
            <v>0</v>
          </cell>
          <cell r="W64" t="str">
            <v>复苏</v>
          </cell>
          <cell r="X64">
            <v>1</v>
          </cell>
          <cell r="Y64">
            <v>0</v>
          </cell>
          <cell r="Z64">
            <v>0</v>
          </cell>
          <cell r="AA64">
            <v>0</v>
          </cell>
          <cell r="AB64" t="str">
            <v>复苏</v>
          </cell>
        </row>
        <row r="65">
          <cell r="A65">
            <v>38776</v>
          </cell>
          <cell r="B65">
            <v>16.2</v>
          </cell>
          <cell r="C65">
            <v>1.4</v>
          </cell>
          <cell r="D65">
            <v>3</v>
          </cell>
          <cell r="E65">
            <v>2.04</v>
          </cell>
          <cell r="F65">
            <v>1</v>
          </cell>
          <cell r="G65">
            <v>0</v>
          </cell>
          <cell r="H65">
            <v>0</v>
          </cell>
          <cell r="I65">
            <v>1</v>
          </cell>
          <cell r="J65">
            <v>0</v>
          </cell>
          <cell r="K65">
            <v>1</v>
          </cell>
          <cell r="L65">
            <v>0</v>
          </cell>
          <cell r="M65">
            <v>1</v>
          </cell>
          <cell r="N65">
            <v>1</v>
          </cell>
          <cell r="O65">
            <v>0</v>
          </cell>
          <cell r="P65">
            <v>0</v>
          </cell>
          <cell r="Q65">
            <v>0</v>
          </cell>
          <cell r="R65" t="str">
            <v>复苏</v>
          </cell>
          <cell r="S65">
            <v>1</v>
          </cell>
          <cell r="T65">
            <v>0</v>
          </cell>
          <cell r="U65">
            <v>0</v>
          </cell>
          <cell r="V65">
            <v>0</v>
          </cell>
          <cell r="W65" t="str">
            <v>复苏</v>
          </cell>
          <cell r="X65">
            <v>1</v>
          </cell>
          <cell r="Y65">
            <v>0</v>
          </cell>
          <cell r="Z65">
            <v>0</v>
          </cell>
          <cell r="AA65">
            <v>0</v>
          </cell>
          <cell r="AB65" t="str">
            <v>复苏</v>
          </cell>
        </row>
        <row r="66">
          <cell r="A66">
            <v>38807</v>
          </cell>
          <cell r="B66">
            <v>17.8</v>
          </cell>
          <cell r="C66">
            <v>0.8</v>
          </cell>
          <cell r="D66">
            <v>2.4900000000000002</v>
          </cell>
          <cell r="E66">
            <v>1.476</v>
          </cell>
          <cell r="F66">
            <v>1</v>
          </cell>
          <cell r="G66">
            <v>0</v>
          </cell>
          <cell r="H66">
            <v>0</v>
          </cell>
          <cell r="I66">
            <v>1</v>
          </cell>
          <cell r="J66">
            <v>0</v>
          </cell>
          <cell r="K66">
            <v>1</v>
          </cell>
          <cell r="L66">
            <v>0</v>
          </cell>
          <cell r="M66">
            <v>1</v>
          </cell>
          <cell r="N66">
            <v>1</v>
          </cell>
          <cell r="O66">
            <v>0</v>
          </cell>
          <cell r="P66">
            <v>0</v>
          </cell>
          <cell r="Q66">
            <v>0</v>
          </cell>
          <cell r="R66" t="str">
            <v>复苏</v>
          </cell>
          <cell r="S66">
            <v>1</v>
          </cell>
          <cell r="T66">
            <v>0</v>
          </cell>
          <cell r="U66">
            <v>0</v>
          </cell>
          <cell r="V66">
            <v>0</v>
          </cell>
          <cell r="W66" t="str">
            <v>复苏</v>
          </cell>
          <cell r="X66">
            <v>1</v>
          </cell>
          <cell r="Y66">
            <v>0</v>
          </cell>
          <cell r="Z66">
            <v>0</v>
          </cell>
          <cell r="AA66">
            <v>0</v>
          </cell>
          <cell r="AB66" t="str">
            <v>复苏</v>
          </cell>
        </row>
        <row r="67">
          <cell r="A67">
            <v>38837</v>
          </cell>
          <cell r="B67">
            <v>16.600000000000001</v>
          </cell>
          <cell r="C67">
            <v>1.2</v>
          </cell>
          <cell r="D67">
            <v>1.87</v>
          </cell>
          <cell r="E67">
            <v>1.468</v>
          </cell>
          <cell r="F67">
            <v>1</v>
          </cell>
          <cell r="G67">
            <v>0</v>
          </cell>
          <cell r="H67">
            <v>1</v>
          </cell>
          <cell r="I67">
            <v>0</v>
          </cell>
          <cell r="J67">
            <v>0</v>
          </cell>
          <cell r="K67">
            <v>1</v>
          </cell>
          <cell r="L67">
            <v>1</v>
          </cell>
          <cell r="M67">
            <v>0</v>
          </cell>
          <cell r="N67">
            <v>0</v>
          </cell>
          <cell r="O67">
            <v>1</v>
          </cell>
          <cell r="P67">
            <v>0</v>
          </cell>
          <cell r="Q67">
            <v>0</v>
          </cell>
          <cell r="R67" t="str">
            <v>过热</v>
          </cell>
          <cell r="S67">
            <v>1</v>
          </cell>
          <cell r="T67">
            <v>0</v>
          </cell>
          <cell r="U67">
            <v>0</v>
          </cell>
          <cell r="V67">
            <v>0</v>
          </cell>
          <cell r="W67" t="str">
            <v>复苏</v>
          </cell>
          <cell r="X67">
            <v>0</v>
          </cell>
          <cell r="Y67">
            <v>1</v>
          </cell>
          <cell r="Z67">
            <v>0</v>
          </cell>
          <cell r="AA67">
            <v>0</v>
          </cell>
          <cell r="AB67" t="str">
            <v>过热</v>
          </cell>
        </row>
        <row r="68">
          <cell r="A68">
            <v>38868</v>
          </cell>
          <cell r="B68">
            <v>17.899999999999999</v>
          </cell>
          <cell r="C68">
            <v>1.4</v>
          </cell>
          <cell r="D68">
            <v>2.4300000000000002</v>
          </cell>
          <cell r="E68">
            <v>1.8120000000000001</v>
          </cell>
          <cell r="F68">
            <v>1</v>
          </cell>
          <cell r="G68">
            <v>0</v>
          </cell>
          <cell r="H68">
            <v>1</v>
          </cell>
          <cell r="I68">
            <v>0</v>
          </cell>
          <cell r="J68">
            <v>1</v>
          </cell>
          <cell r="K68">
            <v>0</v>
          </cell>
          <cell r="L68">
            <v>1</v>
          </cell>
          <cell r="M68">
            <v>0</v>
          </cell>
          <cell r="N68">
            <v>0</v>
          </cell>
          <cell r="O68">
            <v>1</v>
          </cell>
          <cell r="P68">
            <v>0</v>
          </cell>
          <cell r="Q68">
            <v>0</v>
          </cell>
          <cell r="R68" t="str">
            <v>过热</v>
          </cell>
          <cell r="S68">
            <v>0</v>
          </cell>
          <cell r="T68">
            <v>1</v>
          </cell>
          <cell r="U68">
            <v>0</v>
          </cell>
          <cell r="V68">
            <v>0</v>
          </cell>
          <cell r="W68" t="str">
            <v>过热</v>
          </cell>
          <cell r="X68">
            <v>0</v>
          </cell>
          <cell r="Y68">
            <v>1</v>
          </cell>
          <cell r="Z68">
            <v>0</v>
          </cell>
          <cell r="AA68">
            <v>0</v>
          </cell>
          <cell r="AB68" t="str">
            <v>过热</v>
          </cell>
        </row>
        <row r="69">
          <cell r="A69">
            <v>38898</v>
          </cell>
          <cell r="B69">
            <v>19.5</v>
          </cell>
          <cell r="C69">
            <v>1.5</v>
          </cell>
          <cell r="D69">
            <v>3.52</v>
          </cell>
          <cell r="E69">
            <v>2.3079999999999998</v>
          </cell>
          <cell r="F69">
            <v>1</v>
          </cell>
          <cell r="G69">
            <v>0</v>
          </cell>
          <cell r="H69">
            <v>1</v>
          </cell>
          <cell r="I69">
            <v>0</v>
          </cell>
          <cell r="J69">
            <v>1</v>
          </cell>
          <cell r="K69">
            <v>0</v>
          </cell>
          <cell r="L69">
            <v>1</v>
          </cell>
          <cell r="M69">
            <v>0</v>
          </cell>
          <cell r="N69">
            <v>0</v>
          </cell>
          <cell r="O69">
            <v>1</v>
          </cell>
          <cell r="P69">
            <v>0</v>
          </cell>
          <cell r="Q69">
            <v>0</v>
          </cell>
          <cell r="R69" t="str">
            <v>过热</v>
          </cell>
          <cell r="S69">
            <v>0</v>
          </cell>
          <cell r="T69">
            <v>1</v>
          </cell>
          <cell r="U69">
            <v>0</v>
          </cell>
          <cell r="V69">
            <v>0</v>
          </cell>
          <cell r="W69" t="str">
            <v>过热</v>
          </cell>
          <cell r="X69">
            <v>0</v>
          </cell>
          <cell r="Y69">
            <v>1</v>
          </cell>
          <cell r="Z69">
            <v>0</v>
          </cell>
          <cell r="AA69">
            <v>0</v>
          </cell>
          <cell r="AB69" t="str">
            <v>过热</v>
          </cell>
        </row>
        <row r="70">
          <cell r="A70">
            <v>38929</v>
          </cell>
          <cell r="B70">
            <v>16.7</v>
          </cell>
          <cell r="C70">
            <v>1</v>
          </cell>
          <cell r="D70">
            <v>3.58</v>
          </cell>
          <cell r="E70">
            <v>2.032</v>
          </cell>
          <cell r="F70">
            <v>0</v>
          </cell>
          <cell r="G70">
            <v>1</v>
          </cell>
          <cell r="H70">
            <v>1</v>
          </cell>
          <cell r="I70">
            <v>0</v>
          </cell>
          <cell r="J70">
            <v>1</v>
          </cell>
          <cell r="K70">
            <v>0</v>
          </cell>
          <cell r="L70">
            <v>1</v>
          </cell>
          <cell r="M70">
            <v>0</v>
          </cell>
          <cell r="N70">
            <v>0</v>
          </cell>
          <cell r="O70">
            <v>0</v>
          </cell>
          <cell r="P70">
            <v>1</v>
          </cell>
          <cell r="Q70">
            <v>0</v>
          </cell>
          <cell r="R70" t="str">
            <v>滞涨</v>
          </cell>
          <cell r="S70">
            <v>0</v>
          </cell>
          <cell r="T70">
            <v>0</v>
          </cell>
          <cell r="U70">
            <v>1</v>
          </cell>
          <cell r="V70">
            <v>0</v>
          </cell>
          <cell r="W70" t="str">
            <v>滞涨</v>
          </cell>
          <cell r="X70">
            <v>0</v>
          </cell>
          <cell r="Y70">
            <v>0</v>
          </cell>
          <cell r="Z70">
            <v>1</v>
          </cell>
          <cell r="AA70">
            <v>0</v>
          </cell>
          <cell r="AB70" t="str">
            <v>滞涨</v>
          </cell>
        </row>
        <row r="71">
          <cell r="A71">
            <v>38960</v>
          </cell>
          <cell r="B71">
            <v>15.7</v>
          </cell>
          <cell r="C71">
            <v>1.3</v>
          </cell>
          <cell r="D71">
            <v>3.4</v>
          </cell>
          <cell r="E71">
            <v>2.14</v>
          </cell>
          <cell r="F71">
            <v>0</v>
          </cell>
          <cell r="G71">
            <v>1</v>
          </cell>
          <cell r="H71">
            <v>1</v>
          </cell>
          <cell r="I71">
            <v>0</v>
          </cell>
          <cell r="J71">
            <v>0</v>
          </cell>
          <cell r="K71">
            <v>1</v>
          </cell>
          <cell r="L71">
            <v>1</v>
          </cell>
          <cell r="M71">
            <v>0</v>
          </cell>
          <cell r="N71">
            <v>0</v>
          </cell>
          <cell r="O71">
            <v>0</v>
          </cell>
          <cell r="P71">
            <v>1</v>
          </cell>
          <cell r="Q71">
            <v>0</v>
          </cell>
          <cell r="R71" t="str">
            <v>滞涨</v>
          </cell>
          <cell r="S71">
            <v>0</v>
          </cell>
          <cell r="T71">
            <v>0</v>
          </cell>
          <cell r="U71">
            <v>0</v>
          </cell>
          <cell r="V71">
            <v>1</v>
          </cell>
          <cell r="W71" t="str">
            <v>衰退</v>
          </cell>
          <cell r="X71">
            <v>0</v>
          </cell>
          <cell r="Y71">
            <v>0</v>
          </cell>
          <cell r="Z71">
            <v>1</v>
          </cell>
          <cell r="AA71">
            <v>0</v>
          </cell>
          <cell r="AB71" t="str">
            <v>滞涨</v>
          </cell>
        </row>
        <row r="72">
          <cell r="A72">
            <v>38990</v>
          </cell>
          <cell r="B72">
            <v>16.100000000000001</v>
          </cell>
          <cell r="C72">
            <v>1.5</v>
          </cell>
          <cell r="D72">
            <v>3.5</v>
          </cell>
          <cell r="E72">
            <v>2.2999999999999998</v>
          </cell>
          <cell r="F72">
            <v>0</v>
          </cell>
          <cell r="G72">
            <v>1</v>
          </cell>
          <cell r="H72">
            <v>1</v>
          </cell>
          <cell r="I72">
            <v>0</v>
          </cell>
          <cell r="J72">
            <v>0</v>
          </cell>
          <cell r="K72">
            <v>1</v>
          </cell>
          <cell r="L72">
            <v>1</v>
          </cell>
          <cell r="M72">
            <v>0</v>
          </cell>
          <cell r="N72">
            <v>0</v>
          </cell>
          <cell r="O72">
            <v>0</v>
          </cell>
          <cell r="P72">
            <v>1</v>
          </cell>
          <cell r="Q72">
            <v>0</v>
          </cell>
          <cell r="R72" t="str">
            <v>滞涨</v>
          </cell>
          <cell r="S72">
            <v>0</v>
          </cell>
          <cell r="T72">
            <v>0</v>
          </cell>
          <cell r="U72">
            <v>0</v>
          </cell>
          <cell r="V72">
            <v>1</v>
          </cell>
          <cell r="W72" t="str">
            <v>衰退</v>
          </cell>
          <cell r="X72">
            <v>0</v>
          </cell>
          <cell r="Y72">
            <v>0</v>
          </cell>
          <cell r="Z72">
            <v>1</v>
          </cell>
          <cell r="AA72">
            <v>0</v>
          </cell>
          <cell r="AB72" t="str">
            <v>滞涨</v>
          </cell>
        </row>
        <row r="73">
          <cell r="A73">
            <v>39021</v>
          </cell>
          <cell r="B73">
            <v>14.7</v>
          </cell>
          <cell r="C73">
            <v>1.4</v>
          </cell>
          <cell r="D73">
            <v>2.9</v>
          </cell>
          <cell r="E73">
            <v>2</v>
          </cell>
          <cell r="F73">
            <v>0</v>
          </cell>
          <cell r="G73">
            <v>1</v>
          </cell>
          <cell r="H73">
            <v>1</v>
          </cell>
          <cell r="I73">
            <v>0</v>
          </cell>
          <cell r="J73">
            <v>0</v>
          </cell>
          <cell r="K73">
            <v>1</v>
          </cell>
          <cell r="L73">
            <v>1</v>
          </cell>
          <cell r="M73">
            <v>0</v>
          </cell>
          <cell r="N73">
            <v>0</v>
          </cell>
          <cell r="O73">
            <v>0</v>
          </cell>
          <cell r="P73">
            <v>1</v>
          </cell>
          <cell r="Q73">
            <v>0</v>
          </cell>
          <cell r="R73" t="str">
            <v>滞涨</v>
          </cell>
          <cell r="S73">
            <v>0</v>
          </cell>
          <cell r="T73">
            <v>0</v>
          </cell>
          <cell r="U73">
            <v>0</v>
          </cell>
          <cell r="V73">
            <v>1</v>
          </cell>
          <cell r="W73" t="str">
            <v>衰退</v>
          </cell>
          <cell r="X73">
            <v>0</v>
          </cell>
          <cell r="Y73">
            <v>0</v>
          </cell>
          <cell r="Z73">
            <v>1</v>
          </cell>
          <cell r="AA73">
            <v>0</v>
          </cell>
          <cell r="AB73" t="str">
            <v>滞涨</v>
          </cell>
        </row>
        <row r="74">
          <cell r="A74">
            <v>39051</v>
          </cell>
          <cell r="B74">
            <v>14.9</v>
          </cell>
          <cell r="C74">
            <v>1.9</v>
          </cell>
          <cell r="D74">
            <v>2.78</v>
          </cell>
          <cell r="E74">
            <v>2.2519999999999998</v>
          </cell>
          <cell r="F74">
            <v>1</v>
          </cell>
          <cell r="G74">
            <v>0</v>
          </cell>
          <cell r="H74">
            <v>1</v>
          </cell>
          <cell r="I74">
            <v>0</v>
          </cell>
          <cell r="J74">
            <v>0</v>
          </cell>
          <cell r="K74">
            <v>1</v>
          </cell>
          <cell r="L74">
            <v>1</v>
          </cell>
          <cell r="M74">
            <v>0</v>
          </cell>
          <cell r="N74">
            <v>0</v>
          </cell>
          <cell r="O74">
            <v>1</v>
          </cell>
          <cell r="P74">
            <v>0</v>
          </cell>
          <cell r="Q74">
            <v>0</v>
          </cell>
          <cell r="R74" t="str">
            <v>过热</v>
          </cell>
          <cell r="S74">
            <v>1</v>
          </cell>
          <cell r="T74">
            <v>0</v>
          </cell>
          <cell r="U74">
            <v>0</v>
          </cell>
          <cell r="V74">
            <v>0</v>
          </cell>
          <cell r="W74" t="str">
            <v>复苏</v>
          </cell>
          <cell r="X74">
            <v>0</v>
          </cell>
          <cell r="Y74">
            <v>1</v>
          </cell>
          <cell r="Z74">
            <v>0</v>
          </cell>
          <cell r="AA74">
            <v>0</v>
          </cell>
          <cell r="AB74" t="str">
            <v>过热</v>
          </cell>
        </row>
        <row r="75">
          <cell r="A75">
            <v>39082</v>
          </cell>
          <cell r="B75">
            <v>14.7</v>
          </cell>
          <cell r="C75">
            <v>2.8</v>
          </cell>
          <cell r="D75">
            <v>3.1</v>
          </cell>
          <cell r="E75">
            <v>2.92</v>
          </cell>
          <cell r="F75">
            <v>1</v>
          </cell>
          <cell r="G75">
            <v>0</v>
          </cell>
          <cell r="H75">
            <v>1</v>
          </cell>
          <cell r="I75">
            <v>0</v>
          </cell>
          <cell r="J75">
            <v>0</v>
          </cell>
          <cell r="K75">
            <v>1</v>
          </cell>
          <cell r="L75">
            <v>1</v>
          </cell>
          <cell r="M75">
            <v>0</v>
          </cell>
          <cell r="N75">
            <v>0</v>
          </cell>
          <cell r="O75">
            <v>1</v>
          </cell>
          <cell r="P75">
            <v>0</v>
          </cell>
          <cell r="Q75">
            <v>0</v>
          </cell>
          <cell r="R75" t="str">
            <v>过热</v>
          </cell>
          <cell r="S75">
            <v>1</v>
          </cell>
          <cell r="T75">
            <v>0</v>
          </cell>
          <cell r="U75">
            <v>0</v>
          </cell>
          <cell r="V75">
            <v>0</v>
          </cell>
          <cell r="W75" t="str">
            <v>复苏</v>
          </cell>
          <cell r="X75">
            <v>0</v>
          </cell>
          <cell r="Y75">
            <v>1</v>
          </cell>
          <cell r="Z75">
            <v>0</v>
          </cell>
          <cell r="AA75">
            <v>0</v>
          </cell>
          <cell r="AB75" t="str">
            <v>过热</v>
          </cell>
        </row>
        <row r="76">
          <cell r="A76">
            <v>39141</v>
          </cell>
          <cell r="B76">
            <v>18.5</v>
          </cell>
          <cell r="C76">
            <v>2.4</v>
          </cell>
          <cell r="D76">
            <v>3</v>
          </cell>
          <cell r="E76">
            <v>2.64</v>
          </cell>
          <cell r="F76">
            <v>1</v>
          </cell>
          <cell r="G76">
            <v>0</v>
          </cell>
          <cell r="H76">
            <v>1</v>
          </cell>
          <cell r="I76">
            <v>0</v>
          </cell>
          <cell r="J76">
            <v>0</v>
          </cell>
          <cell r="K76">
            <v>1</v>
          </cell>
          <cell r="L76">
            <v>1</v>
          </cell>
          <cell r="M76">
            <v>0</v>
          </cell>
          <cell r="N76">
            <v>0</v>
          </cell>
          <cell r="O76">
            <v>1</v>
          </cell>
          <cell r="P76">
            <v>0</v>
          </cell>
          <cell r="Q76">
            <v>0</v>
          </cell>
          <cell r="R76" t="str">
            <v>过热</v>
          </cell>
          <cell r="S76">
            <v>1</v>
          </cell>
          <cell r="T76">
            <v>0</v>
          </cell>
          <cell r="U76">
            <v>0</v>
          </cell>
          <cell r="V76">
            <v>0</v>
          </cell>
          <cell r="W76" t="str">
            <v>复苏</v>
          </cell>
          <cell r="X76">
            <v>0</v>
          </cell>
          <cell r="Y76">
            <v>1</v>
          </cell>
          <cell r="Z76">
            <v>0</v>
          </cell>
          <cell r="AA76">
            <v>0</v>
          </cell>
          <cell r="AB76" t="str">
            <v>过热</v>
          </cell>
        </row>
        <row r="77">
          <cell r="A77">
            <v>39172</v>
          </cell>
          <cell r="B77">
            <v>17.600000000000001</v>
          </cell>
          <cell r="C77">
            <v>3.3</v>
          </cell>
          <cell r="D77">
            <v>2.7</v>
          </cell>
          <cell r="E77">
            <v>3.0599999999999996</v>
          </cell>
          <cell r="F77">
            <v>1</v>
          </cell>
          <cell r="G77">
            <v>0</v>
          </cell>
          <cell r="H77">
            <v>1</v>
          </cell>
          <cell r="I77">
            <v>0</v>
          </cell>
          <cell r="J77">
            <v>0</v>
          </cell>
          <cell r="K77">
            <v>1</v>
          </cell>
          <cell r="L77">
            <v>1</v>
          </cell>
          <cell r="M77">
            <v>0</v>
          </cell>
          <cell r="N77">
            <v>0</v>
          </cell>
          <cell r="O77">
            <v>1</v>
          </cell>
          <cell r="P77">
            <v>0</v>
          </cell>
          <cell r="Q77">
            <v>0</v>
          </cell>
          <cell r="R77" t="str">
            <v>过热</v>
          </cell>
          <cell r="S77">
            <v>1</v>
          </cell>
          <cell r="T77">
            <v>0</v>
          </cell>
          <cell r="U77">
            <v>0</v>
          </cell>
          <cell r="V77">
            <v>0</v>
          </cell>
          <cell r="W77" t="str">
            <v>复苏</v>
          </cell>
          <cell r="X77">
            <v>0</v>
          </cell>
          <cell r="Y77">
            <v>1</v>
          </cell>
          <cell r="Z77">
            <v>0</v>
          </cell>
          <cell r="AA77">
            <v>0</v>
          </cell>
          <cell r="AB77" t="str">
            <v>过热</v>
          </cell>
        </row>
        <row r="78">
          <cell r="A78">
            <v>39202</v>
          </cell>
          <cell r="B78">
            <v>17.399999999999999</v>
          </cell>
          <cell r="C78">
            <v>3</v>
          </cell>
          <cell r="D78">
            <v>2.9</v>
          </cell>
          <cell r="E78">
            <v>2.96</v>
          </cell>
          <cell r="F78">
            <v>1</v>
          </cell>
          <cell r="G78">
            <v>0</v>
          </cell>
          <cell r="H78">
            <v>1</v>
          </cell>
          <cell r="I78">
            <v>0</v>
          </cell>
          <cell r="J78">
            <v>0</v>
          </cell>
          <cell r="K78">
            <v>1</v>
          </cell>
          <cell r="L78">
            <v>1</v>
          </cell>
          <cell r="M78">
            <v>0</v>
          </cell>
          <cell r="N78">
            <v>0</v>
          </cell>
          <cell r="O78">
            <v>1</v>
          </cell>
          <cell r="P78">
            <v>0</v>
          </cell>
          <cell r="Q78">
            <v>0</v>
          </cell>
          <cell r="R78" t="str">
            <v>过热</v>
          </cell>
          <cell r="S78">
            <v>1</v>
          </cell>
          <cell r="T78">
            <v>0</v>
          </cell>
          <cell r="U78">
            <v>0</v>
          </cell>
          <cell r="V78">
            <v>0</v>
          </cell>
          <cell r="W78" t="str">
            <v>复苏</v>
          </cell>
          <cell r="X78">
            <v>0</v>
          </cell>
          <cell r="Y78">
            <v>1</v>
          </cell>
          <cell r="Z78">
            <v>0</v>
          </cell>
          <cell r="AA78">
            <v>0</v>
          </cell>
          <cell r="AB78" t="str">
            <v>过热</v>
          </cell>
        </row>
        <row r="79">
          <cell r="A79">
            <v>39233</v>
          </cell>
          <cell r="B79">
            <v>18.100000000000001</v>
          </cell>
          <cell r="C79">
            <v>3.4</v>
          </cell>
          <cell r="D79">
            <v>2.8</v>
          </cell>
          <cell r="E79">
            <v>3.16</v>
          </cell>
          <cell r="F79">
            <v>1</v>
          </cell>
          <cell r="G79">
            <v>0</v>
          </cell>
          <cell r="H79">
            <v>1</v>
          </cell>
          <cell r="I79">
            <v>0</v>
          </cell>
          <cell r="J79">
            <v>0</v>
          </cell>
          <cell r="K79">
            <v>1</v>
          </cell>
          <cell r="L79">
            <v>1</v>
          </cell>
          <cell r="M79">
            <v>0</v>
          </cell>
          <cell r="N79">
            <v>0</v>
          </cell>
          <cell r="O79">
            <v>1</v>
          </cell>
          <cell r="P79">
            <v>0</v>
          </cell>
          <cell r="Q79">
            <v>0</v>
          </cell>
          <cell r="R79" t="str">
            <v>过热</v>
          </cell>
          <cell r="S79">
            <v>1</v>
          </cell>
          <cell r="T79">
            <v>0</v>
          </cell>
          <cell r="U79">
            <v>0</v>
          </cell>
          <cell r="V79">
            <v>0</v>
          </cell>
          <cell r="W79" t="str">
            <v>复苏</v>
          </cell>
          <cell r="X79">
            <v>0</v>
          </cell>
          <cell r="Y79">
            <v>1</v>
          </cell>
          <cell r="Z79">
            <v>0</v>
          </cell>
          <cell r="AA79">
            <v>0</v>
          </cell>
          <cell r="AB79" t="str">
            <v>过热</v>
          </cell>
        </row>
        <row r="80">
          <cell r="A80">
            <v>39263</v>
          </cell>
          <cell r="B80">
            <v>19.399999999999999</v>
          </cell>
          <cell r="C80">
            <v>4.4000000000000004</v>
          </cell>
          <cell r="D80">
            <v>2.4900000000000002</v>
          </cell>
          <cell r="E80">
            <v>3.6360000000000001</v>
          </cell>
          <cell r="F80">
            <v>1</v>
          </cell>
          <cell r="G80">
            <v>0</v>
          </cell>
          <cell r="H80">
            <v>1</v>
          </cell>
          <cell r="I80">
            <v>0</v>
          </cell>
          <cell r="J80">
            <v>0</v>
          </cell>
          <cell r="K80">
            <v>1</v>
          </cell>
          <cell r="L80">
            <v>1</v>
          </cell>
          <cell r="M80">
            <v>0</v>
          </cell>
          <cell r="N80">
            <v>0</v>
          </cell>
          <cell r="O80">
            <v>1</v>
          </cell>
          <cell r="P80">
            <v>0</v>
          </cell>
          <cell r="Q80">
            <v>0</v>
          </cell>
          <cell r="R80" t="str">
            <v>过热</v>
          </cell>
          <cell r="S80">
            <v>1</v>
          </cell>
          <cell r="T80">
            <v>0</v>
          </cell>
          <cell r="U80">
            <v>0</v>
          </cell>
          <cell r="V80">
            <v>0</v>
          </cell>
          <cell r="W80" t="str">
            <v>复苏</v>
          </cell>
          <cell r="X80">
            <v>0</v>
          </cell>
          <cell r="Y80">
            <v>1</v>
          </cell>
          <cell r="Z80">
            <v>0</v>
          </cell>
          <cell r="AA80">
            <v>0</v>
          </cell>
          <cell r="AB80" t="str">
            <v>过热</v>
          </cell>
        </row>
        <row r="81">
          <cell r="A81">
            <v>39294</v>
          </cell>
          <cell r="B81">
            <v>18</v>
          </cell>
          <cell r="C81">
            <v>5.6</v>
          </cell>
          <cell r="D81">
            <v>2.4</v>
          </cell>
          <cell r="E81">
            <v>4.32</v>
          </cell>
          <cell r="F81">
            <v>0</v>
          </cell>
          <cell r="G81">
            <v>1</v>
          </cell>
          <cell r="H81">
            <v>1</v>
          </cell>
          <cell r="I81">
            <v>0</v>
          </cell>
          <cell r="J81">
            <v>0</v>
          </cell>
          <cell r="K81">
            <v>1</v>
          </cell>
          <cell r="L81">
            <v>1</v>
          </cell>
          <cell r="M81">
            <v>0</v>
          </cell>
          <cell r="N81">
            <v>0</v>
          </cell>
          <cell r="O81">
            <v>0</v>
          </cell>
          <cell r="P81">
            <v>1</v>
          </cell>
          <cell r="Q81">
            <v>0</v>
          </cell>
          <cell r="R81" t="str">
            <v>滞涨</v>
          </cell>
          <cell r="S81">
            <v>0</v>
          </cell>
          <cell r="T81">
            <v>0</v>
          </cell>
          <cell r="U81">
            <v>0</v>
          </cell>
          <cell r="V81">
            <v>1</v>
          </cell>
          <cell r="W81" t="str">
            <v>衰退</v>
          </cell>
          <cell r="X81">
            <v>0</v>
          </cell>
          <cell r="Y81">
            <v>0</v>
          </cell>
          <cell r="Z81">
            <v>1</v>
          </cell>
          <cell r="AA81">
            <v>0</v>
          </cell>
          <cell r="AB81" t="str">
            <v>滞涨</v>
          </cell>
        </row>
        <row r="82">
          <cell r="A82">
            <v>39325</v>
          </cell>
          <cell r="B82">
            <v>17.5</v>
          </cell>
          <cell r="C82">
            <v>6.5</v>
          </cell>
          <cell r="D82">
            <v>2.6</v>
          </cell>
          <cell r="E82">
            <v>4.9399999999999995</v>
          </cell>
          <cell r="F82">
            <v>0</v>
          </cell>
          <cell r="G82">
            <v>1</v>
          </cell>
          <cell r="H82">
            <v>1</v>
          </cell>
          <cell r="I82">
            <v>0</v>
          </cell>
          <cell r="J82">
            <v>1</v>
          </cell>
          <cell r="K82">
            <v>0</v>
          </cell>
          <cell r="L82">
            <v>1</v>
          </cell>
          <cell r="M82">
            <v>0</v>
          </cell>
          <cell r="N82">
            <v>0</v>
          </cell>
          <cell r="O82">
            <v>0</v>
          </cell>
          <cell r="P82">
            <v>1</v>
          </cell>
          <cell r="Q82">
            <v>0</v>
          </cell>
          <cell r="R82" t="str">
            <v>滞涨</v>
          </cell>
          <cell r="S82">
            <v>0</v>
          </cell>
          <cell r="T82">
            <v>0</v>
          </cell>
          <cell r="U82">
            <v>1</v>
          </cell>
          <cell r="V82">
            <v>0</v>
          </cell>
          <cell r="W82" t="str">
            <v>滞涨</v>
          </cell>
          <cell r="X82">
            <v>0</v>
          </cell>
          <cell r="Y82">
            <v>0</v>
          </cell>
          <cell r="Z82">
            <v>1</v>
          </cell>
          <cell r="AA82">
            <v>0</v>
          </cell>
          <cell r="AB82" t="str">
            <v>滞涨</v>
          </cell>
        </row>
        <row r="83">
          <cell r="A83">
            <v>39355</v>
          </cell>
          <cell r="B83">
            <v>18.899999999999999</v>
          </cell>
          <cell r="C83">
            <v>6.2</v>
          </cell>
          <cell r="D83">
            <v>2.7</v>
          </cell>
          <cell r="E83">
            <v>4.8</v>
          </cell>
          <cell r="F83">
            <v>0</v>
          </cell>
          <cell r="G83">
            <v>1</v>
          </cell>
          <cell r="H83">
            <v>1</v>
          </cell>
          <cell r="I83">
            <v>0</v>
          </cell>
          <cell r="J83">
            <v>1</v>
          </cell>
          <cell r="K83">
            <v>0</v>
          </cell>
          <cell r="L83">
            <v>1</v>
          </cell>
          <cell r="M83">
            <v>0</v>
          </cell>
          <cell r="N83">
            <v>0</v>
          </cell>
          <cell r="O83">
            <v>0</v>
          </cell>
          <cell r="P83">
            <v>1</v>
          </cell>
          <cell r="Q83">
            <v>0</v>
          </cell>
          <cell r="R83" t="str">
            <v>滞涨</v>
          </cell>
          <cell r="S83">
            <v>0</v>
          </cell>
          <cell r="T83">
            <v>0</v>
          </cell>
          <cell r="U83">
            <v>1</v>
          </cell>
          <cell r="V83">
            <v>0</v>
          </cell>
          <cell r="W83" t="str">
            <v>滞涨</v>
          </cell>
          <cell r="X83">
            <v>0</v>
          </cell>
          <cell r="Y83">
            <v>0</v>
          </cell>
          <cell r="Z83">
            <v>1</v>
          </cell>
          <cell r="AA83">
            <v>0</v>
          </cell>
          <cell r="AB83" t="str">
            <v>滞涨</v>
          </cell>
        </row>
        <row r="84">
          <cell r="A84">
            <v>39386</v>
          </cell>
          <cell r="B84">
            <v>17.899999999999999</v>
          </cell>
          <cell r="C84">
            <v>6.5</v>
          </cell>
          <cell r="D84">
            <v>3.2</v>
          </cell>
          <cell r="E84">
            <v>5.18</v>
          </cell>
          <cell r="F84">
            <v>0</v>
          </cell>
          <cell r="G84">
            <v>1</v>
          </cell>
          <cell r="H84">
            <v>1</v>
          </cell>
          <cell r="I84">
            <v>0</v>
          </cell>
          <cell r="J84">
            <v>1</v>
          </cell>
          <cell r="K84">
            <v>0</v>
          </cell>
          <cell r="L84">
            <v>1</v>
          </cell>
          <cell r="M84">
            <v>0</v>
          </cell>
          <cell r="N84">
            <v>0</v>
          </cell>
          <cell r="O84">
            <v>0</v>
          </cell>
          <cell r="P84">
            <v>1</v>
          </cell>
          <cell r="Q84">
            <v>0</v>
          </cell>
          <cell r="R84" t="str">
            <v>滞涨</v>
          </cell>
          <cell r="S84">
            <v>0</v>
          </cell>
          <cell r="T84">
            <v>0</v>
          </cell>
          <cell r="U84">
            <v>1</v>
          </cell>
          <cell r="V84">
            <v>0</v>
          </cell>
          <cell r="W84" t="str">
            <v>滞涨</v>
          </cell>
          <cell r="X84">
            <v>0</v>
          </cell>
          <cell r="Y84">
            <v>0</v>
          </cell>
          <cell r="Z84">
            <v>1</v>
          </cell>
          <cell r="AA84">
            <v>0</v>
          </cell>
          <cell r="AB84" t="str">
            <v>滞涨</v>
          </cell>
        </row>
        <row r="85">
          <cell r="A85">
            <v>39416</v>
          </cell>
          <cell r="B85">
            <v>17.3</v>
          </cell>
          <cell r="C85">
            <v>6.9</v>
          </cell>
          <cell r="D85">
            <v>4.55</v>
          </cell>
          <cell r="E85">
            <v>5.96</v>
          </cell>
          <cell r="F85">
            <v>0</v>
          </cell>
          <cell r="G85">
            <v>1</v>
          </cell>
          <cell r="H85">
            <v>1</v>
          </cell>
          <cell r="I85">
            <v>0</v>
          </cell>
          <cell r="J85">
            <v>1</v>
          </cell>
          <cell r="K85">
            <v>0</v>
          </cell>
          <cell r="L85">
            <v>1</v>
          </cell>
          <cell r="M85">
            <v>0</v>
          </cell>
          <cell r="N85">
            <v>0</v>
          </cell>
          <cell r="O85">
            <v>0</v>
          </cell>
          <cell r="P85">
            <v>1</v>
          </cell>
          <cell r="Q85">
            <v>0</v>
          </cell>
          <cell r="R85" t="str">
            <v>滞涨</v>
          </cell>
          <cell r="S85">
            <v>0</v>
          </cell>
          <cell r="T85">
            <v>0</v>
          </cell>
          <cell r="U85">
            <v>1</v>
          </cell>
          <cell r="V85">
            <v>0</v>
          </cell>
          <cell r="W85" t="str">
            <v>滞涨</v>
          </cell>
          <cell r="X85">
            <v>0</v>
          </cell>
          <cell r="Y85">
            <v>0</v>
          </cell>
          <cell r="Z85">
            <v>1</v>
          </cell>
          <cell r="AA85">
            <v>0</v>
          </cell>
          <cell r="AB85" t="str">
            <v>滞涨</v>
          </cell>
        </row>
        <row r="86">
          <cell r="A86">
            <v>39447</v>
          </cell>
          <cell r="B86">
            <v>17.399999999999999</v>
          </cell>
          <cell r="C86">
            <v>6.5</v>
          </cell>
          <cell r="D86">
            <v>5.43</v>
          </cell>
          <cell r="E86">
            <v>6.0720000000000001</v>
          </cell>
          <cell r="F86">
            <v>0</v>
          </cell>
          <cell r="G86">
            <v>1</v>
          </cell>
          <cell r="H86">
            <v>1</v>
          </cell>
          <cell r="I86">
            <v>0</v>
          </cell>
          <cell r="J86">
            <v>1</v>
          </cell>
          <cell r="K86">
            <v>0</v>
          </cell>
          <cell r="L86">
            <v>1</v>
          </cell>
          <cell r="M86">
            <v>0</v>
          </cell>
          <cell r="N86">
            <v>0</v>
          </cell>
          <cell r="O86">
            <v>0</v>
          </cell>
          <cell r="P86">
            <v>1</v>
          </cell>
          <cell r="Q86">
            <v>0</v>
          </cell>
          <cell r="R86" t="str">
            <v>滞涨</v>
          </cell>
          <cell r="S86">
            <v>0</v>
          </cell>
          <cell r="T86">
            <v>0</v>
          </cell>
          <cell r="U86">
            <v>1</v>
          </cell>
          <cell r="V86">
            <v>0</v>
          </cell>
          <cell r="W86" t="str">
            <v>滞涨</v>
          </cell>
          <cell r="X86">
            <v>0</v>
          </cell>
          <cell r="Y86">
            <v>0</v>
          </cell>
          <cell r="Z86">
            <v>1</v>
          </cell>
          <cell r="AA86">
            <v>0</v>
          </cell>
          <cell r="AB86" t="str">
            <v>滞涨</v>
          </cell>
        </row>
        <row r="87">
          <cell r="A87">
            <v>39507</v>
          </cell>
          <cell r="B87">
            <v>15.4</v>
          </cell>
          <cell r="C87">
            <v>7.9</v>
          </cell>
          <cell r="D87">
            <v>6.4</v>
          </cell>
          <cell r="E87">
            <v>7.3000000000000007</v>
          </cell>
          <cell r="F87">
            <v>0</v>
          </cell>
          <cell r="G87">
            <v>1</v>
          </cell>
          <cell r="H87">
            <v>1</v>
          </cell>
          <cell r="I87">
            <v>0</v>
          </cell>
          <cell r="J87">
            <v>1</v>
          </cell>
          <cell r="K87">
            <v>0</v>
          </cell>
          <cell r="L87">
            <v>1</v>
          </cell>
          <cell r="M87">
            <v>0</v>
          </cell>
          <cell r="N87">
            <v>0</v>
          </cell>
          <cell r="O87">
            <v>0</v>
          </cell>
          <cell r="P87">
            <v>1</v>
          </cell>
          <cell r="Q87">
            <v>0</v>
          </cell>
          <cell r="R87" t="str">
            <v>滞涨</v>
          </cell>
          <cell r="S87">
            <v>0</v>
          </cell>
          <cell r="T87">
            <v>0</v>
          </cell>
          <cell r="U87">
            <v>1</v>
          </cell>
          <cell r="V87">
            <v>0</v>
          </cell>
          <cell r="W87" t="str">
            <v>滞涨</v>
          </cell>
          <cell r="X87">
            <v>0</v>
          </cell>
          <cell r="Y87">
            <v>0</v>
          </cell>
          <cell r="Z87">
            <v>1</v>
          </cell>
          <cell r="AA87">
            <v>0</v>
          </cell>
          <cell r="AB87" t="str">
            <v>滞涨</v>
          </cell>
        </row>
        <row r="88">
          <cell r="A88">
            <v>39538</v>
          </cell>
          <cell r="B88">
            <v>17.8</v>
          </cell>
          <cell r="C88">
            <v>8.3000000000000007</v>
          </cell>
          <cell r="D88">
            <v>7.95</v>
          </cell>
          <cell r="E88">
            <v>8.16</v>
          </cell>
          <cell r="F88">
            <v>0</v>
          </cell>
          <cell r="G88">
            <v>1</v>
          </cell>
          <cell r="H88">
            <v>1</v>
          </cell>
          <cell r="I88">
            <v>0</v>
          </cell>
          <cell r="J88">
            <v>1</v>
          </cell>
          <cell r="K88">
            <v>0</v>
          </cell>
          <cell r="L88">
            <v>1</v>
          </cell>
          <cell r="M88">
            <v>0</v>
          </cell>
          <cell r="N88">
            <v>0</v>
          </cell>
          <cell r="O88">
            <v>0</v>
          </cell>
          <cell r="P88">
            <v>1</v>
          </cell>
          <cell r="Q88">
            <v>0</v>
          </cell>
          <cell r="R88" t="str">
            <v>滞涨</v>
          </cell>
          <cell r="S88">
            <v>0</v>
          </cell>
          <cell r="T88">
            <v>0</v>
          </cell>
          <cell r="U88">
            <v>1</v>
          </cell>
          <cell r="V88">
            <v>0</v>
          </cell>
          <cell r="W88" t="str">
            <v>滞涨</v>
          </cell>
          <cell r="X88">
            <v>0</v>
          </cell>
          <cell r="Y88">
            <v>0</v>
          </cell>
          <cell r="Z88">
            <v>1</v>
          </cell>
          <cell r="AA88">
            <v>0</v>
          </cell>
          <cell r="AB88" t="str">
            <v>滞涨</v>
          </cell>
        </row>
        <row r="89">
          <cell r="A89">
            <v>39568</v>
          </cell>
          <cell r="B89">
            <v>15.7</v>
          </cell>
          <cell r="C89">
            <v>8.5</v>
          </cell>
          <cell r="D89">
            <v>8.1199999999999992</v>
          </cell>
          <cell r="E89">
            <v>8.347999999999999</v>
          </cell>
          <cell r="F89">
            <v>0</v>
          </cell>
          <cell r="G89">
            <v>1</v>
          </cell>
          <cell r="H89">
            <v>1</v>
          </cell>
          <cell r="I89">
            <v>0</v>
          </cell>
          <cell r="J89">
            <v>1</v>
          </cell>
          <cell r="K89">
            <v>0</v>
          </cell>
          <cell r="L89">
            <v>1</v>
          </cell>
          <cell r="M89">
            <v>0</v>
          </cell>
          <cell r="N89">
            <v>0</v>
          </cell>
          <cell r="O89">
            <v>0</v>
          </cell>
          <cell r="P89">
            <v>1</v>
          </cell>
          <cell r="Q89">
            <v>0</v>
          </cell>
          <cell r="R89" t="str">
            <v>滞涨</v>
          </cell>
          <cell r="S89">
            <v>0</v>
          </cell>
          <cell r="T89">
            <v>0</v>
          </cell>
          <cell r="U89">
            <v>1</v>
          </cell>
          <cell r="V89">
            <v>0</v>
          </cell>
          <cell r="W89" t="str">
            <v>滞涨</v>
          </cell>
          <cell r="X89">
            <v>0</v>
          </cell>
          <cell r="Y89">
            <v>0</v>
          </cell>
          <cell r="Z89">
            <v>1</v>
          </cell>
          <cell r="AA89">
            <v>0</v>
          </cell>
          <cell r="AB89" t="str">
            <v>滞涨</v>
          </cell>
        </row>
        <row r="90">
          <cell r="A90">
            <v>39599</v>
          </cell>
          <cell r="B90">
            <v>16</v>
          </cell>
          <cell r="C90">
            <v>7.7</v>
          </cell>
          <cell r="D90">
            <v>8.2200000000000006</v>
          </cell>
          <cell r="E90">
            <v>7.9080000000000004</v>
          </cell>
          <cell r="F90">
            <v>0</v>
          </cell>
          <cell r="G90">
            <v>1</v>
          </cell>
          <cell r="H90">
            <v>0</v>
          </cell>
          <cell r="I90">
            <v>1</v>
          </cell>
          <cell r="J90">
            <v>1</v>
          </cell>
          <cell r="K90">
            <v>0</v>
          </cell>
          <cell r="L90">
            <v>0</v>
          </cell>
          <cell r="M90">
            <v>1</v>
          </cell>
          <cell r="N90">
            <v>0</v>
          </cell>
          <cell r="O90">
            <v>0</v>
          </cell>
          <cell r="P90">
            <v>0</v>
          </cell>
          <cell r="Q90">
            <v>1</v>
          </cell>
          <cell r="R90" t="str">
            <v>衰退</v>
          </cell>
          <cell r="S90">
            <v>0</v>
          </cell>
          <cell r="T90">
            <v>0</v>
          </cell>
          <cell r="U90">
            <v>1</v>
          </cell>
          <cell r="V90">
            <v>0</v>
          </cell>
          <cell r="W90" t="str">
            <v>滞涨</v>
          </cell>
          <cell r="X90">
            <v>0</v>
          </cell>
          <cell r="Y90">
            <v>0</v>
          </cell>
          <cell r="Z90">
            <v>0</v>
          </cell>
          <cell r="AA90">
            <v>1</v>
          </cell>
          <cell r="AB90" t="str">
            <v>衰退</v>
          </cell>
        </row>
        <row r="91">
          <cell r="A91">
            <v>39629</v>
          </cell>
          <cell r="B91">
            <v>16</v>
          </cell>
          <cell r="C91">
            <v>7.1</v>
          </cell>
          <cell r="D91">
            <v>8.84</v>
          </cell>
          <cell r="E91">
            <v>7.7959999999999994</v>
          </cell>
          <cell r="F91">
            <v>0</v>
          </cell>
          <cell r="G91">
            <v>1</v>
          </cell>
          <cell r="H91">
            <v>0</v>
          </cell>
          <cell r="I91">
            <v>1</v>
          </cell>
          <cell r="J91">
            <v>1</v>
          </cell>
          <cell r="K91">
            <v>0</v>
          </cell>
          <cell r="L91">
            <v>0</v>
          </cell>
          <cell r="M91">
            <v>1</v>
          </cell>
          <cell r="N91">
            <v>0</v>
          </cell>
          <cell r="O91">
            <v>0</v>
          </cell>
          <cell r="P91">
            <v>0</v>
          </cell>
          <cell r="Q91">
            <v>1</v>
          </cell>
          <cell r="R91" t="str">
            <v>衰退</v>
          </cell>
          <cell r="S91">
            <v>0</v>
          </cell>
          <cell r="T91">
            <v>0</v>
          </cell>
          <cell r="U91">
            <v>1</v>
          </cell>
          <cell r="V91">
            <v>0</v>
          </cell>
          <cell r="W91" t="str">
            <v>滞涨</v>
          </cell>
          <cell r="X91">
            <v>0</v>
          </cell>
          <cell r="Y91">
            <v>0</v>
          </cell>
          <cell r="Z91">
            <v>0</v>
          </cell>
          <cell r="AA91">
            <v>1</v>
          </cell>
          <cell r="AB91" t="str">
            <v>衰退</v>
          </cell>
        </row>
        <row r="92">
          <cell r="A92">
            <v>39660</v>
          </cell>
          <cell r="B92">
            <v>14.7</v>
          </cell>
          <cell r="C92">
            <v>6.3</v>
          </cell>
          <cell r="D92">
            <v>10.029999999999999</v>
          </cell>
          <cell r="E92">
            <v>7.7919999999999998</v>
          </cell>
          <cell r="F92">
            <v>0</v>
          </cell>
          <cell r="G92">
            <v>1</v>
          </cell>
          <cell r="H92">
            <v>0</v>
          </cell>
          <cell r="I92">
            <v>1</v>
          </cell>
          <cell r="J92">
            <v>1</v>
          </cell>
          <cell r="K92">
            <v>0</v>
          </cell>
          <cell r="L92">
            <v>0</v>
          </cell>
          <cell r="M92">
            <v>1</v>
          </cell>
          <cell r="N92">
            <v>0</v>
          </cell>
          <cell r="O92">
            <v>0</v>
          </cell>
          <cell r="P92">
            <v>0</v>
          </cell>
          <cell r="Q92">
            <v>1</v>
          </cell>
          <cell r="R92" t="str">
            <v>衰退</v>
          </cell>
          <cell r="S92">
            <v>0</v>
          </cell>
          <cell r="T92">
            <v>0</v>
          </cell>
          <cell r="U92">
            <v>1</v>
          </cell>
          <cell r="V92">
            <v>0</v>
          </cell>
          <cell r="W92" t="str">
            <v>滞涨</v>
          </cell>
          <cell r="X92">
            <v>0</v>
          </cell>
          <cell r="Y92">
            <v>0</v>
          </cell>
          <cell r="Z92">
            <v>0</v>
          </cell>
          <cell r="AA92">
            <v>1</v>
          </cell>
          <cell r="AB92" t="str">
            <v>衰退</v>
          </cell>
        </row>
        <row r="93">
          <cell r="A93">
            <v>39691</v>
          </cell>
          <cell r="B93">
            <v>12.8</v>
          </cell>
          <cell r="C93">
            <v>4.9000000000000004</v>
          </cell>
          <cell r="D93">
            <v>10.06</v>
          </cell>
          <cell r="E93">
            <v>6.9640000000000004</v>
          </cell>
          <cell r="F93">
            <v>0</v>
          </cell>
          <cell r="G93">
            <v>1</v>
          </cell>
          <cell r="H93">
            <v>0</v>
          </cell>
          <cell r="I93">
            <v>1</v>
          </cell>
          <cell r="J93">
            <v>1</v>
          </cell>
          <cell r="K93">
            <v>0</v>
          </cell>
          <cell r="L93">
            <v>0</v>
          </cell>
          <cell r="M93">
            <v>1</v>
          </cell>
          <cell r="N93">
            <v>0</v>
          </cell>
          <cell r="O93">
            <v>0</v>
          </cell>
          <cell r="P93">
            <v>0</v>
          </cell>
          <cell r="Q93">
            <v>1</v>
          </cell>
          <cell r="R93" t="str">
            <v>衰退</v>
          </cell>
          <cell r="S93">
            <v>0</v>
          </cell>
          <cell r="T93">
            <v>0</v>
          </cell>
          <cell r="U93">
            <v>1</v>
          </cell>
          <cell r="V93">
            <v>0</v>
          </cell>
          <cell r="W93" t="str">
            <v>滞涨</v>
          </cell>
          <cell r="X93">
            <v>0</v>
          </cell>
          <cell r="Y93">
            <v>0</v>
          </cell>
          <cell r="Z93">
            <v>0</v>
          </cell>
          <cell r="AA93">
            <v>1</v>
          </cell>
          <cell r="AB93" t="str">
            <v>衰退</v>
          </cell>
        </row>
        <row r="94">
          <cell r="A94">
            <v>39721</v>
          </cell>
          <cell r="B94">
            <v>11.4</v>
          </cell>
          <cell r="C94">
            <v>4.5999999999999996</v>
          </cell>
          <cell r="D94">
            <v>9.1300000000000008</v>
          </cell>
          <cell r="E94">
            <v>6.4120000000000008</v>
          </cell>
          <cell r="F94">
            <v>0</v>
          </cell>
          <cell r="G94">
            <v>1</v>
          </cell>
          <cell r="H94">
            <v>0</v>
          </cell>
          <cell r="I94">
            <v>1</v>
          </cell>
          <cell r="J94">
            <v>0</v>
          </cell>
          <cell r="K94">
            <v>1</v>
          </cell>
          <cell r="L94">
            <v>0</v>
          </cell>
          <cell r="M94">
            <v>1</v>
          </cell>
          <cell r="N94">
            <v>0</v>
          </cell>
          <cell r="O94">
            <v>0</v>
          </cell>
          <cell r="P94">
            <v>0</v>
          </cell>
          <cell r="Q94">
            <v>1</v>
          </cell>
          <cell r="R94" t="str">
            <v>衰退</v>
          </cell>
          <cell r="S94">
            <v>0</v>
          </cell>
          <cell r="T94">
            <v>0</v>
          </cell>
          <cell r="U94">
            <v>0</v>
          </cell>
          <cell r="V94">
            <v>1</v>
          </cell>
          <cell r="W94" t="str">
            <v>衰退</v>
          </cell>
          <cell r="X94">
            <v>0</v>
          </cell>
          <cell r="Y94">
            <v>0</v>
          </cell>
          <cell r="Z94">
            <v>0</v>
          </cell>
          <cell r="AA94">
            <v>1</v>
          </cell>
          <cell r="AB94" t="str">
            <v>衰退</v>
          </cell>
        </row>
        <row r="95">
          <cell r="A95">
            <v>39752</v>
          </cell>
          <cell r="B95">
            <v>8.1999999999999993</v>
          </cell>
          <cell r="C95">
            <v>4</v>
          </cell>
          <cell r="D95">
            <v>6.59</v>
          </cell>
          <cell r="E95">
            <v>5.0359999999999996</v>
          </cell>
          <cell r="F95">
            <v>0</v>
          </cell>
          <cell r="G95">
            <v>1</v>
          </cell>
          <cell r="H95">
            <v>0</v>
          </cell>
          <cell r="I95">
            <v>1</v>
          </cell>
          <cell r="J95">
            <v>0</v>
          </cell>
          <cell r="K95">
            <v>1</v>
          </cell>
          <cell r="L95">
            <v>0</v>
          </cell>
          <cell r="M95">
            <v>1</v>
          </cell>
          <cell r="N95">
            <v>0</v>
          </cell>
          <cell r="O95">
            <v>0</v>
          </cell>
          <cell r="P95">
            <v>0</v>
          </cell>
          <cell r="Q95">
            <v>1</v>
          </cell>
          <cell r="R95" t="str">
            <v>衰退</v>
          </cell>
          <cell r="S95">
            <v>0</v>
          </cell>
          <cell r="T95">
            <v>0</v>
          </cell>
          <cell r="U95">
            <v>0</v>
          </cell>
          <cell r="V95">
            <v>1</v>
          </cell>
          <cell r="W95" t="str">
            <v>衰退</v>
          </cell>
          <cell r="X95">
            <v>0</v>
          </cell>
          <cell r="Y95">
            <v>0</v>
          </cell>
          <cell r="Z95">
            <v>0</v>
          </cell>
          <cell r="AA95">
            <v>1</v>
          </cell>
          <cell r="AB95" t="str">
            <v>衰退</v>
          </cell>
        </row>
        <row r="96">
          <cell r="A96">
            <v>39782</v>
          </cell>
          <cell r="B96">
            <v>5.4</v>
          </cell>
          <cell r="C96">
            <v>2.4</v>
          </cell>
          <cell r="D96">
            <v>1.99</v>
          </cell>
          <cell r="E96">
            <v>2.2359999999999998</v>
          </cell>
          <cell r="F96">
            <v>0</v>
          </cell>
          <cell r="G96">
            <v>1</v>
          </cell>
          <cell r="H96">
            <v>0</v>
          </cell>
          <cell r="I96">
            <v>1</v>
          </cell>
          <cell r="J96">
            <v>0</v>
          </cell>
          <cell r="K96">
            <v>1</v>
          </cell>
          <cell r="L96">
            <v>0</v>
          </cell>
          <cell r="M96">
            <v>1</v>
          </cell>
          <cell r="N96">
            <v>0</v>
          </cell>
          <cell r="O96">
            <v>0</v>
          </cell>
          <cell r="P96">
            <v>0</v>
          </cell>
          <cell r="Q96">
            <v>1</v>
          </cell>
          <cell r="R96" t="str">
            <v>衰退</v>
          </cell>
          <cell r="S96">
            <v>0</v>
          </cell>
          <cell r="T96">
            <v>0</v>
          </cell>
          <cell r="U96">
            <v>0</v>
          </cell>
          <cell r="V96">
            <v>1</v>
          </cell>
          <cell r="W96" t="str">
            <v>衰退</v>
          </cell>
          <cell r="X96">
            <v>0</v>
          </cell>
          <cell r="Y96">
            <v>0</v>
          </cell>
          <cell r="Z96">
            <v>0</v>
          </cell>
          <cell r="AA96">
            <v>1</v>
          </cell>
          <cell r="AB96" t="str">
            <v>衰退</v>
          </cell>
        </row>
        <row r="97">
          <cell r="A97">
            <v>39813</v>
          </cell>
          <cell r="B97">
            <v>5.7</v>
          </cell>
          <cell r="C97">
            <v>1.2</v>
          </cell>
          <cell r="D97">
            <v>-1.1399999999999999</v>
          </cell>
          <cell r="E97">
            <v>0.26400000000000001</v>
          </cell>
          <cell r="F97">
            <v>0</v>
          </cell>
          <cell r="G97">
            <v>1</v>
          </cell>
          <cell r="H97">
            <v>0</v>
          </cell>
          <cell r="I97">
            <v>1</v>
          </cell>
          <cell r="J97">
            <v>0</v>
          </cell>
          <cell r="K97">
            <v>1</v>
          </cell>
          <cell r="L97">
            <v>0</v>
          </cell>
          <cell r="M97">
            <v>1</v>
          </cell>
          <cell r="N97">
            <v>0</v>
          </cell>
          <cell r="O97">
            <v>0</v>
          </cell>
          <cell r="P97">
            <v>0</v>
          </cell>
          <cell r="Q97">
            <v>1</v>
          </cell>
          <cell r="R97" t="str">
            <v>衰退</v>
          </cell>
          <cell r="S97">
            <v>0</v>
          </cell>
          <cell r="T97">
            <v>0</v>
          </cell>
          <cell r="U97">
            <v>0</v>
          </cell>
          <cell r="V97">
            <v>1</v>
          </cell>
          <cell r="W97" t="str">
            <v>衰退</v>
          </cell>
          <cell r="X97">
            <v>0</v>
          </cell>
          <cell r="Y97">
            <v>0</v>
          </cell>
          <cell r="Z97">
            <v>0</v>
          </cell>
          <cell r="AA97">
            <v>1</v>
          </cell>
          <cell r="AB97" t="str">
            <v>衰退</v>
          </cell>
        </row>
        <row r="98">
          <cell r="A98">
            <v>39872</v>
          </cell>
          <cell r="B98">
            <v>3.8</v>
          </cell>
          <cell r="C98">
            <v>-0.3</v>
          </cell>
          <cell r="D98">
            <v>-3.9</v>
          </cell>
          <cell r="E98">
            <v>-1.74</v>
          </cell>
          <cell r="F98">
            <v>0</v>
          </cell>
          <cell r="G98">
            <v>1</v>
          </cell>
          <cell r="H98">
            <v>0</v>
          </cell>
          <cell r="I98">
            <v>1</v>
          </cell>
          <cell r="J98">
            <v>0</v>
          </cell>
          <cell r="K98">
            <v>1</v>
          </cell>
          <cell r="L98">
            <v>0</v>
          </cell>
          <cell r="M98">
            <v>1</v>
          </cell>
          <cell r="N98">
            <v>0</v>
          </cell>
          <cell r="O98">
            <v>0</v>
          </cell>
          <cell r="P98">
            <v>0</v>
          </cell>
          <cell r="Q98">
            <v>1</v>
          </cell>
          <cell r="R98" t="str">
            <v>衰退</v>
          </cell>
          <cell r="S98">
            <v>0</v>
          </cell>
          <cell r="T98">
            <v>0</v>
          </cell>
          <cell r="U98">
            <v>0</v>
          </cell>
          <cell r="V98">
            <v>1</v>
          </cell>
          <cell r="W98" t="str">
            <v>衰退</v>
          </cell>
          <cell r="X98">
            <v>0</v>
          </cell>
          <cell r="Y98">
            <v>0</v>
          </cell>
          <cell r="Z98">
            <v>0</v>
          </cell>
          <cell r="AA98">
            <v>1</v>
          </cell>
          <cell r="AB98" t="str">
            <v>衰退</v>
          </cell>
        </row>
        <row r="99">
          <cell r="A99">
            <v>39903</v>
          </cell>
          <cell r="B99">
            <v>8.3000000000000007</v>
          </cell>
          <cell r="C99">
            <v>-1.2</v>
          </cell>
          <cell r="D99">
            <v>-6</v>
          </cell>
          <cell r="E99">
            <v>-3.12</v>
          </cell>
          <cell r="F99">
            <v>1</v>
          </cell>
          <cell r="G99">
            <v>0</v>
          </cell>
          <cell r="H99">
            <v>0</v>
          </cell>
          <cell r="I99">
            <v>1</v>
          </cell>
          <cell r="J99">
            <v>0</v>
          </cell>
          <cell r="K99">
            <v>1</v>
          </cell>
          <cell r="L99">
            <v>0</v>
          </cell>
          <cell r="M99">
            <v>1</v>
          </cell>
          <cell r="N99">
            <v>1</v>
          </cell>
          <cell r="O99">
            <v>0</v>
          </cell>
          <cell r="P99">
            <v>0</v>
          </cell>
          <cell r="Q99">
            <v>0</v>
          </cell>
          <cell r="R99" t="str">
            <v>复苏</v>
          </cell>
          <cell r="S99">
            <v>1</v>
          </cell>
          <cell r="T99">
            <v>0</v>
          </cell>
          <cell r="U99">
            <v>0</v>
          </cell>
          <cell r="V99">
            <v>0</v>
          </cell>
          <cell r="W99" t="str">
            <v>复苏</v>
          </cell>
          <cell r="X99">
            <v>1</v>
          </cell>
          <cell r="Y99">
            <v>0</v>
          </cell>
          <cell r="Z99">
            <v>0</v>
          </cell>
          <cell r="AA99">
            <v>0</v>
          </cell>
          <cell r="AB99" t="str">
            <v>复苏</v>
          </cell>
        </row>
        <row r="100">
          <cell r="A100">
            <v>39933</v>
          </cell>
          <cell r="B100">
            <v>7.3</v>
          </cell>
          <cell r="C100">
            <v>-1.5</v>
          </cell>
          <cell r="D100">
            <v>-6.6</v>
          </cell>
          <cell r="E100">
            <v>-3.54</v>
          </cell>
          <cell r="F100">
            <v>1</v>
          </cell>
          <cell r="G100">
            <v>0</v>
          </cell>
          <cell r="H100">
            <v>0</v>
          </cell>
          <cell r="I100">
            <v>1</v>
          </cell>
          <cell r="J100">
            <v>0</v>
          </cell>
          <cell r="K100">
            <v>1</v>
          </cell>
          <cell r="L100">
            <v>0</v>
          </cell>
          <cell r="M100">
            <v>1</v>
          </cell>
          <cell r="N100">
            <v>1</v>
          </cell>
          <cell r="O100">
            <v>0</v>
          </cell>
          <cell r="P100">
            <v>0</v>
          </cell>
          <cell r="Q100">
            <v>0</v>
          </cell>
          <cell r="R100" t="str">
            <v>复苏</v>
          </cell>
          <cell r="S100">
            <v>1</v>
          </cell>
          <cell r="T100">
            <v>0</v>
          </cell>
          <cell r="U100">
            <v>0</v>
          </cell>
          <cell r="V100">
            <v>0</v>
          </cell>
          <cell r="W100" t="str">
            <v>复苏</v>
          </cell>
          <cell r="X100">
            <v>1</v>
          </cell>
          <cell r="Y100">
            <v>0</v>
          </cell>
          <cell r="Z100">
            <v>0</v>
          </cell>
          <cell r="AA100">
            <v>0</v>
          </cell>
          <cell r="AB100" t="str">
            <v>复苏</v>
          </cell>
        </row>
        <row r="101">
          <cell r="A101">
            <v>39964</v>
          </cell>
          <cell r="B101">
            <v>8.9</v>
          </cell>
          <cell r="C101">
            <v>-1.4</v>
          </cell>
          <cell r="D101">
            <v>-7.2</v>
          </cell>
          <cell r="E101">
            <v>-3.72</v>
          </cell>
          <cell r="F101">
            <v>1</v>
          </cell>
          <cell r="G101">
            <v>0</v>
          </cell>
          <cell r="H101">
            <v>0</v>
          </cell>
          <cell r="I101">
            <v>1</v>
          </cell>
          <cell r="J101">
            <v>0</v>
          </cell>
          <cell r="K101">
            <v>1</v>
          </cell>
          <cell r="L101">
            <v>0</v>
          </cell>
          <cell r="M101">
            <v>1</v>
          </cell>
          <cell r="N101">
            <v>1</v>
          </cell>
          <cell r="O101">
            <v>0</v>
          </cell>
          <cell r="P101">
            <v>0</v>
          </cell>
          <cell r="Q101">
            <v>0</v>
          </cell>
          <cell r="R101" t="str">
            <v>复苏</v>
          </cell>
          <cell r="S101">
            <v>1</v>
          </cell>
          <cell r="T101">
            <v>0</v>
          </cell>
          <cell r="U101">
            <v>0</v>
          </cell>
          <cell r="V101">
            <v>0</v>
          </cell>
          <cell r="W101" t="str">
            <v>复苏</v>
          </cell>
          <cell r="X101">
            <v>1</v>
          </cell>
          <cell r="Y101">
            <v>0</v>
          </cell>
          <cell r="Z101">
            <v>0</v>
          </cell>
          <cell r="AA101">
            <v>0</v>
          </cell>
          <cell r="AB101" t="str">
            <v>复苏</v>
          </cell>
        </row>
        <row r="102">
          <cell r="A102">
            <v>39994</v>
          </cell>
          <cell r="B102">
            <v>10.7</v>
          </cell>
          <cell r="C102">
            <v>-1.7</v>
          </cell>
          <cell r="D102">
            <v>-7.8</v>
          </cell>
          <cell r="E102">
            <v>-4.1400000000000006</v>
          </cell>
          <cell r="F102">
            <v>1</v>
          </cell>
          <cell r="G102">
            <v>0</v>
          </cell>
          <cell r="H102">
            <v>0</v>
          </cell>
          <cell r="I102">
            <v>1</v>
          </cell>
          <cell r="J102">
            <v>0</v>
          </cell>
          <cell r="K102">
            <v>1</v>
          </cell>
          <cell r="L102">
            <v>0</v>
          </cell>
          <cell r="M102">
            <v>1</v>
          </cell>
          <cell r="N102">
            <v>1</v>
          </cell>
          <cell r="O102">
            <v>0</v>
          </cell>
          <cell r="P102">
            <v>0</v>
          </cell>
          <cell r="Q102">
            <v>0</v>
          </cell>
          <cell r="R102" t="str">
            <v>复苏</v>
          </cell>
          <cell r="S102">
            <v>1</v>
          </cell>
          <cell r="T102">
            <v>0</v>
          </cell>
          <cell r="U102">
            <v>0</v>
          </cell>
          <cell r="V102">
            <v>0</v>
          </cell>
          <cell r="W102" t="str">
            <v>复苏</v>
          </cell>
          <cell r="X102">
            <v>1</v>
          </cell>
          <cell r="Y102">
            <v>0</v>
          </cell>
          <cell r="Z102">
            <v>0</v>
          </cell>
          <cell r="AA102">
            <v>0</v>
          </cell>
          <cell r="AB102" t="str">
            <v>复苏</v>
          </cell>
        </row>
        <row r="103">
          <cell r="A103">
            <v>40025</v>
          </cell>
          <cell r="B103">
            <v>10.8</v>
          </cell>
          <cell r="C103">
            <v>-1.8</v>
          </cell>
          <cell r="D103">
            <v>-8.1999999999999993</v>
          </cell>
          <cell r="E103">
            <v>-4.3599999999999994</v>
          </cell>
          <cell r="F103">
            <v>1</v>
          </cell>
          <cell r="G103">
            <v>0</v>
          </cell>
          <cell r="H103">
            <v>0</v>
          </cell>
          <cell r="I103">
            <v>1</v>
          </cell>
          <cell r="J103">
            <v>0</v>
          </cell>
          <cell r="K103">
            <v>1</v>
          </cell>
          <cell r="L103">
            <v>0</v>
          </cell>
          <cell r="M103">
            <v>1</v>
          </cell>
          <cell r="N103">
            <v>1</v>
          </cell>
          <cell r="O103">
            <v>0</v>
          </cell>
          <cell r="P103">
            <v>0</v>
          </cell>
          <cell r="Q103">
            <v>0</v>
          </cell>
          <cell r="R103" t="str">
            <v>复苏</v>
          </cell>
          <cell r="S103">
            <v>1</v>
          </cell>
          <cell r="T103">
            <v>0</v>
          </cell>
          <cell r="U103">
            <v>0</v>
          </cell>
          <cell r="V103">
            <v>0</v>
          </cell>
          <cell r="W103" t="str">
            <v>复苏</v>
          </cell>
          <cell r="X103">
            <v>1</v>
          </cell>
          <cell r="Y103">
            <v>0</v>
          </cell>
          <cell r="Z103">
            <v>0</v>
          </cell>
          <cell r="AA103">
            <v>0</v>
          </cell>
          <cell r="AB103" t="str">
            <v>复苏</v>
          </cell>
        </row>
        <row r="104">
          <cell r="A104">
            <v>40056</v>
          </cell>
          <cell r="B104">
            <v>12.3</v>
          </cell>
          <cell r="C104">
            <v>-1.2</v>
          </cell>
          <cell r="D104">
            <v>-7.86</v>
          </cell>
          <cell r="E104">
            <v>-3.8639999999999999</v>
          </cell>
          <cell r="F104">
            <v>1</v>
          </cell>
          <cell r="G104">
            <v>0</v>
          </cell>
          <cell r="H104">
            <v>1</v>
          </cell>
          <cell r="I104">
            <v>0</v>
          </cell>
          <cell r="J104">
            <v>1</v>
          </cell>
          <cell r="K104">
            <v>0</v>
          </cell>
          <cell r="L104">
            <v>1</v>
          </cell>
          <cell r="M104">
            <v>0</v>
          </cell>
          <cell r="N104">
            <v>0</v>
          </cell>
          <cell r="O104">
            <v>1</v>
          </cell>
          <cell r="P104">
            <v>0</v>
          </cell>
          <cell r="Q104">
            <v>0</v>
          </cell>
          <cell r="R104" t="str">
            <v>过热</v>
          </cell>
          <cell r="S104">
            <v>0</v>
          </cell>
          <cell r="T104">
            <v>1</v>
          </cell>
          <cell r="U104">
            <v>0</v>
          </cell>
          <cell r="V104">
            <v>0</v>
          </cell>
          <cell r="W104" t="str">
            <v>过热</v>
          </cell>
          <cell r="X104">
            <v>0</v>
          </cell>
          <cell r="Y104">
            <v>1</v>
          </cell>
          <cell r="Z104">
            <v>0</v>
          </cell>
          <cell r="AA104">
            <v>0</v>
          </cell>
          <cell r="AB104" t="str">
            <v>过热</v>
          </cell>
        </row>
        <row r="105">
          <cell r="A105">
            <v>40086</v>
          </cell>
          <cell r="B105">
            <v>13.9</v>
          </cell>
          <cell r="C105">
            <v>-0.8</v>
          </cell>
          <cell r="D105">
            <v>-6.99</v>
          </cell>
          <cell r="E105">
            <v>-3.2760000000000002</v>
          </cell>
          <cell r="F105">
            <v>1</v>
          </cell>
          <cell r="G105">
            <v>0</v>
          </cell>
          <cell r="H105">
            <v>1</v>
          </cell>
          <cell r="I105">
            <v>0</v>
          </cell>
          <cell r="J105">
            <v>1</v>
          </cell>
          <cell r="K105">
            <v>0</v>
          </cell>
          <cell r="L105">
            <v>1</v>
          </cell>
          <cell r="M105">
            <v>0</v>
          </cell>
          <cell r="N105">
            <v>0</v>
          </cell>
          <cell r="O105">
            <v>1</v>
          </cell>
          <cell r="P105">
            <v>0</v>
          </cell>
          <cell r="Q105">
            <v>0</v>
          </cell>
          <cell r="R105" t="str">
            <v>过热</v>
          </cell>
          <cell r="S105">
            <v>0</v>
          </cell>
          <cell r="T105">
            <v>1</v>
          </cell>
          <cell r="U105">
            <v>0</v>
          </cell>
          <cell r="V105">
            <v>0</v>
          </cell>
          <cell r="W105" t="str">
            <v>过热</v>
          </cell>
          <cell r="X105">
            <v>0</v>
          </cell>
          <cell r="Y105">
            <v>1</v>
          </cell>
          <cell r="Z105">
            <v>0</v>
          </cell>
          <cell r="AA105">
            <v>0</v>
          </cell>
          <cell r="AB105" t="str">
            <v>过热</v>
          </cell>
        </row>
        <row r="106">
          <cell r="A106">
            <v>40117</v>
          </cell>
          <cell r="B106">
            <v>16.100000000000001</v>
          </cell>
          <cell r="C106">
            <v>-0.5</v>
          </cell>
          <cell r="D106">
            <v>-5.85</v>
          </cell>
          <cell r="E106">
            <v>-2.6399999999999997</v>
          </cell>
          <cell r="F106">
            <v>1</v>
          </cell>
          <cell r="G106">
            <v>0</v>
          </cell>
          <cell r="H106">
            <v>1</v>
          </cell>
          <cell r="I106">
            <v>0</v>
          </cell>
          <cell r="J106">
            <v>1</v>
          </cell>
          <cell r="K106">
            <v>0</v>
          </cell>
          <cell r="L106">
            <v>1</v>
          </cell>
          <cell r="M106">
            <v>0</v>
          </cell>
          <cell r="N106">
            <v>0</v>
          </cell>
          <cell r="O106">
            <v>1</v>
          </cell>
          <cell r="P106">
            <v>0</v>
          </cell>
          <cell r="Q106">
            <v>0</v>
          </cell>
          <cell r="R106" t="str">
            <v>过热</v>
          </cell>
          <cell r="S106">
            <v>0</v>
          </cell>
          <cell r="T106">
            <v>1</v>
          </cell>
          <cell r="U106">
            <v>0</v>
          </cell>
          <cell r="V106">
            <v>0</v>
          </cell>
          <cell r="W106" t="str">
            <v>过热</v>
          </cell>
          <cell r="X106">
            <v>0</v>
          </cell>
          <cell r="Y106">
            <v>1</v>
          </cell>
          <cell r="Z106">
            <v>0</v>
          </cell>
          <cell r="AA106">
            <v>0</v>
          </cell>
          <cell r="AB106" t="str">
            <v>过热</v>
          </cell>
        </row>
        <row r="107">
          <cell r="A107">
            <v>40147</v>
          </cell>
          <cell r="B107">
            <v>19.2</v>
          </cell>
          <cell r="C107">
            <v>0.6</v>
          </cell>
          <cell r="D107">
            <v>-2.08</v>
          </cell>
          <cell r="E107">
            <v>-0.47200000000000009</v>
          </cell>
          <cell r="F107">
            <v>1</v>
          </cell>
          <cell r="G107">
            <v>0</v>
          </cell>
          <cell r="H107">
            <v>1</v>
          </cell>
          <cell r="I107">
            <v>0</v>
          </cell>
          <cell r="J107">
            <v>1</v>
          </cell>
          <cell r="K107">
            <v>0</v>
          </cell>
          <cell r="L107">
            <v>1</v>
          </cell>
          <cell r="M107">
            <v>0</v>
          </cell>
          <cell r="N107">
            <v>0</v>
          </cell>
          <cell r="O107">
            <v>1</v>
          </cell>
          <cell r="P107">
            <v>0</v>
          </cell>
          <cell r="Q107">
            <v>0</v>
          </cell>
          <cell r="R107" t="str">
            <v>过热</v>
          </cell>
          <cell r="S107">
            <v>0</v>
          </cell>
          <cell r="T107">
            <v>1</v>
          </cell>
          <cell r="U107">
            <v>0</v>
          </cell>
          <cell r="V107">
            <v>0</v>
          </cell>
          <cell r="W107" t="str">
            <v>过热</v>
          </cell>
          <cell r="X107">
            <v>0</v>
          </cell>
          <cell r="Y107">
            <v>1</v>
          </cell>
          <cell r="Z107">
            <v>0</v>
          </cell>
          <cell r="AA107">
            <v>0</v>
          </cell>
          <cell r="AB107" t="str">
            <v>过热</v>
          </cell>
        </row>
        <row r="108">
          <cell r="A108">
            <v>40178</v>
          </cell>
          <cell r="B108">
            <v>18.5</v>
          </cell>
          <cell r="C108">
            <v>1.9</v>
          </cell>
          <cell r="D108">
            <v>1.7</v>
          </cell>
          <cell r="E108">
            <v>1.8199999999999998</v>
          </cell>
          <cell r="F108">
            <v>1</v>
          </cell>
          <cell r="G108">
            <v>0</v>
          </cell>
          <cell r="H108">
            <v>1</v>
          </cell>
          <cell r="I108">
            <v>0</v>
          </cell>
          <cell r="J108">
            <v>1</v>
          </cell>
          <cell r="K108">
            <v>0</v>
          </cell>
          <cell r="L108">
            <v>1</v>
          </cell>
          <cell r="M108">
            <v>0</v>
          </cell>
          <cell r="N108">
            <v>0</v>
          </cell>
          <cell r="O108">
            <v>1</v>
          </cell>
          <cell r="P108">
            <v>0</v>
          </cell>
          <cell r="Q108">
            <v>0</v>
          </cell>
          <cell r="R108" t="str">
            <v>过热</v>
          </cell>
          <cell r="S108">
            <v>0</v>
          </cell>
          <cell r="T108">
            <v>1</v>
          </cell>
          <cell r="U108">
            <v>0</v>
          </cell>
          <cell r="V108">
            <v>0</v>
          </cell>
          <cell r="W108" t="str">
            <v>过热</v>
          </cell>
          <cell r="X108">
            <v>0</v>
          </cell>
          <cell r="Y108">
            <v>1</v>
          </cell>
          <cell r="Z108">
            <v>0</v>
          </cell>
          <cell r="AA108">
            <v>0</v>
          </cell>
          <cell r="AB108" t="str">
            <v>过热</v>
          </cell>
        </row>
        <row r="109">
          <cell r="A109">
            <v>40237</v>
          </cell>
          <cell r="B109">
            <v>20.7</v>
          </cell>
          <cell r="C109">
            <v>2.1</v>
          </cell>
          <cell r="D109">
            <v>4.9000000000000004</v>
          </cell>
          <cell r="E109">
            <v>3.22</v>
          </cell>
          <cell r="F109">
            <v>1</v>
          </cell>
          <cell r="G109">
            <v>0</v>
          </cell>
          <cell r="H109">
            <v>1</v>
          </cell>
          <cell r="I109">
            <v>0</v>
          </cell>
          <cell r="J109">
            <v>1</v>
          </cell>
          <cell r="K109">
            <v>0</v>
          </cell>
          <cell r="L109">
            <v>1</v>
          </cell>
          <cell r="M109">
            <v>0</v>
          </cell>
          <cell r="N109">
            <v>0</v>
          </cell>
          <cell r="O109">
            <v>1</v>
          </cell>
          <cell r="P109">
            <v>0</v>
          </cell>
          <cell r="Q109">
            <v>0</v>
          </cell>
          <cell r="R109" t="str">
            <v>过热</v>
          </cell>
          <cell r="S109">
            <v>0</v>
          </cell>
          <cell r="T109">
            <v>1</v>
          </cell>
          <cell r="U109">
            <v>0</v>
          </cell>
          <cell r="V109">
            <v>0</v>
          </cell>
          <cell r="W109" t="str">
            <v>过热</v>
          </cell>
          <cell r="X109">
            <v>0</v>
          </cell>
          <cell r="Y109">
            <v>1</v>
          </cell>
          <cell r="Z109">
            <v>0</v>
          </cell>
          <cell r="AA109">
            <v>0</v>
          </cell>
          <cell r="AB109" t="str">
            <v>过热</v>
          </cell>
        </row>
        <row r="110">
          <cell r="A110">
            <v>40268</v>
          </cell>
          <cell r="B110">
            <v>18.100000000000001</v>
          </cell>
          <cell r="C110">
            <v>2.4</v>
          </cell>
          <cell r="D110">
            <v>5.91</v>
          </cell>
          <cell r="E110">
            <v>3.8040000000000003</v>
          </cell>
          <cell r="F110">
            <v>0</v>
          </cell>
          <cell r="G110">
            <v>1</v>
          </cell>
          <cell r="H110">
            <v>1</v>
          </cell>
          <cell r="I110">
            <v>0</v>
          </cell>
          <cell r="J110">
            <v>1</v>
          </cell>
          <cell r="K110">
            <v>0</v>
          </cell>
          <cell r="L110">
            <v>1</v>
          </cell>
          <cell r="M110">
            <v>0</v>
          </cell>
          <cell r="N110">
            <v>0</v>
          </cell>
          <cell r="O110">
            <v>0</v>
          </cell>
          <cell r="P110">
            <v>1</v>
          </cell>
          <cell r="Q110">
            <v>0</v>
          </cell>
          <cell r="R110" t="str">
            <v>滞涨</v>
          </cell>
          <cell r="S110">
            <v>0</v>
          </cell>
          <cell r="T110">
            <v>0</v>
          </cell>
          <cell r="U110">
            <v>1</v>
          </cell>
          <cell r="V110">
            <v>0</v>
          </cell>
          <cell r="W110" t="str">
            <v>滞涨</v>
          </cell>
          <cell r="X110">
            <v>0</v>
          </cell>
          <cell r="Y110">
            <v>0</v>
          </cell>
          <cell r="Z110">
            <v>1</v>
          </cell>
          <cell r="AA110">
            <v>0</v>
          </cell>
          <cell r="AB110" t="str">
            <v>滞涨</v>
          </cell>
        </row>
        <row r="111">
          <cell r="A111">
            <v>40298</v>
          </cell>
          <cell r="B111">
            <v>17.8</v>
          </cell>
          <cell r="C111">
            <v>2.8</v>
          </cell>
          <cell r="D111">
            <v>6.81</v>
          </cell>
          <cell r="E111">
            <v>4.4039999999999999</v>
          </cell>
          <cell r="F111">
            <v>0</v>
          </cell>
          <cell r="G111">
            <v>1</v>
          </cell>
          <cell r="H111">
            <v>1</v>
          </cell>
          <cell r="I111">
            <v>0</v>
          </cell>
          <cell r="J111">
            <v>1</v>
          </cell>
          <cell r="K111">
            <v>0</v>
          </cell>
          <cell r="L111">
            <v>1</v>
          </cell>
          <cell r="M111">
            <v>0</v>
          </cell>
          <cell r="N111">
            <v>0</v>
          </cell>
          <cell r="O111">
            <v>0</v>
          </cell>
          <cell r="P111">
            <v>1</v>
          </cell>
          <cell r="Q111">
            <v>0</v>
          </cell>
          <cell r="R111" t="str">
            <v>滞涨</v>
          </cell>
          <cell r="S111">
            <v>0</v>
          </cell>
          <cell r="T111">
            <v>0</v>
          </cell>
          <cell r="U111">
            <v>1</v>
          </cell>
          <cell r="V111">
            <v>0</v>
          </cell>
          <cell r="W111" t="str">
            <v>滞涨</v>
          </cell>
          <cell r="X111">
            <v>0</v>
          </cell>
          <cell r="Y111">
            <v>0</v>
          </cell>
          <cell r="Z111">
            <v>1</v>
          </cell>
          <cell r="AA111">
            <v>0</v>
          </cell>
          <cell r="AB111" t="str">
            <v>滞涨</v>
          </cell>
        </row>
        <row r="112">
          <cell r="A112">
            <v>40329</v>
          </cell>
          <cell r="B112">
            <v>16.5</v>
          </cell>
          <cell r="C112">
            <v>3.1</v>
          </cell>
          <cell r="D112">
            <v>7.13</v>
          </cell>
          <cell r="E112">
            <v>4.7119999999999997</v>
          </cell>
          <cell r="F112">
            <v>0</v>
          </cell>
          <cell r="G112">
            <v>1</v>
          </cell>
          <cell r="H112">
            <v>1</v>
          </cell>
          <cell r="I112">
            <v>0</v>
          </cell>
          <cell r="J112">
            <v>1</v>
          </cell>
          <cell r="K112">
            <v>0</v>
          </cell>
          <cell r="L112">
            <v>1</v>
          </cell>
          <cell r="M112">
            <v>0</v>
          </cell>
          <cell r="N112">
            <v>0</v>
          </cell>
          <cell r="O112">
            <v>0</v>
          </cell>
          <cell r="P112">
            <v>1</v>
          </cell>
          <cell r="Q112">
            <v>0</v>
          </cell>
          <cell r="R112" t="str">
            <v>滞涨</v>
          </cell>
          <cell r="S112">
            <v>0</v>
          </cell>
          <cell r="T112">
            <v>0</v>
          </cell>
          <cell r="U112">
            <v>1</v>
          </cell>
          <cell r="V112">
            <v>0</v>
          </cell>
          <cell r="W112" t="str">
            <v>滞涨</v>
          </cell>
          <cell r="X112">
            <v>0</v>
          </cell>
          <cell r="Y112">
            <v>0</v>
          </cell>
          <cell r="Z112">
            <v>1</v>
          </cell>
          <cell r="AA112">
            <v>0</v>
          </cell>
          <cell r="AB112" t="str">
            <v>滞涨</v>
          </cell>
        </row>
        <row r="113">
          <cell r="A113">
            <v>40359</v>
          </cell>
          <cell r="B113">
            <v>13.7</v>
          </cell>
          <cell r="C113">
            <v>2.9</v>
          </cell>
          <cell r="D113">
            <v>6.41</v>
          </cell>
          <cell r="E113">
            <v>4.3040000000000003</v>
          </cell>
          <cell r="F113">
            <v>0</v>
          </cell>
          <cell r="G113">
            <v>1</v>
          </cell>
          <cell r="H113">
            <v>1</v>
          </cell>
          <cell r="I113">
            <v>0</v>
          </cell>
          <cell r="J113">
            <v>0</v>
          </cell>
          <cell r="K113">
            <v>1</v>
          </cell>
          <cell r="L113">
            <v>0</v>
          </cell>
          <cell r="M113">
            <v>1</v>
          </cell>
          <cell r="N113">
            <v>0</v>
          </cell>
          <cell r="O113">
            <v>0</v>
          </cell>
          <cell r="P113">
            <v>1</v>
          </cell>
          <cell r="Q113">
            <v>0</v>
          </cell>
          <cell r="R113" t="str">
            <v>滞涨</v>
          </cell>
          <cell r="S113">
            <v>0</v>
          </cell>
          <cell r="T113">
            <v>0</v>
          </cell>
          <cell r="U113">
            <v>0</v>
          </cell>
          <cell r="V113">
            <v>1</v>
          </cell>
          <cell r="W113" t="str">
            <v>衰退</v>
          </cell>
          <cell r="X113">
            <v>0</v>
          </cell>
          <cell r="Y113">
            <v>0</v>
          </cell>
          <cell r="Z113">
            <v>0</v>
          </cell>
          <cell r="AA113">
            <v>1</v>
          </cell>
          <cell r="AB113" t="str">
            <v>衰退</v>
          </cell>
        </row>
        <row r="114">
          <cell r="A114">
            <v>40390</v>
          </cell>
          <cell r="B114">
            <v>13.4</v>
          </cell>
          <cell r="C114">
            <v>3.3</v>
          </cell>
          <cell r="D114">
            <v>4.84</v>
          </cell>
          <cell r="E114">
            <v>3.9159999999999995</v>
          </cell>
          <cell r="F114">
            <v>0</v>
          </cell>
          <cell r="G114">
            <v>1</v>
          </cell>
          <cell r="H114">
            <v>1</v>
          </cell>
          <cell r="I114">
            <v>0</v>
          </cell>
          <cell r="J114">
            <v>0</v>
          </cell>
          <cell r="K114">
            <v>1</v>
          </cell>
          <cell r="L114">
            <v>0</v>
          </cell>
          <cell r="M114">
            <v>1</v>
          </cell>
          <cell r="N114">
            <v>0</v>
          </cell>
          <cell r="O114">
            <v>0</v>
          </cell>
          <cell r="P114">
            <v>1</v>
          </cell>
          <cell r="Q114">
            <v>0</v>
          </cell>
          <cell r="R114" t="str">
            <v>滞涨</v>
          </cell>
          <cell r="S114">
            <v>0</v>
          </cell>
          <cell r="T114">
            <v>0</v>
          </cell>
          <cell r="U114">
            <v>0</v>
          </cell>
          <cell r="V114">
            <v>1</v>
          </cell>
          <cell r="W114" t="str">
            <v>衰退</v>
          </cell>
          <cell r="X114">
            <v>0</v>
          </cell>
          <cell r="Y114">
            <v>0</v>
          </cell>
          <cell r="Z114">
            <v>0</v>
          </cell>
          <cell r="AA114">
            <v>1</v>
          </cell>
          <cell r="AB114" t="str">
            <v>衰退</v>
          </cell>
        </row>
        <row r="115">
          <cell r="A115">
            <v>40421</v>
          </cell>
          <cell r="B115">
            <v>13.9</v>
          </cell>
          <cell r="C115">
            <v>3.5</v>
          </cell>
          <cell r="D115">
            <v>4.32</v>
          </cell>
          <cell r="E115">
            <v>3.8280000000000003</v>
          </cell>
          <cell r="F115">
            <v>0</v>
          </cell>
          <cell r="G115">
            <v>1</v>
          </cell>
          <cell r="H115">
            <v>1</v>
          </cell>
          <cell r="I115">
            <v>0</v>
          </cell>
          <cell r="J115">
            <v>0</v>
          </cell>
          <cell r="K115">
            <v>1</v>
          </cell>
          <cell r="L115">
            <v>0</v>
          </cell>
          <cell r="M115">
            <v>1</v>
          </cell>
          <cell r="N115">
            <v>0</v>
          </cell>
          <cell r="O115">
            <v>0</v>
          </cell>
          <cell r="P115">
            <v>1</v>
          </cell>
          <cell r="Q115">
            <v>0</v>
          </cell>
          <cell r="R115" t="str">
            <v>滞涨</v>
          </cell>
          <cell r="S115">
            <v>0</v>
          </cell>
          <cell r="T115">
            <v>0</v>
          </cell>
          <cell r="U115">
            <v>0</v>
          </cell>
          <cell r="V115">
            <v>1</v>
          </cell>
          <cell r="W115" t="str">
            <v>衰退</v>
          </cell>
          <cell r="X115">
            <v>0</v>
          </cell>
          <cell r="Y115">
            <v>0</v>
          </cell>
          <cell r="Z115">
            <v>0</v>
          </cell>
          <cell r="AA115">
            <v>1</v>
          </cell>
          <cell r="AB115" t="str">
            <v>衰退</v>
          </cell>
        </row>
        <row r="116">
          <cell r="A116">
            <v>40451</v>
          </cell>
          <cell r="B116">
            <v>13.3</v>
          </cell>
          <cell r="C116">
            <v>3.6</v>
          </cell>
          <cell r="D116">
            <v>4.33</v>
          </cell>
          <cell r="E116">
            <v>3.8920000000000003</v>
          </cell>
          <cell r="F116">
            <v>0</v>
          </cell>
          <cell r="G116">
            <v>1</v>
          </cell>
          <cell r="H116">
            <v>1</v>
          </cell>
          <cell r="I116">
            <v>0</v>
          </cell>
          <cell r="J116">
            <v>1</v>
          </cell>
          <cell r="K116">
            <v>0</v>
          </cell>
          <cell r="L116">
            <v>1</v>
          </cell>
          <cell r="M116">
            <v>0</v>
          </cell>
          <cell r="N116">
            <v>0</v>
          </cell>
          <cell r="O116">
            <v>0</v>
          </cell>
          <cell r="P116">
            <v>1</v>
          </cell>
          <cell r="Q116">
            <v>0</v>
          </cell>
          <cell r="R116" t="str">
            <v>滞涨</v>
          </cell>
          <cell r="S116">
            <v>0</v>
          </cell>
          <cell r="T116">
            <v>0</v>
          </cell>
          <cell r="U116">
            <v>1</v>
          </cell>
          <cell r="V116">
            <v>0</v>
          </cell>
          <cell r="W116" t="str">
            <v>滞涨</v>
          </cell>
          <cell r="X116">
            <v>0</v>
          </cell>
          <cell r="Y116">
            <v>0</v>
          </cell>
          <cell r="Z116">
            <v>1</v>
          </cell>
          <cell r="AA116">
            <v>0</v>
          </cell>
          <cell r="AB116" t="str">
            <v>滞涨</v>
          </cell>
        </row>
        <row r="117">
          <cell r="A117">
            <v>40482</v>
          </cell>
          <cell r="B117">
            <v>13.1</v>
          </cell>
          <cell r="C117">
            <v>4.4000000000000004</v>
          </cell>
          <cell r="D117">
            <v>5.04</v>
          </cell>
          <cell r="E117">
            <v>4.6560000000000006</v>
          </cell>
          <cell r="F117">
            <v>0</v>
          </cell>
          <cell r="G117">
            <v>1</v>
          </cell>
          <cell r="H117">
            <v>1</v>
          </cell>
          <cell r="I117">
            <v>0</v>
          </cell>
          <cell r="J117">
            <v>1</v>
          </cell>
          <cell r="K117">
            <v>0</v>
          </cell>
          <cell r="L117">
            <v>1</v>
          </cell>
          <cell r="M117">
            <v>0</v>
          </cell>
          <cell r="N117">
            <v>0</v>
          </cell>
          <cell r="O117">
            <v>0</v>
          </cell>
          <cell r="P117">
            <v>1</v>
          </cell>
          <cell r="Q117">
            <v>0</v>
          </cell>
          <cell r="R117" t="str">
            <v>滞涨</v>
          </cell>
          <cell r="S117">
            <v>0</v>
          </cell>
          <cell r="T117">
            <v>0</v>
          </cell>
          <cell r="U117">
            <v>1</v>
          </cell>
          <cell r="V117">
            <v>0</v>
          </cell>
          <cell r="W117" t="str">
            <v>滞涨</v>
          </cell>
          <cell r="X117">
            <v>0</v>
          </cell>
          <cell r="Y117">
            <v>0</v>
          </cell>
          <cell r="Z117">
            <v>1</v>
          </cell>
          <cell r="AA117">
            <v>0</v>
          </cell>
          <cell r="AB117" t="str">
            <v>滞涨</v>
          </cell>
        </row>
        <row r="118">
          <cell r="A118">
            <v>40512</v>
          </cell>
          <cell r="B118">
            <v>13.3</v>
          </cell>
          <cell r="C118">
            <v>5.0999999999999996</v>
          </cell>
          <cell r="D118">
            <v>6.06</v>
          </cell>
          <cell r="E118">
            <v>5.484</v>
          </cell>
          <cell r="F118">
            <v>1</v>
          </cell>
          <cell r="G118">
            <v>0</v>
          </cell>
          <cell r="H118">
            <v>1</v>
          </cell>
          <cell r="I118">
            <v>0</v>
          </cell>
          <cell r="J118">
            <v>1</v>
          </cell>
          <cell r="K118">
            <v>0</v>
          </cell>
          <cell r="L118">
            <v>1</v>
          </cell>
          <cell r="M118">
            <v>0</v>
          </cell>
          <cell r="N118">
            <v>0</v>
          </cell>
          <cell r="O118">
            <v>1</v>
          </cell>
          <cell r="P118">
            <v>0</v>
          </cell>
          <cell r="Q118">
            <v>0</v>
          </cell>
          <cell r="R118" t="str">
            <v>过热</v>
          </cell>
          <cell r="S118">
            <v>0</v>
          </cell>
          <cell r="T118">
            <v>1</v>
          </cell>
          <cell r="U118">
            <v>0</v>
          </cell>
          <cell r="V118">
            <v>0</v>
          </cell>
          <cell r="W118" t="str">
            <v>过热</v>
          </cell>
          <cell r="X118">
            <v>0</v>
          </cell>
          <cell r="Y118">
            <v>1</v>
          </cell>
          <cell r="Z118">
            <v>0</v>
          </cell>
          <cell r="AA118">
            <v>0</v>
          </cell>
          <cell r="AB118" t="str">
            <v>过热</v>
          </cell>
        </row>
        <row r="119">
          <cell r="A119">
            <v>40543</v>
          </cell>
          <cell r="B119">
            <v>13.5</v>
          </cell>
          <cell r="C119">
            <v>4.5999999999999996</v>
          </cell>
          <cell r="D119">
            <v>5.93</v>
          </cell>
          <cell r="E119">
            <v>5.1319999999999997</v>
          </cell>
          <cell r="F119">
            <v>1</v>
          </cell>
          <cell r="G119">
            <v>0</v>
          </cell>
          <cell r="H119">
            <v>1</v>
          </cell>
          <cell r="I119">
            <v>0</v>
          </cell>
          <cell r="J119">
            <v>1</v>
          </cell>
          <cell r="K119">
            <v>0</v>
          </cell>
          <cell r="L119">
            <v>1</v>
          </cell>
          <cell r="M119">
            <v>0</v>
          </cell>
          <cell r="N119">
            <v>0</v>
          </cell>
          <cell r="O119">
            <v>1</v>
          </cell>
          <cell r="P119">
            <v>0</v>
          </cell>
          <cell r="Q119">
            <v>0</v>
          </cell>
          <cell r="R119" t="str">
            <v>过热</v>
          </cell>
          <cell r="S119">
            <v>0</v>
          </cell>
          <cell r="T119">
            <v>1</v>
          </cell>
          <cell r="U119">
            <v>0</v>
          </cell>
          <cell r="V119">
            <v>0</v>
          </cell>
          <cell r="W119" t="str">
            <v>过热</v>
          </cell>
          <cell r="X119">
            <v>0</v>
          </cell>
          <cell r="Y119">
            <v>1</v>
          </cell>
          <cell r="Z119">
            <v>0</v>
          </cell>
          <cell r="AA119">
            <v>0</v>
          </cell>
          <cell r="AB119" t="str">
            <v>过热</v>
          </cell>
        </row>
        <row r="120">
          <cell r="A120">
            <v>40602</v>
          </cell>
          <cell r="B120">
            <v>14.1</v>
          </cell>
          <cell r="C120">
            <v>4.9000000000000004</v>
          </cell>
          <cell r="D120">
            <v>6.94</v>
          </cell>
          <cell r="E120">
            <v>5.7160000000000002</v>
          </cell>
          <cell r="F120">
            <v>1</v>
          </cell>
          <cell r="G120">
            <v>0</v>
          </cell>
          <cell r="H120">
            <v>1</v>
          </cell>
          <cell r="I120">
            <v>0</v>
          </cell>
          <cell r="J120">
            <v>1</v>
          </cell>
          <cell r="K120">
            <v>0</v>
          </cell>
          <cell r="L120">
            <v>1</v>
          </cell>
          <cell r="M120">
            <v>0</v>
          </cell>
          <cell r="N120">
            <v>0</v>
          </cell>
          <cell r="O120">
            <v>1</v>
          </cell>
          <cell r="P120">
            <v>0</v>
          </cell>
          <cell r="Q120">
            <v>0</v>
          </cell>
          <cell r="R120" t="str">
            <v>过热</v>
          </cell>
          <cell r="S120">
            <v>0</v>
          </cell>
          <cell r="T120">
            <v>1</v>
          </cell>
          <cell r="U120">
            <v>0</v>
          </cell>
          <cell r="V120">
            <v>0</v>
          </cell>
          <cell r="W120" t="str">
            <v>过热</v>
          </cell>
          <cell r="X120">
            <v>0</v>
          </cell>
          <cell r="Y120">
            <v>1</v>
          </cell>
          <cell r="Z120">
            <v>0</v>
          </cell>
          <cell r="AA120">
            <v>0</v>
          </cell>
          <cell r="AB120" t="str">
            <v>过热</v>
          </cell>
        </row>
        <row r="121">
          <cell r="A121">
            <v>40633</v>
          </cell>
          <cell r="B121">
            <v>14.8</v>
          </cell>
          <cell r="C121">
            <v>5.383</v>
          </cell>
          <cell r="D121">
            <v>7.31</v>
          </cell>
          <cell r="E121">
            <v>6.1538000000000004</v>
          </cell>
          <cell r="F121">
            <v>1</v>
          </cell>
          <cell r="G121">
            <v>0</v>
          </cell>
          <cell r="H121">
            <v>1</v>
          </cell>
          <cell r="I121">
            <v>0</v>
          </cell>
          <cell r="J121">
            <v>1</v>
          </cell>
          <cell r="K121">
            <v>0</v>
          </cell>
          <cell r="L121">
            <v>1</v>
          </cell>
          <cell r="M121">
            <v>0</v>
          </cell>
          <cell r="N121">
            <v>0</v>
          </cell>
          <cell r="O121">
            <v>1</v>
          </cell>
          <cell r="P121">
            <v>0</v>
          </cell>
          <cell r="Q121">
            <v>0</v>
          </cell>
          <cell r="R121" t="str">
            <v>过热</v>
          </cell>
          <cell r="S121">
            <v>0</v>
          </cell>
          <cell r="T121">
            <v>1</v>
          </cell>
          <cell r="U121">
            <v>0</v>
          </cell>
          <cell r="V121">
            <v>0</v>
          </cell>
          <cell r="W121" t="str">
            <v>过热</v>
          </cell>
          <cell r="X121">
            <v>0</v>
          </cell>
          <cell r="Y121">
            <v>1</v>
          </cell>
          <cell r="Z121">
            <v>0</v>
          </cell>
          <cell r="AA121">
            <v>0</v>
          </cell>
          <cell r="AB121" t="str">
            <v>过热</v>
          </cell>
        </row>
        <row r="122">
          <cell r="A122">
            <v>40663</v>
          </cell>
          <cell r="B122">
            <v>13.4</v>
          </cell>
          <cell r="C122">
            <v>5.3440000000000003</v>
          </cell>
          <cell r="D122">
            <v>6.82</v>
          </cell>
          <cell r="E122">
            <v>5.9344000000000001</v>
          </cell>
          <cell r="F122">
            <v>1</v>
          </cell>
          <cell r="G122">
            <v>0</v>
          </cell>
          <cell r="H122">
            <v>1</v>
          </cell>
          <cell r="I122">
            <v>0</v>
          </cell>
          <cell r="J122">
            <v>1</v>
          </cell>
          <cell r="K122">
            <v>0</v>
          </cell>
          <cell r="L122">
            <v>1</v>
          </cell>
          <cell r="M122">
            <v>0</v>
          </cell>
          <cell r="N122">
            <v>0</v>
          </cell>
          <cell r="O122">
            <v>1</v>
          </cell>
          <cell r="P122">
            <v>0</v>
          </cell>
          <cell r="Q122">
            <v>0</v>
          </cell>
          <cell r="R122" t="str">
            <v>过热</v>
          </cell>
          <cell r="S122">
            <v>0</v>
          </cell>
          <cell r="T122">
            <v>1</v>
          </cell>
          <cell r="U122">
            <v>0</v>
          </cell>
          <cell r="V122">
            <v>0</v>
          </cell>
          <cell r="W122" t="str">
            <v>过热</v>
          </cell>
          <cell r="X122">
            <v>0</v>
          </cell>
          <cell r="Y122">
            <v>1</v>
          </cell>
          <cell r="Z122">
            <v>0</v>
          </cell>
          <cell r="AA122">
            <v>0</v>
          </cell>
          <cell r="AB122" t="str">
            <v>过热</v>
          </cell>
        </row>
        <row r="123">
          <cell r="A123">
            <v>40694</v>
          </cell>
          <cell r="B123">
            <v>13.3</v>
          </cell>
          <cell r="C123">
            <v>5.5149999999999997</v>
          </cell>
          <cell r="D123">
            <v>6.79</v>
          </cell>
          <cell r="E123">
            <v>6.0250000000000004</v>
          </cell>
          <cell r="F123">
            <v>1</v>
          </cell>
          <cell r="G123">
            <v>0</v>
          </cell>
          <cell r="H123">
            <v>1</v>
          </cell>
          <cell r="I123">
            <v>0</v>
          </cell>
          <cell r="J123">
            <v>1</v>
          </cell>
          <cell r="K123">
            <v>0</v>
          </cell>
          <cell r="L123">
            <v>1</v>
          </cell>
          <cell r="M123">
            <v>0</v>
          </cell>
          <cell r="N123">
            <v>0</v>
          </cell>
          <cell r="O123">
            <v>1</v>
          </cell>
          <cell r="P123">
            <v>0</v>
          </cell>
          <cell r="Q123">
            <v>0</v>
          </cell>
          <cell r="R123" t="str">
            <v>过热</v>
          </cell>
          <cell r="S123">
            <v>0</v>
          </cell>
          <cell r="T123">
            <v>1</v>
          </cell>
          <cell r="U123">
            <v>0</v>
          </cell>
          <cell r="V123">
            <v>0</v>
          </cell>
          <cell r="W123" t="str">
            <v>过热</v>
          </cell>
          <cell r="X123">
            <v>0</v>
          </cell>
          <cell r="Y123">
            <v>1</v>
          </cell>
          <cell r="Z123">
            <v>0</v>
          </cell>
          <cell r="AA123">
            <v>0</v>
          </cell>
          <cell r="AB123" t="str">
            <v>过热</v>
          </cell>
        </row>
        <row r="124">
          <cell r="A124">
            <v>40724</v>
          </cell>
          <cell r="B124">
            <v>15.1</v>
          </cell>
          <cell r="C124">
            <v>6.3550000000000004</v>
          </cell>
          <cell r="D124">
            <v>7.12</v>
          </cell>
          <cell r="E124">
            <v>6.6610000000000005</v>
          </cell>
          <cell r="F124">
            <v>1</v>
          </cell>
          <cell r="G124">
            <v>0</v>
          </cell>
          <cell r="H124">
            <v>1</v>
          </cell>
          <cell r="I124">
            <v>0</v>
          </cell>
          <cell r="J124">
            <v>1</v>
          </cell>
          <cell r="K124">
            <v>0</v>
          </cell>
          <cell r="L124">
            <v>1</v>
          </cell>
          <cell r="M124">
            <v>0</v>
          </cell>
          <cell r="N124">
            <v>0</v>
          </cell>
          <cell r="O124">
            <v>1</v>
          </cell>
          <cell r="P124">
            <v>0</v>
          </cell>
          <cell r="Q124">
            <v>0</v>
          </cell>
          <cell r="R124" t="str">
            <v>过热</v>
          </cell>
          <cell r="S124">
            <v>0</v>
          </cell>
          <cell r="T124">
            <v>1</v>
          </cell>
          <cell r="U124">
            <v>0</v>
          </cell>
          <cell r="V124">
            <v>0</v>
          </cell>
          <cell r="W124" t="str">
            <v>过热</v>
          </cell>
          <cell r="X124">
            <v>0</v>
          </cell>
          <cell r="Y124">
            <v>1</v>
          </cell>
          <cell r="Z124">
            <v>0</v>
          </cell>
          <cell r="AA124">
            <v>0</v>
          </cell>
          <cell r="AB124" t="str">
            <v>过热</v>
          </cell>
        </row>
        <row r="125">
          <cell r="A125">
            <v>40755</v>
          </cell>
          <cell r="B125">
            <v>14</v>
          </cell>
          <cell r="C125">
            <v>6.4509999999999996</v>
          </cell>
          <cell r="D125">
            <v>7.54</v>
          </cell>
          <cell r="E125">
            <v>6.8865999999999996</v>
          </cell>
          <cell r="F125">
            <v>0</v>
          </cell>
          <cell r="G125">
            <v>1</v>
          </cell>
          <cell r="H125">
            <v>1</v>
          </cell>
          <cell r="I125">
            <v>0</v>
          </cell>
          <cell r="J125">
            <v>1</v>
          </cell>
          <cell r="K125">
            <v>0</v>
          </cell>
          <cell r="L125">
            <v>1</v>
          </cell>
          <cell r="M125">
            <v>0</v>
          </cell>
          <cell r="N125">
            <v>0</v>
          </cell>
          <cell r="O125">
            <v>0</v>
          </cell>
          <cell r="P125">
            <v>1</v>
          </cell>
          <cell r="Q125">
            <v>0</v>
          </cell>
          <cell r="R125" t="str">
            <v>滞涨</v>
          </cell>
          <cell r="S125">
            <v>0</v>
          </cell>
          <cell r="T125">
            <v>0</v>
          </cell>
          <cell r="U125">
            <v>1</v>
          </cell>
          <cell r="V125">
            <v>0</v>
          </cell>
          <cell r="W125" t="str">
            <v>滞涨</v>
          </cell>
          <cell r="X125">
            <v>0</v>
          </cell>
          <cell r="Y125">
            <v>0</v>
          </cell>
          <cell r="Z125">
            <v>1</v>
          </cell>
          <cell r="AA125">
            <v>0</v>
          </cell>
          <cell r="AB125" t="str">
            <v>滞涨</v>
          </cell>
        </row>
        <row r="126">
          <cell r="A126">
            <v>40786</v>
          </cell>
          <cell r="B126">
            <v>13.5</v>
          </cell>
          <cell r="C126">
            <v>6.1509999999999998</v>
          </cell>
          <cell r="D126">
            <v>7.25</v>
          </cell>
          <cell r="E126">
            <v>6.5906000000000002</v>
          </cell>
          <cell r="F126">
            <v>0</v>
          </cell>
          <cell r="G126">
            <v>1</v>
          </cell>
          <cell r="H126">
            <v>0</v>
          </cell>
          <cell r="I126">
            <v>1</v>
          </cell>
          <cell r="J126">
            <v>0</v>
          </cell>
          <cell r="K126">
            <v>1</v>
          </cell>
          <cell r="L126">
            <v>0</v>
          </cell>
          <cell r="M126">
            <v>1</v>
          </cell>
          <cell r="N126">
            <v>0</v>
          </cell>
          <cell r="O126">
            <v>0</v>
          </cell>
          <cell r="P126">
            <v>0</v>
          </cell>
          <cell r="Q126">
            <v>1</v>
          </cell>
          <cell r="R126" t="str">
            <v>衰退</v>
          </cell>
          <cell r="S126">
            <v>0</v>
          </cell>
          <cell r="T126">
            <v>0</v>
          </cell>
          <cell r="U126">
            <v>0</v>
          </cell>
          <cell r="V126">
            <v>1</v>
          </cell>
          <cell r="W126" t="str">
            <v>衰退</v>
          </cell>
          <cell r="X126">
            <v>0</v>
          </cell>
          <cell r="Y126">
            <v>0</v>
          </cell>
          <cell r="Z126">
            <v>0</v>
          </cell>
          <cell r="AA126">
            <v>1</v>
          </cell>
          <cell r="AB126" t="str">
            <v>衰退</v>
          </cell>
        </row>
        <row r="127">
          <cell r="A127">
            <v>40816</v>
          </cell>
          <cell r="B127">
            <v>13.8</v>
          </cell>
          <cell r="C127">
            <v>6.0670000000000002</v>
          </cell>
          <cell r="D127">
            <v>6.52</v>
          </cell>
          <cell r="E127">
            <v>6.2482000000000006</v>
          </cell>
          <cell r="F127">
            <v>0</v>
          </cell>
          <cell r="G127">
            <v>1</v>
          </cell>
          <cell r="H127">
            <v>0</v>
          </cell>
          <cell r="I127">
            <v>1</v>
          </cell>
          <cell r="J127">
            <v>0</v>
          </cell>
          <cell r="K127">
            <v>1</v>
          </cell>
          <cell r="L127">
            <v>0</v>
          </cell>
          <cell r="M127">
            <v>1</v>
          </cell>
          <cell r="N127">
            <v>0</v>
          </cell>
          <cell r="O127">
            <v>0</v>
          </cell>
          <cell r="P127">
            <v>0</v>
          </cell>
          <cell r="Q127">
            <v>1</v>
          </cell>
          <cell r="R127" t="str">
            <v>衰退</v>
          </cell>
          <cell r="S127">
            <v>0</v>
          </cell>
          <cell r="T127">
            <v>0</v>
          </cell>
          <cell r="U127">
            <v>0</v>
          </cell>
          <cell r="V127">
            <v>1</v>
          </cell>
          <cell r="W127" t="str">
            <v>衰退</v>
          </cell>
          <cell r="X127">
            <v>0</v>
          </cell>
          <cell r="Y127">
            <v>0</v>
          </cell>
          <cell r="Z127">
            <v>0</v>
          </cell>
          <cell r="AA127">
            <v>1</v>
          </cell>
          <cell r="AB127" t="str">
            <v>衰退</v>
          </cell>
        </row>
        <row r="128">
          <cell r="A128">
            <v>40847</v>
          </cell>
          <cell r="B128">
            <v>13.2</v>
          </cell>
          <cell r="C128">
            <v>5.4950000000000001</v>
          </cell>
          <cell r="D128">
            <v>5</v>
          </cell>
          <cell r="E128">
            <v>5.2970000000000006</v>
          </cell>
          <cell r="F128">
            <v>0</v>
          </cell>
          <cell r="G128">
            <v>1</v>
          </cell>
          <cell r="H128">
            <v>0</v>
          </cell>
          <cell r="I128">
            <v>1</v>
          </cell>
          <cell r="J128">
            <v>0</v>
          </cell>
          <cell r="K128">
            <v>1</v>
          </cell>
          <cell r="L128">
            <v>0</v>
          </cell>
          <cell r="M128">
            <v>1</v>
          </cell>
          <cell r="N128">
            <v>0</v>
          </cell>
          <cell r="O128">
            <v>0</v>
          </cell>
          <cell r="P128">
            <v>0</v>
          </cell>
          <cell r="Q128">
            <v>1</v>
          </cell>
          <cell r="R128" t="str">
            <v>衰退</v>
          </cell>
          <cell r="S128">
            <v>0</v>
          </cell>
          <cell r="T128">
            <v>0</v>
          </cell>
          <cell r="U128">
            <v>0</v>
          </cell>
          <cell r="V128">
            <v>1</v>
          </cell>
          <cell r="W128" t="str">
            <v>衰退</v>
          </cell>
          <cell r="X128">
            <v>0</v>
          </cell>
          <cell r="Y128">
            <v>0</v>
          </cell>
          <cell r="Z128">
            <v>0</v>
          </cell>
          <cell r="AA128">
            <v>1</v>
          </cell>
          <cell r="AB128" t="str">
            <v>衰退</v>
          </cell>
        </row>
        <row r="129">
          <cell r="A129">
            <v>40877</v>
          </cell>
          <cell r="B129">
            <v>12.4</v>
          </cell>
          <cell r="C129">
            <v>4.2249999999999996</v>
          </cell>
          <cell r="D129">
            <v>2.72</v>
          </cell>
          <cell r="E129">
            <v>3.6229999999999998</v>
          </cell>
          <cell r="F129">
            <v>0</v>
          </cell>
          <cell r="G129">
            <v>1</v>
          </cell>
          <cell r="H129">
            <v>0</v>
          </cell>
          <cell r="I129">
            <v>1</v>
          </cell>
          <cell r="J129">
            <v>0</v>
          </cell>
          <cell r="K129">
            <v>1</v>
          </cell>
          <cell r="L129">
            <v>0</v>
          </cell>
          <cell r="M129">
            <v>1</v>
          </cell>
          <cell r="N129">
            <v>0</v>
          </cell>
          <cell r="O129">
            <v>0</v>
          </cell>
          <cell r="P129">
            <v>0</v>
          </cell>
          <cell r="Q129">
            <v>1</v>
          </cell>
          <cell r="R129" t="str">
            <v>衰退</v>
          </cell>
          <cell r="S129">
            <v>0</v>
          </cell>
          <cell r="T129">
            <v>0</v>
          </cell>
          <cell r="U129">
            <v>0</v>
          </cell>
          <cell r="V129">
            <v>1</v>
          </cell>
          <cell r="W129" t="str">
            <v>衰退</v>
          </cell>
          <cell r="X129">
            <v>0</v>
          </cell>
          <cell r="Y129">
            <v>0</v>
          </cell>
          <cell r="Z129">
            <v>0</v>
          </cell>
          <cell r="AA129">
            <v>1</v>
          </cell>
          <cell r="AB129" t="str">
            <v>衰退</v>
          </cell>
        </row>
        <row r="130">
          <cell r="A130">
            <v>40908</v>
          </cell>
          <cell r="B130">
            <v>12.8</v>
          </cell>
          <cell r="C130">
            <v>4.07</v>
          </cell>
          <cell r="D130">
            <v>1.69</v>
          </cell>
          <cell r="E130">
            <v>3.1180000000000003</v>
          </cell>
          <cell r="F130">
            <v>0</v>
          </cell>
          <cell r="G130">
            <v>1</v>
          </cell>
          <cell r="H130">
            <v>0</v>
          </cell>
          <cell r="I130">
            <v>1</v>
          </cell>
          <cell r="J130">
            <v>0</v>
          </cell>
          <cell r="K130">
            <v>1</v>
          </cell>
          <cell r="L130">
            <v>0</v>
          </cell>
          <cell r="M130">
            <v>1</v>
          </cell>
          <cell r="N130">
            <v>0</v>
          </cell>
          <cell r="O130">
            <v>0</v>
          </cell>
          <cell r="P130">
            <v>0</v>
          </cell>
          <cell r="Q130">
            <v>1</v>
          </cell>
          <cell r="R130" t="str">
            <v>衰退</v>
          </cell>
          <cell r="S130">
            <v>0</v>
          </cell>
          <cell r="T130">
            <v>0</v>
          </cell>
          <cell r="U130">
            <v>0</v>
          </cell>
          <cell r="V130">
            <v>1</v>
          </cell>
          <cell r="W130" t="str">
            <v>衰退</v>
          </cell>
          <cell r="X130">
            <v>0</v>
          </cell>
          <cell r="Y130">
            <v>0</v>
          </cell>
          <cell r="Z130">
            <v>0</v>
          </cell>
          <cell r="AA130">
            <v>1</v>
          </cell>
          <cell r="AB130" t="str">
            <v>衰退</v>
          </cell>
        </row>
        <row r="131">
          <cell r="A131">
            <v>40968</v>
          </cell>
          <cell r="B131">
            <v>11.4</v>
          </cell>
          <cell r="C131">
            <v>3.9</v>
          </cell>
          <cell r="D131">
            <v>0.38</v>
          </cell>
          <cell r="E131">
            <v>2.492</v>
          </cell>
          <cell r="F131">
            <v>0</v>
          </cell>
          <cell r="G131">
            <v>1</v>
          </cell>
          <cell r="H131">
            <v>0</v>
          </cell>
          <cell r="I131">
            <v>1</v>
          </cell>
          <cell r="J131">
            <v>0</v>
          </cell>
          <cell r="K131">
            <v>1</v>
          </cell>
          <cell r="L131">
            <v>0</v>
          </cell>
          <cell r="M131">
            <v>1</v>
          </cell>
          <cell r="N131">
            <v>0</v>
          </cell>
          <cell r="O131">
            <v>0</v>
          </cell>
          <cell r="P131">
            <v>0</v>
          </cell>
          <cell r="Q131">
            <v>1</v>
          </cell>
          <cell r="R131" t="str">
            <v>衰退</v>
          </cell>
          <cell r="S131">
            <v>0</v>
          </cell>
          <cell r="T131">
            <v>0</v>
          </cell>
          <cell r="U131">
            <v>0</v>
          </cell>
          <cell r="V131">
            <v>1</v>
          </cell>
          <cell r="W131" t="str">
            <v>衰退</v>
          </cell>
          <cell r="X131">
            <v>0</v>
          </cell>
          <cell r="Y131">
            <v>0</v>
          </cell>
          <cell r="Z131">
            <v>0</v>
          </cell>
          <cell r="AA131">
            <v>1</v>
          </cell>
          <cell r="AB131" t="str">
            <v>衰退</v>
          </cell>
        </row>
        <row r="132">
          <cell r="A132">
            <v>40999</v>
          </cell>
          <cell r="B132">
            <v>11.9</v>
          </cell>
          <cell r="C132">
            <v>3.6</v>
          </cell>
          <cell r="D132">
            <v>-0.32</v>
          </cell>
          <cell r="E132">
            <v>2.032</v>
          </cell>
          <cell r="F132">
            <v>0</v>
          </cell>
          <cell r="G132">
            <v>1</v>
          </cell>
          <cell r="H132">
            <v>0</v>
          </cell>
          <cell r="I132">
            <v>1</v>
          </cell>
          <cell r="J132">
            <v>0</v>
          </cell>
          <cell r="K132">
            <v>1</v>
          </cell>
          <cell r="L132">
            <v>0</v>
          </cell>
          <cell r="M132">
            <v>1</v>
          </cell>
          <cell r="N132">
            <v>0</v>
          </cell>
          <cell r="O132">
            <v>0</v>
          </cell>
          <cell r="P132">
            <v>0</v>
          </cell>
          <cell r="Q132">
            <v>1</v>
          </cell>
          <cell r="R132" t="str">
            <v>衰退</v>
          </cell>
          <cell r="S132">
            <v>0</v>
          </cell>
          <cell r="T132">
            <v>0</v>
          </cell>
          <cell r="U132">
            <v>0</v>
          </cell>
          <cell r="V132">
            <v>1</v>
          </cell>
          <cell r="W132" t="str">
            <v>衰退</v>
          </cell>
          <cell r="X132">
            <v>0</v>
          </cell>
          <cell r="Y132">
            <v>0</v>
          </cell>
          <cell r="Z132">
            <v>0</v>
          </cell>
          <cell r="AA132">
            <v>1</v>
          </cell>
          <cell r="AB132" t="str">
            <v>衰退</v>
          </cell>
        </row>
        <row r="133">
          <cell r="A133">
            <v>41029</v>
          </cell>
          <cell r="B133">
            <v>9.3000000000000007</v>
          </cell>
          <cell r="C133">
            <v>3.4</v>
          </cell>
          <cell r="D133">
            <v>-0.7</v>
          </cell>
          <cell r="E133">
            <v>1.76</v>
          </cell>
          <cell r="F133">
            <v>0</v>
          </cell>
          <cell r="G133">
            <v>1</v>
          </cell>
          <cell r="H133">
            <v>0</v>
          </cell>
          <cell r="I133">
            <v>1</v>
          </cell>
          <cell r="J133">
            <v>0</v>
          </cell>
          <cell r="K133">
            <v>1</v>
          </cell>
          <cell r="L133">
            <v>0</v>
          </cell>
          <cell r="M133">
            <v>1</v>
          </cell>
          <cell r="N133">
            <v>0</v>
          </cell>
          <cell r="O133">
            <v>0</v>
          </cell>
          <cell r="P133">
            <v>0</v>
          </cell>
          <cell r="Q133">
            <v>1</v>
          </cell>
          <cell r="R133" t="str">
            <v>衰退</v>
          </cell>
          <cell r="S133">
            <v>0</v>
          </cell>
          <cell r="T133">
            <v>0</v>
          </cell>
          <cell r="U133">
            <v>0</v>
          </cell>
          <cell r="V133">
            <v>1</v>
          </cell>
          <cell r="W133" t="str">
            <v>衰退</v>
          </cell>
          <cell r="X133">
            <v>0</v>
          </cell>
          <cell r="Y133">
            <v>0</v>
          </cell>
          <cell r="Z133">
            <v>0</v>
          </cell>
          <cell r="AA133">
            <v>1</v>
          </cell>
          <cell r="AB133" t="str">
            <v>衰退</v>
          </cell>
        </row>
        <row r="134">
          <cell r="A134">
            <v>41060</v>
          </cell>
          <cell r="B134">
            <v>9.6</v>
          </cell>
          <cell r="C134">
            <v>3</v>
          </cell>
          <cell r="D134">
            <v>-1.4</v>
          </cell>
          <cell r="E134">
            <v>1.2399999999999998</v>
          </cell>
          <cell r="F134">
            <v>0</v>
          </cell>
          <cell r="G134">
            <v>1</v>
          </cell>
          <cell r="H134">
            <v>0</v>
          </cell>
          <cell r="I134">
            <v>1</v>
          </cell>
          <cell r="J134">
            <v>0</v>
          </cell>
          <cell r="K134">
            <v>1</v>
          </cell>
          <cell r="L134">
            <v>0</v>
          </cell>
          <cell r="M134">
            <v>1</v>
          </cell>
          <cell r="N134">
            <v>0</v>
          </cell>
          <cell r="O134">
            <v>0</v>
          </cell>
          <cell r="P134">
            <v>0</v>
          </cell>
          <cell r="Q134">
            <v>1</v>
          </cell>
          <cell r="R134" t="str">
            <v>衰退</v>
          </cell>
          <cell r="S134">
            <v>0</v>
          </cell>
          <cell r="T134">
            <v>0</v>
          </cell>
          <cell r="U134">
            <v>0</v>
          </cell>
          <cell r="V134">
            <v>1</v>
          </cell>
          <cell r="W134" t="str">
            <v>衰退</v>
          </cell>
          <cell r="X134">
            <v>0</v>
          </cell>
          <cell r="Y134">
            <v>0</v>
          </cell>
          <cell r="Z134">
            <v>0</v>
          </cell>
          <cell r="AA134">
            <v>1</v>
          </cell>
          <cell r="AB134" t="str">
            <v>衰退</v>
          </cell>
        </row>
        <row r="135">
          <cell r="A135">
            <v>41090</v>
          </cell>
          <cell r="B135">
            <v>9.5</v>
          </cell>
          <cell r="C135">
            <v>2.2000000000000002</v>
          </cell>
          <cell r="D135">
            <v>-2.08</v>
          </cell>
          <cell r="E135">
            <v>0.48799999999999999</v>
          </cell>
          <cell r="F135">
            <v>0</v>
          </cell>
          <cell r="G135">
            <v>1</v>
          </cell>
          <cell r="H135">
            <v>0</v>
          </cell>
          <cell r="I135">
            <v>1</v>
          </cell>
          <cell r="J135">
            <v>0</v>
          </cell>
          <cell r="K135">
            <v>1</v>
          </cell>
          <cell r="L135">
            <v>0</v>
          </cell>
          <cell r="M135">
            <v>1</v>
          </cell>
          <cell r="N135">
            <v>0</v>
          </cell>
          <cell r="O135">
            <v>0</v>
          </cell>
          <cell r="P135">
            <v>0</v>
          </cell>
          <cell r="Q135">
            <v>1</v>
          </cell>
          <cell r="R135" t="str">
            <v>衰退</v>
          </cell>
          <cell r="S135">
            <v>0</v>
          </cell>
          <cell r="T135">
            <v>0</v>
          </cell>
          <cell r="U135">
            <v>0</v>
          </cell>
          <cell r="V135">
            <v>1</v>
          </cell>
          <cell r="W135" t="str">
            <v>衰退</v>
          </cell>
          <cell r="X135">
            <v>0</v>
          </cell>
          <cell r="Y135">
            <v>0</v>
          </cell>
          <cell r="Z135">
            <v>0</v>
          </cell>
          <cell r="AA135">
            <v>1</v>
          </cell>
          <cell r="AB135" t="str">
            <v>衰退</v>
          </cell>
        </row>
        <row r="136">
          <cell r="A136">
            <v>41121</v>
          </cell>
          <cell r="B136">
            <v>9.1999999999999993</v>
          </cell>
          <cell r="C136">
            <v>1.8</v>
          </cell>
          <cell r="D136">
            <v>-2.87</v>
          </cell>
          <cell r="E136">
            <v>-6.800000000000006E-2</v>
          </cell>
          <cell r="F136">
            <v>0</v>
          </cell>
          <cell r="G136">
            <v>1</v>
          </cell>
          <cell r="H136">
            <v>0</v>
          </cell>
          <cell r="I136">
            <v>1</v>
          </cell>
          <cell r="J136">
            <v>0</v>
          </cell>
          <cell r="K136">
            <v>1</v>
          </cell>
          <cell r="L136">
            <v>0</v>
          </cell>
          <cell r="M136">
            <v>1</v>
          </cell>
          <cell r="N136">
            <v>0</v>
          </cell>
          <cell r="O136">
            <v>0</v>
          </cell>
          <cell r="P136">
            <v>0</v>
          </cell>
          <cell r="Q136">
            <v>1</v>
          </cell>
          <cell r="R136" t="str">
            <v>衰退</v>
          </cell>
          <cell r="S136">
            <v>0</v>
          </cell>
          <cell r="T136">
            <v>0</v>
          </cell>
          <cell r="U136">
            <v>0</v>
          </cell>
          <cell r="V136">
            <v>1</v>
          </cell>
          <cell r="W136" t="str">
            <v>衰退</v>
          </cell>
          <cell r="X136">
            <v>0</v>
          </cell>
          <cell r="Y136">
            <v>0</v>
          </cell>
          <cell r="Z136">
            <v>0</v>
          </cell>
          <cell r="AA136">
            <v>1</v>
          </cell>
          <cell r="AB136" t="str">
            <v>衰退</v>
          </cell>
        </row>
        <row r="137">
          <cell r="A137">
            <v>41152</v>
          </cell>
          <cell r="B137">
            <v>8.9</v>
          </cell>
          <cell r="C137">
            <v>2</v>
          </cell>
          <cell r="D137">
            <v>-3.48</v>
          </cell>
          <cell r="E137">
            <v>-0.19200000000000017</v>
          </cell>
          <cell r="F137">
            <v>0</v>
          </cell>
          <cell r="G137">
            <v>1</v>
          </cell>
          <cell r="H137">
            <v>0</v>
          </cell>
          <cell r="I137">
            <v>1</v>
          </cell>
          <cell r="J137">
            <v>0</v>
          </cell>
          <cell r="K137">
            <v>1</v>
          </cell>
          <cell r="L137">
            <v>0</v>
          </cell>
          <cell r="M137">
            <v>1</v>
          </cell>
          <cell r="N137">
            <v>0</v>
          </cell>
          <cell r="O137">
            <v>0</v>
          </cell>
          <cell r="P137">
            <v>0</v>
          </cell>
          <cell r="Q137">
            <v>1</v>
          </cell>
          <cell r="R137" t="str">
            <v>衰退</v>
          </cell>
          <cell r="S137">
            <v>0</v>
          </cell>
          <cell r="T137">
            <v>0</v>
          </cell>
          <cell r="U137">
            <v>0</v>
          </cell>
          <cell r="V137">
            <v>1</v>
          </cell>
          <cell r="W137" t="str">
            <v>衰退</v>
          </cell>
          <cell r="X137">
            <v>0</v>
          </cell>
          <cell r="Y137">
            <v>0</v>
          </cell>
          <cell r="Z137">
            <v>0</v>
          </cell>
          <cell r="AA137">
            <v>1</v>
          </cell>
          <cell r="AB137" t="str">
            <v>衰退</v>
          </cell>
        </row>
        <row r="138">
          <cell r="A138">
            <v>41182</v>
          </cell>
          <cell r="B138">
            <v>9.1999999999999993</v>
          </cell>
          <cell r="C138">
            <v>1.9</v>
          </cell>
          <cell r="D138">
            <v>-3.55</v>
          </cell>
          <cell r="E138">
            <v>-0.28000000000000003</v>
          </cell>
          <cell r="F138">
            <v>1</v>
          </cell>
          <cell r="G138">
            <v>0</v>
          </cell>
          <cell r="H138">
            <v>0</v>
          </cell>
          <cell r="I138">
            <v>1</v>
          </cell>
          <cell r="J138">
            <v>0</v>
          </cell>
          <cell r="K138">
            <v>1</v>
          </cell>
          <cell r="L138">
            <v>0</v>
          </cell>
          <cell r="M138">
            <v>1</v>
          </cell>
          <cell r="N138">
            <v>1</v>
          </cell>
          <cell r="O138">
            <v>0</v>
          </cell>
          <cell r="P138">
            <v>0</v>
          </cell>
          <cell r="Q138">
            <v>0</v>
          </cell>
          <cell r="R138" t="str">
            <v>复苏</v>
          </cell>
          <cell r="S138">
            <v>1</v>
          </cell>
          <cell r="T138">
            <v>0</v>
          </cell>
          <cell r="U138">
            <v>0</v>
          </cell>
          <cell r="V138">
            <v>0</v>
          </cell>
          <cell r="W138" t="str">
            <v>复苏</v>
          </cell>
          <cell r="X138">
            <v>1</v>
          </cell>
          <cell r="Y138">
            <v>0</v>
          </cell>
          <cell r="Z138">
            <v>0</v>
          </cell>
          <cell r="AA138">
            <v>0</v>
          </cell>
          <cell r="AB138" t="str">
            <v>复苏</v>
          </cell>
        </row>
        <row r="139">
          <cell r="A139">
            <v>41213</v>
          </cell>
          <cell r="B139">
            <v>9.6</v>
          </cell>
          <cell r="C139">
            <v>1.7</v>
          </cell>
          <cell r="D139">
            <v>-2.76</v>
          </cell>
          <cell r="E139">
            <v>-8.3999999999999853E-2</v>
          </cell>
          <cell r="F139">
            <v>1</v>
          </cell>
          <cell r="G139">
            <v>0</v>
          </cell>
          <cell r="H139">
            <v>0</v>
          </cell>
          <cell r="I139">
            <v>1</v>
          </cell>
          <cell r="J139">
            <v>1</v>
          </cell>
          <cell r="K139">
            <v>0</v>
          </cell>
          <cell r="L139">
            <v>1</v>
          </cell>
          <cell r="M139">
            <v>0</v>
          </cell>
          <cell r="N139">
            <v>1</v>
          </cell>
          <cell r="O139">
            <v>0</v>
          </cell>
          <cell r="P139">
            <v>0</v>
          </cell>
          <cell r="Q139">
            <v>0</v>
          </cell>
          <cell r="R139" t="str">
            <v>复苏</v>
          </cell>
          <cell r="S139">
            <v>0</v>
          </cell>
          <cell r="T139">
            <v>1</v>
          </cell>
          <cell r="U139">
            <v>0</v>
          </cell>
          <cell r="V139">
            <v>0</v>
          </cell>
          <cell r="W139" t="str">
            <v>过热</v>
          </cell>
          <cell r="X139">
            <v>0</v>
          </cell>
          <cell r="Y139">
            <v>1</v>
          </cell>
          <cell r="Z139">
            <v>0</v>
          </cell>
          <cell r="AA139">
            <v>0</v>
          </cell>
          <cell r="AB139" t="str">
            <v>过热</v>
          </cell>
        </row>
        <row r="140">
          <cell r="A140">
            <v>41243</v>
          </cell>
          <cell r="B140">
            <v>10.1</v>
          </cell>
          <cell r="C140">
            <v>2</v>
          </cell>
          <cell r="D140">
            <v>-2.2000000000000002</v>
          </cell>
          <cell r="E140">
            <v>0.31999999999999984</v>
          </cell>
          <cell r="F140">
            <v>1</v>
          </cell>
          <cell r="G140">
            <v>0</v>
          </cell>
          <cell r="H140">
            <v>1</v>
          </cell>
          <cell r="I140">
            <v>0</v>
          </cell>
          <cell r="J140">
            <v>1</v>
          </cell>
          <cell r="K140">
            <v>0</v>
          </cell>
          <cell r="L140">
            <v>1</v>
          </cell>
          <cell r="M140">
            <v>0</v>
          </cell>
          <cell r="N140">
            <v>0</v>
          </cell>
          <cell r="O140">
            <v>1</v>
          </cell>
          <cell r="P140">
            <v>0</v>
          </cell>
          <cell r="Q140">
            <v>0</v>
          </cell>
          <cell r="R140" t="str">
            <v>过热</v>
          </cell>
          <cell r="S140">
            <v>0</v>
          </cell>
          <cell r="T140">
            <v>1</v>
          </cell>
          <cell r="U140">
            <v>0</v>
          </cell>
          <cell r="V140">
            <v>0</v>
          </cell>
          <cell r="W140" t="str">
            <v>过热</v>
          </cell>
          <cell r="X140">
            <v>0</v>
          </cell>
          <cell r="Y140">
            <v>1</v>
          </cell>
          <cell r="Z140">
            <v>0</v>
          </cell>
          <cell r="AA140">
            <v>0</v>
          </cell>
          <cell r="AB140" t="str">
            <v>过热</v>
          </cell>
        </row>
        <row r="141">
          <cell r="A141">
            <v>41274</v>
          </cell>
          <cell r="B141">
            <v>10.3</v>
          </cell>
          <cell r="C141">
            <v>2.5</v>
          </cell>
          <cell r="D141">
            <v>-1.94</v>
          </cell>
          <cell r="E141">
            <v>0.72399999999999998</v>
          </cell>
          <cell r="F141">
            <v>1</v>
          </cell>
          <cell r="G141">
            <v>0</v>
          </cell>
          <cell r="H141">
            <v>1</v>
          </cell>
          <cell r="I141">
            <v>0</v>
          </cell>
          <cell r="J141">
            <v>1</v>
          </cell>
          <cell r="K141">
            <v>0</v>
          </cell>
          <cell r="L141">
            <v>1</v>
          </cell>
          <cell r="M141">
            <v>0</v>
          </cell>
          <cell r="N141">
            <v>0</v>
          </cell>
          <cell r="O141">
            <v>1</v>
          </cell>
          <cell r="P141">
            <v>0</v>
          </cell>
          <cell r="Q141">
            <v>0</v>
          </cell>
          <cell r="R141" t="str">
            <v>过热</v>
          </cell>
          <cell r="S141">
            <v>0</v>
          </cell>
          <cell r="T141">
            <v>1</v>
          </cell>
          <cell r="U141">
            <v>0</v>
          </cell>
          <cell r="V141">
            <v>0</v>
          </cell>
          <cell r="W141" t="str">
            <v>过热</v>
          </cell>
          <cell r="X141">
            <v>0</v>
          </cell>
          <cell r="Y141">
            <v>1</v>
          </cell>
          <cell r="Z141">
            <v>0</v>
          </cell>
          <cell r="AA141">
            <v>0</v>
          </cell>
          <cell r="AB141" t="str">
            <v>过热</v>
          </cell>
        </row>
        <row r="142">
          <cell r="A142">
            <v>41333</v>
          </cell>
          <cell r="B142">
            <v>9.9</v>
          </cell>
          <cell r="C142">
            <v>2.6248</v>
          </cell>
          <cell r="D142">
            <v>-1.63</v>
          </cell>
          <cell r="E142">
            <v>0.92288000000000003</v>
          </cell>
          <cell r="F142">
            <v>1</v>
          </cell>
          <cell r="G142">
            <v>0</v>
          </cell>
          <cell r="H142">
            <v>1</v>
          </cell>
          <cell r="I142">
            <v>0</v>
          </cell>
          <cell r="J142">
            <v>1</v>
          </cell>
          <cell r="K142">
            <v>0</v>
          </cell>
          <cell r="L142">
            <v>1</v>
          </cell>
          <cell r="M142">
            <v>0</v>
          </cell>
          <cell r="N142">
            <v>0</v>
          </cell>
          <cell r="O142">
            <v>1</v>
          </cell>
          <cell r="P142">
            <v>0</v>
          </cell>
          <cell r="Q142">
            <v>0</v>
          </cell>
          <cell r="R142" t="str">
            <v>过热</v>
          </cell>
          <cell r="S142">
            <v>0</v>
          </cell>
          <cell r="T142">
            <v>1</v>
          </cell>
          <cell r="U142">
            <v>0</v>
          </cell>
          <cell r="V142">
            <v>0</v>
          </cell>
          <cell r="W142" t="str">
            <v>过热</v>
          </cell>
          <cell r="X142">
            <v>0</v>
          </cell>
          <cell r="Y142">
            <v>1</v>
          </cell>
          <cell r="Z142">
            <v>0</v>
          </cell>
          <cell r="AA142">
            <v>0</v>
          </cell>
          <cell r="AB142" t="str">
            <v>过热</v>
          </cell>
        </row>
        <row r="143">
          <cell r="A143">
            <v>41364</v>
          </cell>
          <cell r="B143">
            <v>8.9</v>
          </cell>
          <cell r="C143">
            <v>2.0695999999999999</v>
          </cell>
          <cell r="D143">
            <v>-1.92</v>
          </cell>
          <cell r="E143">
            <v>0.47375999999999996</v>
          </cell>
          <cell r="F143">
            <v>1</v>
          </cell>
          <cell r="G143">
            <v>0</v>
          </cell>
          <cell r="H143">
            <v>1</v>
          </cell>
          <cell r="I143">
            <v>0</v>
          </cell>
          <cell r="J143">
            <v>0</v>
          </cell>
          <cell r="K143">
            <v>1</v>
          </cell>
          <cell r="L143">
            <v>0</v>
          </cell>
          <cell r="M143">
            <v>1</v>
          </cell>
          <cell r="N143">
            <v>0</v>
          </cell>
          <cell r="O143">
            <v>1</v>
          </cell>
          <cell r="P143">
            <v>0</v>
          </cell>
          <cell r="Q143">
            <v>0</v>
          </cell>
          <cell r="R143" t="str">
            <v>过热</v>
          </cell>
          <cell r="S143">
            <v>1</v>
          </cell>
          <cell r="T143">
            <v>0</v>
          </cell>
          <cell r="U143">
            <v>0</v>
          </cell>
          <cell r="V143">
            <v>0</v>
          </cell>
          <cell r="W143" t="str">
            <v>复苏</v>
          </cell>
          <cell r="X143">
            <v>1</v>
          </cell>
          <cell r="Y143">
            <v>0</v>
          </cell>
          <cell r="Z143">
            <v>0</v>
          </cell>
          <cell r="AA143">
            <v>0</v>
          </cell>
          <cell r="AB143" t="str">
            <v>复苏</v>
          </cell>
        </row>
        <row r="144">
          <cell r="A144">
            <v>41394</v>
          </cell>
          <cell r="B144">
            <v>9.3000000000000007</v>
          </cell>
          <cell r="C144">
            <v>2.3860999999999999</v>
          </cell>
          <cell r="D144">
            <v>-2.62</v>
          </cell>
          <cell r="E144">
            <v>0.38365999999999989</v>
          </cell>
          <cell r="F144">
            <v>1</v>
          </cell>
          <cell r="G144">
            <v>0</v>
          </cell>
          <cell r="H144">
            <v>1</v>
          </cell>
          <cell r="I144">
            <v>0</v>
          </cell>
          <cell r="J144">
            <v>0</v>
          </cell>
          <cell r="K144">
            <v>1</v>
          </cell>
          <cell r="L144">
            <v>0</v>
          </cell>
          <cell r="M144">
            <v>1</v>
          </cell>
          <cell r="N144">
            <v>0</v>
          </cell>
          <cell r="O144">
            <v>1</v>
          </cell>
          <cell r="P144">
            <v>0</v>
          </cell>
          <cell r="Q144">
            <v>0</v>
          </cell>
          <cell r="R144" t="str">
            <v>过热</v>
          </cell>
          <cell r="S144">
            <v>1</v>
          </cell>
          <cell r="T144">
            <v>0</v>
          </cell>
          <cell r="U144">
            <v>0</v>
          </cell>
          <cell r="V144">
            <v>0</v>
          </cell>
          <cell r="W144" t="str">
            <v>复苏</v>
          </cell>
          <cell r="X144">
            <v>1</v>
          </cell>
          <cell r="Y144">
            <v>0</v>
          </cell>
          <cell r="Z144">
            <v>0</v>
          </cell>
          <cell r="AA144">
            <v>0</v>
          </cell>
          <cell r="AB144" t="str">
            <v>复苏</v>
          </cell>
        </row>
        <row r="145">
          <cell r="A145">
            <v>41425</v>
          </cell>
          <cell r="B145">
            <v>9.1999999999999993</v>
          </cell>
          <cell r="C145">
            <v>2.0981000000000001</v>
          </cell>
          <cell r="D145">
            <v>-2.87</v>
          </cell>
          <cell r="E145">
            <v>0.11085999999999996</v>
          </cell>
          <cell r="F145">
            <v>1</v>
          </cell>
          <cell r="G145">
            <v>0</v>
          </cell>
          <cell r="H145">
            <v>1</v>
          </cell>
          <cell r="I145">
            <v>0</v>
          </cell>
          <cell r="J145">
            <v>0</v>
          </cell>
          <cell r="K145">
            <v>1</v>
          </cell>
          <cell r="L145">
            <v>0</v>
          </cell>
          <cell r="M145">
            <v>1</v>
          </cell>
          <cell r="N145">
            <v>0</v>
          </cell>
          <cell r="O145">
            <v>1</v>
          </cell>
          <cell r="P145">
            <v>0</v>
          </cell>
          <cell r="Q145">
            <v>0</v>
          </cell>
          <cell r="R145" t="str">
            <v>过热</v>
          </cell>
          <cell r="S145">
            <v>1</v>
          </cell>
          <cell r="T145">
            <v>0</v>
          </cell>
          <cell r="U145">
            <v>0</v>
          </cell>
          <cell r="V145">
            <v>0</v>
          </cell>
          <cell r="W145" t="str">
            <v>复苏</v>
          </cell>
          <cell r="X145">
            <v>1</v>
          </cell>
          <cell r="Y145">
            <v>0</v>
          </cell>
          <cell r="Z145">
            <v>0</v>
          </cell>
          <cell r="AA145">
            <v>0</v>
          </cell>
          <cell r="AB145" t="str">
            <v>复苏</v>
          </cell>
        </row>
        <row r="146">
          <cell r="A146">
            <v>41455</v>
          </cell>
          <cell r="B146">
            <v>8.9</v>
          </cell>
          <cell r="C146">
            <v>2.6684000000000001</v>
          </cell>
          <cell r="D146">
            <v>-2.7</v>
          </cell>
          <cell r="E146">
            <v>0.52103999999999995</v>
          </cell>
          <cell r="F146">
            <v>1</v>
          </cell>
          <cell r="G146">
            <v>0</v>
          </cell>
          <cell r="H146">
            <v>1</v>
          </cell>
          <cell r="I146">
            <v>0</v>
          </cell>
          <cell r="J146">
            <v>1</v>
          </cell>
          <cell r="K146">
            <v>0</v>
          </cell>
          <cell r="L146">
            <v>1</v>
          </cell>
          <cell r="M146">
            <v>0</v>
          </cell>
          <cell r="N146">
            <v>0</v>
          </cell>
          <cell r="O146">
            <v>1</v>
          </cell>
          <cell r="P146">
            <v>0</v>
          </cell>
          <cell r="Q146">
            <v>0</v>
          </cell>
          <cell r="R146" t="str">
            <v>过热</v>
          </cell>
          <cell r="S146">
            <v>0</v>
          </cell>
          <cell r="T146">
            <v>1</v>
          </cell>
          <cell r="U146">
            <v>0</v>
          </cell>
          <cell r="V146">
            <v>0</v>
          </cell>
          <cell r="W146" t="str">
            <v>过热</v>
          </cell>
          <cell r="X146">
            <v>0</v>
          </cell>
          <cell r="Y146">
            <v>1</v>
          </cell>
          <cell r="Z146">
            <v>0</v>
          </cell>
          <cell r="AA146">
            <v>0</v>
          </cell>
          <cell r="AB146" t="str">
            <v>过热</v>
          </cell>
        </row>
        <row r="147">
          <cell r="A147">
            <v>41486</v>
          </cell>
          <cell r="B147">
            <v>9.6999999999999993</v>
          </cell>
          <cell r="C147">
            <v>2.6741000000000001</v>
          </cell>
          <cell r="D147">
            <v>-2.27</v>
          </cell>
          <cell r="E147">
            <v>0.69645999999999997</v>
          </cell>
          <cell r="F147">
            <v>1</v>
          </cell>
          <cell r="G147">
            <v>0</v>
          </cell>
          <cell r="H147">
            <v>1</v>
          </cell>
          <cell r="I147">
            <v>0</v>
          </cell>
          <cell r="J147">
            <v>1</v>
          </cell>
          <cell r="K147">
            <v>0</v>
          </cell>
          <cell r="L147">
            <v>1</v>
          </cell>
          <cell r="M147">
            <v>0</v>
          </cell>
          <cell r="N147">
            <v>0</v>
          </cell>
          <cell r="O147">
            <v>1</v>
          </cell>
          <cell r="P147">
            <v>0</v>
          </cell>
          <cell r="Q147">
            <v>0</v>
          </cell>
          <cell r="R147" t="str">
            <v>过热</v>
          </cell>
          <cell r="S147">
            <v>0</v>
          </cell>
          <cell r="T147">
            <v>1</v>
          </cell>
          <cell r="U147">
            <v>0</v>
          </cell>
          <cell r="V147">
            <v>0</v>
          </cell>
          <cell r="W147" t="str">
            <v>过热</v>
          </cell>
          <cell r="X147">
            <v>0</v>
          </cell>
          <cell r="Y147">
            <v>1</v>
          </cell>
          <cell r="Z147">
            <v>0</v>
          </cell>
          <cell r="AA147">
            <v>0</v>
          </cell>
          <cell r="AB147" t="str">
            <v>过热</v>
          </cell>
        </row>
        <row r="148">
          <cell r="A148">
            <v>41517</v>
          </cell>
          <cell r="B148">
            <v>10.4</v>
          </cell>
          <cell r="C148">
            <v>2.5666000000000002</v>
          </cell>
          <cell r="D148">
            <v>-1.62</v>
          </cell>
          <cell r="E148">
            <v>0.89195999999999986</v>
          </cell>
          <cell r="F148">
            <v>1</v>
          </cell>
          <cell r="G148">
            <v>0</v>
          </cell>
          <cell r="H148">
            <v>1</v>
          </cell>
          <cell r="I148">
            <v>0</v>
          </cell>
          <cell r="J148">
            <v>1</v>
          </cell>
          <cell r="K148">
            <v>0</v>
          </cell>
          <cell r="L148">
            <v>1</v>
          </cell>
          <cell r="M148">
            <v>0</v>
          </cell>
          <cell r="N148">
            <v>0</v>
          </cell>
          <cell r="O148">
            <v>1</v>
          </cell>
          <cell r="P148">
            <v>0</v>
          </cell>
          <cell r="Q148">
            <v>0</v>
          </cell>
          <cell r="R148" t="str">
            <v>过热</v>
          </cell>
          <cell r="S148">
            <v>0</v>
          </cell>
          <cell r="T148">
            <v>1</v>
          </cell>
          <cell r="U148">
            <v>0</v>
          </cell>
          <cell r="V148">
            <v>0</v>
          </cell>
          <cell r="W148" t="str">
            <v>过热</v>
          </cell>
          <cell r="X148">
            <v>0</v>
          </cell>
          <cell r="Y148">
            <v>1</v>
          </cell>
          <cell r="Z148">
            <v>0</v>
          </cell>
          <cell r="AA148">
            <v>0</v>
          </cell>
          <cell r="AB148" t="str">
            <v>过热</v>
          </cell>
        </row>
        <row r="149">
          <cell r="A149">
            <v>41547</v>
          </cell>
          <cell r="B149">
            <v>10.199999999999999</v>
          </cell>
          <cell r="C149">
            <v>3.0518999999999998</v>
          </cell>
          <cell r="D149">
            <v>-1.34</v>
          </cell>
          <cell r="E149">
            <v>1.2951399999999997</v>
          </cell>
          <cell r="F149">
            <v>0</v>
          </cell>
          <cell r="G149">
            <v>1</v>
          </cell>
          <cell r="H149">
            <v>1</v>
          </cell>
          <cell r="I149">
            <v>0</v>
          </cell>
          <cell r="J149">
            <v>1</v>
          </cell>
          <cell r="K149">
            <v>0</v>
          </cell>
          <cell r="L149">
            <v>1</v>
          </cell>
          <cell r="M149">
            <v>0</v>
          </cell>
          <cell r="N149">
            <v>0</v>
          </cell>
          <cell r="O149">
            <v>0</v>
          </cell>
          <cell r="P149">
            <v>1</v>
          </cell>
          <cell r="Q149">
            <v>0</v>
          </cell>
          <cell r="R149" t="str">
            <v>滞涨</v>
          </cell>
          <cell r="S149">
            <v>0</v>
          </cell>
          <cell r="T149">
            <v>0</v>
          </cell>
          <cell r="U149">
            <v>1</v>
          </cell>
          <cell r="V149">
            <v>0</v>
          </cell>
          <cell r="W149" t="str">
            <v>滞涨</v>
          </cell>
          <cell r="X149">
            <v>0</v>
          </cell>
          <cell r="Y149">
            <v>0</v>
          </cell>
          <cell r="Z149">
            <v>1</v>
          </cell>
          <cell r="AA149">
            <v>0</v>
          </cell>
          <cell r="AB149" t="str">
            <v>滞涨</v>
          </cell>
        </row>
        <row r="150">
          <cell r="A150">
            <v>41578</v>
          </cell>
          <cell r="B150">
            <v>10.3</v>
          </cell>
          <cell r="C150">
            <v>3.2058</v>
          </cell>
          <cell r="D150">
            <v>-1.51</v>
          </cell>
          <cell r="E150">
            <v>1.3194799999999998</v>
          </cell>
          <cell r="F150">
            <v>0</v>
          </cell>
          <cell r="G150">
            <v>1</v>
          </cell>
          <cell r="H150">
            <v>1</v>
          </cell>
          <cell r="I150">
            <v>0</v>
          </cell>
          <cell r="J150">
            <v>0</v>
          </cell>
          <cell r="K150">
            <v>1</v>
          </cell>
          <cell r="L150">
            <v>0</v>
          </cell>
          <cell r="M150">
            <v>1</v>
          </cell>
          <cell r="N150">
            <v>0</v>
          </cell>
          <cell r="O150">
            <v>0</v>
          </cell>
          <cell r="P150">
            <v>1</v>
          </cell>
          <cell r="Q150">
            <v>0</v>
          </cell>
          <cell r="R150" t="str">
            <v>滞涨</v>
          </cell>
          <cell r="S150">
            <v>0</v>
          </cell>
          <cell r="T150">
            <v>0</v>
          </cell>
          <cell r="U150">
            <v>0</v>
          </cell>
          <cell r="V150">
            <v>1</v>
          </cell>
          <cell r="W150" t="str">
            <v>衰退</v>
          </cell>
          <cell r="X150">
            <v>0</v>
          </cell>
          <cell r="Y150">
            <v>0</v>
          </cell>
          <cell r="Z150">
            <v>0</v>
          </cell>
          <cell r="AA150">
            <v>1</v>
          </cell>
          <cell r="AB150" t="str">
            <v>衰退</v>
          </cell>
        </row>
        <row r="151">
          <cell r="A151">
            <v>41608</v>
          </cell>
          <cell r="B151">
            <v>10</v>
          </cell>
          <cell r="C151">
            <v>3.0179999999999998</v>
          </cell>
          <cell r="D151">
            <v>-1.42</v>
          </cell>
          <cell r="E151">
            <v>1.2427999999999999</v>
          </cell>
          <cell r="F151">
            <v>0</v>
          </cell>
          <cell r="G151">
            <v>1</v>
          </cell>
          <cell r="H151">
            <v>0</v>
          </cell>
          <cell r="I151">
            <v>1</v>
          </cell>
          <cell r="J151">
            <v>0</v>
          </cell>
          <cell r="K151">
            <v>1</v>
          </cell>
          <cell r="L151">
            <v>0</v>
          </cell>
          <cell r="M151">
            <v>1</v>
          </cell>
          <cell r="N151">
            <v>0</v>
          </cell>
          <cell r="O151">
            <v>0</v>
          </cell>
          <cell r="P151">
            <v>0</v>
          </cell>
          <cell r="Q151">
            <v>1</v>
          </cell>
          <cell r="R151" t="str">
            <v>衰退</v>
          </cell>
          <cell r="S151">
            <v>0</v>
          </cell>
          <cell r="T151">
            <v>0</v>
          </cell>
          <cell r="U151">
            <v>0</v>
          </cell>
          <cell r="V151">
            <v>1</v>
          </cell>
          <cell r="W151" t="str">
            <v>衰退</v>
          </cell>
          <cell r="X151">
            <v>0</v>
          </cell>
          <cell r="Y151">
            <v>0</v>
          </cell>
          <cell r="Z151">
            <v>0</v>
          </cell>
          <cell r="AA151">
            <v>1</v>
          </cell>
          <cell r="AB151" t="str">
            <v>衰退</v>
          </cell>
        </row>
        <row r="152">
          <cell r="A152">
            <v>41639</v>
          </cell>
          <cell r="B152">
            <v>9.6999999999999993</v>
          </cell>
          <cell r="C152">
            <v>2.4986999999999999</v>
          </cell>
          <cell r="D152">
            <v>-1.36</v>
          </cell>
          <cell r="E152">
            <v>0.95521999999999996</v>
          </cell>
          <cell r="F152">
            <v>0</v>
          </cell>
          <cell r="G152">
            <v>1</v>
          </cell>
          <cell r="H152">
            <v>0</v>
          </cell>
          <cell r="I152">
            <v>1</v>
          </cell>
          <cell r="J152">
            <v>0</v>
          </cell>
          <cell r="K152">
            <v>1</v>
          </cell>
          <cell r="L152">
            <v>0</v>
          </cell>
          <cell r="M152">
            <v>1</v>
          </cell>
          <cell r="N152">
            <v>0</v>
          </cell>
          <cell r="O152">
            <v>0</v>
          </cell>
          <cell r="P152">
            <v>0</v>
          </cell>
          <cell r="Q152">
            <v>1</v>
          </cell>
          <cell r="R152" t="str">
            <v>衰退</v>
          </cell>
          <cell r="S152">
            <v>0</v>
          </cell>
          <cell r="T152">
            <v>0</v>
          </cell>
          <cell r="U152">
            <v>0</v>
          </cell>
          <cell r="V152">
            <v>1</v>
          </cell>
          <cell r="W152" t="str">
            <v>衰退</v>
          </cell>
          <cell r="X152">
            <v>0</v>
          </cell>
          <cell r="Y152">
            <v>0</v>
          </cell>
          <cell r="Z152">
            <v>0</v>
          </cell>
          <cell r="AA152">
            <v>1</v>
          </cell>
          <cell r="AB152" t="str">
            <v>衰退</v>
          </cell>
        </row>
        <row r="153">
          <cell r="A153">
            <v>41698</v>
          </cell>
          <cell r="B153">
            <v>8.6</v>
          </cell>
          <cell r="C153">
            <v>2.2172000000000001</v>
          </cell>
          <cell r="D153">
            <v>-1.8</v>
          </cell>
          <cell r="E153">
            <v>0.61031999999999986</v>
          </cell>
          <cell r="F153">
            <v>0</v>
          </cell>
          <cell r="G153">
            <v>1</v>
          </cell>
          <cell r="H153">
            <v>0</v>
          </cell>
          <cell r="I153">
            <v>1</v>
          </cell>
          <cell r="J153">
            <v>0</v>
          </cell>
          <cell r="K153">
            <v>1</v>
          </cell>
          <cell r="L153">
            <v>0</v>
          </cell>
          <cell r="M153">
            <v>1</v>
          </cell>
          <cell r="N153">
            <v>0</v>
          </cell>
          <cell r="O153">
            <v>0</v>
          </cell>
          <cell r="P153">
            <v>0</v>
          </cell>
          <cell r="Q153">
            <v>1</v>
          </cell>
          <cell r="R153" t="str">
            <v>衰退</v>
          </cell>
          <cell r="S153">
            <v>0</v>
          </cell>
          <cell r="T153">
            <v>0</v>
          </cell>
          <cell r="U153">
            <v>0</v>
          </cell>
          <cell r="V153">
            <v>1</v>
          </cell>
          <cell r="W153" t="str">
            <v>衰退</v>
          </cell>
          <cell r="X153">
            <v>0</v>
          </cell>
          <cell r="Y153">
            <v>0</v>
          </cell>
          <cell r="Z153">
            <v>0</v>
          </cell>
          <cell r="AA153">
            <v>1</v>
          </cell>
          <cell r="AB153" t="str">
            <v>衰退</v>
          </cell>
        </row>
        <row r="154">
          <cell r="A154">
            <v>41729</v>
          </cell>
          <cell r="B154">
            <v>8.8000000000000007</v>
          </cell>
          <cell r="C154">
            <v>2.3847999999999998</v>
          </cell>
          <cell r="D154">
            <v>-2.3018999999999998</v>
          </cell>
          <cell r="E154">
            <v>0.51011999999999991</v>
          </cell>
          <cell r="F154">
            <v>1</v>
          </cell>
          <cell r="G154">
            <v>0</v>
          </cell>
          <cell r="H154">
            <v>0</v>
          </cell>
          <cell r="I154">
            <v>1</v>
          </cell>
          <cell r="J154">
            <v>0</v>
          </cell>
          <cell r="K154">
            <v>1</v>
          </cell>
          <cell r="L154">
            <v>0</v>
          </cell>
          <cell r="M154">
            <v>1</v>
          </cell>
          <cell r="N154">
            <v>1</v>
          </cell>
          <cell r="O154">
            <v>0</v>
          </cell>
          <cell r="P154">
            <v>0</v>
          </cell>
          <cell r="Q154">
            <v>0</v>
          </cell>
          <cell r="R154" t="str">
            <v>复苏</v>
          </cell>
          <cell r="S154">
            <v>1</v>
          </cell>
          <cell r="T154">
            <v>0</v>
          </cell>
          <cell r="U154">
            <v>0</v>
          </cell>
          <cell r="V154">
            <v>0</v>
          </cell>
          <cell r="W154" t="str">
            <v>复苏</v>
          </cell>
          <cell r="X154">
            <v>1</v>
          </cell>
          <cell r="Y154">
            <v>0</v>
          </cell>
          <cell r="Z154">
            <v>0</v>
          </cell>
          <cell r="AA154">
            <v>0</v>
          </cell>
          <cell r="AB154" t="str">
            <v>复苏</v>
          </cell>
        </row>
        <row r="155">
          <cell r="A155">
            <v>41759</v>
          </cell>
          <cell r="B155">
            <v>8.6999999999999993</v>
          </cell>
          <cell r="C155">
            <v>1.8013999999999999</v>
          </cell>
          <cell r="D155">
            <v>-2.0042</v>
          </cell>
          <cell r="E155">
            <v>0.27915999999999974</v>
          </cell>
          <cell r="F155">
            <v>1</v>
          </cell>
          <cell r="G155">
            <v>0</v>
          </cell>
          <cell r="H155">
            <v>0</v>
          </cell>
          <cell r="I155">
            <v>1</v>
          </cell>
          <cell r="J155">
            <v>1</v>
          </cell>
          <cell r="K155">
            <v>0</v>
          </cell>
          <cell r="L155">
            <v>0</v>
          </cell>
          <cell r="M155">
            <v>1</v>
          </cell>
          <cell r="N155">
            <v>1</v>
          </cell>
          <cell r="O155">
            <v>0</v>
          </cell>
          <cell r="P155">
            <v>0</v>
          </cell>
          <cell r="Q155">
            <v>0</v>
          </cell>
          <cell r="R155" t="str">
            <v>复苏</v>
          </cell>
          <cell r="S155">
            <v>0</v>
          </cell>
          <cell r="T155">
            <v>1</v>
          </cell>
          <cell r="U155">
            <v>0</v>
          </cell>
          <cell r="V155">
            <v>0</v>
          </cell>
          <cell r="W155" t="str">
            <v>过热</v>
          </cell>
          <cell r="X155">
            <v>1</v>
          </cell>
          <cell r="Y155">
            <v>0</v>
          </cell>
          <cell r="Z155">
            <v>0</v>
          </cell>
          <cell r="AA155">
            <v>0</v>
          </cell>
          <cell r="AB155" t="str">
            <v>复苏</v>
          </cell>
        </row>
        <row r="156">
          <cell r="A156">
            <v>41790</v>
          </cell>
          <cell r="B156">
            <v>8.8000000000000007</v>
          </cell>
          <cell r="C156">
            <v>2.4773000000000001</v>
          </cell>
          <cell r="D156">
            <v>-1.4463999999999999</v>
          </cell>
          <cell r="E156">
            <v>0.90782000000000007</v>
          </cell>
          <cell r="F156">
            <v>1</v>
          </cell>
          <cell r="G156">
            <v>0</v>
          </cell>
          <cell r="H156">
            <v>0</v>
          </cell>
          <cell r="I156">
            <v>1</v>
          </cell>
          <cell r="J156">
            <v>1</v>
          </cell>
          <cell r="K156">
            <v>0</v>
          </cell>
          <cell r="L156">
            <v>0</v>
          </cell>
          <cell r="M156">
            <v>1</v>
          </cell>
          <cell r="N156">
            <v>1</v>
          </cell>
          <cell r="O156">
            <v>0</v>
          </cell>
          <cell r="P156">
            <v>0</v>
          </cell>
          <cell r="Q156">
            <v>0</v>
          </cell>
          <cell r="R156" t="str">
            <v>复苏</v>
          </cell>
          <cell r="S156">
            <v>0</v>
          </cell>
          <cell r="T156">
            <v>1</v>
          </cell>
          <cell r="U156">
            <v>0</v>
          </cell>
          <cell r="V156">
            <v>0</v>
          </cell>
          <cell r="W156" t="str">
            <v>过热</v>
          </cell>
          <cell r="X156">
            <v>1</v>
          </cell>
          <cell r="Y156">
            <v>0</v>
          </cell>
          <cell r="Z156">
            <v>0</v>
          </cell>
          <cell r="AA156">
            <v>0</v>
          </cell>
          <cell r="AB156" t="str">
            <v>复苏</v>
          </cell>
        </row>
        <row r="157">
          <cell r="A157">
            <v>41820</v>
          </cell>
          <cell r="B157">
            <v>9.1999999999999993</v>
          </cell>
          <cell r="C157">
            <v>2.3361000000000001</v>
          </cell>
          <cell r="D157">
            <v>-1.1092</v>
          </cell>
          <cell r="E157">
            <v>0.95797999999999983</v>
          </cell>
          <cell r="F157">
            <v>1</v>
          </cell>
          <cell r="G157">
            <v>0</v>
          </cell>
          <cell r="H157">
            <v>0</v>
          </cell>
          <cell r="I157">
            <v>1</v>
          </cell>
          <cell r="J157">
            <v>1</v>
          </cell>
          <cell r="K157">
            <v>0</v>
          </cell>
          <cell r="L157">
            <v>0</v>
          </cell>
          <cell r="M157">
            <v>1</v>
          </cell>
          <cell r="N157">
            <v>1</v>
          </cell>
          <cell r="O157">
            <v>0</v>
          </cell>
          <cell r="P157">
            <v>0</v>
          </cell>
          <cell r="Q157">
            <v>0</v>
          </cell>
          <cell r="R157" t="str">
            <v>复苏</v>
          </cell>
          <cell r="S157">
            <v>0</v>
          </cell>
          <cell r="T157">
            <v>1</v>
          </cell>
          <cell r="U157">
            <v>0</v>
          </cell>
          <cell r="V157">
            <v>0</v>
          </cell>
          <cell r="W157" t="str">
            <v>过热</v>
          </cell>
          <cell r="X157">
            <v>1</v>
          </cell>
          <cell r="Y157">
            <v>0</v>
          </cell>
          <cell r="Z157">
            <v>0</v>
          </cell>
          <cell r="AA157">
            <v>0</v>
          </cell>
          <cell r="AB157" t="str">
            <v>复苏</v>
          </cell>
        </row>
        <row r="158">
          <cell r="A158">
            <v>41851</v>
          </cell>
          <cell r="B158">
            <v>9</v>
          </cell>
          <cell r="C158">
            <v>2.2852000000000001</v>
          </cell>
          <cell r="D158">
            <v>-0.86880000000000002</v>
          </cell>
          <cell r="E158">
            <v>1.0236000000000001</v>
          </cell>
          <cell r="F158">
            <v>0</v>
          </cell>
          <cell r="G158">
            <v>1</v>
          </cell>
          <cell r="H158">
            <v>0</v>
          </cell>
          <cell r="I158">
            <v>1</v>
          </cell>
          <cell r="J158">
            <v>1</v>
          </cell>
          <cell r="K158">
            <v>0</v>
          </cell>
          <cell r="L158">
            <v>0</v>
          </cell>
          <cell r="M158">
            <v>1</v>
          </cell>
          <cell r="N158">
            <v>0</v>
          </cell>
          <cell r="O158">
            <v>0</v>
          </cell>
          <cell r="P158">
            <v>0</v>
          </cell>
          <cell r="Q158">
            <v>1</v>
          </cell>
          <cell r="R158" t="str">
            <v>衰退</v>
          </cell>
          <cell r="S158">
            <v>0</v>
          </cell>
          <cell r="T158">
            <v>0</v>
          </cell>
          <cell r="U158">
            <v>1</v>
          </cell>
          <cell r="V158">
            <v>0</v>
          </cell>
          <cell r="W158" t="str">
            <v>滞涨</v>
          </cell>
          <cell r="X158">
            <v>0</v>
          </cell>
          <cell r="Y158">
            <v>0</v>
          </cell>
          <cell r="Z158">
            <v>0</v>
          </cell>
          <cell r="AA158">
            <v>1</v>
          </cell>
          <cell r="AB158" t="str">
            <v>衰退</v>
          </cell>
        </row>
        <row r="159">
          <cell r="A159">
            <v>41882</v>
          </cell>
          <cell r="B159">
            <v>6.9</v>
          </cell>
          <cell r="C159">
            <v>1.9908999999999999</v>
          </cell>
          <cell r="D159">
            <v>-1.2038</v>
          </cell>
          <cell r="E159">
            <v>0.71301999999999999</v>
          </cell>
          <cell r="F159">
            <v>0</v>
          </cell>
          <cell r="G159">
            <v>1</v>
          </cell>
          <cell r="H159">
            <v>0</v>
          </cell>
          <cell r="I159">
            <v>1</v>
          </cell>
          <cell r="J159">
            <v>0</v>
          </cell>
          <cell r="K159">
            <v>1</v>
          </cell>
          <cell r="L159">
            <v>0</v>
          </cell>
          <cell r="M159">
            <v>1</v>
          </cell>
          <cell r="N159">
            <v>0</v>
          </cell>
          <cell r="O159">
            <v>0</v>
          </cell>
          <cell r="P159">
            <v>0</v>
          </cell>
          <cell r="Q159">
            <v>1</v>
          </cell>
          <cell r="R159" t="str">
            <v>衰退</v>
          </cell>
          <cell r="S159">
            <v>0</v>
          </cell>
          <cell r="T159">
            <v>0</v>
          </cell>
          <cell r="U159">
            <v>0</v>
          </cell>
          <cell r="V159">
            <v>1</v>
          </cell>
          <cell r="W159" t="str">
            <v>衰退</v>
          </cell>
          <cell r="X159">
            <v>0</v>
          </cell>
          <cell r="Y159">
            <v>0</v>
          </cell>
          <cell r="Z159">
            <v>0</v>
          </cell>
          <cell r="AA159">
            <v>1</v>
          </cell>
          <cell r="AB159" t="str">
            <v>衰退</v>
          </cell>
        </row>
        <row r="160">
          <cell r="A160">
            <v>41912</v>
          </cell>
          <cell r="B160">
            <v>8</v>
          </cell>
          <cell r="C160">
            <v>1.6274999999999999</v>
          </cell>
          <cell r="D160">
            <v>-1.7996000000000001</v>
          </cell>
          <cell r="E160">
            <v>0.25665999999999989</v>
          </cell>
          <cell r="F160">
            <v>0</v>
          </cell>
          <cell r="G160">
            <v>1</v>
          </cell>
          <cell r="H160">
            <v>0</v>
          </cell>
          <cell r="I160">
            <v>1</v>
          </cell>
          <cell r="J160">
            <v>0</v>
          </cell>
          <cell r="K160">
            <v>1</v>
          </cell>
          <cell r="L160">
            <v>0</v>
          </cell>
          <cell r="M160">
            <v>1</v>
          </cell>
          <cell r="N160">
            <v>0</v>
          </cell>
          <cell r="O160">
            <v>0</v>
          </cell>
          <cell r="P160">
            <v>0</v>
          </cell>
          <cell r="Q160">
            <v>1</v>
          </cell>
          <cell r="R160" t="str">
            <v>衰退</v>
          </cell>
          <cell r="S160">
            <v>0</v>
          </cell>
          <cell r="T160">
            <v>0</v>
          </cell>
          <cell r="U160">
            <v>0</v>
          </cell>
          <cell r="V160">
            <v>1</v>
          </cell>
          <cell r="W160" t="str">
            <v>衰退</v>
          </cell>
          <cell r="X160">
            <v>0</v>
          </cell>
          <cell r="Y160">
            <v>0</v>
          </cell>
          <cell r="Z160">
            <v>0</v>
          </cell>
          <cell r="AA160">
            <v>1</v>
          </cell>
          <cell r="AB160" t="str">
            <v>衰退</v>
          </cell>
        </row>
        <row r="161">
          <cell r="A161">
            <v>41943</v>
          </cell>
          <cell r="B161">
            <v>7.7</v>
          </cell>
          <cell r="C161">
            <v>1.6011</v>
          </cell>
          <cell r="D161">
            <v>-2.2427999999999999</v>
          </cell>
          <cell r="E161">
            <v>6.353999999999993E-2</v>
          </cell>
          <cell r="F161">
            <v>0</v>
          </cell>
          <cell r="G161">
            <v>1</v>
          </cell>
          <cell r="H161">
            <v>0</v>
          </cell>
          <cell r="I161">
            <v>1</v>
          </cell>
          <cell r="J161">
            <v>0</v>
          </cell>
          <cell r="K161">
            <v>1</v>
          </cell>
          <cell r="L161">
            <v>0</v>
          </cell>
          <cell r="M161">
            <v>1</v>
          </cell>
          <cell r="N161">
            <v>0</v>
          </cell>
          <cell r="O161">
            <v>0</v>
          </cell>
          <cell r="P161">
            <v>0</v>
          </cell>
          <cell r="Q161">
            <v>1</v>
          </cell>
          <cell r="R161" t="str">
            <v>衰退</v>
          </cell>
          <cell r="S161">
            <v>0</v>
          </cell>
          <cell r="T161">
            <v>0</v>
          </cell>
          <cell r="U161">
            <v>0</v>
          </cell>
          <cell r="V161">
            <v>1</v>
          </cell>
          <cell r="W161" t="str">
            <v>衰退</v>
          </cell>
          <cell r="X161">
            <v>0</v>
          </cell>
          <cell r="Y161">
            <v>0</v>
          </cell>
          <cell r="Z161">
            <v>0</v>
          </cell>
          <cell r="AA161">
            <v>1</v>
          </cell>
          <cell r="AB161" t="str">
            <v>衰退</v>
          </cell>
        </row>
        <row r="162">
          <cell r="A162">
            <v>41973</v>
          </cell>
          <cell r="B162">
            <v>7.2</v>
          </cell>
          <cell r="C162">
            <v>1.4393</v>
          </cell>
          <cell r="D162">
            <v>-2.6928000000000001</v>
          </cell>
          <cell r="E162">
            <v>-0.21354000000000006</v>
          </cell>
          <cell r="F162">
            <v>0</v>
          </cell>
          <cell r="G162">
            <v>1</v>
          </cell>
          <cell r="H162">
            <v>0</v>
          </cell>
          <cell r="I162">
            <v>1</v>
          </cell>
          <cell r="J162">
            <v>0</v>
          </cell>
          <cell r="K162">
            <v>1</v>
          </cell>
          <cell r="L162">
            <v>0</v>
          </cell>
          <cell r="M162">
            <v>1</v>
          </cell>
          <cell r="N162">
            <v>0</v>
          </cell>
          <cell r="O162">
            <v>0</v>
          </cell>
          <cell r="P162">
            <v>0</v>
          </cell>
          <cell r="Q162">
            <v>1</v>
          </cell>
          <cell r="R162" t="str">
            <v>衰退</v>
          </cell>
          <cell r="S162">
            <v>0</v>
          </cell>
          <cell r="T162">
            <v>0</v>
          </cell>
          <cell r="U162">
            <v>0</v>
          </cell>
          <cell r="V162">
            <v>1</v>
          </cell>
          <cell r="W162" t="str">
            <v>衰退</v>
          </cell>
          <cell r="X162">
            <v>0</v>
          </cell>
          <cell r="Y162">
            <v>0</v>
          </cell>
          <cell r="Z162">
            <v>0</v>
          </cell>
          <cell r="AA162">
            <v>1</v>
          </cell>
          <cell r="AB162" t="str">
            <v>衰退</v>
          </cell>
        </row>
        <row r="163">
          <cell r="A163">
            <v>42004</v>
          </cell>
          <cell r="B163">
            <v>7.9</v>
          </cell>
          <cell r="C163">
            <v>1.5056</v>
          </cell>
          <cell r="D163">
            <v>-3.3151999999999999</v>
          </cell>
          <cell r="E163">
            <v>-0.42272000000000021</v>
          </cell>
          <cell r="F163">
            <v>0</v>
          </cell>
          <cell r="G163">
            <v>1</v>
          </cell>
          <cell r="H163">
            <v>0</v>
          </cell>
          <cell r="I163">
            <v>1</v>
          </cell>
          <cell r="J163">
            <v>0</v>
          </cell>
          <cell r="K163">
            <v>1</v>
          </cell>
          <cell r="L163">
            <v>0</v>
          </cell>
          <cell r="M163">
            <v>1</v>
          </cell>
          <cell r="N163">
            <v>0</v>
          </cell>
          <cell r="O163">
            <v>0</v>
          </cell>
          <cell r="P163">
            <v>0</v>
          </cell>
          <cell r="Q163">
            <v>1</v>
          </cell>
          <cell r="R163" t="str">
            <v>衰退</v>
          </cell>
          <cell r="S163">
            <v>0</v>
          </cell>
          <cell r="T163">
            <v>0</v>
          </cell>
          <cell r="U163">
            <v>0</v>
          </cell>
          <cell r="V163">
            <v>1</v>
          </cell>
          <cell r="W163" t="str">
            <v>衰退</v>
          </cell>
          <cell r="X163">
            <v>0</v>
          </cell>
          <cell r="Y163">
            <v>0</v>
          </cell>
          <cell r="Z163">
            <v>0</v>
          </cell>
          <cell r="AA163">
            <v>1</v>
          </cell>
          <cell r="AB163" t="str">
            <v>衰退</v>
          </cell>
        </row>
        <row r="164">
          <cell r="A164">
            <v>42063</v>
          </cell>
          <cell r="B164">
            <v>6.8</v>
          </cell>
          <cell r="C164">
            <v>1.0983000000000001</v>
          </cell>
          <cell r="D164">
            <v>-4.5586000000000002</v>
          </cell>
          <cell r="E164">
            <v>-1.1644600000000001</v>
          </cell>
          <cell r="F164">
            <v>0</v>
          </cell>
          <cell r="G164">
            <v>1</v>
          </cell>
          <cell r="H164">
            <v>0</v>
          </cell>
          <cell r="I164">
            <v>1</v>
          </cell>
          <cell r="J164">
            <v>0</v>
          </cell>
          <cell r="K164">
            <v>1</v>
          </cell>
          <cell r="L164">
            <v>0</v>
          </cell>
          <cell r="M164">
            <v>1</v>
          </cell>
          <cell r="N164">
            <v>0</v>
          </cell>
          <cell r="O164">
            <v>0</v>
          </cell>
          <cell r="P164">
            <v>0</v>
          </cell>
          <cell r="Q164">
            <v>1</v>
          </cell>
          <cell r="R164" t="str">
            <v>衰退</v>
          </cell>
          <cell r="S164">
            <v>0</v>
          </cell>
          <cell r="T164">
            <v>0</v>
          </cell>
          <cell r="U164">
            <v>0</v>
          </cell>
          <cell r="V164">
            <v>1</v>
          </cell>
          <cell r="W164" t="str">
            <v>衰退</v>
          </cell>
          <cell r="X164">
            <v>0</v>
          </cell>
          <cell r="Y164">
            <v>0</v>
          </cell>
          <cell r="Z164">
            <v>0</v>
          </cell>
          <cell r="AA164">
            <v>1</v>
          </cell>
          <cell r="AB164" t="str">
            <v>衰退</v>
          </cell>
        </row>
        <row r="165">
          <cell r="A165">
            <v>42094</v>
          </cell>
          <cell r="B165">
            <v>5.6</v>
          </cell>
          <cell r="C165">
            <v>1.3757999999999999</v>
          </cell>
          <cell r="D165">
            <v>-4.5602999999999998</v>
          </cell>
          <cell r="E165">
            <v>-0.99864000000000008</v>
          </cell>
          <cell r="F165">
            <v>0</v>
          </cell>
          <cell r="G165">
            <v>1</v>
          </cell>
          <cell r="H165">
            <v>1</v>
          </cell>
          <cell r="I165">
            <v>0</v>
          </cell>
          <cell r="J165">
            <v>0</v>
          </cell>
          <cell r="K165">
            <v>1</v>
          </cell>
          <cell r="L165">
            <v>0</v>
          </cell>
          <cell r="M165">
            <v>1</v>
          </cell>
          <cell r="N165">
            <v>0</v>
          </cell>
          <cell r="O165">
            <v>0</v>
          </cell>
          <cell r="P165">
            <v>1</v>
          </cell>
          <cell r="Q165">
            <v>0</v>
          </cell>
          <cell r="R165" t="str">
            <v>滞涨</v>
          </cell>
          <cell r="S165">
            <v>0</v>
          </cell>
          <cell r="T165">
            <v>0</v>
          </cell>
          <cell r="U165">
            <v>0</v>
          </cell>
          <cell r="V165">
            <v>1</v>
          </cell>
          <cell r="W165" t="str">
            <v>衰退</v>
          </cell>
          <cell r="X165">
            <v>0</v>
          </cell>
          <cell r="Y165">
            <v>0</v>
          </cell>
          <cell r="Z165">
            <v>0</v>
          </cell>
          <cell r="AA165">
            <v>1</v>
          </cell>
          <cell r="AB165" t="str">
            <v>衰退</v>
          </cell>
        </row>
        <row r="166">
          <cell r="A166">
            <v>42124</v>
          </cell>
          <cell r="B166">
            <v>5.9</v>
          </cell>
          <cell r="C166">
            <v>1.5091000000000001</v>
          </cell>
          <cell r="D166">
            <v>-4.5724999999999998</v>
          </cell>
          <cell r="E166">
            <v>-0.92353999999999992</v>
          </cell>
          <cell r="F166">
            <v>1</v>
          </cell>
          <cell r="G166">
            <v>0</v>
          </cell>
          <cell r="H166">
            <v>1</v>
          </cell>
          <cell r="I166">
            <v>0</v>
          </cell>
          <cell r="J166">
            <v>0</v>
          </cell>
          <cell r="K166">
            <v>1</v>
          </cell>
          <cell r="L166">
            <v>0</v>
          </cell>
          <cell r="M166">
            <v>1</v>
          </cell>
          <cell r="N166">
            <v>0</v>
          </cell>
          <cell r="O166">
            <v>1</v>
          </cell>
          <cell r="P166">
            <v>0</v>
          </cell>
          <cell r="Q166">
            <v>0</v>
          </cell>
          <cell r="R166" t="str">
            <v>过热</v>
          </cell>
          <cell r="S166">
            <v>1</v>
          </cell>
          <cell r="T166">
            <v>0</v>
          </cell>
          <cell r="U166">
            <v>0</v>
          </cell>
          <cell r="V166">
            <v>0</v>
          </cell>
          <cell r="W166" t="str">
            <v>复苏</v>
          </cell>
          <cell r="X166">
            <v>1</v>
          </cell>
          <cell r="Y166">
            <v>0</v>
          </cell>
          <cell r="Z166">
            <v>0</v>
          </cell>
          <cell r="AA166">
            <v>0</v>
          </cell>
          <cell r="AB166" t="str">
            <v>复苏</v>
          </cell>
        </row>
        <row r="167">
          <cell r="A167">
            <v>42155</v>
          </cell>
          <cell r="B167">
            <v>6.1</v>
          </cell>
          <cell r="C167">
            <v>1.2307999999999999</v>
          </cell>
          <cell r="D167">
            <v>-4.6070000000000002</v>
          </cell>
          <cell r="E167">
            <v>-1.1043200000000004</v>
          </cell>
          <cell r="F167">
            <v>1</v>
          </cell>
          <cell r="G167">
            <v>0</v>
          </cell>
          <cell r="H167">
            <v>1</v>
          </cell>
          <cell r="I167">
            <v>0</v>
          </cell>
          <cell r="J167">
            <v>0</v>
          </cell>
          <cell r="K167">
            <v>1</v>
          </cell>
          <cell r="L167">
            <v>0</v>
          </cell>
          <cell r="M167">
            <v>1</v>
          </cell>
          <cell r="N167">
            <v>0</v>
          </cell>
          <cell r="O167">
            <v>1</v>
          </cell>
          <cell r="P167">
            <v>0</v>
          </cell>
          <cell r="Q167">
            <v>0</v>
          </cell>
          <cell r="R167" t="str">
            <v>过热</v>
          </cell>
          <cell r="S167">
            <v>1</v>
          </cell>
          <cell r="T167">
            <v>0</v>
          </cell>
          <cell r="U167">
            <v>0</v>
          </cell>
          <cell r="V167">
            <v>0</v>
          </cell>
          <cell r="W167" t="str">
            <v>复苏</v>
          </cell>
          <cell r="X167">
            <v>1</v>
          </cell>
          <cell r="Y167">
            <v>0</v>
          </cell>
          <cell r="Z167">
            <v>0</v>
          </cell>
          <cell r="AA167">
            <v>0</v>
          </cell>
          <cell r="AB167" t="str">
            <v>复苏</v>
          </cell>
        </row>
        <row r="168">
          <cell r="A168">
            <v>42185</v>
          </cell>
          <cell r="B168">
            <v>6.8</v>
          </cell>
          <cell r="C168">
            <v>1.3909</v>
          </cell>
          <cell r="D168">
            <v>-4.8135000000000003</v>
          </cell>
          <cell r="E168">
            <v>-1.0908600000000002</v>
          </cell>
          <cell r="F168">
            <v>1</v>
          </cell>
          <cell r="G168">
            <v>0</v>
          </cell>
          <cell r="H168">
            <v>1</v>
          </cell>
          <cell r="I168">
            <v>0</v>
          </cell>
          <cell r="J168">
            <v>0</v>
          </cell>
          <cell r="K168">
            <v>1</v>
          </cell>
          <cell r="L168">
            <v>0</v>
          </cell>
          <cell r="M168">
            <v>1</v>
          </cell>
          <cell r="N168">
            <v>0</v>
          </cell>
          <cell r="O168">
            <v>1</v>
          </cell>
          <cell r="P168">
            <v>0</v>
          </cell>
          <cell r="Q168">
            <v>0</v>
          </cell>
          <cell r="R168" t="str">
            <v>过热</v>
          </cell>
          <cell r="S168">
            <v>1</v>
          </cell>
          <cell r="T168">
            <v>0</v>
          </cell>
          <cell r="U168">
            <v>0</v>
          </cell>
          <cell r="V168">
            <v>0</v>
          </cell>
          <cell r="W168" t="str">
            <v>复苏</v>
          </cell>
          <cell r="X168">
            <v>1</v>
          </cell>
          <cell r="Y168">
            <v>0</v>
          </cell>
          <cell r="Z168">
            <v>0</v>
          </cell>
          <cell r="AA168">
            <v>0</v>
          </cell>
          <cell r="AB168" t="str">
            <v>复苏</v>
          </cell>
        </row>
        <row r="169">
          <cell r="A169">
            <v>42216</v>
          </cell>
          <cell r="B169">
            <v>6</v>
          </cell>
          <cell r="C169">
            <v>1.6473</v>
          </cell>
          <cell r="D169">
            <v>-5.3692000000000002</v>
          </cell>
          <cell r="E169">
            <v>-1.1593000000000004</v>
          </cell>
          <cell r="F169">
            <v>0</v>
          </cell>
          <cell r="G169">
            <v>1</v>
          </cell>
          <cell r="H169">
            <v>1</v>
          </cell>
          <cell r="I169">
            <v>0</v>
          </cell>
          <cell r="J169">
            <v>0</v>
          </cell>
          <cell r="K169">
            <v>1</v>
          </cell>
          <cell r="L169">
            <v>0</v>
          </cell>
          <cell r="M169">
            <v>1</v>
          </cell>
          <cell r="N169">
            <v>0</v>
          </cell>
          <cell r="O169">
            <v>0</v>
          </cell>
          <cell r="P169">
            <v>1</v>
          </cell>
          <cell r="Q169">
            <v>0</v>
          </cell>
          <cell r="R169" t="str">
            <v>滞涨</v>
          </cell>
          <cell r="S169">
            <v>0</v>
          </cell>
          <cell r="T169">
            <v>0</v>
          </cell>
          <cell r="U169">
            <v>0</v>
          </cell>
          <cell r="V169">
            <v>1</v>
          </cell>
          <cell r="W169" t="str">
            <v>衰退</v>
          </cell>
          <cell r="X169">
            <v>0</v>
          </cell>
          <cell r="Y169">
            <v>0</v>
          </cell>
          <cell r="Z169">
            <v>0</v>
          </cell>
          <cell r="AA169">
            <v>1</v>
          </cell>
          <cell r="AB169" t="str">
            <v>衰退</v>
          </cell>
        </row>
        <row r="170">
          <cell r="A170">
            <v>42247</v>
          </cell>
          <cell r="B170">
            <v>6.1</v>
          </cell>
          <cell r="C170">
            <v>1.9554</v>
          </cell>
          <cell r="D170">
            <v>-5.9226999999999999</v>
          </cell>
          <cell r="E170">
            <v>-1.1958399999999998</v>
          </cell>
          <cell r="F170">
            <v>0</v>
          </cell>
          <cell r="G170">
            <v>1</v>
          </cell>
          <cell r="H170">
            <v>1</v>
          </cell>
          <cell r="I170">
            <v>0</v>
          </cell>
          <cell r="J170">
            <v>0</v>
          </cell>
          <cell r="K170">
            <v>1</v>
          </cell>
          <cell r="L170">
            <v>0</v>
          </cell>
          <cell r="M170">
            <v>1</v>
          </cell>
          <cell r="N170">
            <v>0</v>
          </cell>
          <cell r="O170">
            <v>0</v>
          </cell>
          <cell r="P170">
            <v>1</v>
          </cell>
          <cell r="Q170">
            <v>0</v>
          </cell>
          <cell r="R170" t="str">
            <v>滞涨</v>
          </cell>
          <cell r="S170">
            <v>0</v>
          </cell>
          <cell r="T170">
            <v>0</v>
          </cell>
          <cell r="U170">
            <v>0</v>
          </cell>
          <cell r="V170">
            <v>1</v>
          </cell>
          <cell r="W170" t="str">
            <v>衰退</v>
          </cell>
          <cell r="X170">
            <v>0</v>
          </cell>
          <cell r="Y170">
            <v>0</v>
          </cell>
          <cell r="Z170">
            <v>0</v>
          </cell>
          <cell r="AA170">
            <v>1</v>
          </cell>
          <cell r="AB170" t="str">
            <v>衰退</v>
          </cell>
        </row>
        <row r="171">
          <cell r="A171">
            <v>42277</v>
          </cell>
          <cell r="B171">
            <v>5.7</v>
          </cell>
          <cell r="C171">
            <v>1.5955999999999999</v>
          </cell>
          <cell r="D171">
            <v>-5.9450000000000003</v>
          </cell>
          <cell r="E171">
            <v>-1.4206400000000001</v>
          </cell>
          <cell r="F171">
            <v>0</v>
          </cell>
          <cell r="G171">
            <v>1</v>
          </cell>
          <cell r="H171">
            <v>1</v>
          </cell>
          <cell r="I171">
            <v>0</v>
          </cell>
          <cell r="J171">
            <v>1</v>
          </cell>
          <cell r="K171">
            <v>0</v>
          </cell>
          <cell r="L171">
            <v>0</v>
          </cell>
          <cell r="M171">
            <v>1</v>
          </cell>
          <cell r="N171">
            <v>0</v>
          </cell>
          <cell r="O171">
            <v>0</v>
          </cell>
          <cell r="P171">
            <v>1</v>
          </cell>
          <cell r="Q171">
            <v>0</v>
          </cell>
          <cell r="R171" t="str">
            <v>滞涨</v>
          </cell>
          <cell r="S171">
            <v>0</v>
          </cell>
          <cell r="T171">
            <v>0</v>
          </cell>
          <cell r="U171">
            <v>1</v>
          </cell>
          <cell r="V171">
            <v>0</v>
          </cell>
          <cell r="W171" t="str">
            <v>滞涨</v>
          </cell>
          <cell r="X171">
            <v>0</v>
          </cell>
          <cell r="Y171">
            <v>0</v>
          </cell>
          <cell r="Z171">
            <v>0</v>
          </cell>
          <cell r="AA171">
            <v>1</v>
          </cell>
          <cell r="AB171" t="str">
            <v>衰退</v>
          </cell>
        </row>
        <row r="172">
          <cell r="A172">
            <v>42308</v>
          </cell>
          <cell r="B172">
            <v>5.6</v>
          </cell>
          <cell r="C172">
            <v>1.2674000000000001</v>
          </cell>
          <cell r="D172">
            <v>-5.9</v>
          </cell>
          <cell r="E172">
            <v>-1.5995600000000003</v>
          </cell>
          <cell r="F172">
            <v>0</v>
          </cell>
          <cell r="G172">
            <v>1</v>
          </cell>
          <cell r="H172">
            <v>1</v>
          </cell>
          <cell r="I172">
            <v>0</v>
          </cell>
          <cell r="J172">
            <v>1</v>
          </cell>
          <cell r="K172">
            <v>0</v>
          </cell>
          <cell r="L172">
            <v>0</v>
          </cell>
          <cell r="M172">
            <v>1</v>
          </cell>
          <cell r="N172">
            <v>0</v>
          </cell>
          <cell r="O172">
            <v>0</v>
          </cell>
          <cell r="P172">
            <v>1</v>
          </cell>
          <cell r="Q172">
            <v>0</v>
          </cell>
          <cell r="R172" t="str">
            <v>滞涨</v>
          </cell>
          <cell r="S172">
            <v>0</v>
          </cell>
          <cell r="T172">
            <v>0</v>
          </cell>
          <cell r="U172">
            <v>1</v>
          </cell>
          <cell r="V172">
            <v>0</v>
          </cell>
          <cell r="W172" t="str">
            <v>滞涨</v>
          </cell>
          <cell r="X172">
            <v>0</v>
          </cell>
          <cell r="Y172">
            <v>0</v>
          </cell>
          <cell r="Z172">
            <v>0</v>
          </cell>
          <cell r="AA172">
            <v>1</v>
          </cell>
          <cell r="AB172" t="str">
            <v>衰退</v>
          </cell>
        </row>
        <row r="173">
          <cell r="A173">
            <v>42338</v>
          </cell>
          <cell r="B173">
            <v>6.2</v>
          </cell>
          <cell r="C173">
            <v>1.4856</v>
          </cell>
          <cell r="D173">
            <v>-5.9</v>
          </cell>
          <cell r="E173">
            <v>-1.4686400000000002</v>
          </cell>
          <cell r="F173">
            <v>0</v>
          </cell>
          <cell r="G173">
            <v>1</v>
          </cell>
          <cell r="H173">
            <v>1</v>
          </cell>
          <cell r="I173">
            <v>0</v>
          </cell>
          <cell r="J173">
            <v>1</v>
          </cell>
          <cell r="K173">
            <v>0</v>
          </cell>
          <cell r="L173">
            <v>1</v>
          </cell>
          <cell r="M173">
            <v>0</v>
          </cell>
          <cell r="N173">
            <v>0</v>
          </cell>
          <cell r="O173">
            <v>0</v>
          </cell>
          <cell r="P173">
            <v>1</v>
          </cell>
          <cell r="Q173">
            <v>0</v>
          </cell>
          <cell r="R173" t="str">
            <v>滞涨</v>
          </cell>
          <cell r="S173">
            <v>0</v>
          </cell>
          <cell r="T173">
            <v>0</v>
          </cell>
          <cell r="U173">
            <v>1</v>
          </cell>
          <cell r="V173">
            <v>0</v>
          </cell>
          <cell r="W173" t="str">
            <v>滞涨</v>
          </cell>
          <cell r="X173">
            <v>0</v>
          </cell>
          <cell r="Y173">
            <v>0</v>
          </cell>
          <cell r="Z173">
            <v>1</v>
          </cell>
          <cell r="AA173">
            <v>0</v>
          </cell>
          <cell r="AB173" t="str">
            <v>滞涨</v>
          </cell>
        </row>
        <row r="174">
          <cell r="A174">
            <v>42369</v>
          </cell>
          <cell r="B174">
            <v>5.9</v>
          </cell>
          <cell r="C174">
            <v>1.6</v>
          </cell>
          <cell r="D174">
            <v>-5.9</v>
          </cell>
          <cell r="E174">
            <v>-1.4000000000000004</v>
          </cell>
          <cell r="F174">
            <v>0</v>
          </cell>
          <cell r="G174">
            <v>1</v>
          </cell>
          <cell r="H174">
            <v>1</v>
          </cell>
          <cell r="I174">
            <v>0</v>
          </cell>
          <cell r="J174">
            <v>1</v>
          </cell>
          <cell r="K174">
            <v>0</v>
          </cell>
          <cell r="L174">
            <v>1</v>
          </cell>
          <cell r="M174">
            <v>0</v>
          </cell>
          <cell r="N174">
            <v>0</v>
          </cell>
          <cell r="O174">
            <v>0</v>
          </cell>
          <cell r="P174">
            <v>1</v>
          </cell>
          <cell r="Q174">
            <v>0</v>
          </cell>
          <cell r="R174" t="str">
            <v>滞涨</v>
          </cell>
          <cell r="S174">
            <v>0</v>
          </cell>
          <cell r="T174">
            <v>0</v>
          </cell>
          <cell r="U174">
            <v>1</v>
          </cell>
          <cell r="V174">
            <v>0</v>
          </cell>
          <cell r="W174" t="str">
            <v>滞涨</v>
          </cell>
          <cell r="X174">
            <v>0</v>
          </cell>
          <cell r="Y174">
            <v>0</v>
          </cell>
          <cell r="Z174">
            <v>1</v>
          </cell>
          <cell r="AA174">
            <v>0</v>
          </cell>
          <cell r="AB174" t="str">
            <v>滞涨</v>
          </cell>
        </row>
        <row r="175">
          <cell r="A175">
            <v>42429</v>
          </cell>
          <cell r="B175">
            <v>5.4</v>
          </cell>
          <cell r="C175">
            <v>2</v>
          </cell>
          <cell r="D175">
            <v>-5.0999999999999996</v>
          </cell>
          <cell r="E175">
            <v>-0.84000000000000008</v>
          </cell>
          <cell r="F175">
            <v>0</v>
          </cell>
          <cell r="G175">
            <v>1</v>
          </cell>
          <cell r="H175">
            <v>1</v>
          </cell>
          <cell r="I175">
            <v>0</v>
          </cell>
          <cell r="J175">
            <v>1</v>
          </cell>
          <cell r="K175">
            <v>0</v>
          </cell>
          <cell r="L175">
            <v>1</v>
          </cell>
          <cell r="M175">
            <v>0</v>
          </cell>
          <cell r="N175">
            <v>0</v>
          </cell>
          <cell r="O175">
            <v>0</v>
          </cell>
          <cell r="P175">
            <v>1</v>
          </cell>
          <cell r="Q175">
            <v>0</v>
          </cell>
          <cell r="R175" t="str">
            <v>滞涨</v>
          </cell>
          <cell r="S175">
            <v>0</v>
          </cell>
          <cell r="T175">
            <v>0</v>
          </cell>
          <cell r="U175">
            <v>1</v>
          </cell>
          <cell r="V175">
            <v>0</v>
          </cell>
          <cell r="W175" t="str">
            <v>滞涨</v>
          </cell>
          <cell r="X175">
            <v>0</v>
          </cell>
          <cell r="Y175">
            <v>0</v>
          </cell>
          <cell r="Z175">
            <v>1</v>
          </cell>
          <cell r="AA175">
            <v>0</v>
          </cell>
          <cell r="AB175" t="str">
            <v>滞涨</v>
          </cell>
        </row>
        <row r="176">
          <cell r="A176">
            <v>42460</v>
          </cell>
          <cell r="B176">
            <v>6.8</v>
          </cell>
          <cell r="C176">
            <v>2.3013910000000002</v>
          </cell>
          <cell r="D176">
            <v>-4.3</v>
          </cell>
          <cell r="E176">
            <v>-0.33916539999999995</v>
          </cell>
          <cell r="F176">
            <v>1</v>
          </cell>
          <cell r="G176">
            <v>0</v>
          </cell>
          <cell r="H176">
            <v>1</v>
          </cell>
          <cell r="I176">
            <v>0</v>
          </cell>
          <cell r="J176">
            <v>1</v>
          </cell>
          <cell r="K176">
            <v>0</v>
          </cell>
          <cell r="L176">
            <v>1</v>
          </cell>
          <cell r="M176">
            <v>0</v>
          </cell>
          <cell r="N176">
            <v>0</v>
          </cell>
          <cell r="O176">
            <v>1</v>
          </cell>
          <cell r="P176">
            <v>0</v>
          </cell>
          <cell r="Q176">
            <v>0</v>
          </cell>
          <cell r="R176" t="str">
            <v>过热</v>
          </cell>
          <cell r="S176">
            <v>0</v>
          </cell>
          <cell r="T176">
            <v>1</v>
          </cell>
          <cell r="U176">
            <v>0</v>
          </cell>
          <cell r="V176">
            <v>0</v>
          </cell>
          <cell r="W176" t="str">
            <v>过热</v>
          </cell>
          <cell r="X176">
            <v>0</v>
          </cell>
          <cell r="Y176">
            <v>1</v>
          </cell>
          <cell r="Z176">
            <v>0</v>
          </cell>
          <cell r="AA176">
            <v>0</v>
          </cell>
          <cell r="AB176" t="str">
            <v>过热</v>
          </cell>
        </row>
        <row r="177">
          <cell r="A177">
            <v>42490</v>
          </cell>
          <cell r="B177">
            <v>6</v>
          </cell>
          <cell r="C177">
            <v>2.3278650000000001</v>
          </cell>
          <cell r="D177">
            <v>-3.4</v>
          </cell>
          <cell r="E177">
            <v>3.6718999999999946E-2</v>
          </cell>
          <cell r="F177">
            <v>1</v>
          </cell>
          <cell r="G177">
            <v>0</v>
          </cell>
          <cell r="H177">
            <v>0</v>
          </cell>
          <cell r="I177">
            <v>1</v>
          </cell>
          <cell r="J177">
            <v>1</v>
          </cell>
          <cell r="K177">
            <v>0</v>
          </cell>
          <cell r="L177">
            <v>1</v>
          </cell>
          <cell r="M177">
            <v>0</v>
          </cell>
          <cell r="N177">
            <v>1</v>
          </cell>
          <cell r="O177">
            <v>0</v>
          </cell>
          <cell r="P177">
            <v>0</v>
          </cell>
          <cell r="Q177">
            <v>0</v>
          </cell>
          <cell r="R177" t="str">
            <v>复苏</v>
          </cell>
          <cell r="S177">
            <v>0</v>
          </cell>
          <cell r="T177">
            <v>1</v>
          </cell>
          <cell r="U177">
            <v>0</v>
          </cell>
          <cell r="V177">
            <v>0</v>
          </cell>
          <cell r="W177" t="str">
            <v>过热</v>
          </cell>
          <cell r="X177">
            <v>0</v>
          </cell>
          <cell r="Y177">
            <v>1</v>
          </cell>
          <cell r="Z177">
            <v>0</v>
          </cell>
          <cell r="AA177">
            <v>0</v>
          </cell>
          <cell r="AB177" t="str">
            <v>过热</v>
          </cell>
        </row>
        <row r="178">
          <cell r="A178">
            <v>42521</v>
          </cell>
          <cell r="B178">
            <v>6</v>
          </cell>
          <cell r="C178">
            <v>2.038999</v>
          </cell>
          <cell r="D178">
            <v>-2.8</v>
          </cell>
          <cell r="E178">
            <v>0.10339940000000003</v>
          </cell>
          <cell r="F178">
            <v>1</v>
          </cell>
          <cell r="G178">
            <v>0</v>
          </cell>
          <cell r="H178">
            <v>0</v>
          </cell>
          <cell r="I178">
            <v>1</v>
          </cell>
          <cell r="J178">
            <v>1</v>
          </cell>
          <cell r="K178">
            <v>0</v>
          </cell>
          <cell r="L178">
            <v>1</v>
          </cell>
          <cell r="M178">
            <v>0</v>
          </cell>
          <cell r="N178">
            <v>1</v>
          </cell>
          <cell r="O178">
            <v>0</v>
          </cell>
          <cell r="P178">
            <v>0</v>
          </cell>
          <cell r="Q178">
            <v>0</v>
          </cell>
          <cell r="R178" t="str">
            <v>复苏</v>
          </cell>
          <cell r="S178">
            <v>0</v>
          </cell>
          <cell r="T178">
            <v>1</v>
          </cell>
          <cell r="U178">
            <v>0</v>
          </cell>
          <cell r="V178">
            <v>0</v>
          </cell>
          <cell r="W178" t="str">
            <v>过热</v>
          </cell>
          <cell r="X178">
            <v>0</v>
          </cell>
          <cell r="Y178">
            <v>1</v>
          </cell>
          <cell r="Z178">
            <v>0</v>
          </cell>
          <cell r="AA178">
            <v>0</v>
          </cell>
          <cell r="AB178" t="str">
            <v>过热</v>
          </cell>
        </row>
        <row r="179">
          <cell r="A179">
            <v>42551</v>
          </cell>
          <cell r="B179">
            <v>6.2</v>
          </cell>
          <cell r="C179">
            <v>1.8795029999999999</v>
          </cell>
          <cell r="D179">
            <v>-2.6</v>
          </cell>
          <cell r="E179">
            <v>8.770179999999983E-2</v>
          </cell>
          <cell r="F179">
            <v>1</v>
          </cell>
          <cell r="G179">
            <v>0</v>
          </cell>
          <cell r="H179">
            <v>0</v>
          </cell>
          <cell r="I179">
            <v>1</v>
          </cell>
          <cell r="J179">
            <v>1</v>
          </cell>
          <cell r="K179">
            <v>0</v>
          </cell>
          <cell r="L179">
            <v>1</v>
          </cell>
          <cell r="M179">
            <v>0</v>
          </cell>
          <cell r="N179">
            <v>1</v>
          </cell>
          <cell r="O179">
            <v>0</v>
          </cell>
          <cell r="P179">
            <v>0</v>
          </cell>
          <cell r="Q179">
            <v>0</v>
          </cell>
          <cell r="R179" t="str">
            <v>复苏</v>
          </cell>
          <cell r="S179">
            <v>0</v>
          </cell>
          <cell r="T179">
            <v>1</v>
          </cell>
          <cell r="U179">
            <v>0</v>
          </cell>
          <cell r="V179">
            <v>0</v>
          </cell>
          <cell r="W179" t="str">
            <v>过热</v>
          </cell>
          <cell r="X179">
            <v>0</v>
          </cell>
          <cell r="Y179">
            <v>1</v>
          </cell>
          <cell r="Z179">
            <v>0</v>
          </cell>
          <cell r="AA179">
            <v>0</v>
          </cell>
          <cell r="AB179" t="str">
            <v>过热</v>
          </cell>
        </row>
        <row r="180">
          <cell r="A180">
            <v>42582</v>
          </cell>
          <cell r="B180">
            <v>6</v>
          </cell>
          <cell r="C180">
            <v>1.7651129999999999</v>
          </cell>
          <cell r="D180">
            <v>-1.7</v>
          </cell>
          <cell r="E180">
            <v>0.37906779999999995</v>
          </cell>
          <cell r="F180">
            <v>1</v>
          </cell>
          <cell r="G180">
            <v>0</v>
          </cell>
          <cell r="H180">
            <v>0</v>
          </cell>
          <cell r="I180">
            <v>1</v>
          </cell>
          <cell r="J180">
            <v>1</v>
          </cell>
          <cell r="K180">
            <v>0</v>
          </cell>
          <cell r="L180">
            <v>1</v>
          </cell>
          <cell r="M180">
            <v>0</v>
          </cell>
          <cell r="N180">
            <v>1</v>
          </cell>
          <cell r="O180">
            <v>0</v>
          </cell>
          <cell r="P180">
            <v>0</v>
          </cell>
          <cell r="Q180">
            <v>0</v>
          </cell>
          <cell r="R180" t="str">
            <v>复苏</v>
          </cell>
          <cell r="S180">
            <v>0</v>
          </cell>
          <cell r="T180">
            <v>1</v>
          </cell>
          <cell r="U180">
            <v>0</v>
          </cell>
          <cell r="V180">
            <v>0</v>
          </cell>
          <cell r="W180" t="str">
            <v>过热</v>
          </cell>
          <cell r="X180">
            <v>0</v>
          </cell>
          <cell r="Y180">
            <v>1</v>
          </cell>
          <cell r="Z180">
            <v>0</v>
          </cell>
          <cell r="AA180">
            <v>0</v>
          </cell>
          <cell r="AB180" t="str">
            <v>过热</v>
          </cell>
        </row>
        <row r="181">
          <cell r="A181">
            <v>42613</v>
          </cell>
          <cell r="B181">
            <v>6.3</v>
          </cell>
          <cell r="C181">
            <v>1.3397730000000001</v>
          </cell>
          <cell r="D181">
            <v>-0.8</v>
          </cell>
          <cell r="E181">
            <v>0.48386379999999996</v>
          </cell>
          <cell r="F181">
            <v>1</v>
          </cell>
          <cell r="G181">
            <v>0</v>
          </cell>
          <cell r="H181">
            <v>0</v>
          </cell>
          <cell r="I181">
            <v>1</v>
          </cell>
          <cell r="J181">
            <v>1</v>
          </cell>
          <cell r="K181">
            <v>0</v>
          </cell>
          <cell r="L181">
            <v>1</v>
          </cell>
          <cell r="M181">
            <v>0</v>
          </cell>
          <cell r="N181">
            <v>1</v>
          </cell>
          <cell r="O181">
            <v>0</v>
          </cell>
          <cell r="P181">
            <v>0</v>
          </cell>
          <cell r="Q181">
            <v>0</v>
          </cell>
          <cell r="R181" t="str">
            <v>复苏</v>
          </cell>
          <cell r="S181">
            <v>0</v>
          </cell>
          <cell r="T181">
            <v>1</v>
          </cell>
          <cell r="U181">
            <v>0</v>
          </cell>
          <cell r="V181">
            <v>0</v>
          </cell>
          <cell r="W181" t="str">
            <v>过热</v>
          </cell>
          <cell r="X181">
            <v>0</v>
          </cell>
          <cell r="Y181">
            <v>1</v>
          </cell>
          <cell r="Z181">
            <v>0</v>
          </cell>
          <cell r="AA181">
            <v>0</v>
          </cell>
          <cell r="AB181" t="str">
            <v>过热</v>
          </cell>
        </row>
        <row r="182">
          <cell r="A182">
            <v>42643</v>
          </cell>
          <cell r="B182">
            <v>6.1</v>
          </cell>
          <cell r="C182">
            <v>1.920226</v>
          </cell>
          <cell r="D182">
            <v>0.1</v>
          </cell>
          <cell r="E182">
            <v>1.1921356000000001</v>
          </cell>
          <cell r="F182">
            <v>1</v>
          </cell>
          <cell r="G182">
            <v>0</v>
          </cell>
          <cell r="H182">
            <v>1</v>
          </cell>
          <cell r="I182">
            <v>0</v>
          </cell>
          <cell r="J182">
            <v>1</v>
          </cell>
          <cell r="K182">
            <v>0</v>
          </cell>
          <cell r="L182">
            <v>1</v>
          </cell>
          <cell r="M182">
            <v>0</v>
          </cell>
          <cell r="N182">
            <v>0</v>
          </cell>
          <cell r="O182">
            <v>1</v>
          </cell>
          <cell r="P182">
            <v>0</v>
          </cell>
          <cell r="Q182">
            <v>0</v>
          </cell>
          <cell r="R182" t="str">
            <v>过热</v>
          </cell>
          <cell r="S182">
            <v>0</v>
          </cell>
          <cell r="T182">
            <v>1</v>
          </cell>
          <cell r="U182">
            <v>0</v>
          </cell>
          <cell r="V182">
            <v>0</v>
          </cell>
          <cell r="W182" t="str">
            <v>过热</v>
          </cell>
          <cell r="X182">
            <v>0</v>
          </cell>
          <cell r="Y182">
            <v>1</v>
          </cell>
          <cell r="Z182">
            <v>0</v>
          </cell>
          <cell r="AA182">
            <v>0</v>
          </cell>
          <cell r="AB182" t="str">
            <v>过热</v>
          </cell>
        </row>
        <row r="183">
          <cell r="A183">
            <v>42674</v>
          </cell>
          <cell r="B183">
            <v>6.1</v>
          </cell>
          <cell r="C183">
            <v>2.0959469999999998</v>
          </cell>
          <cell r="D183">
            <v>1.2</v>
          </cell>
          <cell r="E183">
            <v>1.7375681999999999</v>
          </cell>
          <cell r="F183">
            <v>1</v>
          </cell>
          <cell r="G183">
            <v>0</v>
          </cell>
          <cell r="H183">
            <v>1</v>
          </cell>
          <cell r="I183">
            <v>0</v>
          </cell>
          <cell r="J183">
            <v>1</v>
          </cell>
          <cell r="K183">
            <v>0</v>
          </cell>
          <cell r="L183">
            <v>1</v>
          </cell>
          <cell r="M183">
            <v>0</v>
          </cell>
          <cell r="N183">
            <v>0</v>
          </cell>
          <cell r="O183">
            <v>1</v>
          </cell>
          <cell r="P183">
            <v>0</v>
          </cell>
          <cell r="Q183">
            <v>0</v>
          </cell>
          <cell r="R183" t="str">
            <v>过热</v>
          </cell>
          <cell r="S183">
            <v>0</v>
          </cell>
          <cell r="T183">
            <v>1</v>
          </cell>
          <cell r="U183">
            <v>0</v>
          </cell>
          <cell r="V183">
            <v>0</v>
          </cell>
          <cell r="W183" t="str">
            <v>过热</v>
          </cell>
          <cell r="X183">
            <v>0</v>
          </cell>
          <cell r="Y183">
            <v>1</v>
          </cell>
          <cell r="Z183">
            <v>0</v>
          </cell>
          <cell r="AA183">
            <v>0</v>
          </cell>
          <cell r="AB183" t="str">
            <v>过热</v>
          </cell>
        </row>
        <row r="184">
          <cell r="A184">
            <v>42704</v>
          </cell>
          <cell r="B184">
            <v>6.2</v>
          </cell>
          <cell r="C184">
            <v>2.2522579999999999</v>
          </cell>
          <cell r="D184">
            <v>3.3</v>
          </cell>
          <cell r="E184">
            <v>2.6713548</v>
          </cell>
          <cell r="F184">
            <v>1</v>
          </cell>
          <cell r="G184">
            <v>0</v>
          </cell>
          <cell r="H184">
            <v>1</v>
          </cell>
          <cell r="I184">
            <v>0</v>
          </cell>
          <cell r="J184">
            <v>1</v>
          </cell>
          <cell r="K184">
            <v>0</v>
          </cell>
          <cell r="L184">
            <v>1</v>
          </cell>
          <cell r="M184">
            <v>0</v>
          </cell>
          <cell r="N184">
            <v>0</v>
          </cell>
          <cell r="O184">
            <v>1</v>
          </cell>
          <cell r="P184">
            <v>0</v>
          </cell>
          <cell r="Q184">
            <v>0</v>
          </cell>
          <cell r="R184" t="str">
            <v>过热</v>
          </cell>
          <cell r="S184">
            <v>0</v>
          </cell>
          <cell r="T184">
            <v>1</v>
          </cell>
          <cell r="U184">
            <v>0</v>
          </cell>
          <cell r="V184">
            <v>0</v>
          </cell>
          <cell r="W184" t="str">
            <v>过热</v>
          </cell>
          <cell r="X184">
            <v>0</v>
          </cell>
          <cell r="Y184">
            <v>1</v>
          </cell>
          <cell r="Z184">
            <v>0</v>
          </cell>
          <cell r="AA184">
            <v>0</v>
          </cell>
          <cell r="AB184" t="str">
            <v>过热</v>
          </cell>
        </row>
        <row r="185">
          <cell r="A185">
            <v>42735</v>
          </cell>
          <cell r="B185">
            <v>6</v>
          </cell>
          <cell r="C185">
            <v>2.0765449999999999</v>
          </cell>
          <cell r="D185">
            <v>5.5</v>
          </cell>
          <cell r="E185">
            <v>3.4459270000000002</v>
          </cell>
          <cell r="F185">
            <v>1</v>
          </cell>
          <cell r="G185">
            <v>0</v>
          </cell>
          <cell r="H185">
            <v>0</v>
          </cell>
          <cell r="I185">
            <v>1</v>
          </cell>
          <cell r="J185">
            <v>1</v>
          </cell>
          <cell r="K185">
            <v>0</v>
          </cell>
          <cell r="L185">
            <v>1</v>
          </cell>
          <cell r="M185">
            <v>0</v>
          </cell>
          <cell r="N185">
            <v>1</v>
          </cell>
          <cell r="O185">
            <v>0</v>
          </cell>
          <cell r="P185">
            <v>0</v>
          </cell>
          <cell r="Q185">
            <v>0</v>
          </cell>
          <cell r="R185" t="str">
            <v>复苏</v>
          </cell>
          <cell r="S185">
            <v>0</v>
          </cell>
          <cell r="T185">
            <v>1</v>
          </cell>
          <cell r="U185">
            <v>0</v>
          </cell>
          <cell r="V185">
            <v>0</v>
          </cell>
          <cell r="W185" t="str">
            <v>过热</v>
          </cell>
          <cell r="X185">
            <v>0</v>
          </cell>
          <cell r="Y185">
            <v>1</v>
          </cell>
          <cell r="Z185">
            <v>0</v>
          </cell>
          <cell r="AA185">
            <v>0</v>
          </cell>
          <cell r="AB185" t="str">
            <v>过热</v>
          </cell>
        </row>
        <row r="186">
          <cell r="A186">
            <v>42794</v>
          </cell>
          <cell r="B186">
            <v>6.3</v>
          </cell>
          <cell r="C186">
            <v>1.6688000000000001</v>
          </cell>
          <cell r="D186">
            <v>7.3</v>
          </cell>
          <cell r="E186">
            <v>3.9212799999999999</v>
          </cell>
          <cell r="F186">
            <v>1</v>
          </cell>
          <cell r="G186">
            <v>0</v>
          </cell>
          <cell r="H186">
            <v>0</v>
          </cell>
          <cell r="I186">
            <v>1</v>
          </cell>
          <cell r="J186">
            <v>1</v>
          </cell>
          <cell r="K186">
            <v>0</v>
          </cell>
          <cell r="L186">
            <v>1</v>
          </cell>
          <cell r="M186">
            <v>0</v>
          </cell>
          <cell r="N186">
            <v>1</v>
          </cell>
          <cell r="O186">
            <v>0</v>
          </cell>
          <cell r="P186">
            <v>0</v>
          </cell>
          <cell r="Q186">
            <v>0</v>
          </cell>
          <cell r="R186" t="str">
            <v>复苏</v>
          </cell>
          <cell r="S186">
            <v>0</v>
          </cell>
          <cell r="T186">
            <v>1</v>
          </cell>
          <cell r="U186">
            <v>0</v>
          </cell>
          <cell r="V186">
            <v>0</v>
          </cell>
          <cell r="W186" t="str">
            <v>过热</v>
          </cell>
          <cell r="X186">
            <v>0</v>
          </cell>
          <cell r="Y186">
            <v>1</v>
          </cell>
          <cell r="Z186">
            <v>0</v>
          </cell>
          <cell r="AA186">
            <v>0</v>
          </cell>
          <cell r="AB186" t="str">
            <v>过热</v>
          </cell>
        </row>
        <row r="187">
          <cell r="A187">
            <v>42825</v>
          </cell>
          <cell r="B187">
            <v>7.6</v>
          </cell>
          <cell r="C187">
            <v>0.9</v>
          </cell>
          <cell r="D187">
            <v>7.6</v>
          </cell>
          <cell r="E187">
            <v>3.58</v>
          </cell>
          <cell r="F187">
            <v>1</v>
          </cell>
          <cell r="G187">
            <v>0</v>
          </cell>
          <cell r="H187">
            <v>0</v>
          </cell>
          <cell r="I187">
            <v>1</v>
          </cell>
          <cell r="J187">
            <v>1</v>
          </cell>
          <cell r="K187">
            <v>0</v>
          </cell>
          <cell r="L187">
            <v>0</v>
          </cell>
          <cell r="M187">
            <v>1</v>
          </cell>
          <cell r="N187">
            <v>1</v>
          </cell>
          <cell r="O187">
            <v>0</v>
          </cell>
          <cell r="P187">
            <v>0</v>
          </cell>
          <cell r="Q187">
            <v>0</v>
          </cell>
          <cell r="R187" t="str">
            <v>复苏</v>
          </cell>
          <cell r="S187">
            <v>0</v>
          </cell>
          <cell r="T187">
            <v>1</v>
          </cell>
          <cell r="U187">
            <v>0</v>
          </cell>
          <cell r="V187">
            <v>0</v>
          </cell>
          <cell r="W187" t="str">
            <v>过热</v>
          </cell>
          <cell r="X187">
            <v>1</v>
          </cell>
          <cell r="Y187">
            <v>0</v>
          </cell>
          <cell r="Z187">
            <v>0</v>
          </cell>
          <cell r="AA187">
            <v>0</v>
          </cell>
          <cell r="AB187" t="str">
            <v>复苏</v>
          </cell>
        </row>
        <row r="188">
          <cell r="A188">
            <v>42855</v>
          </cell>
          <cell r="B188">
            <v>6.5</v>
          </cell>
          <cell r="C188">
            <v>1.2</v>
          </cell>
          <cell r="D188">
            <v>6.4</v>
          </cell>
          <cell r="E188">
            <v>3.2800000000000002</v>
          </cell>
          <cell r="F188">
            <v>0</v>
          </cell>
          <cell r="G188">
            <v>1</v>
          </cell>
          <cell r="H188">
            <v>1</v>
          </cell>
          <cell r="I188">
            <v>0</v>
          </cell>
          <cell r="J188">
            <v>0</v>
          </cell>
          <cell r="K188">
            <v>1</v>
          </cell>
          <cell r="L188">
            <v>0</v>
          </cell>
          <cell r="M188">
            <v>1</v>
          </cell>
          <cell r="N188">
            <v>0</v>
          </cell>
          <cell r="O188">
            <v>0</v>
          </cell>
          <cell r="P188">
            <v>1</v>
          </cell>
          <cell r="Q188">
            <v>0</v>
          </cell>
          <cell r="R188" t="str">
            <v>滞涨</v>
          </cell>
          <cell r="S188">
            <v>0</v>
          </cell>
          <cell r="T188">
            <v>0</v>
          </cell>
          <cell r="U188">
            <v>0</v>
          </cell>
          <cell r="V188">
            <v>1</v>
          </cell>
          <cell r="W188" t="str">
            <v>衰退</v>
          </cell>
          <cell r="X188">
            <v>0</v>
          </cell>
          <cell r="Y188">
            <v>0</v>
          </cell>
          <cell r="Z188">
            <v>0</v>
          </cell>
          <cell r="AA188">
            <v>1</v>
          </cell>
          <cell r="AB188" t="str">
            <v>衰退</v>
          </cell>
        </row>
        <row r="189">
          <cell r="A189">
            <v>42886</v>
          </cell>
          <cell r="B189">
            <v>6.5</v>
          </cell>
          <cell r="C189">
            <v>1.5</v>
          </cell>
          <cell r="D189">
            <v>5.5</v>
          </cell>
          <cell r="E189">
            <v>3.1</v>
          </cell>
          <cell r="F189">
            <v>0</v>
          </cell>
          <cell r="G189">
            <v>1</v>
          </cell>
          <cell r="H189">
            <v>1</v>
          </cell>
          <cell r="I189">
            <v>0</v>
          </cell>
          <cell r="J189">
            <v>0</v>
          </cell>
          <cell r="K189">
            <v>1</v>
          </cell>
          <cell r="L189">
            <v>0</v>
          </cell>
          <cell r="M189">
            <v>1</v>
          </cell>
          <cell r="N189">
            <v>0</v>
          </cell>
          <cell r="O189">
            <v>0</v>
          </cell>
          <cell r="P189">
            <v>1</v>
          </cell>
          <cell r="Q189">
            <v>0</v>
          </cell>
          <cell r="R189" t="str">
            <v>滞涨</v>
          </cell>
          <cell r="S189">
            <v>0</v>
          </cell>
          <cell r="T189">
            <v>0</v>
          </cell>
          <cell r="U189">
            <v>0</v>
          </cell>
          <cell r="V189">
            <v>1</v>
          </cell>
          <cell r="W189" t="str">
            <v>衰退</v>
          </cell>
          <cell r="X189">
            <v>0</v>
          </cell>
          <cell r="Y189">
            <v>0</v>
          </cell>
          <cell r="Z189">
            <v>0</v>
          </cell>
          <cell r="AA189">
            <v>1</v>
          </cell>
          <cell r="AB189" t="str">
            <v>衰退</v>
          </cell>
        </row>
        <row r="190">
          <cell r="A190">
            <v>42916</v>
          </cell>
          <cell r="B190">
            <v>7.6</v>
          </cell>
          <cell r="C190">
            <v>1.5</v>
          </cell>
          <cell r="D190">
            <v>5.5</v>
          </cell>
          <cell r="E190">
            <v>3.1</v>
          </cell>
          <cell r="F190">
            <v>0</v>
          </cell>
          <cell r="G190">
            <v>1</v>
          </cell>
          <cell r="H190">
            <v>1</v>
          </cell>
          <cell r="I190">
            <v>0</v>
          </cell>
          <cell r="J190">
            <v>0</v>
          </cell>
          <cell r="K190">
            <v>1</v>
          </cell>
          <cell r="L190">
            <v>0</v>
          </cell>
          <cell r="M190">
            <v>1</v>
          </cell>
          <cell r="N190">
            <v>0</v>
          </cell>
          <cell r="O190">
            <v>0</v>
          </cell>
          <cell r="P190">
            <v>1</v>
          </cell>
          <cell r="Q190">
            <v>0</v>
          </cell>
          <cell r="R190" t="str">
            <v>滞涨</v>
          </cell>
          <cell r="S190">
            <v>0</v>
          </cell>
          <cell r="T190">
            <v>0</v>
          </cell>
          <cell r="U190">
            <v>0</v>
          </cell>
          <cell r="V190">
            <v>1</v>
          </cell>
          <cell r="W190" t="str">
            <v>衰退</v>
          </cell>
          <cell r="X190">
            <v>0</v>
          </cell>
          <cell r="Y190">
            <v>0</v>
          </cell>
          <cell r="Z190">
            <v>0</v>
          </cell>
          <cell r="AA190">
            <v>1</v>
          </cell>
          <cell r="AB190" t="str">
            <v>衰退</v>
          </cell>
        </row>
        <row r="191">
          <cell r="A191">
            <v>42947</v>
          </cell>
          <cell r="B191">
            <v>6.4</v>
          </cell>
          <cell r="C191">
            <v>1.4</v>
          </cell>
          <cell r="D191">
            <v>5.5</v>
          </cell>
          <cell r="E191">
            <v>3.04</v>
          </cell>
          <cell r="F191">
            <v>0</v>
          </cell>
          <cell r="G191">
            <v>1</v>
          </cell>
          <cell r="H191">
            <v>1</v>
          </cell>
          <cell r="I191">
            <v>0</v>
          </cell>
          <cell r="J191">
            <v>0</v>
          </cell>
          <cell r="K191">
            <v>1</v>
          </cell>
          <cell r="L191">
            <v>0</v>
          </cell>
          <cell r="M191">
            <v>1</v>
          </cell>
          <cell r="N191">
            <v>0</v>
          </cell>
          <cell r="O191">
            <v>0</v>
          </cell>
          <cell r="P191">
            <v>1</v>
          </cell>
          <cell r="Q191">
            <v>0</v>
          </cell>
          <cell r="R191" t="str">
            <v>滞涨</v>
          </cell>
          <cell r="S191">
            <v>0</v>
          </cell>
          <cell r="T191">
            <v>0</v>
          </cell>
          <cell r="U191">
            <v>0</v>
          </cell>
          <cell r="V191">
            <v>1</v>
          </cell>
          <cell r="W191" t="str">
            <v>衰退</v>
          </cell>
          <cell r="X191">
            <v>0</v>
          </cell>
          <cell r="Y191">
            <v>0</v>
          </cell>
          <cell r="Z191">
            <v>0</v>
          </cell>
          <cell r="AA191">
            <v>1</v>
          </cell>
          <cell r="AB191" t="str">
            <v>衰退</v>
          </cell>
        </row>
        <row r="192">
          <cell r="A192">
            <v>42978</v>
          </cell>
          <cell r="B192">
            <v>6</v>
          </cell>
          <cell r="C192">
            <v>1.8</v>
          </cell>
          <cell r="D192">
            <v>6.3</v>
          </cell>
          <cell r="E192">
            <v>3.6</v>
          </cell>
          <cell r="F192">
            <v>0</v>
          </cell>
          <cell r="G192">
            <v>1</v>
          </cell>
          <cell r="H192">
            <v>1</v>
          </cell>
          <cell r="I192">
            <v>0</v>
          </cell>
          <cell r="J192">
            <v>0</v>
          </cell>
          <cell r="K192">
            <v>1</v>
          </cell>
          <cell r="L192">
            <v>1</v>
          </cell>
          <cell r="M192">
            <v>0</v>
          </cell>
          <cell r="N192">
            <v>0</v>
          </cell>
          <cell r="O192">
            <v>0</v>
          </cell>
          <cell r="P192">
            <v>1</v>
          </cell>
          <cell r="Q192">
            <v>0</v>
          </cell>
          <cell r="R192" t="str">
            <v>滞涨</v>
          </cell>
          <cell r="S192">
            <v>0</v>
          </cell>
          <cell r="T192">
            <v>0</v>
          </cell>
          <cell r="U192">
            <v>0</v>
          </cell>
          <cell r="V192">
            <v>1</v>
          </cell>
          <cell r="W192" t="str">
            <v>衰退</v>
          </cell>
          <cell r="X192">
            <v>0</v>
          </cell>
          <cell r="Y192">
            <v>0</v>
          </cell>
          <cell r="Z192">
            <v>1</v>
          </cell>
          <cell r="AA192">
            <v>0</v>
          </cell>
          <cell r="AB192" t="str">
            <v>滞涨</v>
          </cell>
        </row>
        <row r="193">
          <cell r="A193">
            <v>43008</v>
          </cell>
          <cell r="B193">
            <v>6.6</v>
          </cell>
          <cell r="C193">
            <v>1.6</v>
          </cell>
          <cell r="D193">
            <v>6.9</v>
          </cell>
          <cell r="E193">
            <v>3.72</v>
          </cell>
          <cell r="F193">
            <v>1</v>
          </cell>
          <cell r="G193">
            <v>0</v>
          </cell>
          <cell r="H193">
            <v>1</v>
          </cell>
          <cell r="I193">
            <v>0</v>
          </cell>
          <cell r="J193">
            <v>0</v>
          </cell>
          <cell r="K193">
            <v>1</v>
          </cell>
          <cell r="L193">
            <v>1</v>
          </cell>
          <cell r="M193">
            <v>0</v>
          </cell>
          <cell r="N193">
            <v>0</v>
          </cell>
          <cell r="O193">
            <v>1</v>
          </cell>
          <cell r="P193">
            <v>0</v>
          </cell>
          <cell r="Q193">
            <v>0</v>
          </cell>
          <cell r="R193" t="str">
            <v>过热</v>
          </cell>
          <cell r="S193">
            <v>1</v>
          </cell>
          <cell r="T193">
            <v>0</v>
          </cell>
          <cell r="U193">
            <v>0</v>
          </cell>
          <cell r="V193">
            <v>0</v>
          </cell>
          <cell r="W193" t="str">
            <v>复苏</v>
          </cell>
          <cell r="X193">
            <v>0</v>
          </cell>
          <cell r="Y193">
            <v>1</v>
          </cell>
          <cell r="Z193">
            <v>0</v>
          </cell>
          <cell r="AA193">
            <v>0</v>
          </cell>
          <cell r="AB193" t="str">
            <v>过热</v>
          </cell>
        </row>
        <row r="194">
          <cell r="A194">
            <v>43039</v>
          </cell>
          <cell r="B194">
            <v>6.2</v>
          </cell>
          <cell r="C194">
            <v>1.9</v>
          </cell>
          <cell r="D194">
            <v>6.9</v>
          </cell>
          <cell r="E194">
            <v>3.9000000000000004</v>
          </cell>
          <cell r="F194">
            <v>1</v>
          </cell>
          <cell r="G194">
            <v>0</v>
          </cell>
          <cell r="H194">
            <v>1</v>
          </cell>
          <cell r="I194">
            <v>0</v>
          </cell>
          <cell r="J194">
            <v>0</v>
          </cell>
          <cell r="K194">
            <v>1</v>
          </cell>
          <cell r="L194">
            <v>1</v>
          </cell>
          <cell r="M194">
            <v>0</v>
          </cell>
          <cell r="N194">
            <v>0</v>
          </cell>
          <cell r="O194">
            <v>1</v>
          </cell>
          <cell r="P194">
            <v>0</v>
          </cell>
          <cell r="Q194">
            <v>0</v>
          </cell>
          <cell r="R194" t="str">
            <v>过热</v>
          </cell>
          <cell r="S194">
            <v>1</v>
          </cell>
          <cell r="T194">
            <v>0</v>
          </cell>
          <cell r="U194">
            <v>0</v>
          </cell>
          <cell r="V194">
            <v>0</v>
          </cell>
          <cell r="W194" t="str">
            <v>复苏</v>
          </cell>
          <cell r="X194">
            <v>0</v>
          </cell>
          <cell r="Y194">
            <v>1</v>
          </cell>
          <cell r="Z194">
            <v>0</v>
          </cell>
          <cell r="AA194">
            <v>0</v>
          </cell>
          <cell r="AB194" t="str">
            <v>过热</v>
          </cell>
        </row>
        <row r="195">
          <cell r="A195">
            <v>43069</v>
          </cell>
          <cell r="B195">
            <v>6.1</v>
          </cell>
          <cell r="C195">
            <v>1.7</v>
          </cell>
          <cell r="D195">
            <v>5.8</v>
          </cell>
          <cell r="E195">
            <v>3.34</v>
          </cell>
          <cell r="F195">
            <v>1</v>
          </cell>
          <cell r="G195">
            <v>0</v>
          </cell>
          <cell r="H195">
            <v>1</v>
          </cell>
          <cell r="I195">
            <v>0</v>
          </cell>
          <cell r="J195">
            <v>0</v>
          </cell>
          <cell r="K195">
            <v>1</v>
          </cell>
          <cell r="L195">
            <v>0</v>
          </cell>
          <cell r="M195">
            <v>1</v>
          </cell>
          <cell r="N195">
            <v>0</v>
          </cell>
          <cell r="O195">
            <v>1</v>
          </cell>
          <cell r="P195">
            <v>0</v>
          </cell>
          <cell r="Q195">
            <v>0</v>
          </cell>
          <cell r="R195" t="str">
            <v>过热</v>
          </cell>
          <cell r="S195">
            <v>1</v>
          </cell>
          <cell r="T195">
            <v>0</v>
          </cell>
          <cell r="U195">
            <v>0</v>
          </cell>
          <cell r="V195">
            <v>0</v>
          </cell>
          <cell r="W195" t="str">
            <v>复苏</v>
          </cell>
          <cell r="X195">
            <v>1</v>
          </cell>
          <cell r="Y195">
            <v>0</v>
          </cell>
          <cell r="Z195">
            <v>0</v>
          </cell>
          <cell r="AA195">
            <v>0</v>
          </cell>
          <cell r="AB195" t="str">
            <v>复苏</v>
          </cell>
        </row>
        <row r="196">
          <cell r="A196">
            <v>43100</v>
          </cell>
          <cell r="B196">
            <v>6.2</v>
          </cell>
          <cell r="C196">
            <v>1.8</v>
          </cell>
          <cell r="D196">
            <v>4.9000000000000004</v>
          </cell>
          <cell r="E196">
            <v>3.04</v>
          </cell>
          <cell r="F196">
            <v>1</v>
          </cell>
          <cell r="G196">
            <v>0</v>
          </cell>
          <cell r="H196">
            <v>1</v>
          </cell>
          <cell r="I196">
            <v>0</v>
          </cell>
          <cell r="J196">
            <v>0</v>
          </cell>
          <cell r="K196">
            <v>1</v>
          </cell>
          <cell r="L196">
            <v>0</v>
          </cell>
          <cell r="M196">
            <v>1</v>
          </cell>
          <cell r="N196">
            <v>0</v>
          </cell>
          <cell r="O196">
            <v>1</v>
          </cell>
          <cell r="P196">
            <v>0</v>
          </cell>
          <cell r="Q196">
            <v>0</v>
          </cell>
          <cell r="R196" t="str">
            <v>过热</v>
          </cell>
          <cell r="S196">
            <v>1</v>
          </cell>
          <cell r="T196">
            <v>0</v>
          </cell>
          <cell r="U196">
            <v>0</v>
          </cell>
          <cell r="V196">
            <v>0</v>
          </cell>
          <cell r="W196" t="str">
            <v>复苏</v>
          </cell>
          <cell r="X196">
            <v>1</v>
          </cell>
          <cell r="Y196">
            <v>0</v>
          </cell>
          <cell r="Z196">
            <v>0</v>
          </cell>
          <cell r="AA196">
            <v>0</v>
          </cell>
          <cell r="AB196" t="str">
            <v>复苏</v>
          </cell>
        </row>
        <row r="197">
          <cell r="A197">
            <v>43159</v>
          </cell>
          <cell r="B197">
            <v>7.2</v>
          </cell>
          <cell r="C197">
            <v>2.2000000000000002</v>
          </cell>
          <cell r="D197">
            <v>4</v>
          </cell>
          <cell r="E197">
            <v>2.92</v>
          </cell>
          <cell r="F197">
            <v>1</v>
          </cell>
          <cell r="G197">
            <v>0</v>
          </cell>
          <cell r="H197">
            <v>1</v>
          </cell>
          <cell r="I197">
            <v>0</v>
          </cell>
          <cell r="J197">
            <v>0</v>
          </cell>
          <cell r="K197">
            <v>1</v>
          </cell>
          <cell r="L197">
            <v>0</v>
          </cell>
          <cell r="M197">
            <v>1</v>
          </cell>
          <cell r="N197">
            <v>0</v>
          </cell>
          <cell r="O197">
            <v>1</v>
          </cell>
          <cell r="P197">
            <v>0</v>
          </cell>
          <cell r="Q197">
            <v>0</v>
          </cell>
          <cell r="R197" t="str">
            <v>过热</v>
          </cell>
          <cell r="S197">
            <v>1</v>
          </cell>
          <cell r="T197">
            <v>0</v>
          </cell>
          <cell r="U197">
            <v>0</v>
          </cell>
          <cell r="V197">
            <v>0</v>
          </cell>
          <cell r="W197" t="str">
            <v>复苏</v>
          </cell>
          <cell r="X197">
            <v>1</v>
          </cell>
          <cell r="Y197">
            <v>0</v>
          </cell>
          <cell r="Z197">
            <v>0</v>
          </cell>
          <cell r="AA197">
            <v>0</v>
          </cell>
          <cell r="AB197" t="str">
            <v>复苏</v>
          </cell>
        </row>
        <row r="198">
          <cell r="A198">
            <v>43190</v>
          </cell>
          <cell r="B198">
            <v>6</v>
          </cell>
          <cell r="C198">
            <v>2.1</v>
          </cell>
          <cell r="D198">
            <v>3.1</v>
          </cell>
          <cell r="E198">
            <v>2.5</v>
          </cell>
          <cell r="F198">
            <v>0</v>
          </cell>
          <cell r="G198">
            <v>1</v>
          </cell>
          <cell r="H198">
            <v>1</v>
          </cell>
          <cell r="I198">
            <v>0</v>
          </cell>
          <cell r="J198">
            <v>0</v>
          </cell>
          <cell r="K198">
            <v>1</v>
          </cell>
          <cell r="L198">
            <v>0</v>
          </cell>
          <cell r="M198">
            <v>1</v>
          </cell>
          <cell r="N198">
            <v>0</v>
          </cell>
          <cell r="O198">
            <v>0</v>
          </cell>
          <cell r="P198">
            <v>1</v>
          </cell>
          <cell r="Q198">
            <v>0</v>
          </cell>
          <cell r="R198" t="str">
            <v>滞涨</v>
          </cell>
          <cell r="S198">
            <v>0</v>
          </cell>
          <cell r="T198">
            <v>0</v>
          </cell>
          <cell r="U198">
            <v>0</v>
          </cell>
          <cell r="V198">
            <v>1</v>
          </cell>
          <cell r="W198" t="str">
            <v>衰退</v>
          </cell>
          <cell r="X198">
            <v>0</v>
          </cell>
          <cell r="Y198">
            <v>0</v>
          </cell>
          <cell r="Z198">
            <v>0</v>
          </cell>
          <cell r="AA198">
            <v>1</v>
          </cell>
          <cell r="AB198" t="str">
            <v>衰退</v>
          </cell>
        </row>
        <row r="199">
          <cell r="A199">
            <v>43220</v>
          </cell>
          <cell r="B199">
            <v>7</v>
          </cell>
          <cell r="C199">
            <v>1.8</v>
          </cell>
          <cell r="D199">
            <v>3.4</v>
          </cell>
          <cell r="E199">
            <v>2.4400000000000004</v>
          </cell>
          <cell r="F199">
            <v>0</v>
          </cell>
          <cell r="G199">
            <v>1</v>
          </cell>
          <cell r="H199">
            <v>1</v>
          </cell>
          <cell r="I199">
            <v>0</v>
          </cell>
          <cell r="J199">
            <v>1</v>
          </cell>
          <cell r="K199">
            <v>0</v>
          </cell>
          <cell r="L199">
            <v>0</v>
          </cell>
          <cell r="M199">
            <v>1</v>
          </cell>
          <cell r="N199">
            <v>0</v>
          </cell>
          <cell r="O199">
            <v>0</v>
          </cell>
          <cell r="P199">
            <v>1</v>
          </cell>
          <cell r="Q199">
            <v>0</v>
          </cell>
          <cell r="R199" t="str">
            <v>滞涨</v>
          </cell>
          <cell r="S199">
            <v>0</v>
          </cell>
          <cell r="T199">
            <v>0</v>
          </cell>
          <cell r="U199">
            <v>1</v>
          </cell>
          <cell r="V199">
            <v>0</v>
          </cell>
          <cell r="W199" t="str">
            <v>滞涨</v>
          </cell>
          <cell r="X199">
            <v>0</v>
          </cell>
          <cell r="Y199">
            <v>0</v>
          </cell>
          <cell r="Z199">
            <v>0</v>
          </cell>
          <cell r="AA199">
            <v>1</v>
          </cell>
          <cell r="AB199" t="str">
            <v>衰退</v>
          </cell>
        </row>
        <row r="200">
          <cell r="A200">
            <v>43251</v>
          </cell>
          <cell r="B200">
            <v>6.8</v>
          </cell>
          <cell r="C200">
            <v>1.8</v>
          </cell>
          <cell r="D200">
            <v>4.0999999999999996</v>
          </cell>
          <cell r="E200">
            <v>2.7199999999999998</v>
          </cell>
          <cell r="F200">
            <v>0</v>
          </cell>
          <cell r="G200">
            <v>1</v>
          </cell>
          <cell r="H200">
            <v>1</v>
          </cell>
          <cell r="I200">
            <v>0</v>
          </cell>
          <cell r="J200">
            <v>1</v>
          </cell>
          <cell r="K200">
            <v>0</v>
          </cell>
          <cell r="L200">
            <v>1</v>
          </cell>
          <cell r="M200">
            <v>0</v>
          </cell>
          <cell r="N200">
            <v>0</v>
          </cell>
          <cell r="O200">
            <v>0</v>
          </cell>
          <cell r="P200">
            <v>1</v>
          </cell>
          <cell r="Q200">
            <v>0</v>
          </cell>
          <cell r="R200" t="str">
            <v>滞涨</v>
          </cell>
          <cell r="S200">
            <v>0</v>
          </cell>
          <cell r="T200">
            <v>0</v>
          </cell>
          <cell r="U200">
            <v>1</v>
          </cell>
          <cell r="V200">
            <v>0</v>
          </cell>
          <cell r="W200" t="str">
            <v>滞涨</v>
          </cell>
          <cell r="X200">
            <v>0</v>
          </cell>
          <cell r="Y200">
            <v>0</v>
          </cell>
          <cell r="Z200">
            <v>1</v>
          </cell>
          <cell r="AA200">
            <v>0</v>
          </cell>
          <cell r="AB200" t="str">
            <v>滞涨</v>
          </cell>
        </row>
        <row r="201">
          <cell r="A201">
            <v>43281</v>
          </cell>
          <cell r="B201">
            <v>6</v>
          </cell>
          <cell r="C201">
            <v>1.9</v>
          </cell>
          <cell r="D201">
            <v>4.7</v>
          </cell>
          <cell r="E201">
            <v>3.02</v>
          </cell>
          <cell r="F201">
            <v>0</v>
          </cell>
          <cell r="G201">
            <v>1</v>
          </cell>
          <cell r="H201">
            <v>1</v>
          </cell>
          <cell r="I201">
            <v>0</v>
          </cell>
          <cell r="J201">
            <v>1</v>
          </cell>
          <cell r="K201">
            <v>0</v>
          </cell>
          <cell r="L201">
            <v>1</v>
          </cell>
          <cell r="M201">
            <v>0</v>
          </cell>
          <cell r="N201">
            <v>0</v>
          </cell>
          <cell r="O201">
            <v>0</v>
          </cell>
          <cell r="P201">
            <v>1</v>
          </cell>
          <cell r="Q201">
            <v>0</v>
          </cell>
          <cell r="R201" t="str">
            <v>滞涨</v>
          </cell>
          <cell r="S201">
            <v>0</v>
          </cell>
          <cell r="T201">
            <v>0</v>
          </cell>
          <cell r="U201">
            <v>1</v>
          </cell>
          <cell r="V201">
            <v>0</v>
          </cell>
          <cell r="W201" t="str">
            <v>滞涨</v>
          </cell>
          <cell r="X201">
            <v>0</v>
          </cell>
          <cell r="Y201">
            <v>0</v>
          </cell>
          <cell r="Z201">
            <v>1</v>
          </cell>
          <cell r="AA201">
            <v>0</v>
          </cell>
          <cell r="AB201" t="str">
            <v>滞涨</v>
          </cell>
        </row>
        <row r="202">
          <cell r="A202">
            <v>43312</v>
          </cell>
          <cell r="B202">
            <v>6</v>
          </cell>
          <cell r="C202">
            <v>2.1</v>
          </cell>
          <cell r="D202">
            <v>4.5999999999999996</v>
          </cell>
          <cell r="E202">
            <v>3.0999999999999996</v>
          </cell>
          <cell r="F202">
            <v>0</v>
          </cell>
          <cell r="G202">
            <v>1</v>
          </cell>
          <cell r="H202">
            <v>1</v>
          </cell>
          <cell r="I202">
            <v>0</v>
          </cell>
          <cell r="J202">
            <v>0</v>
          </cell>
          <cell r="K202">
            <v>1</v>
          </cell>
          <cell r="L202">
            <v>1</v>
          </cell>
          <cell r="M202">
            <v>0</v>
          </cell>
          <cell r="N202">
            <v>0</v>
          </cell>
          <cell r="O202">
            <v>0</v>
          </cell>
          <cell r="P202">
            <v>1</v>
          </cell>
          <cell r="Q202">
            <v>0</v>
          </cell>
          <cell r="R202" t="str">
            <v>滞涨</v>
          </cell>
          <cell r="S202">
            <v>0</v>
          </cell>
          <cell r="T202">
            <v>0</v>
          </cell>
          <cell r="U202">
            <v>0</v>
          </cell>
          <cell r="V202">
            <v>1</v>
          </cell>
          <cell r="W202" t="str">
            <v>衰退</v>
          </cell>
          <cell r="X202">
            <v>0</v>
          </cell>
          <cell r="Y202">
            <v>0</v>
          </cell>
          <cell r="Z202">
            <v>1</v>
          </cell>
          <cell r="AA202">
            <v>0</v>
          </cell>
          <cell r="AB202" t="str">
            <v>滞涨</v>
          </cell>
        </row>
        <row r="203">
          <cell r="A203">
            <v>43343</v>
          </cell>
          <cell r="B203">
            <v>6.1</v>
          </cell>
          <cell r="C203">
            <v>2.2999999999999998</v>
          </cell>
          <cell r="D203">
            <v>4.0999999999999996</v>
          </cell>
          <cell r="E203">
            <v>3.0199999999999996</v>
          </cell>
          <cell r="F203">
            <v>0</v>
          </cell>
          <cell r="G203">
            <v>1</v>
          </cell>
          <cell r="H203">
            <v>1</v>
          </cell>
          <cell r="I203">
            <v>0</v>
          </cell>
          <cell r="J203">
            <v>0</v>
          </cell>
          <cell r="K203">
            <v>1</v>
          </cell>
          <cell r="L203">
            <v>0</v>
          </cell>
          <cell r="M203">
            <v>1</v>
          </cell>
          <cell r="N203">
            <v>0</v>
          </cell>
          <cell r="O203">
            <v>0</v>
          </cell>
          <cell r="P203">
            <v>1</v>
          </cell>
          <cell r="Q203">
            <v>0</v>
          </cell>
          <cell r="R203" t="str">
            <v>滞涨</v>
          </cell>
          <cell r="S203">
            <v>0</v>
          </cell>
          <cell r="T203">
            <v>0</v>
          </cell>
          <cell r="U203">
            <v>0</v>
          </cell>
          <cell r="V203">
            <v>1</v>
          </cell>
          <cell r="W203" t="str">
            <v>衰退</v>
          </cell>
          <cell r="X203">
            <v>0</v>
          </cell>
          <cell r="Y203">
            <v>0</v>
          </cell>
          <cell r="Z203">
            <v>0</v>
          </cell>
          <cell r="AA203">
            <v>1</v>
          </cell>
          <cell r="AB203" t="str">
            <v>衰退</v>
          </cell>
        </row>
        <row r="204">
          <cell r="A204">
            <v>43373</v>
          </cell>
          <cell r="B204">
            <v>5.8</v>
          </cell>
          <cell r="C204">
            <v>2.5</v>
          </cell>
          <cell r="D204">
            <v>3.6</v>
          </cell>
          <cell r="E204">
            <v>2.9400000000000004</v>
          </cell>
          <cell r="F204">
            <v>0</v>
          </cell>
          <cell r="G204">
            <v>1</v>
          </cell>
          <cell r="H204">
            <v>1</v>
          </cell>
          <cell r="I204">
            <v>0</v>
          </cell>
          <cell r="J204">
            <v>0</v>
          </cell>
          <cell r="K204">
            <v>1</v>
          </cell>
          <cell r="L204">
            <v>0</v>
          </cell>
          <cell r="M204">
            <v>1</v>
          </cell>
          <cell r="N204">
            <v>0</v>
          </cell>
          <cell r="O204">
            <v>0</v>
          </cell>
          <cell r="P204">
            <v>1</v>
          </cell>
          <cell r="Q204">
            <v>0</v>
          </cell>
          <cell r="R204" t="str">
            <v>滞涨</v>
          </cell>
          <cell r="S204">
            <v>0</v>
          </cell>
          <cell r="T204">
            <v>0</v>
          </cell>
          <cell r="U204">
            <v>0</v>
          </cell>
          <cell r="V204">
            <v>1</v>
          </cell>
          <cell r="W204" t="str">
            <v>衰退</v>
          </cell>
          <cell r="X204">
            <v>0</v>
          </cell>
          <cell r="Y204">
            <v>0</v>
          </cell>
          <cell r="Z204">
            <v>0</v>
          </cell>
          <cell r="AA204">
            <v>1</v>
          </cell>
          <cell r="AB204" t="str">
            <v>衰退</v>
          </cell>
        </row>
        <row r="205">
          <cell r="A205">
            <v>43404</v>
          </cell>
          <cell r="B205">
            <v>5.9</v>
          </cell>
          <cell r="C205">
            <v>2.5</v>
          </cell>
          <cell r="D205">
            <v>3.3</v>
          </cell>
          <cell r="E205">
            <v>2.8200000000000003</v>
          </cell>
          <cell r="F205">
            <v>0</v>
          </cell>
          <cell r="G205">
            <v>1</v>
          </cell>
          <cell r="H205">
            <v>0</v>
          </cell>
          <cell r="I205">
            <v>1</v>
          </cell>
          <cell r="J205">
            <v>0</v>
          </cell>
          <cell r="K205">
            <v>1</v>
          </cell>
          <cell r="L205">
            <v>0</v>
          </cell>
          <cell r="M205">
            <v>1</v>
          </cell>
          <cell r="N205">
            <v>0</v>
          </cell>
          <cell r="O205">
            <v>0</v>
          </cell>
          <cell r="P205">
            <v>0</v>
          </cell>
          <cell r="Q205">
            <v>1</v>
          </cell>
          <cell r="R205" t="str">
            <v>衰退</v>
          </cell>
          <cell r="S205">
            <v>0</v>
          </cell>
          <cell r="T205">
            <v>0</v>
          </cell>
          <cell r="U205">
            <v>0</v>
          </cell>
          <cell r="V205">
            <v>1</v>
          </cell>
          <cell r="W205" t="str">
            <v>衰退</v>
          </cell>
          <cell r="X205">
            <v>0</v>
          </cell>
          <cell r="Y205">
            <v>0</v>
          </cell>
          <cell r="Z205">
            <v>0</v>
          </cell>
          <cell r="AA205">
            <v>1</v>
          </cell>
          <cell r="AB205" t="str">
            <v>衰退</v>
          </cell>
        </row>
        <row r="206">
          <cell r="A206">
            <v>43434</v>
          </cell>
          <cell r="B206">
            <v>5.4</v>
          </cell>
          <cell r="C206">
            <v>2.2000000000000002</v>
          </cell>
          <cell r="D206">
            <v>2.7</v>
          </cell>
          <cell r="E206">
            <v>2.4000000000000004</v>
          </cell>
          <cell r="F206">
            <v>0</v>
          </cell>
          <cell r="G206">
            <v>1</v>
          </cell>
          <cell r="H206">
            <v>0</v>
          </cell>
          <cell r="I206">
            <v>1</v>
          </cell>
          <cell r="J206">
            <v>0</v>
          </cell>
          <cell r="K206">
            <v>1</v>
          </cell>
          <cell r="L206">
            <v>0</v>
          </cell>
          <cell r="M206">
            <v>1</v>
          </cell>
          <cell r="N206">
            <v>0</v>
          </cell>
          <cell r="O206">
            <v>0</v>
          </cell>
          <cell r="P206">
            <v>0</v>
          </cell>
          <cell r="Q206">
            <v>1</v>
          </cell>
          <cell r="R206" t="str">
            <v>衰退</v>
          </cell>
          <cell r="S206">
            <v>0</v>
          </cell>
          <cell r="T206">
            <v>0</v>
          </cell>
          <cell r="U206">
            <v>0</v>
          </cell>
          <cell r="V206">
            <v>1</v>
          </cell>
          <cell r="W206" t="str">
            <v>衰退</v>
          </cell>
          <cell r="X206">
            <v>0</v>
          </cell>
          <cell r="Y206">
            <v>0</v>
          </cell>
          <cell r="Z206">
            <v>0</v>
          </cell>
          <cell r="AA206">
            <v>1</v>
          </cell>
          <cell r="AB206" t="str">
            <v>衰退</v>
          </cell>
        </row>
        <row r="207">
          <cell r="A207">
            <v>43465</v>
          </cell>
          <cell r="B207">
            <v>5.7</v>
          </cell>
          <cell r="C207">
            <v>1.9</v>
          </cell>
          <cell r="D207">
            <v>0.9</v>
          </cell>
          <cell r="E207">
            <v>1.5</v>
          </cell>
          <cell r="F207">
            <v>0</v>
          </cell>
          <cell r="G207">
            <v>1</v>
          </cell>
          <cell r="H207">
            <v>0</v>
          </cell>
          <cell r="I207">
            <v>1</v>
          </cell>
          <cell r="J207">
            <v>0</v>
          </cell>
          <cell r="K207">
            <v>1</v>
          </cell>
          <cell r="L207">
            <v>0</v>
          </cell>
          <cell r="M207">
            <v>1</v>
          </cell>
          <cell r="N207">
            <v>0</v>
          </cell>
          <cell r="O207">
            <v>0</v>
          </cell>
          <cell r="P207">
            <v>0</v>
          </cell>
          <cell r="Q207">
            <v>1</v>
          </cell>
          <cell r="R207" t="str">
            <v>衰退</v>
          </cell>
          <cell r="S207">
            <v>0</v>
          </cell>
          <cell r="T207">
            <v>0</v>
          </cell>
          <cell r="U207">
            <v>0</v>
          </cell>
          <cell r="V207">
            <v>1</v>
          </cell>
          <cell r="W207" t="str">
            <v>衰退</v>
          </cell>
          <cell r="X207">
            <v>0</v>
          </cell>
          <cell r="Y207">
            <v>0</v>
          </cell>
          <cell r="Z207">
            <v>0</v>
          </cell>
          <cell r="AA207">
            <v>1</v>
          </cell>
          <cell r="AB207" t="str">
            <v>衰退</v>
          </cell>
        </row>
        <row r="208">
          <cell r="A208">
            <v>43524</v>
          </cell>
          <cell r="B208">
            <v>5.3</v>
          </cell>
          <cell r="C208">
            <v>1.6</v>
          </cell>
          <cell r="D208">
            <v>0.1</v>
          </cell>
          <cell r="E208">
            <v>1</v>
          </cell>
          <cell r="F208">
            <v>0</v>
          </cell>
          <cell r="G208">
            <v>1</v>
          </cell>
          <cell r="H208">
            <v>0</v>
          </cell>
          <cell r="I208">
            <v>1</v>
          </cell>
          <cell r="J208">
            <v>0</v>
          </cell>
          <cell r="K208">
            <v>1</v>
          </cell>
          <cell r="L208">
            <v>0</v>
          </cell>
          <cell r="M208">
            <v>1</v>
          </cell>
          <cell r="N208">
            <v>0</v>
          </cell>
          <cell r="O208">
            <v>0</v>
          </cell>
          <cell r="P208">
            <v>0</v>
          </cell>
          <cell r="Q208">
            <v>1</v>
          </cell>
          <cell r="R208" t="str">
            <v>衰退</v>
          </cell>
          <cell r="S208">
            <v>0</v>
          </cell>
          <cell r="T208">
            <v>0</v>
          </cell>
          <cell r="U208">
            <v>0</v>
          </cell>
          <cell r="V208">
            <v>1</v>
          </cell>
          <cell r="W208" t="str">
            <v>衰退</v>
          </cell>
          <cell r="X208">
            <v>0</v>
          </cell>
          <cell r="Y208">
            <v>0</v>
          </cell>
          <cell r="Z208">
            <v>0</v>
          </cell>
          <cell r="AA208">
            <v>1</v>
          </cell>
          <cell r="AB208" t="str">
            <v>衰退</v>
          </cell>
        </row>
        <row r="209">
          <cell r="A209">
            <v>43555</v>
          </cell>
          <cell r="B209">
            <v>8.5</v>
          </cell>
          <cell r="C209">
            <v>2.2999999999999998</v>
          </cell>
          <cell r="D209">
            <v>0.4</v>
          </cell>
          <cell r="E209">
            <v>1.54</v>
          </cell>
          <cell r="F209">
            <v>0</v>
          </cell>
          <cell r="G209">
            <v>1</v>
          </cell>
          <cell r="H209">
            <v>1</v>
          </cell>
          <cell r="I209">
            <v>0</v>
          </cell>
          <cell r="J209">
            <v>0</v>
          </cell>
          <cell r="K209">
            <v>1</v>
          </cell>
          <cell r="L209">
            <v>1</v>
          </cell>
          <cell r="M209">
            <v>0</v>
          </cell>
          <cell r="N209">
            <v>0</v>
          </cell>
          <cell r="O209">
            <v>0</v>
          </cell>
          <cell r="P209">
            <v>1</v>
          </cell>
          <cell r="Q209">
            <v>0</v>
          </cell>
          <cell r="R209" t="str">
            <v>滞涨</v>
          </cell>
          <cell r="S209">
            <v>0</v>
          </cell>
          <cell r="T209">
            <v>0</v>
          </cell>
          <cell r="U209">
            <v>0</v>
          </cell>
          <cell r="V209">
            <v>1</v>
          </cell>
          <cell r="W209" t="str">
            <v>衰退</v>
          </cell>
          <cell r="X209">
            <v>0</v>
          </cell>
          <cell r="Y209">
            <v>0</v>
          </cell>
          <cell r="Z209">
            <v>1</v>
          </cell>
          <cell r="AA209">
            <v>0</v>
          </cell>
          <cell r="AB209" t="str">
            <v>滞涨</v>
          </cell>
        </row>
        <row r="210">
          <cell r="A210">
            <v>43585</v>
          </cell>
          <cell r="B210">
            <v>5.4</v>
          </cell>
          <cell r="C210">
            <v>2.5</v>
          </cell>
          <cell r="D210">
            <v>0.9</v>
          </cell>
          <cell r="E210">
            <v>1.86</v>
          </cell>
          <cell r="F210">
            <v>0</v>
          </cell>
          <cell r="G210">
            <v>1</v>
          </cell>
          <cell r="H210">
            <v>1</v>
          </cell>
          <cell r="I210">
            <v>0</v>
          </cell>
          <cell r="J210">
            <v>0</v>
          </cell>
          <cell r="K210">
            <v>1</v>
          </cell>
          <cell r="L210">
            <v>1</v>
          </cell>
          <cell r="M210">
            <v>0</v>
          </cell>
          <cell r="N210">
            <v>0</v>
          </cell>
          <cell r="O210">
            <v>0</v>
          </cell>
          <cell r="P210">
            <v>1</v>
          </cell>
          <cell r="Q210">
            <v>0</v>
          </cell>
          <cell r="R210" t="str">
            <v>滞涨</v>
          </cell>
          <cell r="S210">
            <v>0</v>
          </cell>
          <cell r="T210">
            <v>0</v>
          </cell>
          <cell r="U210">
            <v>0</v>
          </cell>
          <cell r="V210">
            <v>1</v>
          </cell>
          <cell r="W210" t="str">
            <v>衰退</v>
          </cell>
          <cell r="X210">
            <v>0</v>
          </cell>
          <cell r="Y210">
            <v>0</v>
          </cell>
          <cell r="Z210">
            <v>1</v>
          </cell>
          <cell r="AA210">
            <v>0</v>
          </cell>
          <cell r="AB210" t="str">
            <v>滞涨</v>
          </cell>
        </row>
        <row r="211">
          <cell r="A211">
            <v>43616</v>
          </cell>
          <cell r="B211">
            <v>5</v>
          </cell>
          <cell r="C211">
            <v>2.7</v>
          </cell>
          <cell r="D211">
            <v>0.6</v>
          </cell>
          <cell r="E211">
            <v>1.86</v>
          </cell>
          <cell r="F211">
            <v>0</v>
          </cell>
          <cell r="G211">
            <v>1</v>
          </cell>
          <cell r="H211">
            <v>1</v>
          </cell>
          <cell r="I211">
            <v>0</v>
          </cell>
          <cell r="J211">
            <v>0</v>
          </cell>
          <cell r="K211">
            <v>1</v>
          </cell>
          <cell r="L211">
            <v>1</v>
          </cell>
          <cell r="M211">
            <v>0</v>
          </cell>
          <cell r="N211">
            <v>0</v>
          </cell>
          <cell r="O211">
            <v>0</v>
          </cell>
          <cell r="P211">
            <v>1</v>
          </cell>
          <cell r="Q211">
            <v>0</v>
          </cell>
          <cell r="R211" t="str">
            <v>滞涨</v>
          </cell>
          <cell r="S211">
            <v>0</v>
          </cell>
          <cell r="T211">
            <v>0</v>
          </cell>
          <cell r="U211">
            <v>0</v>
          </cell>
          <cell r="V211">
            <v>1</v>
          </cell>
          <cell r="W211" t="str">
            <v>衰退</v>
          </cell>
          <cell r="X211">
            <v>0</v>
          </cell>
          <cell r="Y211">
            <v>0</v>
          </cell>
          <cell r="Z211">
            <v>1</v>
          </cell>
          <cell r="AA211">
            <v>0</v>
          </cell>
          <cell r="AB211" t="str">
            <v>滞涨</v>
          </cell>
        </row>
        <row r="212">
          <cell r="A212">
            <v>43646</v>
          </cell>
          <cell r="B212">
            <v>6.3</v>
          </cell>
          <cell r="C212">
            <v>2.7</v>
          </cell>
          <cell r="D212">
            <v>0</v>
          </cell>
          <cell r="E212">
            <v>1.62</v>
          </cell>
          <cell r="F212">
            <v>0</v>
          </cell>
          <cell r="G212">
            <v>1</v>
          </cell>
          <cell r="H212">
            <v>1</v>
          </cell>
          <cell r="I212">
            <v>0</v>
          </cell>
          <cell r="J212">
            <v>0</v>
          </cell>
          <cell r="K212">
            <v>1</v>
          </cell>
          <cell r="L212">
            <v>1</v>
          </cell>
          <cell r="M212">
            <v>0</v>
          </cell>
          <cell r="N212">
            <v>0</v>
          </cell>
          <cell r="O212">
            <v>0</v>
          </cell>
          <cell r="P212">
            <v>1</v>
          </cell>
          <cell r="Q212">
            <v>0</v>
          </cell>
          <cell r="R212" t="str">
            <v>滞涨</v>
          </cell>
          <cell r="S212">
            <v>0</v>
          </cell>
          <cell r="T212">
            <v>0</v>
          </cell>
          <cell r="U212">
            <v>0</v>
          </cell>
          <cell r="V212">
            <v>1</v>
          </cell>
          <cell r="W212" t="str">
            <v>衰退</v>
          </cell>
          <cell r="X212">
            <v>0</v>
          </cell>
          <cell r="Y212">
            <v>0</v>
          </cell>
          <cell r="Z212">
            <v>1</v>
          </cell>
          <cell r="AA212">
            <v>0</v>
          </cell>
          <cell r="AB212" t="str">
            <v>滞涨</v>
          </cell>
        </row>
        <row r="213">
          <cell r="A213">
            <v>43677</v>
          </cell>
          <cell r="B213">
            <v>4.8</v>
          </cell>
          <cell r="C213">
            <v>2.8</v>
          </cell>
          <cell r="D213">
            <v>-0.3</v>
          </cell>
          <cell r="E213">
            <v>1.56</v>
          </cell>
          <cell r="F213">
            <v>0</v>
          </cell>
          <cell r="G213">
            <v>1</v>
          </cell>
          <cell r="H213">
            <v>1</v>
          </cell>
          <cell r="I213">
            <v>0</v>
          </cell>
          <cell r="J213">
            <v>0</v>
          </cell>
          <cell r="K213">
            <v>1</v>
          </cell>
          <cell r="L213">
            <v>1</v>
          </cell>
          <cell r="M213">
            <v>0</v>
          </cell>
          <cell r="N213">
            <v>0</v>
          </cell>
          <cell r="O213">
            <v>0</v>
          </cell>
          <cell r="P213">
            <v>1</v>
          </cell>
          <cell r="Q213">
            <v>0</v>
          </cell>
          <cell r="R213" t="str">
            <v>滞涨</v>
          </cell>
          <cell r="S213">
            <v>0</v>
          </cell>
          <cell r="T213">
            <v>0</v>
          </cell>
          <cell r="U213">
            <v>0</v>
          </cell>
          <cell r="V213">
            <v>1</v>
          </cell>
          <cell r="W213" t="str">
            <v>衰退</v>
          </cell>
          <cell r="X213">
            <v>0</v>
          </cell>
          <cell r="Y213">
            <v>0</v>
          </cell>
          <cell r="Z213">
            <v>1</v>
          </cell>
          <cell r="AA213">
            <v>0</v>
          </cell>
          <cell r="AB213" t="str">
            <v>滞涨</v>
          </cell>
        </row>
        <row r="214">
          <cell r="A214">
            <v>43708</v>
          </cell>
          <cell r="B214">
            <v>4.4000000000000004</v>
          </cell>
          <cell r="C214">
            <v>2.8</v>
          </cell>
          <cell r="D214">
            <v>-0.8</v>
          </cell>
          <cell r="E214">
            <v>1.3599999999999999</v>
          </cell>
          <cell r="F214">
            <v>0</v>
          </cell>
          <cell r="G214">
            <v>1</v>
          </cell>
          <cell r="H214">
            <v>1</v>
          </cell>
          <cell r="I214">
            <v>0</v>
          </cell>
          <cell r="J214">
            <v>0</v>
          </cell>
          <cell r="K214">
            <v>1</v>
          </cell>
          <cell r="L214">
            <v>1</v>
          </cell>
          <cell r="M214">
            <v>0</v>
          </cell>
          <cell r="N214">
            <v>0</v>
          </cell>
          <cell r="O214">
            <v>0</v>
          </cell>
          <cell r="P214">
            <v>1</v>
          </cell>
          <cell r="Q214">
            <v>0</v>
          </cell>
          <cell r="R214" t="str">
            <v>滞涨</v>
          </cell>
          <cell r="S214">
            <v>0</v>
          </cell>
          <cell r="T214">
            <v>0</v>
          </cell>
          <cell r="U214">
            <v>0</v>
          </cell>
          <cell r="V214">
            <v>1</v>
          </cell>
          <cell r="W214" t="str">
            <v>衰退</v>
          </cell>
          <cell r="X214">
            <v>0</v>
          </cell>
          <cell r="Y214">
            <v>0</v>
          </cell>
          <cell r="Z214">
            <v>1</v>
          </cell>
          <cell r="AA214">
            <v>0</v>
          </cell>
          <cell r="AB214" t="str">
            <v>滞涨</v>
          </cell>
        </row>
        <row r="215">
          <cell r="A215">
            <v>43738</v>
          </cell>
          <cell r="B215">
            <v>5.8</v>
          </cell>
          <cell r="C215">
            <v>3</v>
          </cell>
          <cell r="D215">
            <v>-1.2</v>
          </cell>
          <cell r="E215">
            <v>1.3199999999999998</v>
          </cell>
          <cell r="F215">
            <v>1</v>
          </cell>
          <cell r="G215">
            <v>0</v>
          </cell>
          <cell r="H215">
            <v>1</v>
          </cell>
          <cell r="I215">
            <v>0</v>
          </cell>
          <cell r="J215">
            <v>0</v>
          </cell>
          <cell r="K215">
            <v>1</v>
          </cell>
          <cell r="L215">
            <v>1</v>
          </cell>
          <cell r="M215">
            <v>0</v>
          </cell>
          <cell r="N215">
            <v>0</v>
          </cell>
          <cell r="O215">
            <v>1</v>
          </cell>
          <cell r="P215">
            <v>0</v>
          </cell>
          <cell r="Q215">
            <v>0</v>
          </cell>
          <cell r="R215" t="str">
            <v>过热</v>
          </cell>
          <cell r="S215">
            <v>1</v>
          </cell>
          <cell r="T215">
            <v>0</v>
          </cell>
          <cell r="U215">
            <v>0</v>
          </cell>
          <cell r="V215">
            <v>0</v>
          </cell>
          <cell r="W215" t="str">
            <v>复苏</v>
          </cell>
          <cell r="X215">
            <v>0</v>
          </cell>
          <cell r="Y215">
            <v>1</v>
          </cell>
          <cell r="Z215">
            <v>0</v>
          </cell>
          <cell r="AA215">
            <v>0</v>
          </cell>
          <cell r="AB215" t="str">
            <v>过热</v>
          </cell>
        </row>
        <row r="216">
          <cell r="A216">
            <v>43769</v>
          </cell>
          <cell r="B216">
            <v>4.7</v>
          </cell>
          <cell r="C216">
            <v>3.8</v>
          </cell>
          <cell r="D216">
            <v>-1.6</v>
          </cell>
          <cell r="E216">
            <v>1.6399999999999997</v>
          </cell>
          <cell r="F216">
            <v>1</v>
          </cell>
          <cell r="G216">
            <v>0</v>
          </cell>
          <cell r="H216">
            <v>1</v>
          </cell>
          <cell r="I216">
            <v>0</v>
          </cell>
          <cell r="J216">
            <v>0</v>
          </cell>
          <cell r="K216">
            <v>1</v>
          </cell>
          <cell r="L216">
            <v>1</v>
          </cell>
          <cell r="M216">
            <v>0</v>
          </cell>
          <cell r="N216">
            <v>0</v>
          </cell>
          <cell r="O216">
            <v>1</v>
          </cell>
          <cell r="P216">
            <v>0</v>
          </cell>
          <cell r="Q216">
            <v>0</v>
          </cell>
          <cell r="R216" t="str">
            <v>过热</v>
          </cell>
          <cell r="S216">
            <v>1</v>
          </cell>
          <cell r="T216">
            <v>0</v>
          </cell>
          <cell r="U216">
            <v>0</v>
          </cell>
          <cell r="V216">
            <v>0</v>
          </cell>
          <cell r="W216" t="str">
            <v>复苏</v>
          </cell>
          <cell r="X216">
            <v>0</v>
          </cell>
          <cell r="Y216">
            <v>1</v>
          </cell>
          <cell r="Z216">
            <v>0</v>
          </cell>
          <cell r="AA216">
            <v>0</v>
          </cell>
          <cell r="AB216" t="str">
            <v>过热</v>
          </cell>
        </row>
        <row r="217">
          <cell r="A217">
            <v>43799</v>
          </cell>
          <cell r="B217">
            <v>6.2</v>
          </cell>
          <cell r="C217">
            <v>4.5</v>
          </cell>
          <cell r="D217">
            <v>-1.4</v>
          </cell>
          <cell r="E217">
            <v>2.1399999999999997</v>
          </cell>
          <cell r="F217">
            <v>1</v>
          </cell>
          <cell r="G217">
            <v>0</v>
          </cell>
          <cell r="H217">
            <v>1</v>
          </cell>
          <cell r="I217">
            <v>0</v>
          </cell>
          <cell r="J217">
            <v>1</v>
          </cell>
          <cell r="K217">
            <v>0</v>
          </cell>
          <cell r="L217">
            <v>1</v>
          </cell>
          <cell r="M217">
            <v>0</v>
          </cell>
          <cell r="N217">
            <v>0</v>
          </cell>
          <cell r="O217">
            <v>1</v>
          </cell>
          <cell r="P217">
            <v>0</v>
          </cell>
          <cell r="Q217">
            <v>0</v>
          </cell>
          <cell r="R217" t="str">
            <v>过热</v>
          </cell>
          <cell r="S217">
            <v>0</v>
          </cell>
          <cell r="T217">
            <v>1</v>
          </cell>
          <cell r="U217">
            <v>0</v>
          </cell>
          <cell r="V217">
            <v>0</v>
          </cell>
          <cell r="W217" t="str">
            <v>过热</v>
          </cell>
          <cell r="X217">
            <v>0</v>
          </cell>
          <cell r="Y217">
            <v>1</v>
          </cell>
          <cell r="Z217">
            <v>0</v>
          </cell>
          <cell r="AA217">
            <v>0</v>
          </cell>
          <cell r="AB217" t="str">
            <v>过热</v>
          </cell>
        </row>
        <row r="218">
          <cell r="A218">
            <v>43830</v>
          </cell>
          <cell r="B218">
            <v>6.9</v>
          </cell>
          <cell r="C218">
            <v>4.5</v>
          </cell>
          <cell r="D218">
            <v>-0.5</v>
          </cell>
          <cell r="E218">
            <v>2.4999999999999996</v>
          </cell>
          <cell r="F218">
            <v>1</v>
          </cell>
          <cell r="G218">
            <v>0</v>
          </cell>
          <cell r="H218">
            <v>1</v>
          </cell>
          <cell r="I218">
            <v>0</v>
          </cell>
          <cell r="J218">
            <v>1</v>
          </cell>
          <cell r="K218">
            <v>0</v>
          </cell>
          <cell r="L218">
            <v>1</v>
          </cell>
          <cell r="M218">
            <v>0</v>
          </cell>
          <cell r="N218">
            <v>0</v>
          </cell>
          <cell r="O218">
            <v>1</v>
          </cell>
          <cell r="P218">
            <v>0</v>
          </cell>
          <cell r="Q218">
            <v>0</v>
          </cell>
          <cell r="R218" t="str">
            <v>过热</v>
          </cell>
          <cell r="S218">
            <v>0</v>
          </cell>
          <cell r="T218">
            <v>1</v>
          </cell>
          <cell r="U218">
            <v>0</v>
          </cell>
          <cell r="V218">
            <v>0</v>
          </cell>
          <cell r="W218" t="str">
            <v>过热</v>
          </cell>
          <cell r="X218">
            <v>0</v>
          </cell>
          <cell r="Y218">
            <v>1</v>
          </cell>
          <cell r="Z218">
            <v>0</v>
          </cell>
          <cell r="AA218">
            <v>0</v>
          </cell>
          <cell r="AB218" t="str">
            <v>过热</v>
          </cell>
        </row>
        <row r="219">
          <cell r="A219">
            <v>43890</v>
          </cell>
          <cell r="B219">
            <v>-13.5</v>
          </cell>
          <cell r="C219">
            <v>5.3</v>
          </cell>
          <cell r="D219">
            <v>-0.2</v>
          </cell>
          <cell r="E219">
            <v>3.0999999999999996</v>
          </cell>
          <cell r="F219">
            <v>1</v>
          </cell>
          <cell r="G219">
            <v>0</v>
          </cell>
          <cell r="H219">
            <v>1</v>
          </cell>
          <cell r="I219">
            <v>0</v>
          </cell>
          <cell r="J219">
            <v>1</v>
          </cell>
          <cell r="K219">
            <v>0</v>
          </cell>
          <cell r="L219">
            <v>1</v>
          </cell>
          <cell r="M219">
            <v>0</v>
          </cell>
          <cell r="N219">
            <v>0</v>
          </cell>
          <cell r="O219">
            <v>1</v>
          </cell>
          <cell r="P219">
            <v>0</v>
          </cell>
          <cell r="Q219">
            <v>0</v>
          </cell>
          <cell r="R219" t="str">
            <v>过热</v>
          </cell>
          <cell r="S219">
            <v>0</v>
          </cell>
          <cell r="T219">
            <v>1</v>
          </cell>
          <cell r="U219">
            <v>0</v>
          </cell>
          <cell r="V219">
            <v>0</v>
          </cell>
          <cell r="W219" t="str">
            <v>过热</v>
          </cell>
          <cell r="X219">
            <v>0</v>
          </cell>
          <cell r="Y219">
            <v>1</v>
          </cell>
          <cell r="Z219">
            <v>0</v>
          </cell>
          <cell r="AA219">
            <v>0</v>
          </cell>
          <cell r="AB219" t="str">
            <v>过热</v>
          </cell>
        </row>
        <row r="220">
          <cell r="A220">
            <v>43921</v>
          </cell>
          <cell r="B220">
            <v>-1.1000000000000001</v>
          </cell>
          <cell r="C220">
            <v>4.3</v>
          </cell>
          <cell r="D220">
            <v>-1.5</v>
          </cell>
          <cell r="E220">
            <v>1.9799999999999995</v>
          </cell>
          <cell r="F220">
            <v>1</v>
          </cell>
          <cell r="G220">
            <v>0</v>
          </cell>
          <cell r="H220">
            <v>0</v>
          </cell>
          <cell r="I220">
            <v>1</v>
          </cell>
          <cell r="J220">
            <v>0</v>
          </cell>
          <cell r="K220">
            <v>1</v>
          </cell>
          <cell r="L220">
            <v>0</v>
          </cell>
          <cell r="M220">
            <v>1</v>
          </cell>
          <cell r="N220">
            <v>1</v>
          </cell>
          <cell r="O220">
            <v>0</v>
          </cell>
          <cell r="P220">
            <v>0</v>
          </cell>
          <cell r="Q220">
            <v>0</v>
          </cell>
          <cell r="R220" t="str">
            <v>复苏</v>
          </cell>
          <cell r="S220">
            <v>1</v>
          </cell>
          <cell r="T220">
            <v>0</v>
          </cell>
          <cell r="U220">
            <v>0</v>
          </cell>
          <cell r="V220">
            <v>0</v>
          </cell>
          <cell r="W220" t="str">
            <v>复苏</v>
          </cell>
          <cell r="X220">
            <v>1</v>
          </cell>
          <cell r="Y220">
            <v>0</v>
          </cell>
          <cell r="Z220">
            <v>0</v>
          </cell>
          <cell r="AA220">
            <v>0</v>
          </cell>
          <cell r="AB220" t="str">
            <v>复苏</v>
          </cell>
        </row>
        <row r="221">
          <cell r="A221">
            <v>43951</v>
          </cell>
          <cell r="B221">
            <v>3.9</v>
          </cell>
          <cell r="C221">
            <v>3.3</v>
          </cell>
          <cell r="D221">
            <v>-3.1</v>
          </cell>
          <cell r="E221">
            <v>0.73999999999999955</v>
          </cell>
          <cell r="F221">
            <v>1</v>
          </cell>
          <cell r="G221">
            <v>0</v>
          </cell>
          <cell r="H221">
            <v>0</v>
          </cell>
          <cell r="I221">
            <v>1</v>
          </cell>
          <cell r="J221">
            <v>0</v>
          </cell>
          <cell r="K221">
            <v>1</v>
          </cell>
          <cell r="L221">
            <v>0</v>
          </cell>
          <cell r="M221">
            <v>1</v>
          </cell>
          <cell r="N221">
            <v>1</v>
          </cell>
          <cell r="O221">
            <v>0</v>
          </cell>
          <cell r="P221">
            <v>0</v>
          </cell>
          <cell r="Q221">
            <v>0</v>
          </cell>
          <cell r="R221" t="str">
            <v>复苏</v>
          </cell>
          <cell r="S221">
            <v>1</v>
          </cell>
          <cell r="T221">
            <v>0</v>
          </cell>
          <cell r="U221">
            <v>0</v>
          </cell>
          <cell r="V221">
            <v>0</v>
          </cell>
          <cell r="W221" t="str">
            <v>复苏</v>
          </cell>
          <cell r="X221">
            <v>1</v>
          </cell>
          <cell r="Y221">
            <v>0</v>
          </cell>
          <cell r="Z221">
            <v>0</v>
          </cell>
          <cell r="AA221">
            <v>0</v>
          </cell>
          <cell r="AB221" t="str">
            <v>复苏</v>
          </cell>
        </row>
        <row r="222">
          <cell r="A222">
            <v>43982</v>
          </cell>
          <cell r="B222">
            <v>4.4000000000000004</v>
          </cell>
          <cell r="C222">
            <v>2.4</v>
          </cell>
          <cell r="D222">
            <v>-3.7</v>
          </cell>
          <cell r="E222">
            <v>-4.0000000000000258E-2</v>
          </cell>
          <cell r="F222">
            <v>1</v>
          </cell>
          <cell r="G222">
            <v>0</v>
          </cell>
          <cell r="H222">
            <v>0</v>
          </cell>
          <cell r="I222">
            <v>1</v>
          </cell>
          <cell r="J222">
            <v>0</v>
          </cell>
          <cell r="K222">
            <v>1</v>
          </cell>
          <cell r="L222">
            <v>0</v>
          </cell>
          <cell r="M222">
            <v>1</v>
          </cell>
          <cell r="N222">
            <v>1</v>
          </cell>
          <cell r="O222">
            <v>0</v>
          </cell>
          <cell r="P222">
            <v>0</v>
          </cell>
          <cell r="Q222">
            <v>0</v>
          </cell>
          <cell r="R222" t="str">
            <v>复苏</v>
          </cell>
          <cell r="S222">
            <v>1</v>
          </cell>
          <cell r="T222">
            <v>0</v>
          </cell>
          <cell r="U222">
            <v>0</v>
          </cell>
          <cell r="V222">
            <v>0</v>
          </cell>
          <cell r="W222" t="str">
            <v>复苏</v>
          </cell>
          <cell r="X222">
            <v>1</v>
          </cell>
          <cell r="Y222">
            <v>0</v>
          </cell>
          <cell r="Z222">
            <v>0</v>
          </cell>
          <cell r="AA222">
            <v>0</v>
          </cell>
          <cell r="AB222" t="str">
            <v>复苏</v>
          </cell>
        </row>
        <row r="223">
          <cell r="A223">
            <v>44012</v>
          </cell>
          <cell r="B223">
            <v>4.8</v>
          </cell>
          <cell r="C223">
            <v>2.5</v>
          </cell>
          <cell r="D223">
            <v>-3</v>
          </cell>
          <cell r="E223">
            <v>0.29999999999999982</v>
          </cell>
          <cell r="F223">
            <v>1</v>
          </cell>
          <cell r="G223">
            <v>0</v>
          </cell>
          <cell r="H223">
            <v>0</v>
          </cell>
          <cell r="I223">
            <v>1</v>
          </cell>
          <cell r="J223">
            <v>1</v>
          </cell>
          <cell r="K223">
            <v>0</v>
          </cell>
          <cell r="L223">
            <v>0</v>
          </cell>
          <cell r="M223">
            <v>1</v>
          </cell>
          <cell r="N223">
            <v>1</v>
          </cell>
          <cell r="O223">
            <v>0</v>
          </cell>
          <cell r="P223">
            <v>0</v>
          </cell>
          <cell r="Q223">
            <v>0</v>
          </cell>
          <cell r="R223" t="str">
            <v>复苏</v>
          </cell>
          <cell r="S223">
            <v>0</v>
          </cell>
          <cell r="T223">
            <v>1</v>
          </cell>
          <cell r="U223">
            <v>0</v>
          </cell>
          <cell r="V223">
            <v>0</v>
          </cell>
          <cell r="W223" t="str">
            <v>过热</v>
          </cell>
          <cell r="X223">
            <v>1</v>
          </cell>
          <cell r="Y223">
            <v>0</v>
          </cell>
          <cell r="Z223">
            <v>0</v>
          </cell>
          <cell r="AA223">
            <v>0</v>
          </cell>
          <cell r="AB223" t="str">
            <v>复苏</v>
          </cell>
        </row>
        <row r="224">
          <cell r="A224">
            <v>44043</v>
          </cell>
          <cell r="B224">
            <v>4.8</v>
          </cell>
          <cell r="C224">
            <v>2.7</v>
          </cell>
          <cell r="D224">
            <v>-2.4</v>
          </cell>
          <cell r="E224">
            <v>0.66000000000000014</v>
          </cell>
          <cell r="F224">
            <v>1</v>
          </cell>
          <cell r="G224">
            <v>0</v>
          </cell>
          <cell r="H224">
            <v>0</v>
          </cell>
          <cell r="I224">
            <v>1</v>
          </cell>
          <cell r="J224">
            <v>1</v>
          </cell>
          <cell r="K224">
            <v>0</v>
          </cell>
          <cell r="L224">
            <v>0</v>
          </cell>
          <cell r="M224">
            <v>1</v>
          </cell>
          <cell r="N224">
            <v>1</v>
          </cell>
          <cell r="O224">
            <v>0</v>
          </cell>
          <cell r="P224">
            <v>0</v>
          </cell>
          <cell r="Q224">
            <v>0</v>
          </cell>
          <cell r="R224" t="str">
            <v>复苏</v>
          </cell>
          <cell r="S224">
            <v>0</v>
          </cell>
          <cell r="T224">
            <v>1</v>
          </cell>
          <cell r="U224">
            <v>0</v>
          </cell>
          <cell r="V224">
            <v>0</v>
          </cell>
          <cell r="W224" t="str">
            <v>过热</v>
          </cell>
          <cell r="X224">
            <v>1</v>
          </cell>
          <cell r="Y224">
            <v>0</v>
          </cell>
          <cell r="Z224">
            <v>0</v>
          </cell>
          <cell r="AA224">
            <v>0</v>
          </cell>
          <cell r="AB224" t="str">
            <v>复苏</v>
          </cell>
        </row>
        <row r="225">
          <cell r="A225">
            <v>44074</v>
          </cell>
          <cell r="B225">
            <v>5.6</v>
          </cell>
          <cell r="C225">
            <v>2.4</v>
          </cell>
          <cell r="D225">
            <v>-2</v>
          </cell>
          <cell r="E225">
            <v>0.6399999999999999</v>
          </cell>
          <cell r="F225">
            <v>1</v>
          </cell>
          <cell r="G225">
            <v>0</v>
          </cell>
          <cell r="H225">
            <v>0</v>
          </cell>
          <cell r="I225">
            <v>1</v>
          </cell>
          <cell r="J225">
            <v>1</v>
          </cell>
          <cell r="K225">
            <v>0</v>
          </cell>
          <cell r="L225">
            <v>0</v>
          </cell>
          <cell r="M225">
            <v>1</v>
          </cell>
          <cell r="N225">
            <v>1</v>
          </cell>
          <cell r="O225">
            <v>0</v>
          </cell>
          <cell r="P225">
            <v>0</v>
          </cell>
          <cell r="Q225">
            <v>0</v>
          </cell>
          <cell r="R225" t="str">
            <v>复苏</v>
          </cell>
          <cell r="S225">
            <v>0</v>
          </cell>
          <cell r="T225">
            <v>1</v>
          </cell>
          <cell r="U225">
            <v>0</v>
          </cell>
          <cell r="V225">
            <v>0</v>
          </cell>
          <cell r="W225" t="str">
            <v>过热</v>
          </cell>
          <cell r="X225">
            <v>1</v>
          </cell>
          <cell r="Y225">
            <v>0</v>
          </cell>
          <cell r="Z225">
            <v>0</v>
          </cell>
          <cell r="AA225">
            <v>0</v>
          </cell>
          <cell r="AB225" t="str">
            <v>复苏</v>
          </cell>
        </row>
        <row r="226">
          <cell r="A226">
            <v>44104</v>
          </cell>
          <cell r="B226">
            <v>6.9</v>
          </cell>
          <cell r="C226">
            <v>1.7</v>
          </cell>
          <cell r="D226">
            <v>-2.1</v>
          </cell>
          <cell r="E226">
            <v>0.17999999999999994</v>
          </cell>
          <cell r="F226">
            <v>1</v>
          </cell>
          <cell r="G226">
            <v>0</v>
          </cell>
          <cell r="H226">
            <v>0</v>
          </cell>
          <cell r="I226">
            <v>1</v>
          </cell>
          <cell r="J226">
            <v>1</v>
          </cell>
          <cell r="K226">
            <v>0</v>
          </cell>
          <cell r="L226">
            <v>0</v>
          </cell>
          <cell r="M226">
            <v>1</v>
          </cell>
          <cell r="N226">
            <v>1</v>
          </cell>
          <cell r="O226">
            <v>0</v>
          </cell>
          <cell r="P226">
            <v>0</v>
          </cell>
          <cell r="Q226">
            <v>0</v>
          </cell>
          <cell r="R226" t="str">
            <v>复苏</v>
          </cell>
          <cell r="S226">
            <v>0</v>
          </cell>
          <cell r="T226">
            <v>1</v>
          </cell>
          <cell r="U226">
            <v>0</v>
          </cell>
          <cell r="V226">
            <v>0</v>
          </cell>
          <cell r="W226" t="str">
            <v>过热</v>
          </cell>
          <cell r="X226">
            <v>1</v>
          </cell>
          <cell r="Y226">
            <v>0</v>
          </cell>
          <cell r="Z226">
            <v>0</v>
          </cell>
          <cell r="AA226">
            <v>0</v>
          </cell>
          <cell r="AB226" t="str">
            <v>复苏</v>
          </cell>
        </row>
        <row r="227">
          <cell r="A227">
            <v>44135</v>
          </cell>
          <cell r="B227">
            <v>6.9</v>
          </cell>
          <cell r="C227">
            <v>0.5</v>
          </cell>
          <cell r="D227">
            <v>-2.1</v>
          </cell>
          <cell r="E227">
            <v>-0.54</v>
          </cell>
          <cell r="F227">
            <v>1</v>
          </cell>
          <cell r="G227">
            <v>0</v>
          </cell>
          <cell r="H227">
            <v>0</v>
          </cell>
          <cell r="I227">
            <v>1</v>
          </cell>
          <cell r="J227">
            <v>1</v>
          </cell>
          <cell r="K227">
            <v>0</v>
          </cell>
          <cell r="L227">
            <v>0</v>
          </cell>
          <cell r="M227">
            <v>1</v>
          </cell>
          <cell r="N227">
            <v>1</v>
          </cell>
          <cell r="O227">
            <v>0</v>
          </cell>
          <cell r="P227">
            <v>0</v>
          </cell>
          <cell r="Q227">
            <v>0</v>
          </cell>
          <cell r="R227" t="str">
            <v>复苏</v>
          </cell>
          <cell r="S227">
            <v>0</v>
          </cell>
          <cell r="T227">
            <v>1</v>
          </cell>
          <cell r="U227">
            <v>0</v>
          </cell>
          <cell r="V227">
            <v>0</v>
          </cell>
          <cell r="W227" t="str">
            <v>过热</v>
          </cell>
          <cell r="X227">
            <v>1</v>
          </cell>
          <cell r="Y227">
            <v>0</v>
          </cell>
          <cell r="Z227">
            <v>0</v>
          </cell>
          <cell r="AA227">
            <v>0</v>
          </cell>
          <cell r="AB227" t="str">
            <v>复苏</v>
          </cell>
        </row>
        <row r="228">
          <cell r="A228">
            <v>44165</v>
          </cell>
          <cell r="B228">
            <v>7</v>
          </cell>
          <cell r="C228">
            <v>-0.5</v>
          </cell>
          <cell r="D228">
            <v>-1.5</v>
          </cell>
          <cell r="E228">
            <v>-0.90000000000000013</v>
          </cell>
          <cell r="F228">
            <v>1</v>
          </cell>
          <cell r="G228">
            <v>0</v>
          </cell>
          <cell r="H228">
            <v>0</v>
          </cell>
          <cell r="I228">
            <v>1</v>
          </cell>
          <cell r="J228">
            <v>1</v>
          </cell>
          <cell r="K228">
            <v>0</v>
          </cell>
          <cell r="L228">
            <v>0</v>
          </cell>
          <cell r="M228">
            <v>1</v>
          </cell>
          <cell r="N228">
            <v>1</v>
          </cell>
          <cell r="O228">
            <v>0</v>
          </cell>
          <cell r="P228">
            <v>0</v>
          </cell>
          <cell r="Q228">
            <v>0</v>
          </cell>
          <cell r="R228" t="str">
            <v>复苏</v>
          </cell>
          <cell r="S228">
            <v>0</v>
          </cell>
          <cell r="T228">
            <v>1</v>
          </cell>
          <cell r="U228">
            <v>0</v>
          </cell>
          <cell r="V228">
            <v>0</v>
          </cell>
          <cell r="W228" t="str">
            <v>过热</v>
          </cell>
          <cell r="X228">
            <v>1</v>
          </cell>
          <cell r="Y228">
            <v>0</v>
          </cell>
          <cell r="Z228">
            <v>0</v>
          </cell>
          <cell r="AA228">
            <v>0</v>
          </cell>
          <cell r="AB228" t="str">
            <v>复苏</v>
          </cell>
        </row>
        <row r="229">
          <cell r="A229">
            <v>44196</v>
          </cell>
          <cell r="B229">
            <v>7.3</v>
          </cell>
          <cell r="C229">
            <v>0.2</v>
          </cell>
          <cell r="D229">
            <v>-0.4</v>
          </cell>
          <cell r="E229">
            <v>-4.0000000000000036E-2</v>
          </cell>
          <cell r="F229">
            <v>1</v>
          </cell>
          <cell r="G229">
            <v>0</v>
          </cell>
          <cell r="H229">
            <v>1</v>
          </cell>
          <cell r="I229">
            <v>0</v>
          </cell>
          <cell r="J229">
            <v>1</v>
          </cell>
          <cell r="K229">
            <v>0</v>
          </cell>
          <cell r="L229">
            <v>1</v>
          </cell>
          <cell r="M229">
            <v>0</v>
          </cell>
          <cell r="N229">
            <v>0</v>
          </cell>
          <cell r="O229">
            <v>1</v>
          </cell>
          <cell r="P229">
            <v>0</v>
          </cell>
          <cell r="Q229">
            <v>0</v>
          </cell>
          <cell r="R229" t="str">
            <v>过热</v>
          </cell>
          <cell r="S229">
            <v>0</v>
          </cell>
          <cell r="T229">
            <v>1</v>
          </cell>
          <cell r="U229">
            <v>0</v>
          </cell>
          <cell r="V229">
            <v>0</v>
          </cell>
          <cell r="W229" t="str">
            <v>过热</v>
          </cell>
          <cell r="X229">
            <v>0</v>
          </cell>
          <cell r="Y229">
            <v>1</v>
          </cell>
          <cell r="Z229">
            <v>0</v>
          </cell>
          <cell r="AA229">
            <v>0</v>
          </cell>
          <cell r="AB229" t="str">
            <v>过热</v>
          </cell>
        </row>
        <row r="230">
          <cell r="A230">
            <v>44255</v>
          </cell>
          <cell r="B230">
            <v>35.1</v>
          </cell>
          <cell r="C230">
            <v>-0.3</v>
          </cell>
          <cell r="D230">
            <v>1</v>
          </cell>
          <cell r="E230">
            <v>0.22000000000000003</v>
          </cell>
          <cell r="F230">
            <v>1</v>
          </cell>
          <cell r="G230">
            <v>0</v>
          </cell>
          <cell r="H230">
            <v>1</v>
          </cell>
          <cell r="I230">
            <v>0</v>
          </cell>
          <cell r="J230">
            <v>1</v>
          </cell>
          <cell r="K230">
            <v>0</v>
          </cell>
          <cell r="L230">
            <v>1</v>
          </cell>
          <cell r="M230">
            <v>0</v>
          </cell>
          <cell r="N230">
            <v>0</v>
          </cell>
          <cell r="O230">
            <v>1</v>
          </cell>
          <cell r="P230">
            <v>0</v>
          </cell>
          <cell r="Q230">
            <v>0</v>
          </cell>
          <cell r="R230" t="str">
            <v>过热</v>
          </cell>
          <cell r="S230">
            <v>0</v>
          </cell>
          <cell r="T230">
            <v>1</v>
          </cell>
          <cell r="U230">
            <v>0</v>
          </cell>
          <cell r="V230">
            <v>0</v>
          </cell>
          <cell r="W230" t="str">
            <v>过热</v>
          </cell>
          <cell r="X230">
            <v>0</v>
          </cell>
          <cell r="Y230">
            <v>1</v>
          </cell>
          <cell r="Z230">
            <v>0</v>
          </cell>
          <cell r="AA230">
            <v>0</v>
          </cell>
          <cell r="AB230" t="str">
            <v>过热</v>
          </cell>
        </row>
        <row r="231">
          <cell r="A231">
            <v>44286</v>
          </cell>
          <cell r="B231">
            <v>14.1</v>
          </cell>
          <cell r="C231">
            <v>0.4</v>
          </cell>
          <cell r="D231">
            <v>4.4000000000000004</v>
          </cell>
          <cell r="E231">
            <v>2</v>
          </cell>
          <cell r="F231">
            <v>0</v>
          </cell>
          <cell r="G231">
            <v>1</v>
          </cell>
          <cell r="H231">
            <v>1</v>
          </cell>
          <cell r="I231">
            <v>0</v>
          </cell>
          <cell r="J231">
            <v>1</v>
          </cell>
          <cell r="K231">
            <v>0</v>
          </cell>
          <cell r="L231">
            <v>1</v>
          </cell>
          <cell r="M231">
            <v>0</v>
          </cell>
          <cell r="N231">
            <v>0</v>
          </cell>
          <cell r="O231">
            <v>0</v>
          </cell>
          <cell r="P231">
            <v>1</v>
          </cell>
          <cell r="Q231">
            <v>0</v>
          </cell>
          <cell r="R231" t="str">
            <v>滞涨</v>
          </cell>
          <cell r="S231">
            <v>0</v>
          </cell>
          <cell r="T231">
            <v>0</v>
          </cell>
          <cell r="U231">
            <v>1</v>
          </cell>
          <cell r="V231">
            <v>0</v>
          </cell>
          <cell r="W231" t="str">
            <v>滞涨</v>
          </cell>
          <cell r="X231">
            <v>0</v>
          </cell>
          <cell r="Y231">
            <v>0</v>
          </cell>
          <cell r="Z231">
            <v>1</v>
          </cell>
          <cell r="AA231">
            <v>0</v>
          </cell>
          <cell r="AB231" t="str">
            <v>滞涨</v>
          </cell>
        </row>
        <row r="232">
          <cell r="A232">
            <v>44316</v>
          </cell>
          <cell r="B232">
            <v>9.8000000000000007</v>
          </cell>
          <cell r="C232">
            <v>0.9</v>
          </cell>
          <cell r="D232">
            <v>6.8</v>
          </cell>
          <cell r="E232">
            <v>3.2600000000000002</v>
          </cell>
          <cell r="F232">
            <v>0</v>
          </cell>
          <cell r="G232">
            <v>1</v>
          </cell>
          <cell r="H232">
            <v>1</v>
          </cell>
          <cell r="I232">
            <v>0</v>
          </cell>
          <cell r="J232">
            <v>1</v>
          </cell>
          <cell r="K232">
            <v>0</v>
          </cell>
          <cell r="L232">
            <v>1</v>
          </cell>
          <cell r="M232">
            <v>0</v>
          </cell>
          <cell r="N232">
            <v>0</v>
          </cell>
          <cell r="O232">
            <v>0</v>
          </cell>
          <cell r="P232">
            <v>1</v>
          </cell>
          <cell r="Q232">
            <v>0</v>
          </cell>
          <cell r="R232" t="str">
            <v>滞涨</v>
          </cell>
          <cell r="S232">
            <v>0</v>
          </cell>
          <cell r="T232">
            <v>0</v>
          </cell>
          <cell r="U232">
            <v>1</v>
          </cell>
          <cell r="V232">
            <v>0</v>
          </cell>
          <cell r="W232" t="str">
            <v>滞涨</v>
          </cell>
          <cell r="X232">
            <v>0</v>
          </cell>
          <cell r="Y232">
            <v>0</v>
          </cell>
          <cell r="Z232">
            <v>1</v>
          </cell>
          <cell r="AA232">
            <v>0</v>
          </cell>
          <cell r="AB232" t="str">
            <v>滞涨</v>
          </cell>
        </row>
        <row r="233">
          <cell r="A233">
            <v>44347</v>
          </cell>
          <cell r="B233">
            <v>8.8000000000000007</v>
          </cell>
          <cell r="C233">
            <v>1.3</v>
          </cell>
          <cell r="D233">
            <v>9</v>
          </cell>
          <cell r="E233">
            <v>4.38</v>
          </cell>
          <cell r="F233">
            <v>0</v>
          </cell>
          <cell r="G233">
            <v>1</v>
          </cell>
          <cell r="H233">
            <v>1</v>
          </cell>
          <cell r="I233">
            <v>0</v>
          </cell>
          <cell r="J233">
            <v>1</v>
          </cell>
          <cell r="K233">
            <v>0</v>
          </cell>
          <cell r="L233">
            <v>1</v>
          </cell>
          <cell r="M233">
            <v>0</v>
          </cell>
          <cell r="N233">
            <v>0</v>
          </cell>
          <cell r="O233">
            <v>0</v>
          </cell>
          <cell r="P233">
            <v>1</v>
          </cell>
          <cell r="Q233">
            <v>0</v>
          </cell>
          <cell r="R233" t="str">
            <v>滞涨</v>
          </cell>
          <cell r="S233">
            <v>0</v>
          </cell>
          <cell r="T233">
            <v>0</v>
          </cell>
          <cell r="U233">
            <v>1</v>
          </cell>
          <cell r="V233">
            <v>0</v>
          </cell>
          <cell r="W233" t="str">
            <v>滞涨</v>
          </cell>
          <cell r="X233">
            <v>0</v>
          </cell>
          <cell r="Y233">
            <v>0</v>
          </cell>
          <cell r="Z233">
            <v>1</v>
          </cell>
          <cell r="AA233">
            <v>0</v>
          </cell>
          <cell r="AB233" t="str">
            <v>滞涨</v>
          </cell>
        </row>
        <row r="234">
          <cell r="A234">
            <v>44377</v>
          </cell>
          <cell r="B234">
            <v>8.3000000000000007</v>
          </cell>
          <cell r="C234">
            <v>1.1000000000000001</v>
          </cell>
          <cell r="D234">
            <v>8.8000000000000007</v>
          </cell>
          <cell r="E234">
            <v>4.1800000000000006</v>
          </cell>
          <cell r="F234">
            <v>0</v>
          </cell>
          <cell r="G234">
            <v>1</v>
          </cell>
          <cell r="H234">
            <v>0</v>
          </cell>
          <cell r="I234">
            <v>1</v>
          </cell>
          <cell r="J234">
            <v>1</v>
          </cell>
          <cell r="K234">
            <v>0</v>
          </cell>
          <cell r="L234">
            <v>1</v>
          </cell>
          <cell r="M234">
            <v>0</v>
          </cell>
          <cell r="N234">
            <v>0</v>
          </cell>
          <cell r="O234">
            <v>0</v>
          </cell>
          <cell r="P234">
            <v>0</v>
          </cell>
          <cell r="Q234">
            <v>1</v>
          </cell>
          <cell r="R234" t="str">
            <v>衰退</v>
          </cell>
          <cell r="S234">
            <v>0</v>
          </cell>
          <cell r="T234">
            <v>0</v>
          </cell>
          <cell r="U234">
            <v>1</v>
          </cell>
          <cell r="V234">
            <v>0</v>
          </cell>
          <cell r="W234" t="str">
            <v>滞涨</v>
          </cell>
          <cell r="X234">
            <v>0</v>
          </cell>
          <cell r="Y234">
            <v>0</v>
          </cell>
          <cell r="Z234">
            <v>1</v>
          </cell>
          <cell r="AA234">
            <v>0</v>
          </cell>
          <cell r="AB234" t="str">
            <v>滞涨</v>
          </cell>
        </row>
        <row r="235">
          <cell r="A235">
            <v>44408</v>
          </cell>
          <cell r="B235">
            <v>6.4</v>
          </cell>
          <cell r="C235">
            <v>1</v>
          </cell>
          <cell r="D235">
            <v>9</v>
          </cell>
          <cell r="E235">
            <v>4.2</v>
          </cell>
          <cell r="F235">
            <v>0</v>
          </cell>
          <cell r="G235">
            <v>1</v>
          </cell>
          <cell r="H235">
            <v>0</v>
          </cell>
          <cell r="I235">
            <v>1</v>
          </cell>
          <cell r="J235">
            <v>1</v>
          </cell>
          <cell r="K235">
            <v>0</v>
          </cell>
          <cell r="L235">
            <v>1</v>
          </cell>
          <cell r="M235">
            <v>0</v>
          </cell>
          <cell r="N235">
            <v>0</v>
          </cell>
          <cell r="O235">
            <v>0</v>
          </cell>
          <cell r="P235">
            <v>0</v>
          </cell>
          <cell r="Q235">
            <v>1</v>
          </cell>
          <cell r="R235" t="str">
            <v>衰退</v>
          </cell>
          <cell r="S235">
            <v>0</v>
          </cell>
          <cell r="T235">
            <v>0</v>
          </cell>
          <cell r="U235">
            <v>1</v>
          </cell>
          <cell r="V235">
            <v>0</v>
          </cell>
          <cell r="W235" t="str">
            <v>滞涨</v>
          </cell>
          <cell r="X235">
            <v>0</v>
          </cell>
          <cell r="Y235">
            <v>0</v>
          </cell>
          <cell r="Z235">
            <v>1</v>
          </cell>
          <cell r="AA235">
            <v>0</v>
          </cell>
          <cell r="AB235" t="str">
            <v>滞涨</v>
          </cell>
        </row>
        <row r="236">
          <cell r="A236">
            <v>44439</v>
          </cell>
          <cell r="B236">
            <v>5.3</v>
          </cell>
          <cell r="C236">
            <v>0.8</v>
          </cell>
          <cell r="D236">
            <v>9.5</v>
          </cell>
          <cell r="E236">
            <v>4.28</v>
          </cell>
          <cell r="F236">
            <v>0</v>
          </cell>
          <cell r="G236">
            <v>1</v>
          </cell>
          <cell r="H236">
            <v>0</v>
          </cell>
          <cell r="I236">
            <v>1</v>
          </cell>
          <cell r="J236">
            <v>1</v>
          </cell>
          <cell r="K236">
            <v>0</v>
          </cell>
          <cell r="L236">
            <v>1</v>
          </cell>
          <cell r="M236">
            <v>0</v>
          </cell>
          <cell r="N236">
            <v>0</v>
          </cell>
          <cell r="O236">
            <v>0</v>
          </cell>
          <cell r="P236">
            <v>0</v>
          </cell>
          <cell r="Q236">
            <v>1</v>
          </cell>
          <cell r="R236" t="str">
            <v>衰退</v>
          </cell>
          <cell r="S236">
            <v>0</v>
          </cell>
          <cell r="T236">
            <v>0</v>
          </cell>
          <cell r="U236">
            <v>1</v>
          </cell>
          <cell r="V236">
            <v>0</v>
          </cell>
          <cell r="W236" t="str">
            <v>滞涨</v>
          </cell>
          <cell r="X236">
            <v>0</v>
          </cell>
          <cell r="Y236">
            <v>0</v>
          </cell>
          <cell r="Z236">
            <v>1</v>
          </cell>
          <cell r="AA236">
            <v>0</v>
          </cell>
          <cell r="AB236" t="str">
            <v>滞涨</v>
          </cell>
        </row>
        <row r="237">
          <cell r="A237">
            <v>44469</v>
          </cell>
          <cell r="B237">
            <v>3.1</v>
          </cell>
          <cell r="C237">
            <v>0.7</v>
          </cell>
          <cell r="D237">
            <v>10.7</v>
          </cell>
          <cell r="E237">
            <v>4.7</v>
          </cell>
          <cell r="F237">
            <v>0</v>
          </cell>
          <cell r="G237">
            <v>1</v>
          </cell>
          <cell r="H237">
            <v>0</v>
          </cell>
          <cell r="I237">
            <v>1</v>
          </cell>
          <cell r="J237">
            <v>1</v>
          </cell>
          <cell r="K237">
            <v>0</v>
          </cell>
          <cell r="L237">
            <v>1</v>
          </cell>
          <cell r="M237">
            <v>0</v>
          </cell>
          <cell r="N237">
            <v>0</v>
          </cell>
          <cell r="O237">
            <v>0</v>
          </cell>
          <cell r="P237">
            <v>0</v>
          </cell>
          <cell r="Q237">
            <v>1</v>
          </cell>
          <cell r="R237" t="str">
            <v>衰退</v>
          </cell>
          <cell r="S237">
            <v>0</v>
          </cell>
          <cell r="T237">
            <v>0</v>
          </cell>
          <cell r="U237">
            <v>1</v>
          </cell>
          <cell r="V237">
            <v>0</v>
          </cell>
          <cell r="W237" t="str">
            <v>滞涨</v>
          </cell>
          <cell r="X237">
            <v>0</v>
          </cell>
          <cell r="Y237">
            <v>0</v>
          </cell>
          <cell r="Z237">
            <v>1</v>
          </cell>
          <cell r="AA237">
            <v>0</v>
          </cell>
          <cell r="AB237" t="str">
            <v>滞涨</v>
          </cell>
        </row>
        <row r="238">
          <cell r="A238">
            <v>44500</v>
          </cell>
          <cell r="B238">
            <v>3.5</v>
          </cell>
          <cell r="C238">
            <v>1.5</v>
          </cell>
          <cell r="D238">
            <v>13.5</v>
          </cell>
          <cell r="E238">
            <v>6.3000000000000007</v>
          </cell>
          <cell r="F238">
            <v>1</v>
          </cell>
          <cell r="G238">
            <v>0</v>
          </cell>
          <cell r="H238">
            <v>1</v>
          </cell>
          <cell r="I238">
            <v>0</v>
          </cell>
          <cell r="J238">
            <v>1</v>
          </cell>
          <cell r="K238">
            <v>0</v>
          </cell>
          <cell r="L238">
            <v>1</v>
          </cell>
          <cell r="M238">
            <v>0</v>
          </cell>
          <cell r="N238">
            <v>0</v>
          </cell>
          <cell r="O238">
            <v>1</v>
          </cell>
          <cell r="P238">
            <v>0</v>
          </cell>
          <cell r="Q238">
            <v>0</v>
          </cell>
          <cell r="R238" t="str">
            <v>过热</v>
          </cell>
          <cell r="S238">
            <v>0</v>
          </cell>
          <cell r="T238">
            <v>1</v>
          </cell>
          <cell r="U238">
            <v>0</v>
          </cell>
          <cell r="V238">
            <v>0</v>
          </cell>
          <cell r="W238" t="str">
            <v>过热</v>
          </cell>
          <cell r="X238">
            <v>0</v>
          </cell>
          <cell r="Y238">
            <v>1</v>
          </cell>
          <cell r="Z238">
            <v>0</v>
          </cell>
          <cell r="AA238">
            <v>0</v>
          </cell>
          <cell r="AB238" t="str">
            <v>过热</v>
          </cell>
        </row>
        <row r="239">
          <cell r="A239">
            <v>44530</v>
          </cell>
          <cell r="B239">
            <v>3.8</v>
          </cell>
          <cell r="C239">
            <v>2.2999999999999998</v>
          </cell>
          <cell r="D239">
            <v>12.9</v>
          </cell>
          <cell r="E239">
            <v>6.54</v>
          </cell>
          <cell r="F239">
            <v>1</v>
          </cell>
          <cell r="G239">
            <v>0</v>
          </cell>
          <cell r="H239">
            <v>1</v>
          </cell>
          <cell r="I239">
            <v>0</v>
          </cell>
          <cell r="J239">
            <v>0</v>
          </cell>
          <cell r="K239">
            <v>1</v>
          </cell>
          <cell r="L239">
            <v>1</v>
          </cell>
          <cell r="M239">
            <v>0</v>
          </cell>
          <cell r="N239">
            <v>0</v>
          </cell>
          <cell r="O239">
            <v>1</v>
          </cell>
          <cell r="P239">
            <v>0</v>
          </cell>
          <cell r="Q239">
            <v>0</v>
          </cell>
          <cell r="R239" t="str">
            <v>过热</v>
          </cell>
          <cell r="S239">
            <v>1</v>
          </cell>
          <cell r="T239">
            <v>0</v>
          </cell>
          <cell r="U239">
            <v>0</v>
          </cell>
          <cell r="V239">
            <v>0</v>
          </cell>
          <cell r="W239" t="str">
            <v>复苏</v>
          </cell>
          <cell r="X239">
            <v>0</v>
          </cell>
          <cell r="Y239">
            <v>1</v>
          </cell>
          <cell r="Z239">
            <v>0</v>
          </cell>
          <cell r="AA239">
            <v>0</v>
          </cell>
          <cell r="AB239" t="str">
            <v>过热</v>
          </cell>
        </row>
        <row r="240">
          <cell r="A240">
            <v>44561</v>
          </cell>
          <cell r="B240">
            <v>4.3</v>
          </cell>
          <cell r="C240">
            <v>1.5</v>
          </cell>
          <cell r="D240">
            <v>10.3</v>
          </cell>
          <cell r="E240">
            <v>5.0199999999999996</v>
          </cell>
          <cell r="F240">
            <v>1</v>
          </cell>
          <cell r="G240">
            <v>0</v>
          </cell>
          <cell r="H240">
            <v>1</v>
          </cell>
          <cell r="I240">
            <v>0</v>
          </cell>
          <cell r="J240">
            <v>0</v>
          </cell>
          <cell r="K240">
            <v>1</v>
          </cell>
          <cell r="L240">
            <v>0</v>
          </cell>
          <cell r="M240">
            <v>1</v>
          </cell>
          <cell r="N240">
            <v>0</v>
          </cell>
          <cell r="O240">
            <v>1</v>
          </cell>
          <cell r="P240">
            <v>0</v>
          </cell>
          <cell r="Q240">
            <v>0</v>
          </cell>
          <cell r="R240" t="str">
            <v>过热</v>
          </cell>
          <cell r="S240">
            <v>1</v>
          </cell>
          <cell r="T240">
            <v>0</v>
          </cell>
          <cell r="U240">
            <v>0</v>
          </cell>
          <cell r="V240">
            <v>0</v>
          </cell>
          <cell r="W240" t="str">
            <v>复苏</v>
          </cell>
          <cell r="X240">
            <v>1</v>
          </cell>
          <cell r="Y240">
            <v>0</v>
          </cell>
          <cell r="Z240">
            <v>0</v>
          </cell>
          <cell r="AA240">
            <v>0</v>
          </cell>
          <cell r="AB240" t="str">
            <v>复苏</v>
          </cell>
        </row>
        <row r="241">
          <cell r="A241">
            <v>44620</v>
          </cell>
          <cell r="B241">
            <v>7.5</v>
          </cell>
          <cell r="C241">
            <v>0.9</v>
          </cell>
          <cell r="D241">
            <v>8.9</v>
          </cell>
          <cell r="E241">
            <v>4.1000000000000005</v>
          </cell>
          <cell r="F241">
            <v>1</v>
          </cell>
          <cell r="G241">
            <v>0</v>
          </cell>
          <cell r="H241">
            <v>1</v>
          </cell>
          <cell r="I241">
            <v>0</v>
          </cell>
          <cell r="J241">
            <v>0</v>
          </cell>
          <cell r="K241">
            <v>1</v>
          </cell>
          <cell r="L241">
            <v>0</v>
          </cell>
          <cell r="M241">
            <v>1</v>
          </cell>
          <cell r="N241">
            <v>0</v>
          </cell>
          <cell r="O241">
            <v>1</v>
          </cell>
          <cell r="P241">
            <v>0</v>
          </cell>
          <cell r="Q241">
            <v>0</v>
          </cell>
          <cell r="R241" t="str">
            <v>过热</v>
          </cell>
          <cell r="S241">
            <v>1</v>
          </cell>
          <cell r="T241">
            <v>0</v>
          </cell>
          <cell r="U241">
            <v>0</v>
          </cell>
          <cell r="V241">
            <v>0</v>
          </cell>
          <cell r="W241" t="str">
            <v>复苏</v>
          </cell>
          <cell r="X241">
            <v>1</v>
          </cell>
          <cell r="Y241">
            <v>0</v>
          </cell>
          <cell r="Z241">
            <v>0</v>
          </cell>
          <cell r="AA241">
            <v>0</v>
          </cell>
          <cell r="AB241" t="str">
            <v>复苏</v>
          </cell>
        </row>
        <row r="242">
          <cell r="A242">
            <v>44651</v>
          </cell>
          <cell r="B242">
            <v>5</v>
          </cell>
          <cell r="C242">
            <v>1.5</v>
          </cell>
          <cell r="D242">
            <v>8.3000000000000007</v>
          </cell>
          <cell r="E242">
            <v>4.2200000000000006</v>
          </cell>
          <cell r="F242">
            <v>0</v>
          </cell>
          <cell r="G242">
            <v>1</v>
          </cell>
          <cell r="H242">
            <v>1</v>
          </cell>
          <cell r="I242">
            <v>0</v>
          </cell>
          <cell r="J242">
            <v>0</v>
          </cell>
          <cell r="K242">
            <v>1</v>
          </cell>
          <cell r="L242">
            <v>0</v>
          </cell>
          <cell r="M242">
            <v>1</v>
          </cell>
          <cell r="N242">
            <v>0</v>
          </cell>
          <cell r="O242">
            <v>0</v>
          </cell>
          <cell r="P242">
            <v>1</v>
          </cell>
          <cell r="Q242">
            <v>0</v>
          </cell>
          <cell r="R242" t="str">
            <v>滞涨</v>
          </cell>
          <cell r="S242">
            <v>0</v>
          </cell>
          <cell r="T242">
            <v>0</v>
          </cell>
          <cell r="U242">
            <v>0</v>
          </cell>
          <cell r="V242">
            <v>1</v>
          </cell>
          <cell r="W242" t="str">
            <v>衰退</v>
          </cell>
          <cell r="X242">
            <v>0</v>
          </cell>
          <cell r="Y242">
            <v>0</v>
          </cell>
          <cell r="Z242">
            <v>0</v>
          </cell>
          <cell r="AA242">
            <v>1</v>
          </cell>
          <cell r="AB242" t="str">
            <v>衰退</v>
          </cell>
        </row>
        <row r="243">
          <cell r="A243">
            <v>44681</v>
          </cell>
          <cell r="B243">
            <v>-2.9</v>
          </cell>
          <cell r="C243">
            <v>2.1</v>
          </cell>
          <cell r="D243">
            <v>8</v>
          </cell>
          <cell r="E243">
            <v>4.46</v>
          </cell>
          <cell r="F243">
            <v>0</v>
          </cell>
          <cell r="G243">
            <v>1</v>
          </cell>
          <cell r="H243">
            <v>1</v>
          </cell>
          <cell r="I243">
            <v>0</v>
          </cell>
          <cell r="J243">
            <v>0</v>
          </cell>
          <cell r="K243">
            <v>1</v>
          </cell>
          <cell r="L243">
            <v>0</v>
          </cell>
          <cell r="M243">
            <v>1</v>
          </cell>
          <cell r="N243">
            <v>0</v>
          </cell>
          <cell r="O243">
            <v>0</v>
          </cell>
          <cell r="P243">
            <v>1</v>
          </cell>
          <cell r="Q243">
            <v>0</v>
          </cell>
          <cell r="R243" t="str">
            <v>滞涨</v>
          </cell>
          <cell r="S243">
            <v>0</v>
          </cell>
          <cell r="T243">
            <v>0</v>
          </cell>
          <cell r="U243">
            <v>0</v>
          </cell>
          <cell r="V243">
            <v>1</v>
          </cell>
          <cell r="W243" t="str">
            <v>衰退</v>
          </cell>
          <cell r="X243">
            <v>0</v>
          </cell>
          <cell r="Y243">
            <v>0</v>
          </cell>
          <cell r="Z243">
            <v>0</v>
          </cell>
          <cell r="AA243">
            <v>1</v>
          </cell>
          <cell r="AB243" t="str">
            <v>衰退</v>
          </cell>
        </row>
        <row r="244">
          <cell r="A244">
            <v>44712</v>
          </cell>
          <cell r="B244">
            <v>0.7</v>
          </cell>
          <cell r="C244">
            <v>2.1</v>
          </cell>
          <cell r="D244">
            <v>6.4</v>
          </cell>
          <cell r="E244">
            <v>3.8200000000000003</v>
          </cell>
          <cell r="F244">
            <v>0</v>
          </cell>
          <cell r="G244">
            <v>1</v>
          </cell>
          <cell r="H244">
            <v>1</v>
          </cell>
          <cell r="I244">
            <v>0</v>
          </cell>
          <cell r="J244">
            <v>0</v>
          </cell>
          <cell r="K244">
            <v>1</v>
          </cell>
          <cell r="L244">
            <v>0</v>
          </cell>
          <cell r="M244">
            <v>1</v>
          </cell>
          <cell r="N244">
            <v>0</v>
          </cell>
          <cell r="O244">
            <v>0</v>
          </cell>
          <cell r="P244">
            <v>1</v>
          </cell>
          <cell r="Q244">
            <v>0</v>
          </cell>
          <cell r="R244" t="str">
            <v>滞涨</v>
          </cell>
          <cell r="S244">
            <v>0</v>
          </cell>
          <cell r="T244">
            <v>0</v>
          </cell>
          <cell r="U244">
            <v>0</v>
          </cell>
          <cell r="V244">
            <v>1</v>
          </cell>
          <cell r="W244" t="str">
            <v>衰退</v>
          </cell>
          <cell r="X244">
            <v>0</v>
          </cell>
          <cell r="Y244">
            <v>0</v>
          </cell>
          <cell r="Z244">
            <v>0</v>
          </cell>
          <cell r="AA244">
            <v>1</v>
          </cell>
          <cell r="AB244" t="str">
            <v>衰退</v>
          </cell>
        </row>
        <row r="245">
          <cell r="A245">
            <v>44742</v>
          </cell>
          <cell r="B245">
            <v>3.9</v>
          </cell>
          <cell r="C245">
            <v>2.5</v>
          </cell>
          <cell r="D245">
            <v>6.1</v>
          </cell>
          <cell r="E245">
            <v>3.94</v>
          </cell>
          <cell r="F245">
            <v>1</v>
          </cell>
          <cell r="G245">
            <v>0</v>
          </cell>
          <cell r="H245">
            <v>1</v>
          </cell>
          <cell r="I245">
            <v>0</v>
          </cell>
          <cell r="J245">
            <v>0</v>
          </cell>
          <cell r="K245">
            <v>1</v>
          </cell>
          <cell r="L245">
            <v>0</v>
          </cell>
          <cell r="M245">
            <v>1</v>
          </cell>
          <cell r="N245">
            <v>0</v>
          </cell>
          <cell r="O245">
            <v>1</v>
          </cell>
          <cell r="P245">
            <v>0</v>
          </cell>
          <cell r="Q245">
            <v>0</v>
          </cell>
          <cell r="R245" t="str">
            <v>过热</v>
          </cell>
          <cell r="S245">
            <v>1</v>
          </cell>
          <cell r="T245">
            <v>0</v>
          </cell>
          <cell r="U245">
            <v>0</v>
          </cell>
          <cell r="V245">
            <v>0</v>
          </cell>
          <cell r="W245" t="str">
            <v>复苏</v>
          </cell>
          <cell r="X245">
            <v>1</v>
          </cell>
          <cell r="Y245">
            <v>0</v>
          </cell>
          <cell r="Z245">
            <v>0</v>
          </cell>
          <cell r="AA245">
            <v>0</v>
          </cell>
          <cell r="AB245" t="str">
            <v>复苏</v>
          </cell>
        </row>
        <row r="246">
          <cell r="A246">
            <v>44773</v>
          </cell>
          <cell r="B246">
            <v>3.8</v>
          </cell>
          <cell r="C246">
            <v>2.7</v>
          </cell>
          <cell r="D246">
            <v>4.2</v>
          </cell>
          <cell r="E246">
            <v>3.3000000000000003</v>
          </cell>
          <cell r="F246">
            <v>1</v>
          </cell>
          <cell r="G246">
            <v>0</v>
          </cell>
          <cell r="H246">
            <v>1</v>
          </cell>
          <cell r="I246">
            <v>0</v>
          </cell>
          <cell r="J246">
            <v>0</v>
          </cell>
          <cell r="K246">
            <v>1</v>
          </cell>
          <cell r="L246">
            <v>0</v>
          </cell>
          <cell r="M246">
            <v>1</v>
          </cell>
          <cell r="N246">
            <v>0</v>
          </cell>
          <cell r="O246">
            <v>1</v>
          </cell>
          <cell r="P246">
            <v>0</v>
          </cell>
          <cell r="Q246">
            <v>0</v>
          </cell>
          <cell r="R246" t="str">
            <v>过热</v>
          </cell>
          <cell r="S246">
            <v>1</v>
          </cell>
          <cell r="T246">
            <v>0</v>
          </cell>
          <cell r="U246">
            <v>0</v>
          </cell>
          <cell r="V246">
            <v>0</v>
          </cell>
          <cell r="W246" t="str">
            <v>复苏</v>
          </cell>
          <cell r="X246">
            <v>1</v>
          </cell>
          <cell r="Y246">
            <v>0</v>
          </cell>
          <cell r="Z246">
            <v>0</v>
          </cell>
          <cell r="AA246">
            <v>0</v>
          </cell>
          <cell r="AB246" t="str">
            <v>复苏</v>
          </cell>
        </row>
        <row r="247">
          <cell r="A247">
            <v>44804</v>
          </cell>
          <cell r="B247">
            <v>4.2</v>
          </cell>
          <cell r="C247">
            <v>2.5</v>
          </cell>
          <cell r="D247">
            <v>2.2999999999999998</v>
          </cell>
          <cell r="E247">
            <v>2.42</v>
          </cell>
          <cell r="F247">
            <v>1</v>
          </cell>
          <cell r="G247">
            <v>0</v>
          </cell>
          <cell r="H247">
            <v>1</v>
          </cell>
          <cell r="I247">
            <v>0</v>
          </cell>
          <cell r="J247">
            <v>0</v>
          </cell>
          <cell r="K247">
            <v>1</v>
          </cell>
          <cell r="L247">
            <v>0</v>
          </cell>
          <cell r="M247">
            <v>1</v>
          </cell>
          <cell r="N247">
            <v>0</v>
          </cell>
          <cell r="O247">
            <v>1</v>
          </cell>
          <cell r="P247">
            <v>0</v>
          </cell>
          <cell r="Q247">
            <v>0</v>
          </cell>
          <cell r="R247" t="str">
            <v>过热</v>
          </cell>
          <cell r="S247">
            <v>1</v>
          </cell>
          <cell r="T247">
            <v>0</v>
          </cell>
          <cell r="U247">
            <v>0</v>
          </cell>
          <cell r="V247">
            <v>0</v>
          </cell>
          <cell r="W247" t="str">
            <v>复苏</v>
          </cell>
          <cell r="X247">
            <v>1</v>
          </cell>
          <cell r="Y247">
            <v>0</v>
          </cell>
          <cell r="Z247">
            <v>0</v>
          </cell>
          <cell r="AA247">
            <v>0</v>
          </cell>
          <cell r="AB247" t="str">
            <v>复苏</v>
          </cell>
        </row>
        <row r="248">
          <cell r="A248">
            <v>44834</v>
          </cell>
          <cell r="B248">
            <v>6.3</v>
          </cell>
          <cell r="C248">
            <v>2.8</v>
          </cell>
          <cell r="D248">
            <v>0.9</v>
          </cell>
          <cell r="E248">
            <v>2.04</v>
          </cell>
          <cell r="F248">
            <v>1</v>
          </cell>
          <cell r="G248">
            <v>0</v>
          </cell>
          <cell r="H248">
            <v>1</v>
          </cell>
          <cell r="I248">
            <v>0</v>
          </cell>
          <cell r="J248">
            <v>0</v>
          </cell>
          <cell r="K248">
            <v>1</v>
          </cell>
          <cell r="L248">
            <v>0</v>
          </cell>
          <cell r="M248">
            <v>1</v>
          </cell>
          <cell r="N248">
            <v>0</v>
          </cell>
          <cell r="O248">
            <v>1</v>
          </cell>
          <cell r="P248">
            <v>0</v>
          </cell>
          <cell r="Q248">
            <v>0</v>
          </cell>
          <cell r="R248" t="str">
            <v>过热</v>
          </cell>
          <cell r="S248">
            <v>1</v>
          </cell>
          <cell r="T248">
            <v>0</v>
          </cell>
          <cell r="U248">
            <v>0</v>
          </cell>
          <cell r="V248">
            <v>0</v>
          </cell>
          <cell r="W248" t="str">
            <v>复苏</v>
          </cell>
          <cell r="X248">
            <v>1</v>
          </cell>
          <cell r="Y248">
            <v>0</v>
          </cell>
          <cell r="Z248">
            <v>0</v>
          </cell>
          <cell r="AA248">
            <v>0</v>
          </cell>
          <cell r="AB248" t="str">
            <v>复苏</v>
          </cell>
        </row>
        <row r="249">
          <cell r="A249">
            <v>44865</v>
          </cell>
          <cell r="B249">
            <v>5</v>
          </cell>
          <cell r="C249">
            <v>2.1</v>
          </cell>
          <cell r="D249">
            <v>-1.3</v>
          </cell>
          <cell r="E249">
            <v>0.74</v>
          </cell>
          <cell r="F249">
            <v>0</v>
          </cell>
          <cell r="G249">
            <v>1</v>
          </cell>
          <cell r="H249">
            <v>0</v>
          </cell>
          <cell r="I249">
            <v>1</v>
          </cell>
          <cell r="J249">
            <v>0</v>
          </cell>
          <cell r="K249">
            <v>1</v>
          </cell>
          <cell r="L249">
            <v>0</v>
          </cell>
          <cell r="M249">
            <v>1</v>
          </cell>
          <cell r="N249">
            <v>0</v>
          </cell>
          <cell r="O249">
            <v>0</v>
          </cell>
          <cell r="P249">
            <v>0</v>
          </cell>
          <cell r="Q249">
            <v>1</v>
          </cell>
          <cell r="R249" t="str">
            <v>衰退</v>
          </cell>
          <cell r="S249">
            <v>0</v>
          </cell>
          <cell r="T249">
            <v>0</v>
          </cell>
          <cell r="U249">
            <v>0</v>
          </cell>
          <cell r="V249">
            <v>1</v>
          </cell>
          <cell r="W249" t="str">
            <v>衰退</v>
          </cell>
          <cell r="X249">
            <v>0</v>
          </cell>
          <cell r="Y249">
            <v>0</v>
          </cell>
          <cell r="Z249">
            <v>0</v>
          </cell>
          <cell r="AA249">
            <v>1</v>
          </cell>
          <cell r="AB249" t="str">
            <v>衰退</v>
          </cell>
        </row>
        <row r="250">
          <cell r="A250">
            <v>44895</v>
          </cell>
          <cell r="B250">
            <v>2.2000000000000002</v>
          </cell>
          <cell r="C250">
            <v>1.6</v>
          </cell>
          <cell r="D250">
            <v>-1.3</v>
          </cell>
          <cell r="E250">
            <v>0.43999999999999995</v>
          </cell>
          <cell r="F250">
            <v>0</v>
          </cell>
          <cell r="G250">
            <v>1</v>
          </cell>
          <cell r="H250">
            <v>0</v>
          </cell>
          <cell r="I250">
            <v>1</v>
          </cell>
          <cell r="J250">
            <v>0</v>
          </cell>
          <cell r="K250">
            <v>1</v>
          </cell>
          <cell r="L250">
            <v>0</v>
          </cell>
          <cell r="M250">
            <v>1</v>
          </cell>
          <cell r="N250">
            <v>0</v>
          </cell>
          <cell r="O250">
            <v>0</v>
          </cell>
          <cell r="P250">
            <v>0</v>
          </cell>
          <cell r="Q250">
            <v>1</v>
          </cell>
          <cell r="R250" t="str">
            <v>衰退</v>
          </cell>
          <cell r="S250">
            <v>0</v>
          </cell>
          <cell r="T250">
            <v>0</v>
          </cell>
          <cell r="U250">
            <v>0</v>
          </cell>
          <cell r="V250">
            <v>1</v>
          </cell>
          <cell r="W250" t="str">
            <v>衰退</v>
          </cell>
          <cell r="X250">
            <v>0</v>
          </cell>
          <cell r="Y250">
            <v>0</v>
          </cell>
          <cell r="Z250">
            <v>0</v>
          </cell>
          <cell r="AA250">
            <v>1</v>
          </cell>
          <cell r="AB250" t="str">
            <v>衰退</v>
          </cell>
        </row>
        <row r="251">
          <cell r="A251">
            <v>44926</v>
          </cell>
          <cell r="B251">
            <v>1.3</v>
          </cell>
          <cell r="C251">
            <v>1.8</v>
          </cell>
          <cell r="D251">
            <v>-0.7</v>
          </cell>
          <cell r="E251">
            <v>0.8</v>
          </cell>
          <cell r="F251">
            <v>0</v>
          </cell>
          <cell r="G251">
            <v>1</v>
          </cell>
          <cell r="H251">
            <v>0</v>
          </cell>
          <cell r="I251">
            <v>1</v>
          </cell>
          <cell r="J251">
            <v>0</v>
          </cell>
          <cell r="K251">
            <v>1</v>
          </cell>
          <cell r="L251">
            <v>0</v>
          </cell>
          <cell r="M251">
            <v>1</v>
          </cell>
          <cell r="N251">
            <v>0</v>
          </cell>
          <cell r="O251">
            <v>0</v>
          </cell>
          <cell r="P251">
            <v>0</v>
          </cell>
          <cell r="Q251">
            <v>1</v>
          </cell>
          <cell r="R251" t="str">
            <v>衰退</v>
          </cell>
          <cell r="S251">
            <v>0</v>
          </cell>
          <cell r="T251">
            <v>0</v>
          </cell>
          <cell r="U251">
            <v>0</v>
          </cell>
          <cell r="V251">
            <v>1</v>
          </cell>
          <cell r="W251" t="str">
            <v>衰退</v>
          </cell>
          <cell r="X251">
            <v>0</v>
          </cell>
          <cell r="Y251">
            <v>0</v>
          </cell>
          <cell r="Z251">
            <v>0</v>
          </cell>
          <cell r="AA251">
            <v>1</v>
          </cell>
          <cell r="AB251" t="str">
            <v>衰退</v>
          </cell>
        </row>
        <row r="252">
          <cell r="A252">
            <v>44985</v>
          </cell>
          <cell r="B252">
            <v>2.4</v>
          </cell>
          <cell r="C252">
            <v>1.5</v>
          </cell>
          <cell r="D252">
            <v>-1.1000000000000001</v>
          </cell>
          <cell r="E252">
            <v>0.45999999999999985</v>
          </cell>
          <cell r="F252">
            <v>1</v>
          </cell>
          <cell r="G252">
            <v>0</v>
          </cell>
          <cell r="H252">
            <v>0</v>
          </cell>
          <cell r="I252">
            <v>1</v>
          </cell>
          <cell r="J252">
            <v>0</v>
          </cell>
          <cell r="K252">
            <v>1</v>
          </cell>
          <cell r="L252">
            <v>0</v>
          </cell>
          <cell r="M252">
            <v>1</v>
          </cell>
          <cell r="N252">
            <v>1</v>
          </cell>
          <cell r="O252">
            <v>0</v>
          </cell>
          <cell r="P252">
            <v>0</v>
          </cell>
          <cell r="Q252">
            <v>0</v>
          </cell>
          <cell r="R252" t="str">
            <v>复苏</v>
          </cell>
          <cell r="S252">
            <v>1</v>
          </cell>
          <cell r="T252">
            <v>0</v>
          </cell>
          <cell r="U252">
            <v>0</v>
          </cell>
          <cell r="V252">
            <v>0</v>
          </cell>
          <cell r="W252" t="str">
            <v>复苏</v>
          </cell>
          <cell r="X252">
            <v>1</v>
          </cell>
          <cell r="Y252">
            <v>0</v>
          </cell>
          <cell r="Z252">
            <v>0</v>
          </cell>
          <cell r="AA252">
            <v>0</v>
          </cell>
          <cell r="AB252" t="str">
            <v>复苏</v>
          </cell>
        </row>
        <row r="253">
          <cell r="A253">
            <v>45016</v>
          </cell>
          <cell r="B253">
            <v>3.9</v>
          </cell>
          <cell r="C253">
            <v>0.7</v>
          </cell>
          <cell r="D253">
            <v>-2.5</v>
          </cell>
          <cell r="E253">
            <v>-0.58000000000000007</v>
          </cell>
          <cell r="F253">
            <v>1</v>
          </cell>
          <cell r="G253">
            <v>0</v>
          </cell>
          <cell r="H253">
            <v>0</v>
          </cell>
          <cell r="I253">
            <v>1</v>
          </cell>
          <cell r="J253">
            <v>0</v>
          </cell>
          <cell r="K253">
            <v>1</v>
          </cell>
          <cell r="L253">
            <v>0</v>
          </cell>
          <cell r="M253">
            <v>1</v>
          </cell>
          <cell r="N253">
            <v>1</v>
          </cell>
          <cell r="O253">
            <v>0</v>
          </cell>
          <cell r="P253">
            <v>0</v>
          </cell>
          <cell r="Q253">
            <v>0</v>
          </cell>
          <cell r="R253" t="str">
            <v>复苏</v>
          </cell>
          <cell r="S253">
            <v>1</v>
          </cell>
          <cell r="T253">
            <v>0</v>
          </cell>
          <cell r="U253">
            <v>0</v>
          </cell>
          <cell r="V253">
            <v>0</v>
          </cell>
          <cell r="W253" t="str">
            <v>复苏</v>
          </cell>
          <cell r="X253">
            <v>1</v>
          </cell>
          <cell r="Y253">
            <v>0</v>
          </cell>
          <cell r="Z253">
            <v>0</v>
          </cell>
          <cell r="AA253">
            <v>0</v>
          </cell>
          <cell r="AB253" t="str">
            <v>复苏</v>
          </cell>
        </row>
        <row r="254">
          <cell r="A254">
            <v>45046</v>
          </cell>
          <cell r="B254">
            <v>5.6</v>
          </cell>
          <cell r="C254">
            <v>0.1</v>
          </cell>
          <cell r="D254">
            <v>-3.6</v>
          </cell>
          <cell r="E254">
            <v>-1.3800000000000001</v>
          </cell>
          <cell r="F254">
            <v>1</v>
          </cell>
          <cell r="G254">
            <v>0</v>
          </cell>
          <cell r="H254">
            <v>0</v>
          </cell>
          <cell r="I254">
            <v>1</v>
          </cell>
          <cell r="J254">
            <v>0</v>
          </cell>
          <cell r="K254">
            <v>1</v>
          </cell>
          <cell r="L254">
            <v>0</v>
          </cell>
          <cell r="M254">
            <v>1</v>
          </cell>
          <cell r="N254">
            <v>1</v>
          </cell>
          <cell r="O254">
            <v>0</v>
          </cell>
          <cell r="P254">
            <v>0</v>
          </cell>
          <cell r="Q254">
            <v>0</v>
          </cell>
          <cell r="R254" t="str">
            <v>复苏</v>
          </cell>
          <cell r="S254">
            <v>1</v>
          </cell>
          <cell r="T254">
            <v>0</v>
          </cell>
          <cell r="U254">
            <v>0</v>
          </cell>
          <cell r="V254">
            <v>0</v>
          </cell>
          <cell r="W254" t="str">
            <v>复苏</v>
          </cell>
          <cell r="X254">
            <v>1</v>
          </cell>
          <cell r="Y254">
            <v>0</v>
          </cell>
          <cell r="Z254">
            <v>0</v>
          </cell>
          <cell r="AA254">
            <v>0</v>
          </cell>
          <cell r="AB254" t="str">
            <v>复苏</v>
          </cell>
        </row>
        <row r="255">
          <cell r="A255">
            <v>45077</v>
          </cell>
          <cell r="B255">
            <v>3.5</v>
          </cell>
          <cell r="C255">
            <v>0.2</v>
          </cell>
          <cell r="D255">
            <v>-4.5999999999999996</v>
          </cell>
          <cell r="E255">
            <v>-1.7199999999999998</v>
          </cell>
          <cell r="F255">
            <v>1</v>
          </cell>
          <cell r="G255">
            <v>0</v>
          </cell>
          <cell r="H255">
            <v>0</v>
          </cell>
          <cell r="I255">
            <v>1</v>
          </cell>
          <cell r="J255">
            <v>0</v>
          </cell>
          <cell r="K255">
            <v>1</v>
          </cell>
          <cell r="L255">
            <v>0</v>
          </cell>
          <cell r="M255">
            <v>1</v>
          </cell>
          <cell r="N255">
            <v>1</v>
          </cell>
          <cell r="O255">
            <v>0</v>
          </cell>
          <cell r="P255">
            <v>0</v>
          </cell>
          <cell r="Q255">
            <v>0</v>
          </cell>
          <cell r="R255" t="str">
            <v>复苏</v>
          </cell>
          <cell r="S255">
            <v>1</v>
          </cell>
          <cell r="T255">
            <v>0</v>
          </cell>
          <cell r="U255">
            <v>0</v>
          </cell>
          <cell r="V255">
            <v>0</v>
          </cell>
          <cell r="W255" t="str">
            <v>复苏</v>
          </cell>
          <cell r="X255">
            <v>1</v>
          </cell>
          <cell r="Y255">
            <v>0</v>
          </cell>
          <cell r="Z255">
            <v>0</v>
          </cell>
          <cell r="AA255">
            <v>0</v>
          </cell>
          <cell r="AB255" t="str">
            <v>复苏</v>
          </cell>
        </row>
        <row r="256">
          <cell r="A256">
            <v>45107</v>
          </cell>
          <cell r="B256">
            <v>4.4000000000000004</v>
          </cell>
          <cell r="C256">
            <v>0</v>
          </cell>
          <cell r="D256">
            <v>-5.4</v>
          </cell>
          <cell r="E256">
            <v>-2.16</v>
          </cell>
          <cell r="F256">
            <v>1</v>
          </cell>
          <cell r="G256">
            <v>0</v>
          </cell>
          <cell r="H256">
            <v>0</v>
          </cell>
          <cell r="I256">
            <v>1</v>
          </cell>
          <cell r="J256">
            <v>0</v>
          </cell>
          <cell r="K256">
            <v>1</v>
          </cell>
          <cell r="L256">
            <v>0</v>
          </cell>
          <cell r="M256">
            <v>1</v>
          </cell>
          <cell r="N256">
            <v>1</v>
          </cell>
          <cell r="O256">
            <v>0</v>
          </cell>
          <cell r="P256">
            <v>0</v>
          </cell>
          <cell r="Q256">
            <v>0</v>
          </cell>
          <cell r="R256" t="str">
            <v>复苏</v>
          </cell>
          <cell r="S256">
            <v>1</v>
          </cell>
          <cell r="T256">
            <v>0</v>
          </cell>
          <cell r="U256">
            <v>0</v>
          </cell>
          <cell r="V256">
            <v>0</v>
          </cell>
          <cell r="W256" t="str">
            <v>复苏</v>
          </cell>
          <cell r="X256">
            <v>1</v>
          </cell>
          <cell r="Y256">
            <v>0</v>
          </cell>
          <cell r="Z256">
            <v>0</v>
          </cell>
          <cell r="AA256">
            <v>0</v>
          </cell>
          <cell r="AB256" t="str">
            <v>复苏</v>
          </cell>
        </row>
        <row r="257">
          <cell r="A257">
            <v>45138</v>
          </cell>
          <cell r="B257">
            <v>3.7</v>
          </cell>
          <cell r="C257">
            <v>-0.3</v>
          </cell>
          <cell r="D257">
            <v>-4.4000000000000004</v>
          </cell>
          <cell r="E257">
            <v>-1.9400000000000002</v>
          </cell>
          <cell r="F257">
            <v>1</v>
          </cell>
          <cell r="G257">
            <v>0</v>
          </cell>
          <cell r="H257">
            <v>0</v>
          </cell>
          <cell r="I257">
            <v>1</v>
          </cell>
          <cell r="J257">
            <v>1</v>
          </cell>
          <cell r="K257">
            <v>0</v>
          </cell>
          <cell r="L257">
            <v>1</v>
          </cell>
          <cell r="M257">
            <v>0</v>
          </cell>
          <cell r="N257">
            <v>1</v>
          </cell>
          <cell r="O257">
            <v>0</v>
          </cell>
          <cell r="P257">
            <v>0</v>
          </cell>
          <cell r="Q257">
            <v>0</v>
          </cell>
          <cell r="R257" t="str">
            <v>复苏</v>
          </cell>
          <cell r="S257">
            <v>0</v>
          </cell>
          <cell r="T257">
            <v>1</v>
          </cell>
          <cell r="U257">
            <v>0</v>
          </cell>
          <cell r="V257">
            <v>0</v>
          </cell>
          <cell r="W257" t="str">
            <v>过热</v>
          </cell>
          <cell r="X257">
            <v>0</v>
          </cell>
          <cell r="Y257">
            <v>1</v>
          </cell>
          <cell r="Z257">
            <v>0</v>
          </cell>
          <cell r="AA257">
            <v>0</v>
          </cell>
          <cell r="AB257" t="str">
            <v>过热</v>
          </cell>
        </row>
        <row r="258">
          <cell r="A258">
            <v>45169</v>
          </cell>
          <cell r="B258">
            <v>4.5</v>
          </cell>
          <cell r="C258">
            <v>0.1</v>
          </cell>
          <cell r="D258">
            <v>-3</v>
          </cell>
          <cell r="E258">
            <v>-1.1400000000000001</v>
          </cell>
          <cell r="F258">
            <v>1</v>
          </cell>
          <cell r="G258">
            <v>0</v>
          </cell>
          <cell r="H258">
            <v>0</v>
          </cell>
          <cell r="I258">
            <v>1</v>
          </cell>
          <cell r="J258">
            <v>1</v>
          </cell>
          <cell r="K258">
            <v>0</v>
          </cell>
          <cell r="L258">
            <v>1</v>
          </cell>
          <cell r="M258">
            <v>0</v>
          </cell>
          <cell r="N258">
            <v>1</v>
          </cell>
          <cell r="O258">
            <v>0</v>
          </cell>
          <cell r="P258">
            <v>0</v>
          </cell>
          <cell r="Q258">
            <v>0</v>
          </cell>
          <cell r="R258" t="str">
            <v>复苏</v>
          </cell>
          <cell r="S258">
            <v>0</v>
          </cell>
          <cell r="T258">
            <v>1</v>
          </cell>
          <cell r="U258">
            <v>0</v>
          </cell>
          <cell r="V258">
            <v>0</v>
          </cell>
          <cell r="W258" t="str">
            <v>过热</v>
          </cell>
          <cell r="X258">
            <v>0</v>
          </cell>
          <cell r="Y258">
            <v>1</v>
          </cell>
          <cell r="Z258">
            <v>0</v>
          </cell>
          <cell r="AA258">
            <v>0</v>
          </cell>
          <cell r="AB258" t="str">
            <v>过热</v>
          </cell>
        </row>
        <row r="259">
          <cell r="A259">
            <v>45199</v>
          </cell>
          <cell r="B259">
            <v>4.5</v>
          </cell>
          <cell r="C259">
            <v>0</v>
          </cell>
          <cell r="D259">
            <v>-2.5</v>
          </cell>
          <cell r="E259">
            <v>-1</v>
          </cell>
          <cell r="F259">
            <v>1</v>
          </cell>
          <cell r="G259">
            <v>0</v>
          </cell>
          <cell r="H259">
            <v>0</v>
          </cell>
          <cell r="I259">
            <v>1</v>
          </cell>
          <cell r="J259">
            <v>1</v>
          </cell>
          <cell r="K259">
            <v>0</v>
          </cell>
          <cell r="L259">
            <v>1</v>
          </cell>
          <cell r="M259">
            <v>0</v>
          </cell>
          <cell r="N259">
            <v>1</v>
          </cell>
          <cell r="O259">
            <v>0</v>
          </cell>
          <cell r="P259">
            <v>0</v>
          </cell>
          <cell r="Q259">
            <v>0</v>
          </cell>
          <cell r="R259" t="str">
            <v>复苏</v>
          </cell>
          <cell r="S259">
            <v>0</v>
          </cell>
          <cell r="T259">
            <v>1</v>
          </cell>
          <cell r="U259">
            <v>0</v>
          </cell>
          <cell r="V259">
            <v>0</v>
          </cell>
          <cell r="W259" t="str">
            <v>过热</v>
          </cell>
          <cell r="X259">
            <v>0</v>
          </cell>
          <cell r="Y259">
            <v>1</v>
          </cell>
          <cell r="Z259">
            <v>0</v>
          </cell>
          <cell r="AA259">
            <v>0</v>
          </cell>
          <cell r="AB259" t="str">
            <v>过热</v>
          </cell>
        </row>
        <row r="260">
          <cell r="A260">
            <v>45230</v>
          </cell>
          <cell r="B260">
            <v>4.5999999999999996</v>
          </cell>
          <cell r="C260">
            <v>-0.2</v>
          </cell>
          <cell r="D260">
            <v>-2.6</v>
          </cell>
          <cell r="E260">
            <v>-1.1600000000000001</v>
          </cell>
          <cell r="F260">
            <v>1</v>
          </cell>
          <cell r="G260">
            <v>0</v>
          </cell>
          <cell r="H260">
            <v>0</v>
          </cell>
          <cell r="I260">
            <v>1</v>
          </cell>
          <cell r="J260">
            <v>1</v>
          </cell>
          <cell r="K260">
            <v>0</v>
          </cell>
          <cell r="L260">
            <v>1</v>
          </cell>
          <cell r="M260">
            <v>0</v>
          </cell>
          <cell r="N260">
            <v>1</v>
          </cell>
          <cell r="O260">
            <v>0</v>
          </cell>
          <cell r="P260">
            <v>0</v>
          </cell>
          <cell r="Q260">
            <v>0</v>
          </cell>
          <cell r="R260" t="str">
            <v>复苏</v>
          </cell>
          <cell r="S260">
            <v>0</v>
          </cell>
          <cell r="T260">
            <v>1</v>
          </cell>
          <cell r="U260">
            <v>0</v>
          </cell>
          <cell r="V260">
            <v>0</v>
          </cell>
          <cell r="W260" t="str">
            <v>过热</v>
          </cell>
          <cell r="X260">
            <v>0</v>
          </cell>
          <cell r="Y260">
            <v>1</v>
          </cell>
          <cell r="Z260">
            <v>0</v>
          </cell>
          <cell r="AA260">
            <v>0</v>
          </cell>
          <cell r="AB260" t="str">
            <v>过热</v>
          </cell>
        </row>
        <row r="261">
          <cell r="A261">
            <v>45260</v>
          </cell>
          <cell r="B261">
            <v>6.6</v>
          </cell>
          <cell r="C261">
            <v>-0.5</v>
          </cell>
          <cell r="D261">
            <v>-3</v>
          </cell>
          <cell r="E261">
            <v>-1.5000000000000002</v>
          </cell>
          <cell r="F261">
            <v>1</v>
          </cell>
          <cell r="G261">
            <v>0</v>
          </cell>
          <cell r="H261">
            <v>0</v>
          </cell>
          <cell r="I261">
            <v>1</v>
          </cell>
          <cell r="J261">
            <v>1</v>
          </cell>
          <cell r="K261">
            <v>0</v>
          </cell>
          <cell r="L261">
            <v>1</v>
          </cell>
          <cell r="M261">
            <v>0</v>
          </cell>
          <cell r="N261">
            <v>1</v>
          </cell>
          <cell r="O261">
            <v>0</v>
          </cell>
          <cell r="P261">
            <v>0</v>
          </cell>
          <cell r="Q261">
            <v>0</v>
          </cell>
          <cell r="R261" t="str">
            <v>复苏</v>
          </cell>
          <cell r="S261">
            <v>0</v>
          </cell>
          <cell r="T261">
            <v>1</v>
          </cell>
          <cell r="U261">
            <v>0</v>
          </cell>
          <cell r="V261">
            <v>0</v>
          </cell>
          <cell r="W261" t="str">
            <v>过热</v>
          </cell>
          <cell r="X261">
            <v>0</v>
          </cell>
          <cell r="Y261">
            <v>1</v>
          </cell>
          <cell r="Z261">
            <v>0</v>
          </cell>
          <cell r="AA261">
            <v>0</v>
          </cell>
          <cell r="AB261" t="str">
            <v>过热</v>
          </cell>
        </row>
        <row r="262">
          <cell r="A262">
            <v>45291</v>
          </cell>
          <cell r="B262">
            <v>6.8</v>
          </cell>
          <cell r="C262">
            <v>-0.3</v>
          </cell>
          <cell r="D262">
            <v>-2.7</v>
          </cell>
          <cell r="E262">
            <v>-1.26</v>
          </cell>
          <cell r="F262">
            <v>1</v>
          </cell>
          <cell r="G262">
            <v>0</v>
          </cell>
          <cell r="H262">
            <v>1</v>
          </cell>
          <cell r="I262">
            <v>0</v>
          </cell>
          <cell r="J262">
            <v>1</v>
          </cell>
          <cell r="K262">
            <v>0</v>
          </cell>
          <cell r="L262">
            <v>1</v>
          </cell>
          <cell r="M262">
            <v>0</v>
          </cell>
          <cell r="N262">
            <v>0</v>
          </cell>
          <cell r="O262">
            <v>1</v>
          </cell>
          <cell r="P262">
            <v>0</v>
          </cell>
          <cell r="Q262">
            <v>0</v>
          </cell>
          <cell r="R262" t="str">
            <v>过热</v>
          </cell>
          <cell r="S262">
            <v>0</v>
          </cell>
          <cell r="T262">
            <v>1</v>
          </cell>
          <cell r="U262">
            <v>0</v>
          </cell>
          <cell r="V262">
            <v>0</v>
          </cell>
          <cell r="W262" t="str">
            <v>过热</v>
          </cell>
          <cell r="X262">
            <v>0</v>
          </cell>
          <cell r="Y262">
            <v>1</v>
          </cell>
          <cell r="Z262">
            <v>0</v>
          </cell>
          <cell r="AA262">
            <v>0</v>
          </cell>
          <cell r="AB262" t="str">
            <v>过热</v>
          </cell>
        </row>
        <row r="263">
          <cell r="A263">
            <v>45351</v>
          </cell>
          <cell r="B263">
            <v>7</v>
          </cell>
          <cell r="C263">
            <v>0</v>
          </cell>
          <cell r="D263">
            <v>-2.6</v>
          </cell>
          <cell r="E263">
            <v>-1.04</v>
          </cell>
          <cell r="F263">
            <v>1</v>
          </cell>
          <cell r="G263">
            <v>0</v>
          </cell>
          <cell r="H263">
            <v>1</v>
          </cell>
          <cell r="I263">
            <v>0</v>
          </cell>
          <cell r="J263">
            <v>1</v>
          </cell>
          <cell r="K263">
            <v>0</v>
          </cell>
          <cell r="L263">
            <v>1</v>
          </cell>
          <cell r="M263">
            <v>0</v>
          </cell>
          <cell r="N263">
            <v>0</v>
          </cell>
          <cell r="O263">
            <v>1</v>
          </cell>
          <cell r="P263">
            <v>0</v>
          </cell>
          <cell r="Q263">
            <v>0</v>
          </cell>
          <cell r="R263" t="str">
            <v>过热</v>
          </cell>
          <cell r="S263">
            <v>0</v>
          </cell>
          <cell r="T263">
            <v>1</v>
          </cell>
          <cell r="U263">
            <v>0</v>
          </cell>
          <cell r="V263">
            <v>0</v>
          </cell>
          <cell r="W263" t="str">
            <v>过热</v>
          </cell>
          <cell r="X263">
            <v>0</v>
          </cell>
          <cell r="Y263">
            <v>1</v>
          </cell>
          <cell r="Z263">
            <v>0</v>
          </cell>
          <cell r="AA263">
            <v>0</v>
          </cell>
          <cell r="AB263" t="str">
            <v>过热</v>
          </cell>
        </row>
        <row r="264">
          <cell r="A264">
            <v>45382</v>
          </cell>
          <cell r="B264">
            <v>4.5</v>
          </cell>
          <cell r="C264">
            <v>0.1</v>
          </cell>
          <cell r="D264">
            <v>-2.8</v>
          </cell>
          <cell r="E264">
            <v>-1.0599999999999998</v>
          </cell>
          <cell r="F264">
            <v>0</v>
          </cell>
          <cell r="G264">
            <v>1</v>
          </cell>
          <cell r="H264">
            <v>1</v>
          </cell>
          <cell r="I264">
            <v>0</v>
          </cell>
          <cell r="J264">
            <v>1</v>
          </cell>
          <cell r="K264">
            <v>0</v>
          </cell>
          <cell r="L264">
            <v>1</v>
          </cell>
          <cell r="M264">
            <v>0</v>
          </cell>
          <cell r="N264">
            <v>0</v>
          </cell>
          <cell r="O264">
            <v>0</v>
          </cell>
          <cell r="P264">
            <v>1</v>
          </cell>
          <cell r="Q264">
            <v>0</v>
          </cell>
          <cell r="R264" t="str">
            <v>滞涨</v>
          </cell>
          <cell r="S264">
            <v>0</v>
          </cell>
          <cell r="T264">
            <v>0</v>
          </cell>
          <cell r="U264">
            <v>1</v>
          </cell>
          <cell r="V264">
            <v>0</v>
          </cell>
          <cell r="W264" t="str">
            <v>滞涨</v>
          </cell>
          <cell r="X264">
            <v>0</v>
          </cell>
          <cell r="Y264">
            <v>0</v>
          </cell>
          <cell r="Z264">
            <v>1</v>
          </cell>
          <cell r="AA264">
            <v>0</v>
          </cell>
          <cell r="AB264" t="str">
            <v>滞涨</v>
          </cell>
        </row>
        <row r="265">
          <cell r="A265">
            <v>45412</v>
          </cell>
          <cell r="B265">
            <v>6.7</v>
          </cell>
          <cell r="C265">
            <v>0.3</v>
          </cell>
          <cell r="D265">
            <v>-2.5</v>
          </cell>
          <cell r="E265">
            <v>-0.82000000000000006</v>
          </cell>
          <cell r="F265">
            <v>0</v>
          </cell>
          <cell r="G265">
            <v>1</v>
          </cell>
          <cell r="H265">
            <v>1</v>
          </cell>
          <cell r="I265">
            <v>0</v>
          </cell>
          <cell r="J265">
            <v>1</v>
          </cell>
          <cell r="K265">
            <v>0</v>
          </cell>
          <cell r="L265">
            <v>1</v>
          </cell>
          <cell r="M265">
            <v>0</v>
          </cell>
          <cell r="N265">
            <v>0</v>
          </cell>
          <cell r="O265">
            <v>0</v>
          </cell>
          <cell r="P265">
            <v>1</v>
          </cell>
          <cell r="Q265">
            <v>0</v>
          </cell>
          <cell r="R265" t="str">
            <v>滞涨</v>
          </cell>
          <cell r="S265">
            <v>0</v>
          </cell>
          <cell r="T265">
            <v>0</v>
          </cell>
          <cell r="U265">
            <v>1</v>
          </cell>
          <cell r="V265">
            <v>0</v>
          </cell>
          <cell r="W265" t="str">
            <v>滞涨</v>
          </cell>
          <cell r="X265">
            <v>0</v>
          </cell>
          <cell r="Y265">
            <v>0</v>
          </cell>
          <cell r="Z265">
            <v>1</v>
          </cell>
          <cell r="AA265">
            <v>0</v>
          </cell>
          <cell r="AB265" t="str">
            <v>滞涨</v>
          </cell>
        </row>
        <row r="266">
          <cell r="A266">
            <v>45443</v>
          </cell>
          <cell r="B266">
            <v>5.6</v>
          </cell>
          <cell r="C266">
            <v>0.3</v>
          </cell>
          <cell r="D266">
            <v>-1.4</v>
          </cell>
          <cell r="E266">
            <v>-0.37999999999999995</v>
          </cell>
          <cell r="F266">
            <v>0</v>
          </cell>
          <cell r="G266">
            <v>1</v>
          </cell>
          <cell r="H266">
            <v>1</v>
          </cell>
          <cell r="I266">
            <v>0</v>
          </cell>
          <cell r="J266">
            <v>1</v>
          </cell>
          <cell r="K266">
            <v>0</v>
          </cell>
          <cell r="L266">
            <v>1</v>
          </cell>
          <cell r="M266">
            <v>0</v>
          </cell>
          <cell r="N266">
            <v>0</v>
          </cell>
          <cell r="O266">
            <v>0</v>
          </cell>
          <cell r="P266">
            <v>1</v>
          </cell>
          <cell r="Q266">
            <v>0</v>
          </cell>
          <cell r="R266" t="str">
            <v>滞涨</v>
          </cell>
          <cell r="S266">
            <v>0</v>
          </cell>
          <cell r="T266">
            <v>0</v>
          </cell>
          <cell r="U266">
            <v>1</v>
          </cell>
          <cell r="V266">
            <v>0</v>
          </cell>
          <cell r="W266" t="str">
            <v>滞涨</v>
          </cell>
          <cell r="X266">
            <v>0</v>
          </cell>
          <cell r="Y266">
            <v>0</v>
          </cell>
          <cell r="Z266">
            <v>1</v>
          </cell>
          <cell r="AA266">
            <v>0</v>
          </cell>
          <cell r="AB266" t="str">
            <v>滞涨</v>
          </cell>
        </row>
        <row r="267">
          <cell r="A267">
            <v>45473</v>
          </cell>
          <cell r="B267">
            <v>5.3</v>
          </cell>
          <cell r="C267">
            <v>0.2</v>
          </cell>
          <cell r="D267">
            <v>-0.8</v>
          </cell>
          <cell r="E267">
            <v>-0.20000000000000007</v>
          </cell>
          <cell r="F267">
            <v>0</v>
          </cell>
          <cell r="G267">
            <v>1</v>
          </cell>
          <cell r="H267">
            <v>1</v>
          </cell>
          <cell r="I267">
            <v>0</v>
          </cell>
          <cell r="J267">
            <v>1</v>
          </cell>
          <cell r="K267">
            <v>0</v>
          </cell>
          <cell r="L267">
            <v>1</v>
          </cell>
          <cell r="M267">
            <v>0</v>
          </cell>
          <cell r="N267">
            <v>0</v>
          </cell>
          <cell r="O267">
            <v>0</v>
          </cell>
          <cell r="P267">
            <v>1</v>
          </cell>
          <cell r="Q267">
            <v>0</v>
          </cell>
          <cell r="R267" t="str">
            <v>滞涨</v>
          </cell>
          <cell r="S267">
            <v>0</v>
          </cell>
          <cell r="T267">
            <v>0</v>
          </cell>
          <cell r="U267">
            <v>1</v>
          </cell>
          <cell r="V267">
            <v>0</v>
          </cell>
          <cell r="W267" t="str">
            <v>滞涨</v>
          </cell>
          <cell r="X267">
            <v>0</v>
          </cell>
          <cell r="Y267">
            <v>0</v>
          </cell>
          <cell r="Z267">
            <v>1</v>
          </cell>
          <cell r="AA267">
            <v>0</v>
          </cell>
          <cell r="AB267" t="str">
            <v>滞涨</v>
          </cell>
        </row>
        <row r="268">
          <cell r="A268">
            <v>45504</v>
          </cell>
          <cell r="B268">
            <v>5.0999999999999996</v>
          </cell>
          <cell r="C268">
            <v>0.5</v>
          </cell>
          <cell r="D268">
            <v>-0.8</v>
          </cell>
          <cell r="E268">
            <v>-2.0000000000000073E-2</v>
          </cell>
          <cell r="F268">
            <v>0</v>
          </cell>
          <cell r="G268">
            <v>1</v>
          </cell>
          <cell r="H268">
            <v>0</v>
          </cell>
          <cell r="I268">
            <v>1</v>
          </cell>
          <cell r="J268">
            <v>1</v>
          </cell>
          <cell r="K268">
            <v>0</v>
          </cell>
          <cell r="L268">
            <v>1</v>
          </cell>
          <cell r="M268">
            <v>0</v>
          </cell>
          <cell r="N268">
            <v>0</v>
          </cell>
          <cell r="O268">
            <v>0</v>
          </cell>
          <cell r="P268">
            <v>0</v>
          </cell>
          <cell r="Q268">
            <v>1</v>
          </cell>
          <cell r="R268" t="str">
            <v>衰退</v>
          </cell>
          <cell r="S268">
            <v>0</v>
          </cell>
          <cell r="T268">
            <v>0</v>
          </cell>
          <cell r="U268">
            <v>1</v>
          </cell>
          <cell r="V268">
            <v>0</v>
          </cell>
          <cell r="W268" t="str">
            <v>滞涨</v>
          </cell>
          <cell r="X268">
            <v>0</v>
          </cell>
          <cell r="Y268">
            <v>0</v>
          </cell>
          <cell r="Z268">
            <v>1</v>
          </cell>
          <cell r="AA268">
            <v>0</v>
          </cell>
          <cell r="AB268" t="str">
            <v>滞涨</v>
          </cell>
        </row>
        <row r="269">
          <cell r="A269">
            <v>45535</v>
          </cell>
          <cell r="B269">
            <v>4.5</v>
          </cell>
          <cell r="C269">
            <v>0.6</v>
          </cell>
          <cell r="D269">
            <v>-1.8</v>
          </cell>
          <cell r="E269">
            <v>-0.3600000000000001</v>
          </cell>
          <cell r="F269">
            <v>0</v>
          </cell>
          <cell r="G269">
            <v>1</v>
          </cell>
          <cell r="H269">
            <v>0</v>
          </cell>
          <cell r="I269">
            <v>1</v>
          </cell>
          <cell r="J269">
            <v>1</v>
          </cell>
          <cell r="K269">
            <v>0</v>
          </cell>
          <cell r="L269">
            <v>0</v>
          </cell>
          <cell r="M269">
            <v>1</v>
          </cell>
          <cell r="N269">
            <v>0</v>
          </cell>
          <cell r="O269">
            <v>0</v>
          </cell>
          <cell r="P269">
            <v>0</v>
          </cell>
          <cell r="Q269">
            <v>1</v>
          </cell>
          <cell r="R269" t="str">
            <v>衰退</v>
          </cell>
          <cell r="S269">
            <v>0</v>
          </cell>
          <cell r="T269">
            <v>0</v>
          </cell>
          <cell r="U269">
            <v>1</v>
          </cell>
          <cell r="V269">
            <v>0</v>
          </cell>
          <cell r="W269" t="str">
            <v>滞涨</v>
          </cell>
          <cell r="X269">
            <v>0</v>
          </cell>
          <cell r="Y269">
            <v>0</v>
          </cell>
          <cell r="Z269">
            <v>0</v>
          </cell>
          <cell r="AA269">
            <v>1</v>
          </cell>
          <cell r="AB269" t="str">
            <v>衰退</v>
          </cell>
        </row>
        <row r="270">
          <cell r="A270">
            <v>45565</v>
          </cell>
          <cell r="B270">
            <v>5.4</v>
          </cell>
          <cell r="C270">
            <v>0.4</v>
          </cell>
          <cell r="D270">
            <v>-2.8</v>
          </cell>
          <cell r="E270">
            <v>-0.87999999999999989</v>
          </cell>
          <cell r="F270">
            <v>1</v>
          </cell>
          <cell r="G270">
            <v>0</v>
          </cell>
          <cell r="H270">
            <v>0</v>
          </cell>
          <cell r="I270">
            <v>1</v>
          </cell>
          <cell r="J270">
            <v>1</v>
          </cell>
          <cell r="K270">
            <v>0</v>
          </cell>
          <cell r="L270">
            <v>0</v>
          </cell>
          <cell r="M270">
            <v>1</v>
          </cell>
          <cell r="N270">
            <v>1</v>
          </cell>
          <cell r="O270">
            <v>0</v>
          </cell>
          <cell r="P270">
            <v>0</v>
          </cell>
          <cell r="Q270">
            <v>0</v>
          </cell>
          <cell r="R270" t="str">
            <v>复苏</v>
          </cell>
          <cell r="S270">
            <v>0</v>
          </cell>
          <cell r="T270">
            <v>1</v>
          </cell>
          <cell r="U270">
            <v>0</v>
          </cell>
          <cell r="V270">
            <v>0</v>
          </cell>
          <cell r="W270" t="str">
            <v>过热</v>
          </cell>
          <cell r="X270">
            <v>1</v>
          </cell>
          <cell r="Y270">
            <v>0</v>
          </cell>
          <cell r="Z270">
            <v>0</v>
          </cell>
          <cell r="AA270">
            <v>0</v>
          </cell>
          <cell r="AB270" t="str">
            <v>复苏</v>
          </cell>
        </row>
        <row r="271">
          <cell r="A271">
            <v>45596</v>
          </cell>
          <cell r="B271">
            <v>5.3</v>
          </cell>
          <cell r="C271">
            <v>0.3</v>
          </cell>
          <cell r="D271">
            <v>-2.9</v>
          </cell>
          <cell r="E271">
            <v>-0.98</v>
          </cell>
          <cell r="F271">
            <v>1</v>
          </cell>
          <cell r="G271">
            <v>0</v>
          </cell>
          <cell r="H271">
            <v>0</v>
          </cell>
          <cell r="I271">
            <v>1</v>
          </cell>
          <cell r="J271">
            <v>1</v>
          </cell>
          <cell r="K271">
            <v>0</v>
          </cell>
          <cell r="L271">
            <v>0</v>
          </cell>
          <cell r="M271">
            <v>1</v>
          </cell>
          <cell r="N271">
            <v>1</v>
          </cell>
          <cell r="O271">
            <v>0</v>
          </cell>
          <cell r="P271">
            <v>0</v>
          </cell>
          <cell r="Q271">
            <v>0</v>
          </cell>
          <cell r="R271" t="str">
            <v>复苏</v>
          </cell>
          <cell r="S271">
            <v>0</v>
          </cell>
          <cell r="T271">
            <v>1</v>
          </cell>
          <cell r="U271">
            <v>0</v>
          </cell>
          <cell r="V271">
            <v>0</v>
          </cell>
          <cell r="W271" t="str">
            <v>过热</v>
          </cell>
          <cell r="X271">
            <v>1</v>
          </cell>
          <cell r="Y271">
            <v>0</v>
          </cell>
          <cell r="Z271">
            <v>0</v>
          </cell>
          <cell r="AA271">
            <v>0</v>
          </cell>
          <cell r="AB271" t="str">
            <v>复苏</v>
          </cell>
        </row>
        <row r="272">
          <cell r="A272">
            <v>45626</v>
          </cell>
          <cell r="B272">
            <v>5.4</v>
          </cell>
          <cell r="C272">
            <v>0.2</v>
          </cell>
          <cell r="D272">
            <v>-2.5</v>
          </cell>
          <cell r="E272">
            <v>-0.88</v>
          </cell>
          <cell r="F272">
            <v>1</v>
          </cell>
          <cell r="G272">
            <v>0</v>
          </cell>
          <cell r="H272">
            <v>0</v>
          </cell>
          <cell r="I272">
            <v>1</v>
          </cell>
          <cell r="J272">
            <v>1</v>
          </cell>
          <cell r="K272">
            <v>0</v>
          </cell>
          <cell r="L272">
            <v>1</v>
          </cell>
          <cell r="M272">
            <v>0</v>
          </cell>
          <cell r="N272">
            <v>1</v>
          </cell>
          <cell r="O272">
            <v>0</v>
          </cell>
          <cell r="P272">
            <v>0</v>
          </cell>
          <cell r="Q272">
            <v>0</v>
          </cell>
          <cell r="R272" t="str">
            <v>复苏</v>
          </cell>
          <cell r="S272">
            <v>0</v>
          </cell>
          <cell r="T272">
            <v>1</v>
          </cell>
          <cell r="U272">
            <v>0</v>
          </cell>
          <cell r="V272">
            <v>0</v>
          </cell>
          <cell r="W272" t="str">
            <v>过热</v>
          </cell>
          <cell r="X272">
            <v>0</v>
          </cell>
          <cell r="Y272">
            <v>1</v>
          </cell>
          <cell r="Z272">
            <v>0</v>
          </cell>
          <cell r="AA272">
            <v>0</v>
          </cell>
          <cell r="AB272" t="str">
            <v>过热</v>
          </cell>
        </row>
      </sheetData>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Sheet2"/>
      <sheetName val="Sheet3"/>
    </sheetNames>
    <definedNames>
      <definedName name="edb"/>
    </definedNames>
    <sheetDataSet>
      <sheetData sheetId="0"/>
      <sheetData sheetId="1"/>
      <sheetData sheetId="2"/>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customProperty" Target="../customProperty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2.bin"/><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customProperty" Target="../customProperty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customProperty" Target="../customProperty4.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customProperty" Target="../customProperty5.bin"/><Relationship Id="rId4" Type="http://schemas.openxmlformats.org/officeDocument/2006/relationships/comments" Target="../comments3.xml"/></Relationships>
</file>

<file path=xl/worksheets/_rels/sheet8.xml.rels><?xml version="1.0" encoding="UTF-8" standalone="yes"?>
<Relationships xmlns="http://schemas.openxmlformats.org/package/2006/relationships"><Relationship Id="rId2" Type="http://schemas.openxmlformats.org/officeDocument/2006/relationships/customProperty" Target="../customProperty6.bin"/><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customProperty" Target="../customProperty7.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customProperty" Target="../customProperty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2">
    <tabColor theme="5" tint="0.79998168889431442"/>
  </sheetPr>
  <dimension ref="B12:J26"/>
  <sheetViews>
    <sheetView showGridLines="0" zoomScale="85" zoomScaleNormal="85" workbookViewId="0">
      <selection activeCell="B13" sqref="B13"/>
    </sheetView>
  </sheetViews>
  <sheetFormatPr defaultColWidth="9" defaultRowHeight="14.15" x14ac:dyDescent="0.35"/>
  <cols>
    <col min="1" max="1" width="9" style="1"/>
    <col min="2" max="2" width="10.5" style="1" bestFit="1" customWidth="1"/>
    <col min="3" max="4" width="9" style="1"/>
    <col min="5" max="5" width="12.85546875" style="1" customWidth="1"/>
    <col min="6" max="6" width="16.85546875" style="1" customWidth="1"/>
    <col min="7" max="7" width="12.85546875" style="1" customWidth="1"/>
    <col min="8" max="8" width="31.5703125" style="1" customWidth="1"/>
    <col min="9" max="9" width="24.42578125" style="1" customWidth="1"/>
    <col min="10" max="10" width="28.78515625" style="1" customWidth="1"/>
    <col min="11" max="16384" width="9" style="1"/>
  </cols>
  <sheetData>
    <row r="12" spans="2:10" x14ac:dyDescent="0.35">
      <c r="B12" s="94">
        <v>46022</v>
      </c>
    </row>
    <row r="13" spans="2:10" x14ac:dyDescent="0.35">
      <c r="E13" s="95" t="s">
        <v>0</v>
      </c>
      <c r="F13" s="95" t="s">
        <v>1</v>
      </c>
      <c r="G13" s="95" t="s">
        <v>2</v>
      </c>
      <c r="H13" s="95" t="s">
        <v>3</v>
      </c>
      <c r="I13" s="95" t="s">
        <v>4</v>
      </c>
      <c r="J13" s="95" t="s">
        <v>5</v>
      </c>
    </row>
    <row r="14" spans="2:10" ht="40.950000000000003" customHeight="1" x14ac:dyDescent="0.35">
      <c r="E14" s="132" t="s">
        <v>6</v>
      </c>
      <c r="F14" s="96" t="s">
        <v>7</v>
      </c>
      <c r="G14" s="96" t="s">
        <v>8</v>
      </c>
      <c r="H14" s="134" t="s">
        <v>9</v>
      </c>
      <c r="I14" s="132" t="str">
        <f>股债表现与四个维度!I6</f>
        <v>滞涨</v>
      </c>
      <c r="J14" s="132" t="str">
        <f>IF('框架指示的股债胜率（综合）'!J5&gt;0,"股牛","股熊")&amp;IF('框架指示的股债胜率（综合）'!K5&gt;0,"债牛","债熊")</f>
        <v>股熊债熊</v>
      </c>
    </row>
    <row r="15" spans="2:10" ht="40.950000000000003" customHeight="1" x14ac:dyDescent="0.35">
      <c r="E15" s="132"/>
      <c r="F15" s="96" t="s">
        <v>10</v>
      </c>
      <c r="G15" s="96" t="s">
        <v>11</v>
      </c>
      <c r="H15" s="134"/>
      <c r="I15" s="132"/>
      <c r="J15" s="132"/>
    </row>
    <row r="16" spans="2:10" ht="40.950000000000003" customHeight="1" x14ac:dyDescent="0.35">
      <c r="E16" s="133" t="s">
        <v>12</v>
      </c>
      <c r="F16" s="97" t="s">
        <v>13</v>
      </c>
      <c r="G16" s="97" t="s">
        <v>14</v>
      </c>
      <c r="H16" s="135" t="s">
        <v>15</v>
      </c>
      <c r="I16" s="133" t="str">
        <f>股债表现与四个维度!J6</f>
        <v>产能周期下行,被动去库存</v>
      </c>
      <c r="J16" s="133" t="str">
        <f>IF('框架指示的股债胜率（综合）'!R5&gt;0,"股牛","股熊")&amp;IF('框架指示的股债胜率（综合）'!S5&gt;0,"债牛","债熊")</f>
        <v>股牛债牛</v>
      </c>
    </row>
    <row r="17" spans="5:10" ht="40.950000000000003" customHeight="1" x14ac:dyDescent="0.35">
      <c r="E17" s="133"/>
      <c r="F17" s="97" t="s">
        <v>16</v>
      </c>
      <c r="G17" s="97" t="s">
        <v>17</v>
      </c>
      <c r="H17" s="135"/>
      <c r="I17" s="133"/>
      <c r="J17" s="133"/>
    </row>
    <row r="18" spans="5:10" ht="40.950000000000003" customHeight="1" x14ac:dyDescent="0.35">
      <c r="E18" s="133"/>
      <c r="F18" s="97" t="s">
        <v>18</v>
      </c>
      <c r="G18" s="97" t="s">
        <v>19</v>
      </c>
      <c r="H18" s="135"/>
      <c r="I18" s="133"/>
      <c r="J18" s="133"/>
    </row>
    <row r="19" spans="5:10" ht="40.950000000000003" customHeight="1" x14ac:dyDescent="0.35">
      <c r="E19" s="132" t="s">
        <v>20</v>
      </c>
      <c r="F19" s="96" t="s">
        <v>21</v>
      </c>
      <c r="G19" s="96" t="s">
        <v>22</v>
      </c>
      <c r="H19" s="134" t="s">
        <v>23</v>
      </c>
      <c r="I19" s="132" t="str">
        <f>股债表现与四个维度!F6</f>
        <v>紧货币紧信用</v>
      </c>
      <c r="J19" s="132" t="str">
        <f>IF('框架指示的股债胜率（综合）'!L5&gt;0,"股牛","股熊")&amp;IF('框架指示的股债胜率（综合）'!M5&gt;0,"债牛","债熊")</f>
        <v>股牛债熊</v>
      </c>
    </row>
    <row r="20" spans="5:10" ht="40.950000000000003" customHeight="1" x14ac:dyDescent="0.35">
      <c r="E20" s="132"/>
      <c r="F20" s="96" t="s">
        <v>24</v>
      </c>
      <c r="G20" s="96" t="s">
        <v>11</v>
      </c>
      <c r="H20" s="134"/>
      <c r="I20" s="132"/>
      <c r="J20" s="132"/>
    </row>
    <row r="21" spans="5:10" ht="94.95" customHeight="1" x14ac:dyDescent="0.35">
      <c r="E21" s="133" t="s">
        <v>25</v>
      </c>
      <c r="F21" s="97" t="s">
        <v>26</v>
      </c>
      <c r="G21" s="97" t="s">
        <v>11</v>
      </c>
      <c r="H21" s="135" t="s">
        <v>27</v>
      </c>
      <c r="I21" s="133" t="str">
        <f>股债表现与四个维度!G6</f>
        <v>主动去库存</v>
      </c>
      <c r="J21" s="133" t="str">
        <f>IF('框架指示的股债胜率（综合）'!P5&gt;0,"股牛","股熊")&amp;IF('框架指示的股债胜率（综合）'!Q5&gt;0,"债牛","债熊")</f>
        <v>股牛债牛</v>
      </c>
    </row>
    <row r="22" spans="5:10" ht="94.95" customHeight="1" x14ac:dyDescent="0.35">
      <c r="E22" s="133"/>
      <c r="F22" s="97" t="s">
        <v>28</v>
      </c>
      <c r="G22" s="97" t="s">
        <v>11</v>
      </c>
      <c r="H22" s="135"/>
      <c r="I22" s="133"/>
      <c r="J22" s="133"/>
    </row>
    <row r="23" spans="5:10" ht="40.950000000000003" customHeight="1" x14ac:dyDescent="0.35">
      <c r="E23" s="132" t="s">
        <v>29</v>
      </c>
      <c r="F23" s="96" t="s">
        <v>30</v>
      </c>
      <c r="G23" s="96" t="s">
        <v>17</v>
      </c>
      <c r="H23" s="134" t="s">
        <v>31</v>
      </c>
      <c r="I23" s="132" t="str">
        <f>股债表现与四个维度!H6</f>
        <v>双紧</v>
      </c>
      <c r="J23" s="132" t="str">
        <f>IF('框架指示的股债胜率（综合）'!N5&gt;0,"股牛","股熊")&amp;IF('框架指示的股债胜率（综合）'!O5&gt;0,"债牛","债熊")</f>
        <v>股牛债牛</v>
      </c>
    </row>
    <row r="24" spans="5:10" ht="40.950000000000003" customHeight="1" x14ac:dyDescent="0.35">
      <c r="E24" s="132"/>
      <c r="F24" s="96" t="s">
        <v>32</v>
      </c>
      <c r="G24" s="96" t="s">
        <v>17</v>
      </c>
      <c r="H24" s="134"/>
      <c r="I24" s="132"/>
      <c r="J24" s="132"/>
    </row>
    <row r="25" spans="5:10" x14ac:dyDescent="0.35">
      <c r="E25" s="97"/>
      <c r="F25" s="97"/>
      <c r="G25" s="97"/>
      <c r="H25" s="97"/>
      <c r="I25" s="97"/>
      <c r="J25" s="97"/>
    </row>
    <row r="26" spans="5:10" x14ac:dyDescent="0.35">
      <c r="E26" s="97"/>
      <c r="F26" s="97"/>
      <c r="G26" s="97"/>
      <c r="H26" s="97"/>
      <c r="I26" s="97"/>
      <c r="J26" s="97"/>
    </row>
  </sheetData>
  <mergeCells count="20">
    <mergeCell ref="E14:E15"/>
    <mergeCell ref="E16:E18"/>
    <mergeCell ref="E19:E20"/>
    <mergeCell ref="E21:E22"/>
    <mergeCell ref="E23:E24"/>
    <mergeCell ref="H14:H15"/>
    <mergeCell ref="H16:H18"/>
    <mergeCell ref="H19:H20"/>
    <mergeCell ref="H21:H22"/>
    <mergeCell ref="H23:H24"/>
    <mergeCell ref="I14:I15"/>
    <mergeCell ref="I16:I18"/>
    <mergeCell ref="I19:I20"/>
    <mergeCell ref="I21:I22"/>
    <mergeCell ref="I23:I24"/>
    <mergeCell ref="J14:J15"/>
    <mergeCell ref="J16:J18"/>
    <mergeCell ref="J19:J20"/>
    <mergeCell ref="J21:J22"/>
    <mergeCell ref="J23:J24"/>
  </mergeCells>
  <phoneticPr fontId="23" type="noConversion"/>
  <pageMargins left="0.7" right="0.7" top="0.75" bottom="0.75" header="0.3" footer="0.3"/>
  <pageSetup paperSize="9" orientation="portrait"/>
  <customProperties>
    <customPr name="SheetID" r:id="rId1"/>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theme="5" tint="0.79998168889431442"/>
  </sheetPr>
  <dimension ref="A3:AJ162"/>
  <sheetViews>
    <sheetView tabSelected="1" zoomScaleNormal="100" workbookViewId="0">
      <selection activeCell="Z5" sqref="Z5:Z18"/>
    </sheetView>
  </sheetViews>
  <sheetFormatPr defaultColWidth="9" defaultRowHeight="14.15" x14ac:dyDescent="0.35"/>
  <cols>
    <col min="1" max="1" width="12.35546875" style="91" bestFit="1" customWidth="1"/>
    <col min="2" max="2" width="12.640625"/>
    <col min="3" max="4" width="12.85546875" customWidth="1"/>
    <col min="6" max="19" width="12.85546875" customWidth="1"/>
    <col min="20" max="24" width="13.85546875"/>
    <col min="25" max="26" width="13.85546875" style="92"/>
    <col min="27" max="27" width="20.640625" customWidth="1"/>
    <col min="28" max="29" width="21.78515625" customWidth="1"/>
    <col min="35" max="35" width="9.2109375" customWidth="1"/>
  </cols>
  <sheetData>
    <row r="3" spans="1:36" ht="28.3" x14ac:dyDescent="0.35">
      <c r="J3" t="s">
        <v>33</v>
      </c>
      <c r="K3" t="s">
        <v>33</v>
      </c>
      <c r="L3" t="s">
        <v>34</v>
      </c>
      <c r="M3" t="s">
        <v>34</v>
      </c>
      <c r="N3" t="s">
        <v>35</v>
      </c>
      <c r="O3" t="s">
        <v>35</v>
      </c>
      <c r="P3" t="s">
        <v>36</v>
      </c>
      <c r="Q3" t="s">
        <v>36</v>
      </c>
      <c r="R3" t="s">
        <v>37</v>
      </c>
      <c r="S3" t="s">
        <v>37</v>
      </c>
      <c r="T3" t="s">
        <v>38</v>
      </c>
      <c r="V3" t="s">
        <v>117</v>
      </c>
      <c r="W3" t="s">
        <v>118</v>
      </c>
      <c r="X3" t="s">
        <v>119</v>
      </c>
      <c r="Y3" s="92" t="s">
        <v>120</v>
      </c>
      <c r="Z3" s="92" t="s">
        <v>39</v>
      </c>
      <c r="AA3" s="100" t="s">
        <v>40</v>
      </c>
      <c r="AB3" s="100" t="s">
        <v>41</v>
      </c>
      <c r="AC3" s="100"/>
      <c r="AJ3" s="99"/>
    </row>
    <row r="4" spans="1:36" x14ac:dyDescent="0.35">
      <c r="B4" s="1" t="s">
        <v>42</v>
      </c>
      <c r="C4" s="1" t="s">
        <v>43</v>
      </c>
      <c r="D4" s="1" t="s">
        <v>44</v>
      </c>
      <c r="E4" t="s">
        <v>33</v>
      </c>
      <c r="F4" t="s">
        <v>34</v>
      </c>
      <c r="G4" t="s">
        <v>35</v>
      </c>
      <c r="H4" t="s">
        <v>36</v>
      </c>
      <c r="I4" t="s">
        <v>37</v>
      </c>
      <c r="J4" t="s">
        <v>45</v>
      </c>
      <c r="K4" t="s">
        <v>46</v>
      </c>
      <c r="L4" t="s">
        <v>45</v>
      </c>
      <c r="M4" t="s">
        <v>46</v>
      </c>
      <c r="N4" t="s">
        <v>45</v>
      </c>
      <c r="O4" t="s">
        <v>46</v>
      </c>
      <c r="P4" t="s">
        <v>45</v>
      </c>
      <c r="Q4" t="s">
        <v>46</v>
      </c>
      <c r="R4" t="s">
        <v>45</v>
      </c>
      <c r="S4" t="s">
        <v>46</v>
      </c>
      <c r="T4" t="s">
        <v>45</v>
      </c>
      <c r="U4" t="s">
        <v>46</v>
      </c>
      <c r="AI4" s="98" t="s">
        <v>139</v>
      </c>
    </row>
    <row r="5" spans="1:36" x14ac:dyDescent="0.35">
      <c r="A5" s="91">
        <f>五大周期判断!B12</f>
        <v>46022</v>
      </c>
      <c r="B5" s="93" cm="1">
        <f t="array" ref="B5">INDEX(股债表现与四个维度!$A:$T,MATCH($A5,股债表现与四个维度!$A:$A,0),MATCH(B$4,股债表现与四个维度!$2:$2,0))</f>
        <v>3.2963568042304758</v>
      </c>
      <c r="C5" s="93" cm="1">
        <f t="array" ref="C5">INDEX(股债表现与四个维度!$A:$T,MATCH($A5,股债表现与四个维度!$A:$A,0),MATCH(C$4,股债表现与四个维度!$2:$2,0))</f>
        <v>2.7412391304348001</v>
      </c>
      <c r="D5" s="93" t="e" cm="1">
        <f t="array" ref="D5">INDEX(股债表现与四个维度!$A:$T,MATCH($A5,股债表现与四个维度!$A:$A,0),MATCH(D$4,股债表现与四个维度!$2:$2,0))</f>
        <v>#N/A</v>
      </c>
      <c r="E5" s="93" t="str" cm="1">
        <f t="array" ref="E5">INDEX(股债表现与四个维度!$A:$T,MATCH($A5,股债表现与四个维度!$A:$A,0),MATCH(E$4,股债表现与四个维度!$2:$2,0))</f>
        <v>滞涨</v>
      </c>
      <c r="F5" s="93" t="str" cm="1">
        <f t="array" ref="F5">INDEX(股债表现与四个维度!$A:$T,MATCH($A5,股债表现与四个维度!$A:$A,0),MATCH(F$4,股债表现与四个维度!$2:$2,0))</f>
        <v>紧货币紧信用</v>
      </c>
      <c r="G5" s="93" t="str" cm="1">
        <f t="array" ref="G5">INDEX(股债表现与四个维度!$A:$T,MATCH($A5,股债表现与四个维度!$A:$A,0),MATCH(G$4,股债表现与四个维度!$2:$2,0))</f>
        <v>双紧</v>
      </c>
      <c r="H5" s="93" t="str" cm="1">
        <f t="array" ref="H5">INDEX(股债表现与四个维度!$A:$T,MATCH($A5,股债表现与四个维度!$A:$A,0),MATCH(H$4,股债表现与四个维度!$2:$2,0))</f>
        <v>主动去库存</v>
      </c>
      <c r="I5" s="93" t="str" cm="1">
        <f t="array" ref="I5">INDEX(股债表现与四个维度!$A:$T,MATCH($A5,股债表现与四个维度!$A:$A,0),MATCH(I$4,股债表现与四个维度!$2:$2,0))</f>
        <v>产能周期下行,被动去库存</v>
      </c>
      <c r="J5" s="93" cm="1">
        <f t="array" ref="J5">INDEX(股债表现与四个维度!$A:$T,MATCH($A5,股债表现与四个维度!$A:$A,0),MATCH(J$3&amp;J$4,股债表现与四个维度!$2:$2&amp;股债表现与四个维度!$3:$3,0))</f>
        <v>-0.18181818181818182</v>
      </c>
      <c r="K5" s="93" cm="1">
        <f t="array" ref="K5">INDEX(股债表现与四个维度!$A:$T,MATCH($A5,股债表现与四个维度!$A:$A,0),MATCH(K$3&amp;K$4,股债表现与四个维度!$2:$2&amp;股债表现与四个维度!$3:$3,0))</f>
        <v>-0.36363636363636365</v>
      </c>
      <c r="L5" s="93" cm="1">
        <f t="array" ref="L5">INDEX(股债表现与四个维度!$A:$T,MATCH($A5,股债表现与四个维度!$A:$A,0),MATCH(L$3&amp;L$4,股债表现与四个维度!$2:$2&amp;股债表现与四个维度!$3:$3,0))</f>
        <v>0.36363636363636365</v>
      </c>
      <c r="M5" s="93" cm="1">
        <f t="array" ref="M5">INDEX(股债表现与四个维度!$A:$T,MATCH($A5,股债表现与四个维度!$A:$A,0),MATCH(M$3&amp;M$4,股债表现与四个维度!$2:$2&amp;股债表现与四个维度!$3:$3,0))</f>
        <v>-9.0909090909090912E-2</v>
      </c>
      <c r="N5" s="93" cm="1">
        <f t="array" ref="N5">INDEX(股债表现与四个维度!$A:$T,MATCH($A5,股债表现与四个维度!$A:$A,0),MATCH(N$3&amp;N$4,股债表现与四个维度!$2:$2&amp;股债表现与四个维度!$3:$3,0))</f>
        <v>0.25</v>
      </c>
      <c r="O5" s="93" cm="1">
        <f t="array" ref="O5">INDEX(股债表现与四个维度!$A:$T,MATCH($A5,股债表现与四个维度!$A:$A,0),MATCH(O$3&amp;O$4,股债表现与四个维度!$2:$2&amp;股债表现与四个维度!$3:$3,0))</f>
        <v>4.1666666666666664E-2</v>
      </c>
      <c r="P5" s="93" cm="1">
        <f t="array" ref="P5">INDEX(股债表现与四个维度!$A:$T,MATCH($A5,股债表现与四个维度!$A:$A,0),MATCH(P$3&amp;P$4,股债表现与四个维度!$2:$2&amp;股债表现与四个维度!$3:$3,0))</f>
        <v>5.5555555555555552E-2</v>
      </c>
      <c r="Q5" s="93" cm="1">
        <f t="array" ref="Q5">INDEX(股债表现与四个维度!$A:$T,MATCH($A5,股债表现与四个维度!$A:$A,0),MATCH(Q$3&amp;Q$4,股债表现与四个维度!$2:$2&amp;股债表现与四个维度!$3:$3,0))</f>
        <v>0.22222222222222221</v>
      </c>
      <c r="R5" s="93" cm="1">
        <f t="array" ref="R5">INDEX(股债表现与四个维度!$A:$T,MATCH($A5,股债表现与四个维度!$A:$A,0),MATCH(R$3&amp;R$4,股债表现与四个维度!$2:$2&amp;股债表现与四个维度!$3:$3,0))</f>
        <v>0.5</v>
      </c>
      <c r="S5" s="93" cm="1">
        <f t="array" ref="S5">INDEX(股债表现与四个维度!$A:$T,MATCH($A5,股债表现与四个维度!$A:$A,0),MATCH(S$3&amp;S$4,股债表现与四个维度!$2:$2&amp;股债表现与四个维度!$3:$3,0))</f>
        <v>0.5</v>
      </c>
      <c r="T5">
        <f t="shared" ref="T5:U24" si="0">SUMIFS($J5:$S5,$J5:$S5,"&lt;&gt;"&amp;"#N/A",$J$4:$S$4,T$4)</f>
        <v>0.98737373737373735</v>
      </c>
      <c r="U5">
        <f t="shared" si="0"/>
        <v>0.30934343434343431</v>
      </c>
      <c r="V5">
        <f>T5-U5</f>
        <v>0.67803030303030298</v>
      </c>
      <c r="W5">
        <f t="shared" ref="W5:W68" si="1">B5+C5</f>
        <v>6.0375959346652763</v>
      </c>
      <c r="X5" t="e">
        <f t="shared" ref="X5:X68" si="2">B5-D5</f>
        <v>#N/A</v>
      </c>
      <c r="Y5" s="92">
        <f t="shared" ref="Y5" si="3">AVERAGE(V5:V10)</f>
        <v>-0.10017547446930675</v>
      </c>
      <c r="Z5" s="92">
        <f>AVERAGE(W5:W10)</f>
        <v>6.4860486271918019</v>
      </c>
      <c r="AA5">
        <f t="shared" ref="AA5:AA18" si="4">AVERAGE(AC5:AC10)</f>
        <v>6.2205132956319388E-2</v>
      </c>
      <c r="AC5" s="92">
        <f t="shared" ref="AC5:AC17" si="5">(AD5*(J5-K5)+AE5*(L5-M5)+AF5*(N5-O5)+AG5*(P5-Q5)+AH5*(R5-S5))*5</f>
        <v>1.3403409090909091</v>
      </c>
      <c r="AD5" s="98">
        <v>3.5000000000000003E-2</v>
      </c>
      <c r="AE5" s="98">
        <v>0.65</v>
      </c>
      <c r="AF5" s="98">
        <v>0.05</v>
      </c>
      <c r="AG5" s="98">
        <v>0.26500000000000001</v>
      </c>
      <c r="AH5" s="98">
        <v>0</v>
      </c>
      <c r="AI5" s="98" t="s">
        <v>138</v>
      </c>
    </row>
    <row r="6" spans="1:36" x14ac:dyDescent="0.35">
      <c r="A6" s="91">
        <f>EOMONTH(A5,-1)</f>
        <v>45991</v>
      </c>
      <c r="B6" s="93" cm="1">
        <f t="array" ref="B6">INDEX(股债表现与四个维度!$A:$T,MATCH($A6,股债表现与四个维度!$A:$A,0),MATCH(B$4,股债表现与四个维度!$2:$2,0))</f>
        <v>-2.2209192382576401</v>
      </c>
      <c r="C6" s="93" cm="1">
        <f t="array" ref="C6">INDEX(股债表现与四个维度!$A:$T,MATCH($A6,股债表现与四个维度!$A:$A,0),MATCH(C$4,股债表现与四个维度!$2:$2,0))</f>
        <v>-1.5817222222222</v>
      </c>
      <c r="D6" s="93" t="e" cm="1">
        <f t="array" ref="D6">INDEX(股债表现与四个维度!$A:$T,MATCH($A6,股债表现与四个维度!$A:$A,0),MATCH(D$4,股债表现与四个维度!$2:$2,0))</f>
        <v>#N/A</v>
      </c>
      <c r="E6" s="93" t="str" cm="1">
        <f t="array" ref="E6">INDEX(股债表现与四个维度!$A:$T,MATCH($A6,股债表现与四个维度!$A:$A,0),MATCH(E$4,股债表现与四个维度!$2:$2,0))</f>
        <v>衰退</v>
      </c>
      <c r="F6" s="93" t="str" cm="1">
        <f t="array" ref="F6">INDEX(股债表现与四个维度!$A:$T,MATCH($A6,股债表现与四个维度!$A:$A,0),MATCH(F$4,股债表现与四个维度!$2:$2,0))</f>
        <v>宽货币紧信用</v>
      </c>
      <c r="G6" s="93" t="str" cm="1">
        <f t="array" ref="G6">INDEX(股债表现与四个维度!$A:$T,MATCH($A6,股债表现与四个维度!$A:$A,0),MATCH(G$4,股债表现与四个维度!$2:$2,0))</f>
        <v>双紧</v>
      </c>
      <c r="H6" s="93" t="str" cm="1">
        <f t="array" ref="H6">INDEX(股债表现与四个维度!$A:$T,MATCH($A6,股债表现与四个维度!$A:$A,0),MATCH(H$4,股债表现与四个维度!$2:$2,0))</f>
        <v>被动补库存</v>
      </c>
      <c r="I6" s="93" t="str" cm="1">
        <f t="array" ref="I6">INDEX(股债表现与四个维度!$A:$T,MATCH($A6,股债表现与四个维度!$A:$A,0),MATCH(I$4,股债表现与四个维度!$2:$2,0))</f>
        <v>产能周期下行,主动补库存</v>
      </c>
      <c r="J6" s="93" cm="1">
        <f t="array" ref="J6">INDEX(股债表现与四个维度!$A:$T,MATCH($A6,股债表现与四个维度!$A:$A,0),MATCH(J$3&amp;J$4,股债表现与四个维度!$2:$2&amp;股债表现与四个维度!$3:$3,0))</f>
        <v>8.3333333333333329E-2</v>
      </c>
      <c r="K6" s="93" cm="1">
        <f t="array" ref="K6">INDEX(股债表现与四个维度!$A:$T,MATCH($A6,股债表现与四个维度!$A:$A,0),MATCH(K$3&amp;K$4,股债表现与四个维度!$2:$2&amp;股债表现与四个维度!$3:$3,0))</f>
        <v>0.25</v>
      </c>
      <c r="L6" s="93" cm="1">
        <f t="array" ref="L6">INDEX(股债表现与四个维度!$A:$T,MATCH($A6,股债表现与四个维度!$A:$A,0),MATCH(L$3&amp;L$4,股债表现与四个维度!$2:$2&amp;股债表现与四个维度!$3:$3,0))</f>
        <v>0.2</v>
      </c>
      <c r="M6" s="93" cm="1">
        <f t="array" ref="M6">INDEX(股债表现与四个维度!$A:$T,MATCH($A6,股债表现与四个维度!$A:$A,0),MATCH(M$3&amp;M$4,股债表现与四个维度!$2:$2&amp;股债表现与四个维度!$3:$3,0))</f>
        <v>0.6</v>
      </c>
      <c r="N6" s="93" cm="1">
        <f t="array" ref="N6">INDEX(股债表现与四个维度!$A:$T,MATCH($A6,股债表现与四个维度!$A:$A,0),MATCH(N$3&amp;N$4,股债表现与四个维度!$2:$2&amp;股债表现与四个维度!$3:$3,0))</f>
        <v>0.29166666666666669</v>
      </c>
      <c r="O6" s="93" cm="1">
        <f t="array" ref="O6">INDEX(股债表现与四个维度!$A:$T,MATCH($A6,股债表现与四个维度!$A:$A,0),MATCH(O$3&amp;O$4,股债表现与四个维度!$2:$2&amp;股债表现与四个维度!$3:$3,0))</f>
        <v>-4.1666666666666664E-2</v>
      </c>
      <c r="P6" s="93" cm="1">
        <f t="array" ref="P6">INDEX(股债表现与四个维度!$A:$T,MATCH($A6,股债表现与四个维度!$A:$A,0),MATCH(P$3&amp;P$4,股债表现与四个维度!$2:$2&amp;股债表现与四个维度!$3:$3,0))</f>
        <v>-3.3333333333333333E-2</v>
      </c>
      <c r="Q6" s="93" cm="1">
        <f t="array" ref="Q6">INDEX(股债表现与四个维度!$A:$T,MATCH($A6,股债表现与四个维度!$A:$A,0),MATCH(Q$3&amp;Q$4,股债表现与四个维度!$2:$2&amp;股债表现与四个维度!$3:$3,0))</f>
        <v>0.3</v>
      </c>
      <c r="R6" s="93" cm="1">
        <f t="array" ref="R6">INDEX(股债表现与四个维度!$A:$T,MATCH($A6,股债表现与四个维度!$A:$A,0),MATCH(R$3&amp;R$4,股债表现与四个维度!$2:$2&amp;股债表现与四个维度!$3:$3,0))</f>
        <v>0.14285714285714285</v>
      </c>
      <c r="S6" s="93" cm="1">
        <f t="array" ref="S6">INDEX(股债表现与四个维度!$A:$T,MATCH($A6,股债表现与四个维度!$A:$A,0),MATCH(S$3&amp;S$4,股债表现与四个维度!$2:$2&amp;股债表现与四个维度!$3:$3,0))</f>
        <v>-4.7619047619047616E-2</v>
      </c>
      <c r="T6">
        <f t="shared" si="0"/>
        <v>0.68452380952380953</v>
      </c>
      <c r="U6">
        <f t="shared" si="0"/>
        <v>1.0607142857142857</v>
      </c>
      <c r="V6">
        <f>T6-U6</f>
        <v>-0.37619047619047619</v>
      </c>
      <c r="W6">
        <f t="shared" si="1"/>
        <v>-3.8026414604798404</v>
      </c>
      <c r="X6" s="93" t="e">
        <f>B6-D6</f>
        <v>#N/A</v>
      </c>
      <c r="Y6" s="92">
        <f>AVERAGE(V6:V11)</f>
        <v>-0.30312617714827028</v>
      </c>
      <c r="Z6" s="92">
        <f>AVERAGE(W6:W11)</f>
        <v>5.7409690442013757</v>
      </c>
      <c r="AA6">
        <f t="shared" si="4"/>
        <v>-0.49087251855883213</v>
      </c>
      <c r="AC6" s="92">
        <f t="shared" si="5"/>
        <v>-1.6400000000000001</v>
      </c>
      <c r="AD6" s="98">
        <v>0.04</v>
      </c>
      <c r="AE6" s="98">
        <v>0.62</v>
      </c>
      <c r="AF6" s="98">
        <v>0.06</v>
      </c>
      <c r="AG6" s="98">
        <v>0.28000000000000003</v>
      </c>
      <c r="AH6" s="98">
        <v>0</v>
      </c>
    </row>
    <row r="7" spans="1:36" x14ac:dyDescent="0.35">
      <c r="A7" s="91">
        <f t="shared" ref="A7:A38" si="6">EOMONTH(A6,-1)</f>
        <v>45961</v>
      </c>
      <c r="B7" s="93" cm="1">
        <f t="array" ref="B7">INDEX(股债表现与四个维度!$A:$T,MATCH($A7,股债表现与四个维度!$A:$A,0),MATCH(B$4,股债表现与四个维度!$2:$2,0))</f>
        <v>-3.6361990275727001E-2</v>
      </c>
      <c r="C7" s="93" cm="1">
        <f t="array" ref="C7">INDEX(股债表现与四个维度!$A:$T,MATCH($A7,股债表现与四个维度!$A:$A,0),MATCH(C$4,股债表现与四个维度!$2:$2,0))</f>
        <v>-2.6186473429952</v>
      </c>
      <c r="D7" s="93" t="e" cm="1">
        <f t="array" ref="D7">INDEX(股债表现与四个维度!$A:$T,MATCH($A7,股债表现与四个维度!$A:$A,0),MATCH(D$4,股债表现与四个维度!$2:$2,0))</f>
        <v>#N/A</v>
      </c>
      <c r="E7" s="93" t="str" cm="1">
        <f t="array" ref="E7">INDEX(股债表现与四个维度!$A:$T,MATCH($A7,股债表现与四个维度!$A:$A,0),MATCH(E$4,股债表现与四个维度!$2:$2,0))</f>
        <v>过热</v>
      </c>
      <c r="F7" s="93" t="str" cm="1">
        <f t="array" ref="F7">INDEX(股债表现与四个维度!$A:$T,MATCH($A7,股债表现与四个维度!$A:$A,0),MATCH(F$4,股债表现与四个维度!$2:$2,0))</f>
        <v>紧货币紧信用</v>
      </c>
      <c r="G7" s="93" t="str" cm="1">
        <f t="array" ref="G7">INDEX(股债表现与四个维度!$A:$T,MATCH($A7,股债表现与四个维度!$A:$A,0),MATCH(G$4,股债表现与四个维度!$2:$2,0))</f>
        <v>双紧</v>
      </c>
      <c r="H7" s="93" t="str" cm="1">
        <f t="array" ref="H7">INDEX(股债表现与四个维度!$A:$T,MATCH($A7,股债表现与四个维度!$A:$A,0),MATCH(H$4,股债表现与四个维度!$2:$2,0))</f>
        <v>被动补库存</v>
      </c>
      <c r="I7" s="93" t="str" cm="1">
        <f t="array" ref="I7">INDEX(股债表现与四个维度!$A:$T,MATCH($A7,股债表现与四个维度!$A:$A,0),MATCH(I$4,股债表现与四个维度!$2:$2,0))</f>
        <v>产能周期下行,主动补库存</v>
      </c>
      <c r="J7" s="93" cm="1">
        <f t="array" ref="J7">INDEX(股债表现与四个维度!$A:$T,MATCH($A7,股债表现与四个维度!$A:$A,0),MATCH(J$3&amp;J$4,股债表现与四个维度!$2:$2&amp;股债表现与四个维度!$3:$3,0))</f>
        <v>0.33333333333333331</v>
      </c>
      <c r="K7" s="93" cm="1">
        <f t="array" ref="K7">INDEX(股债表现与四个维度!$A:$T,MATCH($A7,股债表现与四个维度!$A:$A,0),MATCH(K$3&amp;K$4,股债表现与四个维度!$2:$2&amp;股债表现与四个维度!$3:$3,0))</f>
        <v>0.2</v>
      </c>
      <c r="L7" s="93" cm="1">
        <f t="array" ref="L7">INDEX(股债表现与四个维度!$A:$T,MATCH($A7,股债表现与四个维度!$A:$A,0),MATCH(L$3&amp;L$4,股债表现与四个维度!$2:$2&amp;股债表现与四个维度!$3:$3,0))</f>
        <v>0.33333333333333331</v>
      </c>
      <c r="M7" s="93" cm="1">
        <f t="array" ref="M7">INDEX(股债表现与四个维度!$A:$T,MATCH($A7,股债表现与四个维度!$A:$A,0),MATCH(M$3&amp;M$4,股债表现与四个维度!$2:$2&amp;股债表现与四个维度!$3:$3,0))</f>
        <v>-0.1111111111111111</v>
      </c>
      <c r="N7" s="93" cm="1">
        <f t="array" ref="N7">INDEX(股债表现与四个维度!$A:$T,MATCH($A7,股债表现与四个维度!$A:$A,0),MATCH(N$3&amp;N$4,股债表现与四个维度!$2:$2&amp;股债表现与四个维度!$3:$3,0))</f>
        <v>0.2608695652173913</v>
      </c>
      <c r="O7" s="93" cm="1">
        <f t="array" ref="O7">INDEX(股债表现与四个维度!$A:$T,MATCH($A7,股债表现与四个维度!$A:$A,0),MATCH(O$3&amp;O$4,股债表现与四个维度!$2:$2&amp;股债表现与四个维度!$3:$3,0))</f>
        <v>0</v>
      </c>
      <c r="P7" s="93" cm="1">
        <f t="array" ref="P7">INDEX(股债表现与四个维度!$A:$T,MATCH($A7,股债表现与四个维度!$A:$A,0),MATCH(P$3&amp;P$4,股债表现与四个维度!$2:$2&amp;股债表现与四个维度!$3:$3,0))</f>
        <v>-3.3333333333333333E-2</v>
      </c>
      <c r="Q7" s="93" cm="1">
        <f t="array" ref="Q7">INDEX(股债表现与四个维度!$A:$T,MATCH($A7,股债表现与四个维度!$A:$A,0),MATCH(Q$3&amp;Q$4,股债表现与四个维度!$2:$2&amp;股债表现与四个维度!$3:$3,0))</f>
        <v>0.3</v>
      </c>
      <c r="R7" s="93" cm="1">
        <f t="array" ref="R7">INDEX(股债表现与四个维度!$A:$T,MATCH($A7,股债表现与四个维度!$A:$A,0),MATCH(R$3&amp;R$4,股债表现与四个维度!$2:$2&amp;股债表现与四个维度!$3:$3,0))</f>
        <v>0.1</v>
      </c>
      <c r="S7" s="93" cm="1">
        <f t="array" ref="S7">INDEX(股债表现与四个维度!$A:$T,MATCH($A7,股债表现与四个维度!$A:$A,0),MATCH(S$3&amp;S$4,股债表现与四个维度!$2:$2&amp;股债表现与四个维度!$3:$3,0))</f>
        <v>0</v>
      </c>
      <c r="T7">
        <f t="shared" si="0"/>
        <v>0.99420289855072452</v>
      </c>
      <c r="U7">
        <f t="shared" si="0"/>
        <v>0.3888888888888889</v>
      </c>
      <c r="V7">
        <f t="shared" ref="V7:V68" si="7">T7-U7</f>
        <v>0.60531400966183568</v>
      </c>
      <c r="W7">
        <f t="shared" si="1"/>
        <v>-2.655009333270927</v>
      </c>
      <c r="X7" t="e">
        <f t="shared" si="2"/>
        <v>#N/A</v>
      </c>
      <c r="Y7" s="92">
        <f t="shared" ref="Y7:Z7" si="8">AVERAGE(V7:V12)</f>
        <v>-0.28045966237649234</v>
      </c>
      <c r="Z7" s="92">
        <f t="shared" si="8"/>
        <v>7.0135939977254651</v>
      </c>
      <c r="AA7">
        <f t="shared" si="4"/>
        <v>-0.28367953610269175</v>
      </c>
      <c r="AC7" s="92">
        <f t="shared" si="5"/>
        <v>1.9337439613526568</v>
      </c>
      <c r="AD7" s="98">
        <v>0.12</v>
      </c>
      <c r="AE7" s="98">
        <v>0.85</v>
      </c>
      <c r="AF7" s="98">
        <v>5.0000000000000001E-3</v>
      </c>
      <c r="AG7" s="98">
        <v>2.5000000000000001E-2</v>
      </c>
      <c r="AH7" s="98">
        <v>0</v>
      </c>
      <c r="AI7" s="99" t="s">
        <v>137</v>
      </c>
    </row>
    <row r="8" spans="1:36" x14ac:dyDescent="0.35">
      <c r="A8" s="91">
        <f t="shared" si="6"/>
        <v>45930</v>
      </c>
      <c r="B8" s="93" cm="1">
        <f t="array" ref="B8">INDEX(股债表现与四个维度!$A:$T,MATCH($A8,股债表现与四个维度!$A:$A,0),MATCH(B$4,股债表现与四个维度!$2:$2,0))</f>
        <v>2.8045383736822318</v>
      </c>
      <c r="C8" s="93" cm="1">
        <f t="array" ref="C8">INDEX(股债表现与四个维度!$A:$T,MATCH($A8,股债表现与四个维度!$A:$A,0),MATCH(C$4,股债表现与四个维度!$2:$2,0))</f>
        <v>10.872774327122199</v>
      </c>
      <c r="D8" s="93" t="e" cm="1">
        <f t="array" ref="D8">INDEX(股债表现与四个维度!$A:$T,MATCH($A8,股债表现与四个维度!$A:$A,0),MATCH(D$4,股债表现与四个维度!$2:$2,0))</f>
        <v>#N/A</v>
      </c>
      <c r="E8" s="93" t="str" cm="1">
        <f t="array" ref="E8">INDEX(股债表现与四个维度!$A:$T,MATCH($A8,股债表现与四个维度!$A:$A,0),MATCH(E$4,股债表现与四个维度!$2:$2,0))</f>
        <v>过热</v>
      </c>
      <c r="F8" s="93" t="str" cm="1">
        <f t="array" ref="F8">INDEX(股债表现与四个维度!$A:$T,MATCH($A8,股债表现与四个维度!$A:$A,0),MATCH(F$4,股债表现与四个维度!$2:$2,0))</f>
        <v>紧货币紧信用</v>
      </c>
      <c r="G8" s="93" t="str" cm="1">
        <f t="array" ref="G8">INDEX(股债表现与四个维度!$A:$T,MATCH($A8,股债表现与四个维度!$A:$A,0),MATCH(G$4,股债表现与四个维度!$2:$2,0))</f>
        <v>双紧</v>
      </c>
      <c r="H8" s="93" t="str" cm="1">
        <f t="array" ref="H8">INDEX(股债表现与四个维度!$A:$T,MATCH($A8,股债表现与四个维度!$A:$A,0),MATCH(H$4,股债表现与四个维度!$2:$2,0))</f>
        <v>主动去库存</v>
      </c>
      <c r="I8" s="93" t="str" cm="1">
        <f t="array" ref="I8">INDEX(股债表现与四个维度!$A:$T,MATCH($A8,股债表现与四个维度!$A:$A,0),MATCH(I$4,股债表现与四个维度!$2:$2,0))</f>
        <v>产能周期下行,主动补库存</v>
      </c>
      <c r="J8" s="93" cm="1">
        <f t="array" ref="J8">INDEX(股债表现与四个维度!$A:$T,MATCH($A8,股债表现与四个维度!$A:$A,0),MATCH(J$3&amp;J$4,股债表现与四个维度!$2:$2&amp;股债表现与四个维度!$3:$3,0))</f>
        <v>0.33333333333333331</v>
      </c>
      <c r="K8" s="93" cm="1">
        <f t="array" ref="K8">INDEX(股债表现与四个维度!$A:$T,MATCH($A8,股债表现与四个维度!$A:$A,0),MATCH(K$3&amp;K$4,股债表现与四个维度!$2:$2&amp;股债表现与四个维度!$3:$3,0))</f>
        <v>0.2</v>
      </c>
      <c r="L8" s="93" cm="1">
        <f t="array" ref="L8">INDEX(股债表现与四个维度!$A:$T,MATCH($A8,股债表现与四个维度!$A:$A,0),MATCH(L$3&amp;L$4,股债表现与四个维度!$2:$2&amp;股债表现与四个维度!$3:$3,0))</f>
        <v>0.33333333333333331</v>
      </c>
      <c r="M8" s="93" cm="1">
        <f t="array" ref="M8">INDEX(股债表现与四个维度!$A:$T,MATCH($A8,股债表现与四个维度!$A:$A,0),MATCH(M$3&amp;M$4,股债表现与四个维度!$2:$2&amp;股债表现与四个维度!$3:$3,0))</f>
        <v>-0.1111111111111111</v>
      </c>
      <c r="N8" s="93" cm="1">
        <f t="array" ref="N8">INDEX(股债表现与四个维度!$A:$T,MATCH($A8,股债表现与四个维度!$A:$A,0),MATCH(N$3&amp;N$4,股债表现与四个维度!$2:$2&amp;股债表现与四个维度!$3:$3,0))</f>
        <v>0.2608695652173913</v>
      </c>
      <c r="O8" s="93" cm="1">
        <f t="array" ref="O8">INDEX(股债表现与四个维度!$A:$T,MATCH($A8,股债表现与四个维度!$A:$A,0),MATCH(O$3&amp;O$4,股债表现与四个维度!$2:$2&amp;股债表现与四个维度!$3:$3,0))</f>
        <v>0</v>
      </c>
      <c r="P8" s="93" cm="1">
        <f t="array" ref="P8">INDEX(股债表现与四个维度!$A:$T,MATCH($A8,股债表现与四个维度!$A:$A,0),MATCH(P$3&amp;P$4,股债表现与四个维度!$2:$2&amp;股债表现与四个维度!$3:$3,0))</f>
        <v>0</v>
      </c>
      <c r="Q8" s="93" cm="1">
        <f t="array" ref="Q8">INDEX(股债表现与四个维度!$A:$T,MATCH($A8,股债表现与四个维度!$A:$A,0),MATCH(Q$3&amp;Q$4,股债表现与四个维度!$2:$2&amp;股债表现与四个维度!$3:$3,0))</f>
        <v>0.15789473684210525</v>
      </c>
      <c r="R8" s="93" cm="1">
        <f t="array" ref="R8">INDEX(股债表现与四个维度!$A:$T,MATCH($A8,股债表现与四个维度!$A:$A,0),MATCH(R$3&amp;R$4,股债表现与四个维度!$2:$2&amp;股债表现与四个维度!$3:$3,0))</f>
        <v>5.2631578947368418E-2</v>
      </c>
      <c r="S8" s="93" cm="1">
        <f t="array" ref="S8">INDEX(股债表现与四个维度!$A:$T,MATCH($A8,股债表现与四个维度!$A:$A,0),MATCH(S$3&amp;S$4,股债表现与四个维度!$2:$2&amp;股债表现与四个维度!$3:$3,0))</f>
        <v>5.2631578947368418E-2</v>
      </c>
      <c r="T8">
        <f t="shared" si="0"/>
        <v>0.98016781083142623</v>
      </c>
      <c r="U8">
        <f t="shared" si="0"/>
        <v>0.29941520467836258</v>
      </c>
      <c r="V8">
        <f t="shared" si="7"/>
        <v>0.68075260615306366</v>
      </c>
      <c r="W8">
        <f t="shared" si="1"/>
        <v>13.677312700804432</v>
      </c>
      <c r="X8" t="e">
        <f t="shared" si="2"/>
        <v>#N/A</v>
      </c>
      <c r="Y8" s="92">
        <f t="shared" ref="Y8:Z8" si="9">AVERAGE(V8:V13)</f>
        <v>-0.41444180289467408</v>
      </c>
      <c r="Z8" s="92">
        <f t="shared" si="9"/>
        <v>4.4896607379571671</v>
      </c>
      <c r="AA8">
        <f t="shared" si="4"/>
        <v>-0.96915550334567835</v>
      </c>
      <c r="AC8" s="92">
        <f t="shared" si="5"/>
        <v>1.8288250699211797</v>
      </c>
      <c r="AD8" s="98">
        <v>0.122</v>
      </c>
      <c r="AE8" s="98">
        <v>0.80900000000000005</v>
      </c>
      <c r="AF8" s="98">
        <v>2E-3</v>
      </c>
      <c r="AG8" s="98">
        <v>6.7000000000000004E-2</v>
      </c>
      <c r="AH8" s="98">
        <v>0</v>
      </c>
      <c r="AI8" s="99" t="s">
        <v>136</v>
      </c>
    </row>
    <row r="9" spans="1:36" x14ac:dyDescent="0.35">
      <c r="A9" s="91">
        <f t="shared" si="6"/>
        <v>45900</v>
      </c>
      <c r="B9" s="93" cm="1">
        <f t="array" ref="B9">INDEX(股债表现与四个维度!$A:$T,MATCH($A9,股债表现与四个维度!$A:$A,0),MATCH(B$4,股债表现与四个维度!$2:$2,0))</f>
        <v>10.932696923234079</v>
      </c>
      <c r="C9" s="93" cm="1">
        <f t="array" ref="C9">INDEX(股债表现与四个维度!$A:$T,MATCH($A9,股债表现与四个维度!$A:$A,0),MATCH(C$4,股债表现与四个维度!$2:$2,0))</f>
        <v>7.3237474120082</v>
      </c>
      <c r="D9" s="93" t="e" cm="1">
        <f t="array" ref="D9">INDEX(股债表现与四个维度!$A:$T,MATCH($A9,股债表现与四个维度!$A:$A,0),MATCH(D$4,股债表现与四个维度!$2:$2,0))</f>
        <v>#N/A</v>
      </c>
      <c r="E9" s="93" t="str" cm="1">
        <f t="array" ref="E9">INDEX(股债表现与四个维度!$A:$T,MATCH($A9,股债表现与四个维度!$A:$A,0),MATCH(E$4,股债表现与四个维度!$2:$2,0))</f>
        <v>衰退</v>
      </c>
      <c r="F9" s="93" t="str" cm="1">
        <f t="array" ref="F9">INDEX(股债表现与四个维度!$A:$T,MATCH($A9,股债表现与四个维度!$A:$A,0),MATCH(F$4,股债表现与四个维度!$2:$2,0))</f>
        <v>宽货币紧信用</v>
      </c>
      <c r="G9" s="93" t="str" cm="1">
        <f t="array" ref="G9">INDEX(股债表现与四个维度!$A:$T,MATCH($A9,股债表现与四个维度!$A:$A,0),MATCH(G$4,股债表现与四个维度!$2:$2,0))</f>
        <v>双紧</v>
      </c>
      <c r="H9" s="93" t="str" cm="1">
        <f t="array" ref="H9">INDEX(股债表现与四个维度!$A:$T,MATCH($A9,股债表现与四个维度!$A:$A,0),MATCH(H$4,股债表现与四个维度!$2:$2,0))</f>
        <v>主动去库存</v>
      </c>
      <c r="I9" s="93" t="str" cm="1">
        <f t="array" ref="I9">INDEX(股债表现与四个维度!$A:$T,MATCH($A9,股债表现与四个维度!$A:$A,0),MATCH(I$4,股债表现与四个维度!$2:$2,0))</f>
        <v>产能周期下行,主动补库存</v>
      </c>
      <c r="J9" s="93" cm="1">
        <f t="array" ref="J9">INDEX(股债表现与四个维度!$A:$T,MATCH($A9,股债表现与四个维度!$A:$A,0),MATCH(J$3&amp;J$4,股债表现与四个维度!$2:$2&amp;股债表现与四个维度!$3:$3,0))</f>
        <v>8.3333333333333329E-2</v>
      </c>
      <c r="K9" s="93" cm="1">
        <f t="array" ref="K9">INDEX(股债表现与四个维度!$A:$T,MATCH($A9,股债表现与四个维度!$A:$A,0),MATCH(K$3&amp;K$4,股债表现与四个维度!$2:$2&amp;股债表现与四个维度!$3:$3,0))</f>
        <v>0.25</v>
      </c>
      <c r="L9" s="93" cm="1">
        <f t="array" ref="L9">INDEX(股债表现与四个维度!$A:$T,MATCH($A9,股债表现与四个维度!$A:$A,0),MATCH(L$3&amp;L$4,股债表现与四个维度!$2:$2&amp;股债表现与四个维度!$3:$3,0))</f>
        <v>0.15789473684210525</v>
      </c>
      <c r="M9" s="93" cm="1">
        <f t="array" ref="M9">INDEX(股债表现与四个维度!$A:$T,MATCH($A9,股债表现与四个维度!$A:$A,0),MATCH(M$3&amp;M$4,股债表现与四个维度!$2:$2&amp;股债表现与四个维度!$3:$3,0))</f>
        <v>0.68421052631578949</v>
      </c>
      <c r="N9" s="93" cm="1">
        <f t="array" ref="N9">INDEX(股债表现与四个维度!$A:$T,MATCH($A9,股债表现与四个维度!$A:$A,0),MATCH(N$3&amp;N$4,股债表现与四个维度!$2:$2&amp;股债表现与四个维度!$3:$3,0))</f>
        <v>0.2608695652173913</v>
      </c>
      <c r="O9" s="93" cm="1">
        <f t="array" ref="O9">INDEX(股债表现与四个维度!$A:$T,MATCH($A9,股债表现与四个维度!$A:$A,0),MATCH(O$3&amp;O$4,股债表现与四个维度!$2:$2&amp;股债表现与四个维度!$3:$3,0))</f>
        <v>0</v>
      </c>
      <c r="P9" s="93" cm="1">
        <f t="array" ref="P9">INDEX(股债表现与四个维度!$A:$T,MATCH($A9,股债表现与四个维度!$A:$A,0),MATCH(P$3&amp;P$4,股债表现与四个维度!$2:$2&amp;股债表现与四个维度!$3:$3,0))</f>
        <v>0.05</v>
      </c>
      <c r="Q9" s="93" cm="1">
        <f t="array" ref="Q9">INDEX(股债表现与四个维度!$A:$T,MATCH($A9,股债表现与四个维度!$A:$A,0),MATCH(Q$3&amp;Q$4,股债表现与四个维度!$2:$2&amp;股债表现与四个维度!$3:$3,0))</f>
        <v>0.1</v>
      </c>
      <c r="R9" s="93" cm="1">
        <f t="array" ref="R9">INDEX(股债表现与四个维度!$A:$T,MATCH($A9,股债表现与四个维度!$A:$A,0),MATCH(R$3&amp;R$4,股债表现与四个维度!$2:$2&amp;股债表现与四个维度!$3:$3,0))</f>
        <v>0</v>
      </c>
      <c r="S9" s="93" cm="1">
        <f t="array" ref="S9">INDEX(股债表现与四个维度!$A:$T,MATCH($A9,股债表现与四个维度!$A:$A,0),MATCH(S$3&amp;S$4,股债表现与四个维度!$2:$2&amp;股债表现与四个维度!$3:$3,0))</f>
        <v>0.1111111111111111</v>
      </c>
      <c r="T9">
        <f t="shared" si="0"/>
        <v>0.55209763539282997</v>
      </c>
      <c r="U9">
        <f t="shared" si="0"/>
        <v>1.1453216374269006</v>
      </c>
      <c r="V9">
        <f>T9-U9</f>
        <v>-0.59322400203407066</v>
      </c>
      <c r="W9">
        <f t="shared" si="1"/>
        <v>18.256444335242278</v>
      </c>
      <c r="X9" t="e">
        <f t="shared" si="2"/>
        <v>#N/A</v>
      </c>
      <c r="Y9" s="92">
        <f>AVERAGE(V9:V14)</f>
        <v>-0.41727785996414068</v>
      </c>
      <c r="Z9" s="92">
        <f t="shared" ref="Z9" si="10">AVERAGE(W9:W14)</f>
        <v>4.5176469249072708</v>
      </c>
      <c r="AA9">
        <f t="shared" si="4"/>
        <v>-0.93312634833254149</v>
      </c>
      <c r="AC9" s="92">
        <f t="shared" si="5"/>
        <v>-2.2743421052631581</v>
      </c>
      <c r="AD9" s="98">
        <v>0</v>
      </c>
      <c r="AE9" s="98">
        <v>0.85</v>
      </c>
      <c r="AF9" s="98">
        <v>0</v>
      </c>
      <c r="AG9" s="98">
        <v>0.15</v>
      </c>
      <c r="AH9" s="98">
        <v>0</v>
      </c>
      <c r="AI9" s="99" t="s">
        <v>135</v>
      </c>
    </row>
    <row r="10" spans="1:36" x14ac:dyDescent="0.35">
      <c r="A10" s="91">
        <f t="shared" si="6"/>
        <v>45869</v>
      </c>
      <c r="B10" s="93" cm="1">
        <f t="array" ref="B10">INDEX(股债表现与四个维度!$A:$T,MATCH($A10,股债表现与四个维度!$A:$A,0),MATCH(B$4,股债表现与四个维度!$2:$2,0))</f>
        <v>4.7457417601025949</v>
      </c>
      <c r="C10" s="93" cm="1">
        <f t="array" ref="C10">INDEX(股债表现与四个维度!$A:$T,MATCH($A10,股债表现与四个维度!$A:$A,0),MATCH(C$4,股债表现与四个维度!$2:$2,0))</f>
        <v>2.6568478260870001</v>
      </c>
      <c r="D10" s="93" t="e" cm="1">
        <f t="array" ref="D10">INDEX(股债表现与四个维度!$A:$T,MATCH($A10,股债表现与四个维度!$A:$A,0),MATCH(D$4,股债表现与四个维度!$2:$2,0))</f>
        <v>#N/A</v>
      </c>
      <c r="E10" s="93" t="str" cm="1">
        <f t="array" ref="E10">INDEX(股债表现与四个维度!$A:$T,MATCH($A10,股债表现与四个维度!$A:$A,0),MATCH(E$4,股债表现与四个维度!$2:$2,0))</f>
        <v>复苏</v>
      </c>
      <c r="F10" s="93" t="str" cm="1">
        <f t="array" ref="F10">INDEX(股债表现与四个维度!$A:$T,MATCH($A10,股债表现与四个维度!$A:$A,0),MATCH(F$4,股债表现与四个维度!$2:$2,0))</f>
        <v>宽货币宽信用</v>
      </c>
      <c r="G10" s="93" t="str" cm="1">
        <f t="array" ref="G10">INDEX(股债表现与四个维度!$A:$T,MATCH($A10,股债表现与四个维度!$A:$A,0),MATCH(G$4,股债表现与四个维度!$2:$2,0))</f>
        <v>双紧</v>
      </c>
      <c r="H10" s="93" t="str" cm="1">
        <f t="array" ref="H10">INDEX(股债表现与四个维度!$A:$T,MATCH($A10,股债表现与四个维度!$A:$A,0),MATCH(H$4,股债表现与四个维度!$2:$2,0))</f>
        <v>被动补库存</v>
      </c>
      <c r="I10" s="93" t="str" cm="1">
        <f t="array" ref="I10">INDEX(股债表现与四个维度!$A:$T,MATCH($A10,股债表现与四个维度!$A:$A,0),MATCH(I$4,股债表现与四个维度!$2:$2,0))</f>
        <v>产能周期下行,主动补库存</v>
      </c>
      <c r="J10" s="93" cm="1">
        <f t="array" ref="J10">INDEX(股债表现与四个维度!$A:$T,MATCH($A10,股债表现与四个维度!$A:$A,0),MATCH(J$3&amp;J$4,股债表现与四个维度!$2:$2&amp;股债表现与四个维度!$3:$3,0))</f>
        <v>-9.0909090909090912E-2</v>
      </c>
      <c r="K10" s="93" cm="1">
        <f t="array" ref="K10">INDEX(股债表现与四个维度!$A:$T,MATCH($A10,股债表现与四个维度!$A:$A,0),MATCH(K$3&amp;K$4,股债表现与四个维度!$2:$2&amp;股债表现与四个维度!$3:$3,0))</f>
        <v>0.45454545454545453</v>
      </c>
      <c r="L10" s="93" cm="1">
        <f t="array" ref="L10">INDEX(股债表现与四个维度!$A:$T,MATCH($A10,股债表现与四个维度!$A:$A,0),MATCH(L$3&amp;L$4,股债表现与四个维度!$2:$2&amp;股债表现与四个维度!$3:$3,0))</f>
        <v>-0.46666666666666667</v>
      </c>
      <c r="M10" s="93" cm="1">
        <f t="array" ref="M10">INDEX(股债表现与四个维度!$A:$T,MATCH($A10,股债表现与四个维度!$A:$A,0),MATCH(M$3&amp;M$4,股债表现与四个维度!$2:$2&amp;股债表现与四个维度!$3:$3,0))</f>
        <v>0.4</v>
      </c>
      <c r="N10" s="93" cm="1">
        <f t="array" ref="N10">INDEX(股债表现与四个维度!$A:$T,MATCH($A10,股债表现与四个维度!$A:$A,0),MATCH(N$3&amp;N$4,股债表现与四个维度!$2:$2&amp;股债表现与四个维度!$3:$3,0))</f>
        <v>0.2608695652173913</v>
      </c>
      <c r="O10" s="93" cm="1">
        <f t="array" ref="O10">INDEX(股债表现与四个维度!$A:$T,MATCH($A10,股债表现与四个维度!$A:$A,0),MATCH(O$3&amp;O$4,股债表现与四个维度!$2:$2&amp;股债表现与四个维度!$3:$3,0))</f>
        <v>-8.6956521739130432E-2</v>
      </c>
      <c r="P10" s="93" cm="1">
        <f t="array" ref="P10">INDEX(股债表现与四个维度!$A:$T,MATCH($A10,股债表现与四个维度!$A:$A,0),MATCH(P$3&amp;P$4,股债表现与四个维度!$2:$2&amp;股债表现与四个维度!$3:$3,0))</f>
        <v>-6.8965517241379309E-2</v>
      </c>
      <c r="Q10" s="93" cm="1">
        <f t="array" ref="Q10">INDEX(股债表现与四个维度!$A:$T,MATCH($A10,股债表现与四个维度!$A:$A,0),MATCH(Q$3&amp;Q$4,股债表现与四个维度!$2:$2&amp;股债表现与四个维度!$3:$3,0))</f>
        <v>0.34482758620689657</v>
      </c>
      <c r="R10" s="93" cm="1">
        <f t="array" ref="R10">INDEX(股债表现与四个维度!$A:$T,MATCH($A10,股债表现与四个维度!$A:$A,0),MATCH(R$3&amp;R$4,股债表现与四个维度!$2:$2&amp;股债表现与四个维度!$3:$3,0))</f>
        <v>-5.8823529411764705E-2</v>
      </c>
      <c r="S10" s="93" cm="1">
        <f t="array" ref="S10">INDEX(股债表现与四个维度!$A:$T,MATCH($A10,股债表现与四个维度!$A:$A,0),MATCH(S$3&amp;S$4,股债表现与四个维度!$2:$2&amp;股债表现与四个维度!$3:$3,0))</f>
        <v>5.8823529411764705E-2</v>
      </c>
      <c r="T10">
        <f t="shared" si="0"/>
        <v>-0.42449523901151032</v>
      </c>
      <c r="U10">
        <f t="shared" si="0"/>
        <v>1.1712400484249854</v>
      </c>
      <c r="V10">
        <f t="shared" si="7"/>
        <v>-1.5957352874364958</v>
      </c>
      <c r="W10">
        <f t="shared" si="1"/>
        <v>7.4025895861895954</v>
      </c>
      <c r="X10" t="e">
        <f t="shared" si="2"/>
        <v>#N/A</v>
      </c>
      <c r="Y10" s="92">
        <f t="shared" ref="Y10:Z10" si="11">AVERAGE(V10:V15)</f>
        <v>-0.29486221941348872</v>
      </c>
      <c r="Z10" s="92">
        <f t="shared" si="11"/>
        <v>2.8260006619607823</v>
      </c>
      <c r="AA10">
        <f t="shared" si="4"/>
        <v>-0.48888150010085135</v>
      </c>
      <c r="AC10" s="92">
        <f t="shared" si="5"/>
        <v>-0.81533703736367102</v>
      </c>
      <c r="AD10" s="98">
        <v>0.28599999999999998</v>
      </c>
      <c r="AE10" s="98">
        <v>0.13</v>
      </c>
      <c r="AF10" s="98">
        <v>0.44</v>
      </c>
      <c r="AG10" s="98">
        <v>0.10299999999999999</v>
      </c>
      <c r="AH10" s="98">
        <v>4.1000000000000002E-2</v>
      </c>
      <c r="AI10" s="99" t="s">
        <v>134</v>
      </c>
    </row>
    <row r="11" spans="1:36" x14ac:dyDescent="0.35">
      <c r="A11" s="91">
        <f t="shared" si="6"/>
        <v>45838</v>
      </c>
      <c r="B11" s="93" cm="1">
        <f t="array" ref="B11">INDEX(股债表现与四个维度!$A:$T,MATCH($A11,股债表现与四个维度!$A:$A,0),MATCH(B$4,股债表现与四个维度!$2:$2,0))</f>
        <v>4.7411973840911221</v>
      </c>
      <c r="C11" s="93" cm="1">
        <f t="array" ref="C11">INDEX(股债表现与四个维度!$A:$T,MATCH($A11,股债表现与四个维度!$A:$A,0),MATCH(C$4,股债表现与四个维度!$2:$2,0))</f>
        <v>-3.1740789473683999</v>
      </c>
      <c r="D11" s="93" t="e" cm="1">
        <f t="array" ref="D11">INDEX(股债表现与四个维度!$A:$T,MATCH($A11,股债表现与四个维度!$A:$A,0),MATCH(D$4,股债表现与四个维度!$2:$2,0))</f>
        <v>#N/A</v>
      </c>
      <c r="E11" s="93" t="str" cm="1">
        <f t="array" ref="E11">INDEX(股债表现与四个维度!$A:$T,MATCH($A11,股债表现与四个维度!$A:$A,0),MATCH(E$4,股债表现与四个维度!$2:$2,0))</f>
        <v>衰退</v>
      </c>
      <c r="F11" s="93" t="str" cm="1">
        <f t="array" ref="F11">INDEX(股债表现与四个维度!$A:$T,MATCH($A11,股债表现与四个维度!$A:$A,0),MATCH(F$4,股债表现与四个维度!$2:$2,0))</f>
        <v>宽货币宽信用</v>
      </c>
      <c r="G11" s="93" t="str" cm="1">
        <f t="array" ref="G11">INDEX(股债表现与四个维度!$A:$T,MATCH($A11,股债表现与四个维度!$A:$A,0),MATCH(G$4,股债表现与四个维度!$2:$2,0))</f>
        <v>双紧</v>
      </c>
      <c r="H11" s="93" t="str" cm="1">
        <f t="array" ref="H11">INDEX(股债表现与四个维度!$A:$T,MATCH($A11,股债表现与四个维度!$A:$A,0),MATCH(H$4,股债表现与四个维度!$2:$2,0))</f>
        <v>被动去库存</v>
      </c>
      <c r="I11" s="93" t="str" cm="1">
        <f t="array" ref="I11">INDEX(股债表现与四个维度!$A:$T,MATCH($A11,股债表现与四个维度!$A:$A,0),MATCH(I$4,股债表现与四个维度!$2:$2,0))</f>
        <v>产能周期下行,主动补库存</v>
      </c>
      <c r="J11" s="93" cm="1">
        <f t="array" ref="J11">INDEX(股债表现与四个维度!$A:$T,MATCH($A11,股债表现与四个维度!$A:$A,0),MATCH(J$3&amp;J$4,股债表现与四个维度!$2:$2&amp;股债表现与四个维度!$3:$3,0))</f>
        <v>0</v>
      </c>
      <c r="K11" s="93" cm="1">
        <f t="array" ref="K11">INDEX(股债表现与四个维度!$A:$T,MATCH($A11,股债表现与四个维度!$A:$A,0),MATCH(K$3&amp;K$4,股债表现与四个维度!$2:$2&amp;股债表现与四个维度!$3:$3,0))</f>
        <v>0</v>
      </c>
      <c r="L11" s="93" cm="1">
        <f t="array" ref="L11">INDEX(股债表现与四个维度!$A:$T,MATCH($A11,股债表现与四个维度!$A:$A,0),MATCH(L$3&amp;L$4,股债表现与四个维度!$2:$2&amp;股债表现与四个维度!$3:$3,0))</f>
        <v>-0.53333333333333333</v>
      </c>
      <c r="M11" s="93" cm="1">
        <f t="array" ref="M11">INDEX(股债表现与四个维度!$A:$T,MATCH($A11,股债表现与四个维度!$A:$A,0),MATCH(M$3&amp;M$4,股债表现与四个维度!$2:$2&amp;股债表现与四个维度!$3:$3,0))</f>
        <v>0.33333333333333331</v>
      </c>
      <c r="N11" s="93" cm="1">
        <f t="array" ref="N11">INDEX(股债表现与四个维度!$A:$T,MATCH($A11,股债表现与四个维度!$A:$A,0),MATCH(N$3&amp;N$4,股债表现与四个维度!$2:$2&amp;股债表现与四个维度!$3:$3,0))</f>
        <v>0.21739130434782608</v>
      </c>
      <c r="O11" s="93" cm="1">
        <f t="array" ref="O11">INDEX(股债表现与四个维度!$A:$T,MATCH($A11,股债表现与四个维度!$A:$A,0),MATCH(O$3&amp;O$4,股债表现与四个维度!$2:$2&amp;股债表现与四个维度!$3:$3,0))</f>
        <v>-0.13043478260869565</v>
      </c>
      <c r="P11" s="93" cm="1">
        <f t="array" ref="P11">INDEX(股债表现与四个维度!$A:$T,MATCH($A11,股债表现与四个维度!$A:$A,0),MATCH(P$3&amp;P$4,股债表现与四个维度!$2:$2&amp;股债表现与四个维度!$3:$3,0))</f>
        <v>0.16666666666666666</v>
      </c>
      <c r="Q11" s="93" cm="1">
        <f t="array" ref="Q11">INDEX(股债表现与四个维度!$A:$T,MATCH($A11,股债表现与四个维度!$A:$A,0),MATCH(Q$3&amp;Q$4,股债表现与四个维度!$2:$2&amp;股债表现与四个维度!$3:$3,0))</f>
        <v>0</v>
      </c>
      <c r="R11" s="93" cm="1">
        <f t="array" ref="R11">INDEX(股债表现与四个维度!$A:$T,MATCH($A11,股债表现与四个维度!$A:$A,0),MATCH(R$3&amp;R$4,股债表现与四个维度!$2:$2&amp;股债表现与四个维度!$3:$3,0))</f>
        <v>-0.125</v>
      </c>
      <c r="S11" s="93" cm="1">
        <f t="array" ref="S11">INDEX(股债表现与四个维度!$A:$T,MATCH($A11,股债表现与四个维度!$A:$A,0),MATCH(S$3&amp;S$4,股债表现与四个维度!$2:$2&amp;股债表现与四个维度!$3:$3,0))</f>
        <v>6.25E-2</v>
      </c>
      <c r="T11">
        <f t="shared" si="0"/>
        <v>-0.27427536231884064</v>
      </c>
      <c r="U11">
        <f t="shared" si="0"/>
        <v>0.26539855072463769</v>
      </c>
      <c r="V11">
        <f t="shared" si="7"/>
        <v>-0.53967391304347834</v>
      </c>
      <c r="W11">
        <f t="shared" si="1"/>
        <v>1.5671184367227222</v>
      </c>
      <c r="X11" t="e">
        <f t="shared" si="2"/>
        <v>#N/A</v>
      </c>
      <c r="Y11" s="92">
        <f t="shared" ref="Y11:Z11" si="12">AVERAGE(V11:V16)</f>
        <v>-0.18427874354647811</v>
      </c>
      <c r="Z11" s="92">
        <f t="shared" si="12"/>
        <v>-1.4990225784925972</v>
      </c>
      <c r="AA11">
        <f t="shared" si="4"/>
        <v>-0.70747917336075228</v>
      </c>
      <c r="AC11" s="92">
        <f t="shared" si="5"/>
        <v>-1.9781249999999999</v>
      </c>
      <c r="AD11" s="98">
        <v>0.21</v>
      </c>
      <c r="AE11" s="98">
        <v>0.5</v>
      </c>
      <c r="AF11" s="98">
        <v>0</v>
      </c>
      <c r="AG11" s="98">
        <v>0.26</v>
      </c>
      <c r="AH11" s="98">
        <v>0.03</v>
      </c>
      <c r="AI11" s="99" t="s">
        <v>133</v>
      </c>
    </row>
    <row r="12" spans="1:36" x14ac:dyDescent="0.35">
      <c r="A12" s="91">
        <f t="shared" si="6"/>
        <v>45808</v>
      </c>
      <c r="B12" s="93" cm="1">
        <f t="array" ref="B12">INDEX(股债表现与四个维度!$A:$T,MATCH($A12,股债表现与四个维度!$A:$A,0),MATCH(B$4,股债表现与四个维度!$2:$2,0))</f>
        <v>2.3851656769326852</v>
      </c>
      <c r="C12" s="93" cm="1">
        <f t="array" ref="C12">INDEX(股债表现与四个维度!$A:$T,MATCH($A12,股债表现与四个维度!$A:$A,0),MATCH(C$4,股债表现与四个维度!$2:$2,0))</f>
        <v>1.4479425837319999</v>
      </c>
      <c r="D12" s="93" t="e" cm="1">
        <f t="array" ref="D12">INDEX(股债表现与四个维度!$A:$T,MATCH($A12,股债表现与四个维度!$A:$A,0),MATCH(D$4,股债表现与四个维度!$2:$2,0))</f>
        <v>#N/A</v>
      </c>
      <c r="E12" s="93" t="str" cm="1">
        <f t="array" ref="E12">INDEX(股债表现与四个维度!$A:$T,MATCH($A12,股债表现与四个维度!$A:$A,0),MATCH(E$4,股债表现与四个维度!$2:$2,0))</f>
        <v>衰退</v>
      </c>
      <c r="F12" s="93" t="str" cm="1">
        <f t="array" ref="F12">INDEX(股债表现与四个维度!$A:$T,MATCH($A12,股债表现与四个维度!$A:$A,0),MATCH(F$4,股债表现与四个维度!$2:$2,0))</f>
        <v>宽货币宽信用</v>
      </c>
      <c r="G12" s="93" t="str" cm="1">
        <f t="array" ref="G12">INDEX(股债表现与四个维度!$A:$T,MATCH($A12,股债表现与四个维度!$A:$A,0),MATCH(G$4,股债表现与四个维度!$2:$2,0))</f>
        <v>双紧</v>
      </c>
      <c r="H12" s="93" t="str" cm="1">
        <f t="array" ref="H12">INDEX(股债表现与四个维度!$A:$T,MATCH($A12,股债表现与四个维度!$A:$A,0),MATCH(H$4,股债表现与四个维度!$2:$2,0))</f>
        <v>主动去库存</v>
      </c>
      <c r="I12" s="93" t="str" cm="1">
        <f t="array" ref="I12">INDEX(股债表现与四个维度!$A:$T,MATCH($A12,股债表现与四个维度!$A:$A,0),MATCH(I$4,股债表现与四个维度!$2:$2,0))</f>
        <v>产能周期下行,主动补库存</v>
      </c>
      <c r="J12" s="93" cm="1">
        <f t="array" ref="J12">INDEX(股债表现与四个维度!$A:$T,MATCH($A12,股债表现与四个维度!$A:$A,0),MATCH(J$3&amp;J$4,股债表现与四个维度!$2:$2&amp;股债表现与四个维度!$3:$3,0))</f>
        <v>0</v>
      </c>
      <c r="K12" s="93" cm="1">
        <f t="array" ref="K12">INDEX(股债表现与四个维度!$A:$T,MATCH($A12,股债表现与四个维度!$A:$A,0),MATCH(K$3&amp;K$4,股债表现与四个维度!$2:$2&amp;股债表现与四个维度!$3:$3,0))</f>
        <v>0</v>
      </c>
      <c r="L12" s="93" cm="1">
        <f t="array" ref="L12">INDEX(股债表现与四个维度!$A:$T,MATCH($A12,股债表现与四个维度!$A:$A,0),MATCH(L$3&amp;L$4,股债表现与四个维度!$2:$2&amp;股债表现与四个维度!$3:$3,0))</f>
        <v>-0.4</v>
      </c>
      <c r="M12" s="93" cm="1">
        <f t="array" ref="M12">INDEX(股债表现与四个维度!$A:$T,MATCH($A12,股债表现与四个维度!$A:$A,0),MATCH(M$3&amp;M$4,股债表现与四个维度!$2:$2&amp;股债表现与四个维度!$3:$3,0))</f>
        <v>0.33333333333333331</v>
      </c>
      <c r="N12" s="93" cm="1">
        <f t="array" ref="N12">INDEX(股债表现与四个维度!$A:$T,MATCH($A12,股债表现与四个维度!$A:$A,0),MATCH(N$3&amp;N$4,股债表现与四个维度!$2:$2&amp;股债表现与四个维度!$3:$3,0))</f>
        <v>0.27272727272727271</v>
      </c>
      <c r="O12" s="93" cm="1">
        <f t="array" ref="O12">INDEX(股债表现与四个维度!$A:$T,MATCH($A12,股债表现与四个维度!$A:$A,0),MATCH(O$3&amp;O$4,股债表现与四个维度!$2:$2&amp;股债表现与四个维度!$3:$3,0))</f>
        <v>-0.18181818181818182</v>
      </c>
      <c r="P12" s="93" cm="1">
        <f t="array" ref="P12">INDEX(股债表现与四个维度!$A:$T,MATCH($A12,股债表现与四个维度!$A:$A,0),MATCH(P$3&amp;P$4,股债表现与四个维度!$2:$2&amp;股债表现与四个维度!$3:$3,0))</f>
        <v>0.10526315789473684</v>
      </c>
      <c r="Q12" s="93" cm="1">
        <f t="array" ref="Q12">INDEX(股债表现与四个维度!$A:$T,MATCH($A12,股债表现与四个维度!$A:$A,0),MATCH(Q$3&amp;Q$4,股债表现与四个维度!$2:$2&amp;股债表现与四个维度!$3:$3,0))</f>
        <v>0</v>
      </c>
      <c r="R12" s="93" cm="1">
        <f t="array" ref="R12">INDEX(股债表现与四个维度!$A:$T,MATCH($A12,股债表现与四个维度!$A:$A,0),MATCH(R$3&amp;R$4,股债表现与四个维度!$2:$2&amp;股债表现与四个维度!$3:$3,0))</f>
        <v>-6.6666666666666666E-2</v>
      </c>
      <c r="S12" s="93" cm="1">
        <f t="array" ref="S12">INDEX(股债表现与四个维度!$A:$T,MATCH($A12,股债表现与四个维度!$A:$A,0),MATCH(S$3&amp;S$4,股债表现与四个维度!$2:$2&amp;股债表现与四个维度!$3:$3,0))</f>
        <v>0</v>
      </c>
      <c r="T12">
        <f t="shared" si="0"/>
        <v>-8.8676236044657145E-2</v>
      </c>
      <c r="U12">
        <f t="shared" si="0"/>
        <v>0.15151515151515149</v>
      </c>
      <c r="V12">
        <f t="shared" si="7"/>
        <v>-0.24019138755980862</v>
      </c>
      <c r="W12">
        <f t="shared" si="1"/>
        <v>3.8331082606646851</v>
      </c>
      <c r="X12" t="e">
        <f t="shared" si="2"/>
        <v>#N/A</v>
      </c>
      <c r="Y12" s="92">
        <f t="shared" ref="Y12:Z12" si="13">AVERAGE(V12:V17)</f>
        <v>-0.24530434234381601</v>
      </c>
      <c r="Z12" s="92">
        <f t="shared" si="13"/>
        <v>-6.8973343507369487</v>
      </c>
      <c r="AA12">
        <f t="shared" si="4"/>
        <v>-0.76335499892407788</v>
      </c>
      <c r="AC12" s="92">
        <f t="shared" si="5"/>
        <v>-0.39684210526315794</v>
      </c>
      <c r="AD12" s="98">
        <v>0.32</v>
      </c>
      <c r="AE12" s="98">
        <v>0.18</v>
      </c>
      <c r="AF12" s="98">
        <v>0</v>
      </c>
      <c r="AG12" s="98">
        <v>0.5</v>
      </c>
      <c r="AH12" s="98">
        <v>0</v>
      </c>
      <c r="AI12" s="99" t="s">
        <v>132</v>
      </c>
    </row>
    <row r="13" spans="1:36" x14ac:dyDescent="0.35">
      <c r="A13" s="91">
        <f t="shared" si="6"/>
        <v>45777</v>
      </c>
      <c r="B13" s="93" cm="1">
        <f t="array" ref="B13">INDEX(股债表现与四个维度!$A:$T,MATCH($A13,股债表现与四个维度!$A:$A,0),MATCH(B$4,股债表现与四个维度!$2:$2,0))</f>
        <v>-3.1503404936123141</v>
      </c>
      <c r="C13" s="93" cm="1">
        <f t="array" ref="C13">INDEX(股债表现与四个维度!$A:$T,MATCH($A13,股债表现与四个维度!$A:$A,0),MATCH(C$4,股债表现与四个维度!$2:$2,0))</f>
        <v>-14.648268398268399</v>
      </c>
      <c r="D13" s="93" t="e" cm="1">
        <f t="array" ref="D13">INDEX(股债表现与四个维度!$A:$T,MATCH($A13,股债表现与四个维度!$A:$A,0),MATCH(D$4,股债表现与四个维度!$2:$2,0))</f>
        <v>#N/A</v>
      </c>
      <c r="E13" s="93" t="str" cm="1">
        <f t="array" ref="E13">INDEX(股债表现与四个维度!$A:$T,MATCH($A13,股债表现与四个维度!$A:$A,0),MATCH(E$4,股债表现与四个维度!$2:$2,0))</f>
        <v>滞涨</v>
      </c>
      <c r="F13" s="93" t="str" cm="1">
        <f t="array" ref="F13">INDEX(股债表现与四个维度!$A:$T,MATCH($A13,股债表现与四个维度!$A:$A,0),MATCH(F$4,股债表现与四个维度!$2:$2,0))</f>
        <v>宽货币宽信用</v>
      </c>
      <c r="G13" s="93" t="str" cm="1">
        <f t="array" ref="G13">INDEX(股债表现与四个维度!$A:$T,MATCH($A13,股债表现与四个维度!$A:$A,0),MATCH(G$4,股债表现与四个维度!$2:$2,0))</f>
        <v>双紧</v>
      </c>
      <c r="H13" s="93" t="str" cm="1">
        <f t="array" ref="H13">INDEX(股债表现与四个维度!$A:$T,MATCH($A13,股债表现与四个维度!$A:$A,0),MATCH(H$4,股债表现与四个维度!$2:$2,0))</f>
        <v>主动去库存</v>
      </c>
      <c r="I13" s="93" t="str" cm="1">
        <f t="array" ref="I13">INDEX(股债表现与四个维度!$A:$T,MATCH($A13,股债表现与四个维度!$A:$A,0),MATCH(I$4,股债表现与四个维度!$2:$2,0))</f>
        <v>产能周期下行,主动补库存</v>
      </c>
      <c r="J13" s="93" cm="1">
        <f t="array" ref="J13">INDEX(股债表现与四个维度!$A:$T,MATCH($A13,股债表现与四个维度!$A:$A,0),MATCH(J$3&amp;J$4,股债表现与四个维度!$2:$2&amp;股债表现与四个维度!$3:$3,0))</f>
        <v>-0.1111111111111111</v>
      </c>
      <c r="K13" s="93" cm="1">
        <f t="array" ref="K13">INDEX(股债表现与四个维度!$A:$T,MATCH($A13,股债表现与四个维度!$A:$A,0),MATCH(K$3&amp;K$4,股债表现与四个维度!$2:$2&amp;股债表现与四个维度!$3:$3,0))</f>
        <v>-0.44444444444444442</v>
      </c>
      <c r="L13" s="93" cm="1">
        <f t="array" ref="L13">INDEX(股债表现与四个维度!$A:$T,MATCH($A13,股债表现与四个维度!$A:$A,0),MATCH(L$3&amp;L$4,股债表现与四个维度!$2:$2&amp;股债表现与四个维度!$3:$3,0))</f>
        <v>-0.4375</v>
      </c>
      <c r="M13" s="93" cm="1">
        <f t="array" ref="M13">INDEX(股债表现与四个维度!$A:$T,MATCH($A13,股债表现与四个维度!$A:$A,0),MATCH(M$3&amp;M$4,股债表现与四个维度!$2:$2&amp;股债表现与四个维度!$3:$3,0))</f>
        <v>0.375</v>
      </c>
      <c r="N13" s="93" cm="1">
        <f t="array" ref="N13">INDEX(股债表现与四个维度!$A:$T,MATCH($A13,股债表现与四个维度!$A:$A,0),MATCH(N$3&amp;N$4,股债表现与四个维度!$2:$2&amp;股债表现与四个维度!$3:$3,0))</f>
        <v>0.22727272727272727</v>
      </c>
      <c r="O13" s="93" cm="1">
        <f t="array" ref="O13">INDEX(股债表现与四个维度!$A:$T,MATCH($A13,股债表现与四个维度!$A:$A,0),MATCH(O$3&amp;O$4,股债表现与四个维度!$2:$2&amp;股债表现与四个维度!$3:$3,0))</f>
        <v>-9.0909090909090912E-2</v>
      </c>
      <c r="P13" s="93" cm="1">
        <f t="array" ref="P13">INDEX(股债表现与四个维度!$A:$T,MATCH($A13,股债表现与四个维度!$A:$A,0),MATCH(P$3&amp;P$4,股债表现与四个维度!$2:$2&amp;股债表现与四个维度!$3:$3,0))</f>
        <v>0.10526315789473684</v>
      </c>
      <c r="Q13" s="93" cm="1">
        <f t="array" ref="Q13">INDEX(股债表现与四个维度!$A:$T,MATCH($A13,股债表现与四个维度!$A:$A,0),MATCH(Q$3&amp;Q$4,股债表现与四个维度!$2:$2&amp;股债表现与四个维度!$3:$3,0))</f>
        <v>0</v>
      </c>
      <c r="R13" s="93" cm="1">
        <f t="array" ref="R13">INDEX(股债表现与四个维度!$A:$T,MATCH($A13,股债表现与四个维度!$A:$A,0),MATCH(R$3&amp;R$4,股债表现与四个维度!$2:$2&amp;股债表现与四个维度!$3:$3,0))</f>
        <v>-7.1428571428571425E-2</v>
      </c>
      <c r="S13" s="93" cm="1">
        <f t="array" ref="S13">INDEX(股债表现与四个维度!$A:$T,MATCH($A13,股债表现与四个维度!$A:$A,0),MATCH(S$3&amp;S$4,股债表现与四个维度!$2:$2&amp;股债表现与四个维度!$3:$3,0))</f>
        <v>7.1428571428571425E-2</v>
      </c>
      <c r="T13">
        <f t="shared" si="0"/>
        <v>-0.28750379737221843</v>
      </c>
      <c r="U13">
        <f t="shared" si="0"/>
        <v>-8.8924963924963907E-2</v>
      </c>
      <c r="V13">
        <f t="shared" si="7"/>
        <v>-0.19857883344725452</v>
      </c>
      <c r="W13">
        <f t="shared" si="1"/>
        <v>-17.798608891880715</v>
      </c>
      <c r="X13" t="e">
        <f t="shared" si="2"/>
        <v>#N/A</v>
      </c>
      <c r="Y13" s="92">
        <f t="shared" ref="Y13:Z13" si="14">AVERAGE(V13:V18)</f>
        <v>-0.13817842732316418</v>
      </c>
      <c r="Z13" s="92">
        <f t="shared" si="14"/>
        <v>-8.2816599371441182</v>
      </c>
      <c r="AA13">
        <f t="shared" si="4"/>
        <v>-0.67883857967081651</v>
      </c>
      <c r="AC13" s="92">
        <f t="shared" si="5"/>
        <v>-2.1791118421052631</v>
      </c>
      <c r="AD13" s="98">
        <v>0.06</v>
      </c>
      <c r="AE13" s="98">
        <v>0.63</v>
      </c>
      <c r="AF13" s="98">
        <v>0.11</v>
      </c>
      <c r="AG13" s="98">
        <v>0.2</v>
      </c>
      <c r="AH13" s="98">
        <v>0</v>
      </c>
      <c r="AI13" s="99" t="s">
        <v>131</v>
      </c>
    </row>
    <row r="14" spans="1:36" x14ac:dyDescent="0.35">
      <c r="A14" s="91">
        <f t="shared" si="6"/>
        <v>45747</v>
      </c>
      <c r="B14" s="93" cm="1">
        <f t="array" ref="B14">INDEX(股债表现与四个维度!$A:$T,MATCH($A14,股债表现与四个维度!$A:$A,0),MATCH(B$4,股债表现与四个维度!$2:$2,0))</f>
        <v>-0.40246441308393799</v>
      </c>
      <c r="C14" s="93" cm="1">
        <f t="array" ref="C14">INDEX(股债表现与四个维度!$A:$T,MATCH($A14,股债表现与四个维度!$A:$A,0),MATCH(C$4,股债表现与四个维度!$2:$2,0))</f>
        <v>14.247694235589</v>
      </c>
      <c r="D14" s="93" t="e" cm="1">
        <f t="array" ref="D14">INDEX(股债表现与四个维度!$A:$T,MATCH($A14,股债表现与四个维度!$A:$A,0),MATCH(D$4,股债表现与四个维度!$2:$2,0))</f>
        <v>#N/A</v>
      </c>
      <c r="E14" s="93" t="str" cm="1">
        <f t="array" ref="E14">INDEX(股债表现与四个维度!$A:$T,MATCH($A14,股债表现与四个维度!$A:$A,0),MATCH(E$4,股债表现与四个维度!$2:$2,0))</f>
        <v>滞涨</v>
      </c>
      <c r="F14" s="93" t="str" cm="1">
        <f t="array" ref="F14">INDEX(股债表现与四个维度!$A:$T,MATCH($A14,股债表现与四个维度!$A:$A,0),MATCH(F$4,股债表现与四个维度!$2:$2,0))</f>
        <v>紧货币宽信用</v>
      </c>
      <c r="G14" s="93" t="str" cm="1">
        <f t="array" ref="G14">INDEX(股债表现与四个维度!$A:$T,MATCH($A14,股债表现与四个维度!$A:$A,0),MATCH(G$4,股债表现与四个维度!$2:$2,0))</f>
        <v>双紧</v>
      </c>
      <c r="H14" s="93" t="str" cm="1">
        <f t="array" ref="H14">INDEX(股债表现与四个维度!$A:$T,MATCH($A14,股债表现与四个维度!$A:$A,0),MATCH(H$4,股债表现与四个维度!$2:$2,0))</f>
        <v>主动补库存</v>
      </c>
      <c r="I14" s="93" t="str" cm="1">
        <f t="array" ref="I14">INDEX(股债表现与四个维度!$A:$T,MATCH($A14,股债表现与四个维度!$A:$A,0),MATCH(I$4,股债表现与四个维度!$2:$2,0))</f>
        <v>产能周期下行,主动补库存</v>
      </c>
      <c r="J14" s="93" cm="1">
        <f t="array" ref="J14">INDEX(股债表现与四个维度!$A:$T,MATCH($A14,股债表现与四个维度!$A:$A,0),MATCH(J$3&amp;J$4,股债表现与四个维度!$2:$2&amp;股债表现与四个维度!$3:$3,0))</f>
        <v>-0.1</v>
      </c>
      <c r="K14" s="93" cm="1">
        <f t="array" ref="K14">INDEX(股债表现与四个维度!$A:$T,MATCH($A14,股债表现与四个维度!$A:$A,0),MATCH(K$3&amp;K$4,股债表现与四个维度!$2:$2&amp;股债表现与四个维度!$3:$3,0))</f>
        <v>-0.3</v>
      </c>
      <c r="L14" s="93" cm="1">
        <f t="array" ref="L14">INDEX(股债表现与四个维度!$A:$T,MATCH($A14,股债表现与四个维度!$A:$A,0),MATCH(L$3&amp;L$4,股债表现与四个维度!$2:$2&amp;股债表现与四个维度!$3:$3,0))</f>
        <v>0.13333333333333333</v>
      </c>
      <c r="M14" s="93" cm="1">
        <f t="array" ref="M14">INDEX(股债表现与四个维度!$A:$T,MATCH($A14,股债表现与四个维度!$A:$A,0),MATCH(M$3&amp;M$4,股债表现与四个维度!$2:$2&amp;股债表现与四个维度!$3:$3,0))</f>
        <v>-0.4</v>
      </c>
      <c r="N14" s="93" cm="1">
        <f t="array" ref="N14">INDEX(股债表现与四个维度!$A:$T,MATCH($A14,股债表现与四个维度!$A:$A,0),MATCH(N$3&amp;N$4,股债表现与四个维度!$2:$2&amp;股债表现与四个维度!$3:$3,0))</f>
        <v>0.19047619047619047</v>
      </c>
      <c r="O14" s="93" cm="1">
        <f t="array" ref="O14">INDEX(股债表现与四个维度!$A:$T,MATCH($A14,股债表现与四个维度!$A:$A,0),MATCH(O$3&amp;O$4,股债表现与四个维度!$2:$2&amp;股债表现与四个维度!$3:$3,0))</f>
        <v>-4.7619047619047616E-2</v>
      </c>
      <c r="P14" s="93" cm="1">
        <f t="array" ref="P14">INDEX(股债表现与四个维度!$A:$T,MATCH($A14,股债表现与四个维度!$A:$A,0),MATCH(P$3&amp;P$4,股债表现与四个维度!$2:$2&amp;股债表现与四个维度!$3:$3,0))</f>
        <v>0.16666666666666666</v>
      </c>
      <c r="Q14" s="93" cm="1">
        <f t="array" ref="Q14">INDEX(股债表现与四个维度!$A:$T,MATCH($A14,股债表现与四个维度!$A:$A,0),MATCH(Q$3&amp;Q$4,股债表现与四个维度!$2:$2&amp;股债表现与四个维度!$3:$3,0))</f>
        <v>0.16666666666666666</v>
      </c>
      <c r="R14" s="93" cm="1">
        <f t="array" ref="R14">INDEX(股债表现与四个维度!$A:$T,MATCH($A14,股债表现与四个维度!$A:$A,0),MATCH(R$3&amp;R$4,股债表现与四个维度!$2:$2&amp;股债表现与四个维度!$3:$3,0))</f>
        <v>-0.15384615384615385</v>
      </c>
      <c r="S14" s="93" cm="1">
        <f t="array" ref="S14">INDEX(股债表现与四个维度!$A:$T,MATCH($A14,股债表现与四个维度!$A:$A,0),MATCH(S$3&amp;S$4,股债表现与四个维度!$2:$2&amp;股债表现与四个维度!$3:$3,0))</f>
        <v>0.15384615384615385</v>
      </c>
      <c r="T14">
        <f t="shared" si="0"/>
        <v>0.23663003663003657</v>
      </c>
      <c r="U14">
        <f t="shared" si="0"/>
        <v>-0.42710622710622714</v>
      </c>
      <c r="V14">
        <f t="shared" si="7"/>
        <v>0.66373626373626371</v>
      </c>
      <c r="W14">
        <f t="shared" si="1"/>
        <v>13.845229822505061</v>
      </c>
      <c r="X14" t="e">
        <f t="shared" si="2"/>
        <v>#N/A</v>
      </c>
      <c r="Y14" s="92">
        <f t="shared" ref="Y14:Z14" si="15">AVERAGE(V14:V19)</f>
        <v>-0.46946941946941939</v>
      </c>
      <c r="Z14" s="92">
        <f t="shared" si="15"/>
        <v>-4.2268817420627842</v>
      </c>
      <c r="AA14">
        <f t="shared" si="4"/>
        <v>-0.52870254974782771</v>
      </c>
      <c r="AC14" s="92">
        <f t="shared" si="5"/>
        <v>2.0449999999999999</v>
      </c>
      <c r="AD14" s="98">
        <v>0.03</v>
      </c>
      <c r="AE14" s="98">
        <v>0.74</v>
      </c>
      <c r="AF14" s="98">
        <v>3.5000000000000003E-2</v>
      </c>
      <c r="AG14" s="98">
        <v>0.19500000000000001</v>
      </c>
      <c r="AH14" s="98">
        <v>0</v>
      </c>
      <c r="AI14" s="99" t="s">
        <v>130</v>
      </c>
    </row>
    <row r="15" spans="1:36" x14ac:dyDescent="0.35">
      <c r="A15" s="91">
        <f t="shared" si="6"/>
        <v>45716</v>
      </c>
      <c r="B15" s="93" cm="1">
        <f t="array" ref="B15">INDEX(股债表现与四个维度!$A:$T,MATCH($A15,股债表现与四个维度!$A:$A,0),MATCH(B$4,股债表现与四个维度!$2:$2,0))</f>
        <v>4.740777283879142</v>
      </c>
      <c r="C15" s="93" cm="1">
        <f t="array" ref="C15">INDEX(股债表现与四个维度!$A:$T,MATCH($A15,股债表现与四个维度!$A:$A,0),MATCH(C$4,股债表现与四个维度!$2:$2,0))</f>
        <v>3.3657894736841998</v>
      </c>
      <c r="D15" s="93" t="e" cm="1">
        <f t="array" ref="D15">INDEX(股债表现与四个维度!$A:$T,MATCH($A15,股债表现与四个维度!$A:$A,0),MATCH(D$4,股债表现与四个维度!$2:$2,0))</f>
        <v>#N/A</v>
      </c>
      <c r="E15" s="93" t="str" cm="1">
        <f t="array" ref="E15">INDEX(股债表现与四个维度!$A:$T,MATCH($A15,股债表现与四个维度!$A:$A,0),MATCH(E$4,股债表现与四个维度!$2:$2,0))</f>
        <v>过热</v>
      </c>
      <c r="F15" s="93" t="str" cm="1">
        <f t="array" ref="F15">INDEX(股债表现与四个维度!$A:$T,MATCH($A15,股债表现与四个维度!$A:$A,0),MATCH(F$4,股债表现与四个维度!$2:$2,0))</f>
        <v>紧货币宽信用</v>
      </c>
      <c r="G15" s="93" t="str" cm="1">
        <f t="array" ref="G15">INDEX(股债表现与四个维度!$A:$T,MATCH($A15,股债表现与四个维度!$A:$A,0),MATCH(G$4,股债表现与四个维度!$2:$2,0))</f>
        <v>双紧</v>
      </c>
      <c r="H15" s="93" t="str" cm="1">
        <f t="array" ref="H15">INDEX(股债表现与四个维度!$A:$T,MATCH($A15,股债表现与四个维度!$A:$A,0),MATCH(H$4,股债表现与四个维度!$2:$2,0))</f>
        <v>被动补库存</v>
      </c>
      <c r="I15" s="93" t="str" cm="1">
        <f t="array" ref="I15">INDEX(股债表现与四个维度!$A:$T,MATCH($A15,股债表现与四个维度!$A:$A,0),MATCH(I$4,股债表现与四个维度!$2:$2,0))</f>
        <v>产能周期下行,主动补库存</v>
      </c>
      <c r="J15" s="93" cm="1">
        <f t="array" ref="J15">INDEX(股债表现与四个维度!$A:$T,MATCH($A15,股债表现与四个维度!$A:$A,0),MATCH(J$3&amp;J$4,股债表现与四个维度!$2:$2&amp;股债表现与四个维度!$3:$3,0))</f>
        <v>0.26666666666666666</v>
      </c>
      <c r="K15" s="93" cm="1">
        <f t="array" ref="K15">INDEX(股债表现与四个维度!$A:$T,MATCH($A15,股债表现与四个维度!$A:$A,0),MATCH(K$3&amp;K$4,股债表现与四个维度!$2:$2&amp;股债表现与四个维度!$3:$3,0))</f>
        <v>0.33333333333333331</v>
      </c>
      <c r="L15" s="93" cm="1">
        <f t="array" ref="L15">INDEX(股债表现与四个维度!$A:$T,MATCH($A15,股债表现与四个维度!$A:$A,0),MATCH(L$3&amp;L$4,股债表现与四个维度!$2:$2&amp;股债表现与四个维度!$3:$3,0))</f>
        <v>0.13333333333333333</v>
      </c>
      <c r="M15" s="93" cm="1">
        <f t="array" ref="M15">INDEX(股债表现与四个维度!$A:$T,MATCH($A15,股债表现与四个维度!$A:$A,0),MATCH(M$3&amp;M$4,股债表现与四个维度!$2:$2&amp;股债表现与四个维度!$3:$3,0))</f>
        <v>-0.4</v>
      </c>
      <c r="N15" s="93" cm="1">
        <f t="array" ref="N15">INDEX(股债表现与四个维度!$A:$T,MATCH($A15,股债表现与四个维度!$A:$A,0),MATCH(N$3&amp;N$4,股债表现与四个维度!$2:$2&amp;股债表现与四个维度!$3:$3,0))</f>
        <v>0.23809523809523808</v>
      </c>
      <c r="O15" s="93" cm="1">
        <f t="array" ref="O15">INDEX(股债表现与四个维度!$A:$T,MATCH($A15,股债表现与四个维度!$A:$A,0),MATCH(O$3&amp;O$4,股债表现与四个维度!$2:$2&amp;股债表现与四个维度!$3:$3,0))</f>
        <v>-4.7619047619047616E-2</v>
      </c>
      <c r="P15" s="93" cm="1">
        <f t="array" ref="P15">INDEX(股债表现与四个维度!$A:$T,MATCH($A15,股债表现与四个维度!$A:$A,0),MATCH(P$3&amp;P$4,股债表现与四个维度!$2:$2&amp;股债表现与四个维度!$3:$3,0))</f>
        <v>-7.407407407407407E-2</v>
      </c>
      <c r="Q15" s="93" cm="1">
        <f t="array" ref="Q15">INDEX(股债表现与四个维度!$A:$T,MATCH($A15,股债表现与四个维度!$A:$A,0),MATCH(Q$3&amp;Q$4,股债表现与四个维度!$2:$2&amp;股债表现与四个维度!$3:$3,0))</f>
        <v>0.37037037037037035</v>
      </c>
      <c r="R15" s="93" cm="1">
        <f t="array" ref="R15">INDEX(股债表现与四个维度!$A:$T,MATCH($A15,股债表现与四个维度!$A:$A,0),MATCH(R$3&amp;R$4,股债表现与四个维度!$2:$2&amp;股债表现与四个维度!$3:$3,0))</f>
        <v>-8.3333333333333329E-2</v>
      </c>
      <c r="S15" s="93" cm="1">
        <f t="array" ref="S15">INDEX(股债表现与四个维度!$A:$T,MATCH($A15,股债表现与四个维度!$A:$A,0),MATCH(S$3&amp;S$4,股债表现与四个维度!$2:$2&amp;股债表现与四个维度!$3:$3,0))</f>
        <v>8.3333333333333329E-2</v>
      </c>
      <c r="T15">
        <f t="shared" si="0"/>
        <v>0.48068783068783066</v>
      </c>
      <c r="U15">
        <f t="shared" si="0"/>
        <v>0.33941798941798934</v>
      </c>
      <c r="V15">
        <f t="shared" si="7"/>
        <v>0.14126984126984132</v>
      </c>
      <c r="W15">
        <f t="shared" si="1"/>
        <v>8.1065667575633427</v>
      </c>
      <c r="X15" t="e">
        <f t="shared" si="2"/>
        <v>#N/A</v>
      </c>
      <c r="Y15" s="92">
        <f t="shared" ref="Y15:Z15" si="16">AVERAGE(V15:V20)</f>
        <v>-1.0394161394161394</v>
      </c>
      <c r="Z15" s="92">
        <f t="shared" si="16"/>
        <v>-3.9967064101645344</v>
      </c>
      <c r="AA15">
        <f t="shared" si="4"/>
        <v>-0.67436355280442761</v>
      </c>
      <c r="AC15" s="92">
        <f t="shared" si="5"/>
        <v>0.39112698412698421</v>
      </c>
      <c r="AD15" s="98">
        <v>5.2999999999999999E-2</v>
      </c>
      <c r="AE15" s="98">
        <v>0.30299999999999999</v>
      </c>
      <c r="AF15" s="98">
        <v>6.2E-2</v>
      </c>
      <c r="AG15" s="98">
        <v>2E-3</v>
      </c>
      <c r="AH15" s="98">
        <v>0.57999999999999996</v>
      </c>
      <c r="AI15" s="99" t="s">
        <v>129</v>
      </c>
    </row>
    <row r="16" spans="1:36" x14ac:dyDescent="0.35">
      <c r="A16" s="91">
        <f t="shared" si="6"/>
        <v>45688</v>
      </c>
      <c r="B16" s="93" cm="1">
        <f t="array" ref="B16">INDEX(股债表现与四个维度!$A:$T,MATCH($A16,股债表现与四个维度!$A:$A,0),MATCH(B$4,股债表现与四个维度!$2:$2,0))</f>
        <v>-2.3186981818895789</v>
      </c>
      <c r="C16" s="93" cm="1">
        <f t="array" ref="C16">INDEX(股债表现与四个维度!$A:$T,MATCH($A16,股债表现与四个维度!$A:$A,0),MATCH(C$4,股债表现与四个维度!$2:$2,0))</f>
        <v>-16.228851674641099</v>
      </c>
      <c r="D16" s="93" t="e" cm="1">
        <f t="array" ref="D16">INDEX(股债表现与四个维度!$A:$T,MATCH($A16,股债表现与四个维度!$A:$A,0),MATCH(D$4,股债表现与四个维度!$2:$2,0))</f>
        <v>#N/A</v>
      </c>
      <c r="E16" s="93" t="str" cm="1">
        <f t="array" ref="E16">INDEX(股债表现与四个维度!$A:$T,MATCH($A16,股债表现与四个维度!$A:$A,0),MATCH(E$4,股债表现与四个维度!$2:$2,0))</f>
        <v>衰退</v>
      </c>
      <c r="F16" s="93" t="str" cm="1">
        <f t="array" ref="F16">INDEX(股债表现与四个维度!$A:$T,MATCH($A16,股债表现与四个维度!$A:$A,0),MATCH(F$4,股债表现与四个维度!$2:$2,0))</f>
        <v>宽货币宽信用</v>
      </c>
      <c r="G16" s="93" t="str" cm="1">
        <f t="array" ref="G16">INDEX(股债表现与四个维度!$A:$T,MATCH($A16,股债表现与四个维度!$A:$A,0),MATCH(G$4,股债表现与四个维度!$2:$2,0))</f>
        <v>双紧</v>
      </c>
      <c r="H16" s="93" t="str" cm="1">
        <f t="array" ref="H16">INDEX(股债表现与四个维度!$A:$T,MATCH($A16,股债表现与四个维度!$A:$A,0),MATCH(H$4,股债表现与四个维度!$2:$2,0))</f>
        <v>被动补库存</v>
      </c>
      <c r="I16" s="93" t="str" cm="1">
        <f t="array" ref="I16">INDEX(股债表现与四个维度!$A:$T,MATCH($A16,股债表现与四个维度!$A:$A,0),MATCH(I$4,股债表现与四个维度!$2:$2,0))</f>
        <v>产能周期下行,主动补库存</v>
      </c>
      <c r="J16" s="93" cm="1">
        <f t="array" ref="J16">INDEX(股债表现与四个维度!$A:$T,MATCH($A16,股债表现与四个维度!$A:$A,0),MATCH(J$3&amp;J$4,股债表现与四个维度!$2:$2&amp;股债表现与四个维度!$3:$3,0))</f>
        <v>7.6923076923076927E-2</v>
      </c>
      <c r="K16" s="93" cm="1">
        <f t="array" ref="K16">INDEX(股债表现与四个维度!$A:$T,MATCH($A16,股债表现与四个维度!$A:$A,0),MATCH(K$3&amp;K$4,股债表现与四个维度!$2:$2&amp;股债表现与四个维度!$3:$3,0))</f>
        <v>7.6923076923076927E-2</v>
      </c>
      <c r="L16" s="93" cm="1">
        <f t="array" ref="L16">INDEX(股债表现与四个维度!$A:$T,MATCH($A16,股债表现与四个维度!$A:$A,0),MATCH(L$3&amp;L$4,股债表现与四个维度!$2:$2&amp;股债表现与四个维度!$3:$3,0))</f>
        <v>-0.33333333333333331</v>
      </c>
      <c r="M16" s="93" cm="1">
        <f t="array" ref="M16">INDEX(股债表现与四个维度!$A:$T,MATCH($A16,股债表现与四个维度!$A:$A,0),MATCH(M$3&amp;M$4,股债表现与四个维度!$2:$2&amp;股债表现与四个维度!$3:$3,0))</f>
        <v>0.33333333333333331</v>
      </c>
      <c r="N16" s="93" cm="1">
        <f t="array" ref="N16">INDEX(股债表现与四个维度!$A:$T,MATCH($A16,股债表现与四个维度!$A:$A,0),MATCH(N$3&amp;N$4,股债表现与四个维度!$2:$2&amp;股债表现与四个维度!$3:$3,0))</f>
        <v>0.23809523809523808</v>
      </c>
      <c r="O16" s="93" cm="1">
        <f t="array" ref="O16">INDEX(股债表现与四个维度!$A:$T,MATCH($A16,股债表现与四个维度!$A:$A,0),MATCH(O$3&amp;O$4,股债表现与四个维度!$2:$2&amp;股债表现与四个维度!$3:$3,0))</f>
        <v>-4.7619047619047616E-2</v>
      </c>
      <c r="P16" s="93" cm="1">
        <f t="array" ref="P16">INDEX(股债表现与四个维度!$A:$T,MATCH($A16,股债表现与四个维度!$A:$A,0),MATCH(P$3&amp;P$4,股债表现与四个维度!$2:$2&amp;股债表现与四个维度!$3:$3,0))</f>
        <v>-3.8461538461538464E-2</v>
      </c>
      <c r="Q16" s="93" cm="1">
        <f t="array" ref="Q16">INDEX(股债表现与四个维度!$A:$T,MATCH($A16,股债表现与四个维度!$A:$A,0),MATCH(Q$3&amp;Q$4,股债表现与四个维度!$2:$2&amp;股债表现与四个维度!$3:$3,0))</f>
        <v>0.34615384615384615</v>
      </c>
      <c r="R16" s="93" cm="1">
        <f t="array" ref="R16">INDEX(股债表现与四个维度!$A:$T,MATCH($A16,股债表现与四个维度!$A:$A,0),MATCH(R$3&amp;R$4,股债表现与四个维度!$2:$2&amp;股债表现与四个维度!$3:$3,0))</f>
        <v>-8.3333333333333329E-2</v>
      </c>
      <c r="S16" s="93" cm="1">
        <f t="array" ref="S16">INDEX(股债表现与四个维度!$A:$T,MATCH($A16,股债表现与四个维度!$A:$A,0),MATCH(S$3&amp;S$4,股债表现与四个维度!$2:$2&amp;股债表现与四个维度!$3:$3,0))</f>
        <v>8.3333333333333329E-2</v>
      </c>
      <c r="T16">
        <f t="shared" si="0"/>
        <v>-0.14010989010989011</v>
      </c>
      <c r="U16">
        <f t="shared" si="0"/>
        <v>0.79212454212454209</v>
      </c>
      <c r="V16">
        <f t="shared" si="7"/>
        <v>-0.93223443223443225</v>
      </c>
      <c r="W16">
        <f t="shared" si="1"/>
        <v>-18.547549856530679</v>
      </c>
      <c r="X16" t="e">
        <f t="shared" si="2"/>
        <v>#N/A</v>
      </c>
      <c r="Y16" s="92">
        <f t="shared" ref="Y16:Z16" si="17">AVERAGE(V16:V21)</f>
        <v>-1.6596083634985235</v>
      </c>
      <c r="Z16" s="92">
        <f t="shared" si="17"/>
        <v>-7.0871387805927659</v>
      </c>
      <c r="AA16">
        <f t="shared" si="4"/>
        <v>-0.54865132607225808</v>
      </c>
      <c r="AC16" s="92">
        <f t="shared" si="5"/>
        <v>-2.1269230769230769</v>
      </c>
      <c r="AD16" s="98">
        <v>0.18</v>
      </c>
      <c r="AE16" s="98">
        <v>0.39</v>
      </c>
      <c r="AF16" s="98">
        <v>0</v>
      </c>
      <c r="AG16" s="98">
        <v>0.43</v>
      </c>
      <c r="AH16" s="98">
        <v>0</v>
      </c>
      <c r="AI16" s="99" t="s">
        <v>128</v>
      </c>
    </row>
    <row r="17" spans="1:35" x14ac:dyDescent="0.35">
      <c r="A17" s="91">
        <f t="shared" si="6"/>
        <v>45657</v>
      </c>
      <c r="B17" s="93" cm="1">
        <f t="array" ref="B17">INDEX(股债表现与四个维度!$A:$T,MATCH($A17,股债表现与四个维度!$A:$A,0),MATCH(B$4,股债表现与四个维度!$2:$2,0))</f>
        <v>-1.9590725430636859</v>
      </c>
      <c r="C17" s="93" cm="1">
        <f t="array" ref="C17">INDEX(股债表现与四个维度!$A:$T,MATCH($A17,股债表现与四个维度!$A:$A,0),MATCH(C$4,股债表现与四个维度!$2:$2,0))</f>
        <v>-28.8636796536797</v>
      </c>
      <c r="D17" s="93" t="e" cm="1">
        <f t="array" ref="D17">INDEX(股债表现与四个维度!$A:$T,MATCH($A17,股债表现与四个维度!$A:$A,0),MATCH(D$4,股债表现与四个维度!$2:$2,0))</f>
        <v>#N/A</v>
      </c>
      <c r="E17" s="93" t="str" cm="1">
        <f t="array" ref="E17">INDEX(股债表现与四个维度!$A:$T,MATCH($A17,股债表现与四个维度!$A:$A,0),MATCH(E$4,股债表现与四个维度!$2:$2,0))</f>
        <v>复苏</v>
      </c>
      <c r="F17" s="93" t="str" cm="1">
        <f t="array" ref="F17">INDEX(股债表现与四个维度!$A:$T,MATCH($A17,股债表现与四个维度!$A:$A,0),MATCH(F$4,股债表现与四个维度!$2:$2,0))</f>
        <v>宽货币宽信用</v>
      </c>
      <c r="G17" s="93" t="str" cm="1">
        <f t="array" ref="G17">INDEX(股债表现与四个维度!$A:$T,MATCH($A17,股债表现与四个维度!$A:$A,0),MATCH(G$4,股债表现与四个维度!$2:$2,0))</f>
        <v>双宽</v>
      </c>
      <c r="H17" s="93" t="str" cm="1">
        <f t="array" ref="H17">INDEX(股债表现与四个维度!$A:$T,MATCH($A17,股债表现与四个维度!$A:$A,0),MATCH(H$4,股债表现与四个维度!$2:$2,0))</f>
        <v>被动补库存</v>
      </c>
      <c r="I17" s="93" t="str" cm="1">
        <f t="array" ref="I17">INDEX(股债表现与四个维度!$A:$T,MATCH($A17,股债表现与四个维度!$A:$A,0),MATCH(I$4,股债表现与四个维度!$2:$2,0))</f>
        <v>产能周期下行,被动去库存</v>
      </c>
      <c r="J17" s="93" cm="1">
        <f t="array" ref="J17">INDEX(股债表现与四个维度!$A:$T,MATCH($A17,股债表现与四个维度!$A:$A,0),MATCH(J$3&amp;J$4,股债表现与四个维度!$2:$2&amp;股债表现与四个维度!$3:$3,0))</f>
        <v>0</v>
      </c>
      <c r="K17" s="93" cm="1">
        <f t="array" ref="K17">INDEX(股债表现与四个维度!$A:$T,MATCH($A17,股债表现与四个维度!$A:$A,0),MATCH(K$3&amp;K$4,股债表现与四个维度!$2:$2&amp;股债表现与四个维度!$3:$3,0))</f>
        <v>0.45454545454545453</v>
      </c>
      <c r="L17" s="93" cm="1">
        <f t="array" ref="L17">INDEX(股债表现与四个维度!$A:$T,MATCH($A17,股债表现与四个维度!$A:$A,0),MATCH(L$3&amp;L$4,股债表现与四个维度!$2:$2&amp;股债表现与四个维度!$3:$3,0))</f>
        <v>-0.33333333333333331</v>
      </c>
      <c r="M17" s="93" cm="1">
        <f t="array" ref="M17">INDEX(股债表现与四个维度!$A:$T,MATCH($A17,股债表现与四个维度!$A:$A,0),MATCH(M$3&amp;M$4,股债表现与四个维度!$2:$2&amp;股债表现与四个维度!$3:$3,0))</f>
        <v>0.33333333333333331</v>
      </c>
      <c r="N17" s="93" cm="1">
        <f t="array" ref="N17">INDEX(股债表现与四个维度!$A:$T,MATCH($A17,股债表现与四个维度!$A:$A,0),MATCH(N$3&amp;N$4,股债表现与四个维度!$2:$2&amp;股债表现与四个维度!$3:$3,0))</f>
        <v>-0.05</v>
      </c>
      <c r="O17" s="93" cm="1">
        <f t="array" ref="O17">INDEX(股债表现与四个维度!$A:$T,MATCH($A17,股债表现与四个维度!$A:$A,0),MATCH(O$3&amp;O$4,股债表现与四个维度!$2:$2&amp;股债表现与四个维度!$3:$3,0))</f>
        <v>0.35</v>
      </c>
      <c r="P17" s="93" cm="1">
        <f t="array" ref="P17">INDEX(股债表现与四个维度!$A:$T,MATCH($A17,股债表现与四个维度!$A:$A,0),MATCH(P$3&amp;P$4,股债表现与四个维度!$2:$2&amp;股债表现与四个维度!$3:$3,0))</f>
        <v>-3.8461538461538464E-2</v>
      </c>
      <c r="Q17" s="93" cm="1">
        <f t="array" ref="Q17">INDEX(股债表现与四个维度!$A:$T,MATCH($A17,股债表现与四个维度!$A:$A,0),MATCH(Q$3&amp;Q$4,股债表现与四个维度!$2:$2&amp;股债表现与四个维度!$3:$3,0))</f>
        <v>0.34615384615384615</v>
      </c>
      <c r="R17" s="93" cm="1">
        <f t="array" ref="R17">INDEX(股债表现与四个维度!$A:$T,MATCH($A17,股债表现与四个维度!$A:$A,0),MATCH(R$3&amp;R$4,股债表现与四个维度!$2:$2&amp;股债表现与四个维度!$3:$3,0))</f>
        <v>1</v>
      </c>
      <c r="S17" s="93" cm="1">
        <f t="array" ref="S17">INDEX(股债表现与四个维度!$A:$T,MATCH($A17,股债表现与四个维度!$A:$A,0),MATCH(S$3&amp;S$4,股债表现与四个维度!$2:$2&amp;股债表现与四个维度!$3:$3,0))</f>
        <v>0</v>
      </c>
      <c r="T17">
        <f t="shared" si="0"/>
        <v>0.57820512820512826</v>
      </c>
      <c r="U17">
        <f t="shared" si="0"/>
        <v>1.484032634032634</v>
      </c>
      <c r="V17">
        <f t="shared" si="7"/>
        <v>-0.90582750582750571</v>
      </c>
      <c r="W17">
        <f t="shared" si="1"/>
        <v>-30.822752196743387</v>
      </c>
      <c r="X17" t="e">
        <f t="shared" si="2"/>
        <v>#N/A</v>
      </c>
      <c r="Y17" s="92">
        <f t="shared" ref="Y17:Z17" si="18">AVERAGE(V17:V22)</f>
        <v>-1.7870642409544011</v>
      </c>
      <c r="Z17" s="92">
        <f t="shared" si="18"/>
        <v>-4.2416180451251204</v>
      </c>
      <c r="AA17">
        <f t="shared" si="4"/>
        <v>-0.34291267827935917</v>
      </c>
      <c r="AC17" s="92">
        <f t="shared" si="5"/>
        <v>-2.3133799533799531</v>
      </c>
      <c r="AD17" s="98">
        <v>0.05</v>
      </c>
      <c r="AE17" s="98">
        <v>0.26</v>
      </c>
      <c r="AF17" s="98">
        <v>0.08</v>
      </c>
      <c r="AG17" s="98">
        <v>0.61</v>
      </c>
      <c r="AH17" s="98">
        <v>0</v>
      </c>
      <c r="AI17" s="99" t="s">
        <v>126</v>
      </c>
    </row>
    <row r="18" spans="1:35" x14ac:dyDescent="0.35">
      <c r="A18" s="91">
        <f t="shared" si="6"/>
        <v>45626</v>
      </c>
      <c r="B18" s="93" cm="1">
        <f t="array" ref="B18">INDEX(股债表现与四个维度!$A:$T,MATCH($A18,股债表现与四个维度!$A:$A,0),MATCH(B$4,股债表现与四个维度!$2:$2,0))</f>
        <v>1.343044466532469</v>
      </c>
      <c r="C18" s="93" cm="1">
        <f t="array" ref="C18">INDEX(股债表现与四个维度!$A:$T,MATCH($A18,股债表现与四个维度!$A:$A,0),MATCH(C$4,股债表现与四个维度!$2:$2,0))</f>
        <v>-5.8158897243108001</v>
      </c>
      <c r="D18" s="93" t="e" cm="1">
        <f t="array" ref="D18">INDEX(股债表现与四个维度!$A:$T,MATCH($A18,股债表现与四个维度!$A:$A,0),MATCH(D$4,股债表现与四个维度!$2:$2,0))</f>
        <v>#N/A</v>
      </c>
      <c r="E18" s="93" t="str" cm="1">
        <f t="array" ref="E18">INDEX(股债表现与四个维度!$A:$T,MATCH($A18,股债表现与四个维度!$A:$A,0),MATCH(E$4,股债表现与四个维度!$2:$2,0))</f>
        <v>过热</v>
      </c>
      <c r="F18" s="93" t="str" cm="1">
        <f t="array" ref="F18">INDEX(股债表现与四个维度!$A:$T,MATCH($A18,股债表现与四个维度!$A:$A,0),MATCH(F$4,股债表现与四个维度!$2:$2,0))</f>
        <v>紧货币紧信用</v>
      </c>
      <c r="G18" s="93" t="str" cm="1">
        <f t="array" ref="G18">INDEX(股债表现与四个维度!$A:$T,MATCH($A18,股债表现与四个维度!$A:$A,0),MATCH(G$4,股债表现与四个维度!$2:$2,0))</f>
        <v>双紧</v>
      </c>
      <c r="H18" s="93" t="str" cm="1">
        <f t="array" ref="H18">INDEX(股债表现与四个维度!$A:$T,MATCH($A18,股债表现与四个维度!$A:$A,0),MATCH(H$4,股债表现与四个维度!$2:$2,0))</f>
        <v>主动去库存</v>
      </c>
      <c r="I18" s="93" t="str" cm="1">
        <f t="array" ref="I18">INDEX(股债表现与四个维度!$A:$T,MATCH($A18,股债表现与四个维度!$A:$A,0),MATCH(I$4,股债表现与四个维度!$2:$2,0))</f>
        <v>产能周期下行,被动去库存</v>
      </c>
      <c r="J18" s="93" cm="1">
        <f t="array" ref="J18">INDEX(股债表现与四个维度!$A:$T,MATCH($A18,股债表现与四个维度!$A:$A,0),MATCH(J$3&amp;J$4,股债表现与四个维度!$2:$2&amp;股债表现与四个维度!$3:$3,0))</f>
        <v>0.15384615384615385</v>
      </c>
      <c r="K18" s="93" cm="1">
        <f t="array" ref="K18">INDEX(股债表现与四个维度!$A:$T,MATCH($A18,股债表现与四个维度!$A:$A,0),MATCH(K$3&amp;K$4,股债表现与四个维度!$2:$2&amp;股债表现与四个维度!$3:$3,0))</f>
        <v>0.38461538461538464</v>
      </c>
      <c r="L18" s="93" cm="1">
        <f t="array" ref="L18">INDEX(股债表现与四个维度!$A:$T,MATCH($A18,股债表现与四个维度!$A:$A,0),MATCH(L$3&amp;L$4,股债表现与四个维度!$2:$2&amp;股债表现与四个维度!$3:$3,0))</f>
        <v>0.22222222222222221</v>
      </c>
      <c r="M18" s="93" cm="1">
        <f t="array" ref="M18">INDEX(股债表现与四个维度!$A:$T,MATCH($A18,股债表现与四个维度!$A:$A,0),MATCH(M$3&amp;M$4,股债表现与四个维度!$2:$2&amp;股债表现与四个维度!$3:$3,0))</f>
        <v>-0.1111111111111111</v>
      </c>
      <c r="N18" s="93" cm="1">
        <f t="array" ref="N18">INDEX(股债表现与四个维度!$A:$T,MATCH($A18,股债表现与四个维度!$A:$A,0),MATCH(N$3&amp;N$4,股债表现与四个维度!$2:$2&amp;股债表现与四个维度!$3:$3,0))</f>
        <v>0.2</v>
      </c>
      <c r="O18" s="93" cm="1">
        <f t="array" ref="O18">INDEX(股债表现与四个维度!$A:$T,MATCH($A18,股债表现与四个维度!$A:$A,0),MATCH(O$3&amp;O$4,股债表现与四个维度!$2:$2&amp;股债表现与四个维度!$3:$3,0))</f>
        <v>-0.1</v>
      </c>
      <c r="P18" s="93" cm="1">
        <f t="array" ref="P18">INDEX(股债表现与四个维度!$A:$T,MATCH($A18,股债表现与四个维度!$A:$A,0),MATCH(P$3&amp;P$4,股债表现与四个维度!$2:$2&amp;股债表现与四个维度!$3:$3,0))</f>
        <v>0.05</v>
      </c>
      <c r="Q18" s="93" cm="1">
        <f t="array" ref="Q18">INDEX(股债表现与四个维度!$A:$T,MATCH($A18,股债表现与四个维度!$A:$A,0),MATCH(Q$3&amp;Q$4,股债表现与四个维度!$2:$2&amp;股债表现与四个维度!$3:$3,0))</f>
        <v>0.05</v>
      </c>
      <c r="R18" s="93" cm="1">
        <f t="array" ref="R18">INDEX(股债表现与四个维度!$A:$T,MATCH($A18,股债表现与四个维度!$A:$A,0),MATCH(R$3&amp;R$4,股债表现与四个维度!$2:$2&amp;股债表现与四个维度!$3:$3,0))</f>
        <v>1</v>
      </c>
      <c r="S18" s="93" cm="1">
        <f t="array" ref="S18">INDEX(股债表现与四个维度!$A:$T,MATCH($A18,股债表现与四个维度!$A:$A,0),MATCH(S$3&amp;S$4,股债表现与四个维度!$2:$2&amp;股债表现与四个维度!$3:$3,0))</f>
        <v>1</v>
      </c>
      <c r="T18">
        <f t="shared" si="0"/>
        <v>1.6260683760683761</v>
      </c>
      <c r="U18">
        <f t="shared" si="0"/>
        <v>1.2235042735042736</v>
      </c>
      <c r="V18">
        <f t="shared" si="7"/>
        <v>0.40256410256410247</v>
      </c>
      <c r="W18">
        <f t="shared" si="1"/>
        <v>-4.4728452577783315</v>
      </c>
      <c r="X18" t="e">
        <f t="shared" si="2"/>
        <v>#N/A</v>
      </c>
      <c r="Y18" s="92">
        <f t="shared" ref="Y18:Z18" si="19">AVERAGE(V18:V23)</f>
        <v>-1.7727019950132077</v>
      </c>
      <c r="Z18" s="92">
        <f t="shared" si="19"/>
        <v>-0.75331619983813136</v>
      </c>
      <c r="AA18">
        <f t="shared" si="4"/>
        <v>-0.15473364928983513</v>
      </c>
      <c r="AC18" s="92">
        <f>(AD18*(J18-K18)+AE18*(L18-M18)+AF18*(N18-O18)+AG18*(P18-Q18)+AH18*(R18-S18))*5</f>
        <v>0.11025641025641023</v>
      </c>
      <c r="AD18" s="98">
        <v>8.5000000000000006E-2</v>
      </c>
      <c r="AE18" s="98">
        <v>0.125</v>
      </c>
      <c r="AF18" s="98">
        <v>0</v>
      </c>
      <c r="AG18" s="98">
        <v>0.32500000000000001</v>
      </c>
      <c r="AH18" s="98">
        <v>0.46500000000000002</v>
      </c>
      <c r="AI18" s="99" t="s">
        <v>127</v>
      </c>
    </row>
    <row r="19" spans="1:35" x14ac:dyDescent="0.35">
      <c r="A19" s="91">
        <f t="shared" si="6"/>
        <v>45596</v>
      </c>
      <c r="B19" s="93" cm="1">
        <f t="array" ref="B19">INDEX(股债表现与四个维度!$A:$T,MATCH($A19,股债表现与四个维度!$A:$A,0),MATCH(B$4,股债表现与四个维度!$2:$2,0))</f>
        <v>2.278456268582191</v>
      </c>
      <c r="C19" s="93" cm="1">
        <f t="array" ref="C19">INDEX(股债表现与四个维度!$A:$T,MATCH($A19,股债表现与四个维度!$A:$A,0),MATCH(C$4,股债表现与四个维度!$2:$2,0))</f>
        <v>4.2516040100251002</v>
      </c>
      <c r="D19" s="93" t="e" cm="1">
        <f t="array" ref="D19">INDEX(股债表现与四个维度!$A:$T,MATCH($A19,股债表现与四个维度!$A:$A,0),MATCH(D$4,股债表现与四个维度!$2:$2,0))</f>
        <v>#N/A</v>
      </c>
      <c r="E19" s="93" t="str" cm="1">
        <f t="array" ref="E19">INDEX(股债表现与四个维度!$A:$T,MATCH($A19,股债表现与四个维度!$A:$A,0),MATCH(E$4,股债表现与四个维度!$2:$2,0))</f>
        <v>过热</v>
      </c>
      <c r="F19" s="93" t="str" cm="1">
        <f t="array" ref="F19">INDEX(股债表现与四个维度!$A:$T,MATCH($A19,股债表现与四个维度!$A:$A,0),MATCH(F$4,股债表现与四个维度!$2:$2,0))</f>
        <v>紧货币紧信用</v>
      </c>
      <c r="G19" s="93" t="str" cm="1">
        <f t="array" ref="G19">INDEX(股债表现与四个维度!$A:$T,MATCH($A19,股债表现与四个维度!$A:$A,0),MATCH(G$4,股债表现与四个维度!$2:$2,0))</f>
        <v>双宽</v>
      </c>
      <c r="H19" s="93" t="str" cm="1">
        <f t="array" ref="H19">INDEX(股债表现与四个维度!$A:$T,MATCH($A19,股债表现与四个维度!$A:$A,0),MATCH(H$4,股债表现与四个维度!$2:$2,0))</f>
        <v>主动去库存</v>
      </c>
      <c r="I19" s="93" t="str" cm="1">
        <f t="array" ref="I19">INDEX(股债表现与四个维度!$A:$T,MATCH($A19,股债表现与四个维度!$A:$A,0),MATCH(I$4,股债表现与四个维度!$2:$2,0))</f>
        <v>产能周期下行,被动去库存</v>
      </c>
      <c r="J19" s="93" cm="1">
        <f t="array" ref="J19">INDEX(股债表现与四个维度!$A:$T,MATCH($A19,股债表现与四个维度!$A:$A,0),MATCH(J$3&amp;J$4,股债表现与四个维度!$2:$2&amp;股债表现与四个维度!$3:$3,0))</f>
        <v>0.15384615384615385</v>
      </c>
      <c r="K19" s="93" cm="1">
        <f t="array" ref="K19">INDEX(股债表现与四个维度!$A:$T,MATCH($A19,股债表现与四个维度!$A:$A,0),MATCH(K$3&amp;K$4,股债表现与四个维度!$2:$2&amp;股债表现与四个维度!$3:$3,0))</f>
        <v>0.38461538461538464</v>
      </c>
      <c r="L19" s="93" cm="1">
        <f t="array" ref="L19">INDEX(股债表现与四个维度!$A:$T,MATCH($A19,股债表现与四个维度!$A:$A,0),MATCH(L$3&amp;L$4,股债表现与四个维度!$2:$2&amp;股债表现与四个维度!$3:$3,0))</f>
        <v>0.1111111111111111</v>
      </c>
      <c r="M19" s="93" cm="1">
        <f t="array" ref="M19">INDEX(股债表现与四个维度!$A:$T,MATCH($A19,股债表现与四个维度!$A:$A,0),MATCH(M$3&amp;M$4,股债表现与四个维度!$2:$2&amp;股债表现与四个维度!$3:$3,0))</f>
        <v>-0.33333333333333331</v>
      </c>
      <c r="N19" s="93" cm="1">
        <f t="array" ref="N19">INDEX(股债表现与四个维度!$A:$T,MATCH($A19,股债表现与四个维度!$A:$A,0),MATCH(N$3&amp;N$4,股债表现与四个维度!$2:$2&amp;股债表现与四个维度!$3:$3,0))</f>
        <v>-0.1</v>
      </c>
      <c r="O19" s="93" cm="1">
        <f t="array" ref="O19">INDEX(股债表现与四个维度!$A:$T,MATCH($A19,股债表现与四个维度!$A:$A,0),MATCH(O$3&amp;O$4,股债表现与四个维度!$2:$2&amp;股债表现与四个维度!$3:$3,0))</f>
        <v>0.3</v>
      </c>
      <c r="P19" s="93" cm="1">
        <f t="array" ref="P19">INDEX(股债表现与四个维度!$A:$T,MATCH($A19,股债表现与四个维度!$A:$A,0),MATCH(P$3&amp;P$4,股债表现与四个维度!$2:$2&amp;股债表现与四个维度!$3:$3,0))</f>
        <v>0.05</v>
      </c>
      <c r="Q19" s="93" cm="1">
        <f t="array" ref="Q19">INDEX(股债表现与四个维度!$A:$T,MATCH($A19,股债表现与四个维度!$A:$A,0),MATCH(Q$3&amp;Q$4,股债表现与四个维度!$2:$2&amp;股债表现与四个维度!$3:$3,0))</f>
        <v>0.05</v>
      </c>
      <c r="R19" s="93" cm="1">
        <f t="array" ref="R19">INDEX(股债表现与四个维度!$A:$T,MATCH($A19,股债表现与四个维度!$A:$A,0),MATCH(R$3&amp;R$4,股债表现与四个维度!$2:$2&amp;股债表现与四个维度!$3:$3,0))</f>
        <v>-1</v>
      </c>
      <c r="S19" s="93" cm="1">
        <f t="array" ref="S19">INDEX(股债表现与四个维度!$A:$T,MATCH($A19,股债表现与四个维度!$A:$A,0),MATCH(S$3&amp;S$4,股债表现与四个维度!$2:$2&amp;股债表现与四个维度!$3:$3,0))</f>
        <v>1</v>
      </c>
      <c r="T19">
        <f t="shared" si="0"/>
        <v>-0.78504273504273503</v>
      </c>
      <c r="U19">
        <f t="shared" si="0"/>
        <v>1.4012820512820512</v>
      </c>
      <c r="V19">
        <f t="shared" si="7"/>
        <v>-2.1863247863247861</v>
      </c>
      <c r="W19">
        <f t="shared" si="1"/>
        <v>6.5300602786072908</v>
      </c>
      <c r="X19" t="e">
        <f t="shared" si="2"/>
        <v>#N/A</v>
      </c>
      <c r="Y19" s="92">
        <f t="shared" ref="Y19:Z19" si="20">AVERAGE(V19:V24)</f>
        <v>-2.0945868353191006</v>
      </c>
      <c r="Z19" s="92">
        <f t="shared" si="20"/>
        <v>0.14161395813899938</v>
      </c>
      <c r="AA19">
        <f>AVERAGE(AC19:AC24)</f>
        <v>-0.42901481951915715</v>
      </c>
      <c r="AB19">
        <v>-0.42901481951915699</v>
      </c>
      <c r="AC19">
        <v>-1.2782956625673305</v>
      </c>
    </row>
    <row r="20" spans="1:35" x14ac:dyDescent="0.35">
      <c r="A20" s="91">
        <f t="shared" si="6"/>
        <v>45565</v>
      </c>
      <c r="B20" s="93" cm="1">
        <f t="array" ref="B20">INDEX(股债表现与四个维度!$A:$T,MATCH($A20,股债表现与四个维度!$A:$A,0),MATCH(B$4,股债表现与四个维度!$2:$2,0))</f>
        <v>22.210134627747362</v>
      </c>
      <c r="C20" s="93" cm="1">
        <f t="array" ref="C20">INDEX(股债表现与四个维度!$A:$T,MATCH($A20,股债表现与四个维度!$A:$A,0),MATCH(C$4,股债表现与四个维度!$2:$2,0))</f>
        <v>-6.9838528138528</v>
      </c>
      <c r="D20" s="93" t="e" cm="1">
        <f t="array" ref="D20">INDEX(股债表现与四个维度!$A:$T,MATCH($A20,股债表现与四个维度!$A:$A,0),MATCH(D$4,股债表现与四个维度!$2:$2,0))</f>
        <v>#N/A</v>
      </c>
      <c r="E20" s="93" t="str" cm="1">
        <f t="array" ref="E20">INDEX(股债表现与四个维度!$A:$T,MATCH($A20,股债表现与四个维度!$A:$A,0),MATCH(E$4,股债表现与四个维度!$2:$2,0))</f>
        <v>复苏</v>
      </c>
      <c r="F20" s="93" t="str" cm="1">
        <f t="array" ref="F20">INDEX(股债表现与四个维度!$A:$T,MATCH($A20,股债表现与四个维度!$A:$A,0),MATCH(F$4,股债表现与四个维度!$2:$2,0))</f>
        <v>紧货币紧信用</v>
      </c>
      <c r="G20" s="93" t="str" cm="1">
        <f t="array" ref="G20">INDEX(股债表现与四个维度!$A:$T,MATCH($A20,股债表现与四个维度!$A:$A,0),MATCH(G$4,股债表现与四个维度!$2:$2,0))</f>
        <v>双宽</v>
      </c>
      <c r="H20" s="93" t="str" cm="1">
        <f t="array" ref="H20">INDEX(股债表现与四个维度!$A:$T,MATCH($A20,股债表现与四个维度!$A:$A,0),MATCH(H$4,股债表现与四个维度!$2:$2,0))</f>
        <v>被动补库存</v>
      </c>
      <c r="I20" s="93" t="str" cm="1">
        <f t="array" ref="I20">INDEX(股债表现与四个维度!$A:$T,MATCH($A20,股债表现与四个维度!$A:$A,0),MATCH(I$4,股债表现与四个维度!$2:$2,0))</f>
        <v>产能周期下行,被动去库存</v>
      </c>
      <c r="J20" s="93" cm="1">
        <f t="array" ref="J20">INDEX(股债表现与四个维度!$A:$T,MATCH($A20,股债表现与四个维度!$A:$A,0),MATCH(J$3&amp;J$4,股债表现与四个维度!$2:$2&amp;股债表现与四个维度!$3:$3,0))</f>
        <v>0</v>
      </c>
      <c r="K20" s="93" cm="1">
        <f t="array" ref="K20">INDEX(股债表现与四个维度!$A:$T,MATCH($A20,股债表现与四个维度!$A:$A,0),MATCH(K$3&amp;K$4,股债表现与四个维度!$2:$2&amp;股债表现与四个维度!$3:$3,0))</f>
        <v>0.36363636363636365</v>
      </c>
      <c r="L20" s="93" cm="1">
        <f t="array" ref="L20">INDEX(股债表现与四个维度!$A:$T,MATCH($A20,股债表现与四个维度!$A:$A,0),MATCH(L$3&amp;L$4,股债表现与四个维度!$2:$2&amp;股债表现与四个维度!$3:$3,0))</f>
        <v>0.1</v>
      </c>
      <c r="M20" s="93" cm="1">
        <f t="array" ref="M20">INDEX(股债表现与四个维度!$A:$T,MATCH($A20,股债表现与四个维度!$A:$A,0),MATCH(M$3&amp;M$4,股债表现与四个维度!$2:$2&amp;股债表现与四个维度!$3:$3,0))</f>
        <v>-0.2</v>
      </c>
      <c r="N20" s="93" cm="1">
        <f t="array" ref="N20">INDEX(股债表现与四个维度!$A:$T,MATCH($A20,股债表现与四个维度!$A:$A,0),MATCH(N$3&amp;N$4,股债表现与四个维度!$2:$2&amp;股债表现与四个维度!$3:$3,0))</f>
        <v>-7.6923076923076927E-2</v>
      </c>
      <c r="O20" s="93" cm="1">
        <f t="array" ref="O20">INDEX(股债表现与四个维度!$A:$T,MATCH($A20,股债表现与四个维度!$A:$A,0),MATCH(O$3&amp;O$4,股债表现与四个维度!$2:$2&amp;股债表现与四个维度!$3:$3,0))</f>
        <v>0.28205128205128205</v>
      </c>
      <c r="P20" s="93" cm="1">
        <f t="array" ref="P20">INDEX(股债表现与四个维度!$A:$T,MATCH($A20,股债表现与四个维度!$A:$A,0),MATCH(P$3&amp;P$4,股债表现与四个维度!$2:$2&amp;股债表现与四个维度!$3:$3,0))</f>
        <v>-4.1666666666666664E-2</v>
      </c>
      <c r="Q20" s="93" cm="1">
        <f t="array" ref="Q20">INDEX(股债表现与四个维度!$A:$T,MATCH($A20,股债表现与四个维度!$A:$A,0),MATCH(Q$3&amp;Q$4,股债表现与四个维度!$2:$2&amp;股债表现与四个维度!$3:$3,0))</f>
        <v>0.29166666666666669</v>
      </c>
      <c r="R20" s="93" cm="1">
        <f t="array" ref="R20">INDEX(股债表现与四个维度!$A:$T,MATCH($A20,股债表现与四个维度!$A:$A,0),MATCH(R$3&amp;R$4,股债表现与四个维度!$2:$2&amp;股债表现与四个维度!$3:$3,0))</f>
        <v>-1</v>
      </c>
      <c r="S20" s="93" cm="1">
        <f t="array" ref="S20">INDEX(股债表现与四个维度!$A:$T,MATCH($A20,股债表现与四个维度!$A:$A,0),MATCH(S$3&amp;S$4,股债表现与四个维度!$2:$2&amp;股债表现与四个维度!$3:$3,0))</f>
        <v>1</v>
      </c>
      <c r="T20">
        <f t="shared" si="0"/>
        <v>-1.0185897435897435</v>
      </c>
      <c r="U20">
        <f t="shared" si="0"/>
        <v>1.7373543123543125</v>
      </c>
      <c r="V20">
        <f t="shared" si="7"/>
        <v>-2.755944055944056</v>
      </c>
      <c r="W20">
        <f t="shared" si="1"/>
        <v>15.226281813894563</v>
      </c>
      <c r="X20" t="e">
        <f t="shared" si="2"/>
        <v>#N/A</v>
      </c>
      <c r="Y20" s="92">
        <f t="shared" ref="Y20:Z20" si="21">AVERAGE(V20:V25)</f>
        <v>-2.0278737811447463</v>
      </c>
      <c r="Z20" s="92">
        <f t="shared" si="21"/>
        <v>-1.198639143067983</v>
      </c>
      <c r="AA20">
        <f>AVERAGE(AC20:AC25)</f>
        <v>-0.41790111603567454</v>
      </c>
      <c r="AB20">
        <v>-0.41790111603567398</v>
      </c>
      <c r="AC20">
        <v>1.1710339816603998</v>
      </c>
    </row>
    <row r="21" spans="1:35" x14ac:dyDescent="0.35">
      <c r="A21" s="91">
        <f t="shared" si="6"/>
        <v>45535</v>
      </c>
      <c r="B21" s="93" cm="1">
        <f t="array" ref="B21">INDEX(股债表现与四个维度!$A:$T,MATCH($A21,股债表现与四个维度!$A:$A,0),MATCH(B$4,股债表现与四个维度!$2:$2,0))</f>
        <v>-3.9690314175752399</v>
      </c>
      <c r="C21" s="93" cm="1">
        <f t="array" ref="C21">INDEX(股债表现与四个维度!$A:$T,MATCH($A21,股债表现与四个维度!$A:$A,0),MATCH(C$4,股债表现与四个维度!$2:$2,0))</f>
        <v>-6.4669960474307997</v>
      </c>
      <c r="D21" s="93" t="e" cm="1">
        <f t="array" ref="D21">INDEX(股债表现与四个维度!$A:$T,MATCH($A21,股债表现与四个维度!$A:$A,0),MATCH(D$4,股债表现与四个维度!$2:$2,0))</f>
        <v>#N/A</v>
      </c>
      <c r="E21" s="93" t="str" cm="1">
        <f t="array" ref="E21">INDEX(股债表现与四个维度!$A:$T,MATCH($A21,股债表现与四个维度!$A:$A,0),MATCH(E$4,股债表现与四个维度!$2:$2,0))</f>
        <v>复苏</v>
      </c>
      <c r="F21" s="93" t="str" cm="1">
        <f t="array" ref="F21">INDEX(股债表现与四个维度!$A:$T,MATCH($A21,股债表现与四个维度!$A:$A,0),MATCH(F$4,股债表现与四个维度!$2:$2,0))</f>
        <v>宽货币紧信用</v>
      </c>
      <c r="G21" s="93" t="str" cm="1">
        <f t="array" ref="G21">INDEX(股债表现与四个维度!$A:$T,MATCH($A21,股债表现与四个维度!$A:$A,0),MATCH(G$4,股债表现与四个维度!$2:$2,0))</f>
        <v>双宽</v>
      </c>
      <c r="H21" s="93" t="str" cm="1">
        <f t="array" ref="H21">INDEX(股债表现与四个维度!$A:$T,MATCH($A21,股债表现与四个维度!$A:$A,0),MATCH(H$4,股债表现与四个维度!$2:$2,0))</f>
        <v>被动补库存</v>
      </c>
      <c r="I21" s="93" t="str" cm="1">
        <f t="array" ref="I21">INDEX(股债表现与四个维度!$A:$T,MATCH($A21,股债表现与四个维度!$A:$A,0),MATCH(I$4,股债表现与四个维度!$2:$2,0))</f>
        <v>产能周期上行,被动去库存</v>
      </c>
      <c r="J21" s="93" cm="1">
        <f t="array" ref="J21">INDEX(股债表现与四个维度!$A:$T,MATCH($A21,股债表现与四个维度!$A:$A,0),MATCH(J$3&amp;J$4,股债表现与四个维度!$2:$2&amp;股债表现与四个维度!$3:$3,0))</f>
        <v>0</v>
      </c>
      <c r="K21" s="93" cm="1">
        <f t="array" ref="K21">INDEX(股债表现与四个维度!$A:$T,MATCH($A21,股债表现与四个维度!$A:$A,0),MATCH(K$3&amp;K$4,股债表现与四个维度!$2:$2&amp;股债表现与四个维度!$3:$3,0))</f>
        <v>0.36363636363636365</v>
      </c>
      <c r="L21" s="93" cm="1">
        <f t="array" ref="L21">INDEX(股债表现与四个维度!$A:$T,MATCH($A21,股债表现与四个维度!$A:$A,0),MATCH(L$3&amp;L$4,股债表现与四个维度!$2:$2&amp;股债表现与四个维度!$3:$3,0))</f>
        <v>0.2</v>
      </c>
      <c r="M21" s="93" cm="1">
        <f t="array" ref="M21">INDEX(股债表现与四个维度!$A:$T,MATCH($A21,股债表现与四个维度!$A:$A,0),MATCH(M$3&amp;M$4,股债表现与四个维度!$2:$2&amp;股债表现与四个维度!$3:$3,0))</f>
        <v>0.7</v>
      </c>
      <c r="N21" s="93" cm="1">
        <f t="array" ref="N21">INDEX(股债表现与四个维度!$A:$T,MATCH($A21,股债表现与四个维度!$A:$A,0),MATCH(N$3&amp;N$4,股债表现与四个维度!$2:$2&amp;股债表现与四个维度!$3:$3,0))</f>
        <v>-7.8947368421052627E-2</v>
      </c>
      <c r="O21" s="93" cm="1">
        <f t="array" ref="O21">INDEX(股债表现与四个维度!$A:$T,MATCH($A21,股债表现与四个维度!$A:$A,0),MATCH(O$3&amp;O$4,股债表现与四个维度!$2:$2&amp;股债表现与四个维度!$3:$3,0))</f>
        <v>0.28947368421052633</v>
      </c>
      <c r="P21" s="93" cm="1">
        <f t="array" ref="P21">INDEX(股债表现与四个维度!$A:$T,MATCH($A21,股债表现与四个维度!$A:$A,0),MATCH(P$3&amp;P$4,股债表现与四个维度!$2:$2&amp;股债表现与四个维度!$3:$3,0))</f>
        <v>-4.3478260869565216E-2</v>
      </c>
      <c r="Q21" s="93" cm="1">
        <f t="array" ref="Q21">INDEX(股债表现与四个维度!$A:$T,MATCH($A21,股债表现与四个维度!$A:$A,0),MATCH(Q$3&amp;Q$4,股债表现与四个维度!$2:$2&amp;股债表现与四个维度!$3:$3,0))</f>
        <v>0.30434782608695654</v>
      </c>
      <c r="R21" s="93" cm="1">
        <f t="array" ref="R21">INDEX(股债表现与四个维度!$A:$T,MATCH($A21,股债表现与四个维度!$A:$A,0),MATCH(R$3&amp;R$4,股债表现与四个维度!$2:$2&amp;股债表现与四个维度!$3:$3,0))</f>
        <v>-1</v>
      </c>
      <c r="S21" s="93" cm="1">
        <f t="array" ref="S21">INDEX(股债表现与四个维度!$A:$T,MATCH($A21,股债表现与四个维度!$A:$A,0),MATCH(S$3&amp;S$4,股债表现与四个维度!$2:$2&amp;股债表现与四个维度!$3:$3,0))</f>
        <v>1</v>
      </c>
      <c r="T21">
        <f t="shared" si="0"/>
        <v>-0.92242562929061789</v>
      </c>
      <c r="U21">
        <f t="shared" si="0"/>
        <v>2.6574578739338461</v>
      </c>
      <c r="V21">
        <f t="shared" si="7"/>
        <v>-3.579883503224464</v>
      </c>
      <c r="W21">
        <f t="shared" si="1"/>
        <v>-10.43602746500604</v>
      </c>
      <c r="X21" t="e">
        <f t="shared" si="2"/>
        <v>#N/A</v>
      </c>
      <c r="Y21" s="92">
        <f t="shared" ref="Y21:Z21" si="22">AVERAGE(V21:V26)</f>
        <v>-1.6886002864524536</v>
      </c>
      <c r="Z21" s="92">
        <f t="shared" si="22"/>
        <v>-5.1674476692784923</v>
      </c>
      <c r="AA21">
        <f t="shared" ref="AA21:AA84" si="23">AVERAGE(AC21:AC26)</f>
        <v>-0.83807089543225122</v>
      </c>
      <c r="AB21">
        <v>-0.83807089543225199</v>
      </c>
      <c r="AC21">
        <v>1.1454003445200023</v>
      </c>
    </row>
    <row r="22" spans="1:35" x14ac:dyDescent="0.35">
      <c r="A22" s="91">
        <f t="shared" si="6"/>
        <v>45504</v>
      </c>
      <c r="B22" s="93" cm="1">
        <f t="array" ref="B22">INDEX(股债表现与四个维度!$A:$T,MATCH($A22,股债表现与四个维度!$A:$A,0),MATCH(B$4,股债表现与四个维度!$2:$2,0))</f>
        <v>0.27106654712188499</v>
      </c>
      <c r="C22" s="93" cm="1">
        <f t="array" ref="C22">INDEX(股债表现与四个维度!$A:$T,MATCH($A22,股债表现与四个维度!$A:$A,0),MATCH(C$4,股债表现与四个维度!$2:$2,0))</f>
        <v>-1.7454919908466999</v>
      </c>
      <c r="D22" s="93" t="e" cm="1">
        <f t="array" ref="D22">INDEX(股债表现与四个维度!$A:$T,MATCH($A22,股债表现与四个维度!$A:$A,0),MATCH(D$4,股债表现与四个维度!$2:$2,0))</f>
        <v>#N/A</v>
      </c>
      <c r="E22" s="93" t="str" cm="1">
        <f t="array" ref="E22">INDEX(股债表现与四个维度!$A:$T,MATCH($A22,股债表现与四个维度!$A:$A,0),MATCH(E$4,股债表现与四个维度!$2:$2,0))</f>
        <v>过热</v>
      </c>
      <c r="F22" s="93" t="str" cm="1">
        <f t="array" ref="F22">INDEX(股债表现与四个维度!$A:$T,MATCH($A22,股债表现与四个维度!$A:$A,0),MATCH(F$4,股债表现与四个维度!$2:$2,0))</f>
        <v>宽货币宽信用</v>
      </c>
      <c r="G22" s="93" t="str" cm="1">
        <f t="array" ref="G22">INDEX(股债表现与四个维度!$A:$T,MATCH($A22,股债表现与四个维度!$A:$A,0),MATCH(G$4,股债表现与四个维度!$2:$2,0))</f>
        <v>双宽</v>
      </c>
      <c r="H22" s="93" t="str" cm="1">
        <f t="array" ref="H22">INDEX(股债表现与四个维度!$A:$T,MATCH($A22,股债表现与四个维度!$A:$A,0),MATCH(H$4,股债表现与四个维度!$2:$2,0))</f>
        <v>被动补库存</v>
      </c>
      <c r="I22" s="93" t="str" cm="1">
        <f t="array" ref="I22">INDEX(股债表现与四个维度!$A:$T,MATCH($A22,股债表现与四个维度!$A:$A,0),MATCH(I$4,股债表现与四个维度!$2:$2,0))</f>
        <v>产能周期上行,被动去库存</v>
      </c>
      <c r="J22" s="93" cm="1">
        <f t="array" ref="J22">INDEX(股债表现与四个维度!$A:$T,MATCH($A22,股债表现与四个维度!$A:$A,0),MATCH(J$3&amp;J$4,股债表现与四个维度!$2:$2&amp;股债表现与四个维度!$3:$3,0))</f>
        <v>0.27272727272727271</v>
      </c>
      <c r="K22" s="93" cm="1">
        <f t="array" ref="K22">INDEX(股债表现与四个维度!$A:$T,MATCH($A22,股债表现与四个维度!$A:$A,0),MATCH(K$3&amp;K$4,股债表现与四个维度!$2:$2&amp;股债表现与四个维度!$3:$3,0))</f>
        <v>0.36363636363636365</v>
      </c>
      <c r="L22" s="93" cm="1">
        <f t="array" ref="L22">INDEX(股债表现与四个维度!$A:$T,MATCH($A22,股债表现与四个维度!$A:$A,0),MATCH(L$3&amp;L$4,股债表现与四个维度!$2:$2&amp;股债表现与四个维度!$3:$3,0))</f>
        <v>-0.26666666666666666</v>
      </c>
      <c r="M22" s="93" cm="1">
        <f t="array" ref="M22">INDEX(股债表现与四个维度!$A:$T,MATCH($A22,股债表现与四个维度!$A:$A,0),MATCH(M$3&amp;M$4,股债表现与四个维度!$2:$2&amp;股债表现与四个维度!$3:$3,0))</f>
        <v>0.4</v>
      </c>
      <c r="N22" s="93" cm="1">
        <f t="array" ref="N22">INDEX(股债表现与四个维度!$A:$T,MATCH($A22,股债表现与四个维度!$A:$A,0),MATCH(N$3&amp;N$4,股债表现与四个维度!$2:$2&amp;股债表现与四个维度!$3:$3,0))</f>
        <v>-5.128205128205128E-2</v>
      </c>
      <c r="O22" s="93" cm="1">
        <f t="array" ref="O22">INDEX(股债表现与四个维度!$A:$T,MATCH($A22,股债表现与四个维度!$A:$A,0),MATCH(O$3&amp;O$4,股债表现与四个维度!$2:$2&amp;股债表现与四个维度!$3:$3,0))</f>
        <v>0.30769230769230771</v>
      </c>
      <c r="P22" s="93" cm="1">
        <f t="array" ref="P22">INDEX(股债表现与四个维度!$A:$T,MATCH($A22,股债表现与四个维度!$A:$A,0),MATCH(P$3&amp;P$4,股债表现与四个维度!$2:$2&amp;股债表现与四个维度!$3:$3,0))</f>
        <v>0</v>
      </c>
      <c r="Q22" s="93" cm="1">
        <f t="array" ref="Q22">INDEX(股债表现与四个维度!$A:$T,MATCH($A22,股债表现与四个维度!$A:$A,0),MATCH(Q$3&amp;Q$4,股债表现与四个维度!$2:$2&amp;股债表现与四个维度!$3:$3,0))</f>
        <v>0.27272727272727271</v>
      </c>
      <c r="R22" s="93" cm="1">
        <f t="array" ref="R22">INDEX(股债表现与四个维度!$A:$T,MATCH($A22,股债表现与四个维度!$A:$A,0),MATCH(R$3&amp;R$4,股债表现与四个维度!$2:$2&amp;股债表现与四个维度!$3:$3,0))</f>
        <v>-0.23076923076923078</v>
      </c>
      <c r="S22" s="93" cm="1">
        <f t="array" ref="S22">INDEX(股债表现与四个维度!$A:$T,MATCH($A22,股债表现与四个维度!$A:$A,0),MATCH(S$3&amp;S$4,股债表现与四个维度!$2:$2&amp;股债表现与四个维度!$3:$3,0))</f>
        <v>7.6923076923076927E-2</v>
      </c>
      <c r="T22">
        <f t="shared" si="0"/>
        <v>-0.275990675990676</v>
      </c>
      <c r="U22">
        <f t="shared" si="0"/>
        <v>1.420979020979021</v>
      </c>
      <c r="V22">
        <f t="shared" si="7"/>
        <v>-1.696969696969697</v>
      </c>
      <c r="W22">
        <f t="shared" si="1"/>
        <v>-1.474425443724815</v>
      </c>
      <c r="X22" t="e">
        <f t="shared" si="2"/>
        <v>#N/A</v>
      </c>
      <c r="Y22" s="92">
        <f t="shared" ref="Y22:Z22" si="24">AVERAGE(V22:V27)</f>
        <v>-1.23671173177668</v>
      </c>
      <c r="Z22" s="92">
        <f t="shared" si="24"/>
        <v>-3.4521948357725329</v>
      </c>
      <c r="AA22">
        <f t="shared" si="23"/>
        <v>-1.2252778622325449</v>
      </c>
      <c r="AB22">
        <v>-1.22527786223254</v>
      </c>
      <c r="AC22">
        <v>-0.89249119016568357</v>
      </c>
    </row>
    <row r="23" spans="1:35" x14ac:dyDescent="0.35">
      <c r="A23" s="91">
        <f t="shared" si="6"/>
        <v>45473</v>
      </c>
      <c r="B23" s="93" cm="1">
        <f t="array" ref="B23">INDEX(股债表现与四个维度!$A:$T,MATCH($A23,股债表现与四个维度!$A:$A,0),MATCH(B$4,股债表现与四个维度!$2:$2,0))</f>
        <v>-5.1273772152469537</v>
      </c>
      <c r="C23" s="93" cm="1">
        <f t="array" ref="C23">INDEX(股债表现与四个维度!$A:$T,MATCH($A23,股债表现与四个维度!$A:$A,0),MATCH(C$4,股债表现与四个维度!$2:$2,0))</f>
        <v>-4.7655639097745004</v>
      </c>
      <c r="D23" s="93" t="e" cm="1">
        <f t="array" ref="D23">INDEX(股债表现与四个维度!$A:$T,MATCH($A23,股债表现与四个维度!$A:$A,0),MATCH(D$4,股债表现与四个维度!$2:$2,0))</f>
        <v>#N/A</v>
      </c>
      <c r="E23" s="93" t="str" cm="1">
        <f t="array" ref="E23">INDEX(股债表现与四个维度!$A:$T,MATCH($A23,股债表现与四个维度!$A:$A,0),MATCH(E$4,股债表现与四个维度!$2:$2,0))</f>
        <v>过热</v>
      </c>
      <c r="F23" s="93" t="str" cm="1">
        <f t="array" ref="F23">INDEX(股债表现与四个维度!$A:$T,MATCH($A23,股债表现与四个维度!$A:$A,0),MATCH(F$4,股债表现与四个维度!$2:$2,0))</f>
        <v>宽货币紧信用</v>
      </c>
      <c r="G23" s="93" t="str" cm="1">
        <f t="array" ref="G23">INDEX(股债表现与四个维度!$A:$T,MATCH($A23,股债表现与四个维度!$A:$A,0),MATCH(G$4,股债表现与四个维度!$2:$2,0))</f>
        <v>双紧</v>
      </c>
      <c r="H23" s="93" t="str" cm="1">
        <f t="array" ref="H23">INDEX(股债表现与四个维度!$A:$T,MATCH($A23,股债表现与四个维度!$A:$A,0),MATCH(H$4,股债表现与四个维度!$2:$2,0))</f>
        <v>被动补库存</v>
      </c>
      <c r="I23" s="93" t="str" cm="1">
        <f t="array" ref="I23">INDEX(股债表现与四个维度!$A:$T,MATCH($A23,股债表现与四个维度!$A:$A,0),MATCH(I$4,股债表现与四个维度!$2:$2,0))</f>
        <v>产能周期上行,被动去库存</v>
      </c>
      <c r="J23" s="93" cm="1">
        <f t="array" ref="J23">INDEX(股债表现与四个维度!$A:$T,MATCH($A23,股债表现与四个维度!$A:$A,0),MATCH(J$3&amp;J$4,股债表现与四个维度!$2:$2&amp;股债表现与四个维度!$3:$3,0))</f>
        <v>0.27272727272727271</v>
      </c>
      <c r="K23" s="93" cm="1">
        <f t="array" ref="K23">INDEX(股债表现与四个维度!$A:$T,MATCH($A23,股债表现与四个维度!$A:$A,0),MATCH(K$3&amp;K$4,股债表现与四个维度!$2:$2&amp;股债表现与四个维度!$3:$3,0))</f>
        <v>0.36363636363636365</v>
      </c>
      <c r="L23" s="93" cm="1">
        <f t="array" ref="L23">INDEX(股债表现与四个维度!$A:$T,MATCH($A23,股债表现与四个维度!$A:$A,0),MATCH(L$3&amp;L$4,股债表现与四个维度!$2:$2&amp;股债表现与四个维度!$3:$3,0))</f>
        <v>0.26315789473684209</v>
      </c>
      <c r="M23" s="93" cm="1">
        <f t="array" ref="M23">INDEX(股债表现与四个维度!$A:$T,MATCH($A23,股债表现与四个维度!$A:$A,0),MATCH(M$3&amp;M$4,股债表现与四个维度!$2:$2&amp;股债表现与四个维度!$3:$3,0))</f>
        <v>0.68421052631578949</v>
      </c>
      <c r="N23" s="93" cm="1">
        <f t="array" ref="N23">INDEX(股债表现与四个维度!$A:$T,MATCH($A23,股债表现与四个维度!$A:$A,0),MATCH(N$3&amp;N$4,股债表现与四个维度!$2:$2&amp;股债表现与四个维度!$3:$3,0))</f>
        <v>0.23809523809523808</v>
      </c>
      <c r="O23" s="93" cm="1">
        <f t="array" ref="O23">INDEX(股债表现与四个维度!$A:$T,MATCH($A23,股债表现与四个维度!$A:$A,0),MATCH(O$3&amp;O$4,股债表现与四个维度!$2:$2&amp;股债表现与四个维度!$3:$3,0))</f>
        <v>-4.7619047619047616E-2</v>
      </c>
      <c r="P23" s="93" cm="1">
        <f t="array" ref="P23">INDEX(股债表现与四个维度!$A:$T,MATCH($A23,股债表现与四个维度!$A:$A,0),MATCH(P$3&amp;P$4,股债表现与四个维度!$2:$2&amp;股债表现与四个维度!$3:$3,0))</f>
        <v>4.7619047619047616E-2</v>
      </c>
      <c r="Q23" s="93" cm="1">
        <f t="array" ref="Q23">INDEX(股债表现与四个维度!$A:$T,MATCH($A23,股债表现与四个维度!$A:$A,0),MATCH(Q$3&amp;Q$4,股债表现与四个维度!$2:$2&amp;股债表现与四个维度!$3:$3,0))</f>
        <v>0.33333333333333331</v>
      </c>
      <c r="R23" s="93" cm="1">
        <f t="array" ref="R23">INDEX(股债表现与四个维度!$A:$T,MATCH($A23,股债表现与四个维度!$A:$A,0),MATCH(R$3&amp;R$4,股债表现与四个维度!$2:$2&amp;股债表现与四个维度!$3:$3,0))</f>
        <v>-0.23076923076923078</v>
      </c>
      <c r="S23" s="93" cm="1">
        <f t="array" ref="S23">INDEX(股债表现与四个维度!$A:$T,MATCH($A23,股债表现与四个维度!$A:$A,0),MATCH(S$3&amp;S$4,股债表现与四个维度!$2:$2&amp;股债表现与四个维度!$3:$3,0))</f>
        <v>7.6923076923076927E-2</v>
      </c>
      <c r="T23">
        <f t="shared" si="0"/>
        <v>0.59083022240916971</v>
      </c>
      <c r="U23">
        <f t="shared" si="0"/>
        <v>1.4104842525895156</v>
      </c>
      <c r="V23">
        <f t="shared" si="7"/>
        <v>-0.81965403018034588</v>
      </c>
      <c r="W23">
        <f t="shared" si="1"/>
        <v>-9.892941125021455</v>
      </c>
      <c r="X23" t="e">
        <f t="shared" si="2"/>
        <v>#N/A</v>
      </c>
      <c r="Y23" s="92">
        <f t="shared" ref="Y23:Z23" si="25">AVERAGE(V23:V28)</f>
        <v>-1.0745905196554679</v>
      </c>
      <c r="Z23" s="92">
        <f t="shared" si="25"/>
        <v>-7.1639652728374896</v>
      </c>
      <c r="AA23">
        <f t="shared" si="23"/>
        <v>-1.1612880617852606</v>
      </c>
      <c r="AB23">
        <v>-1.1612880617852599</v>
      </c>
      <c r="AC23">
        <v>-1.1843057794428091</v>
      </c>
    </row>
    <row r="24" spans="1:35" x14ac:dyDescent="0.35">
      <c r="A24" s="91">
        <f t="shared" si="6"/>
        <v>45443</v>
      </c>
      <c r="B24" s="93" cm="1">
        <f t="array" ref="B24">INDEX(股债表现与四个维度!$A:$T,MATCH($A24,股债表现与四个维度!$A:$A,0),MATCH(B$4,股债表现与四个维度!$2:$2,0))</f>
        <v>-1.2058617125129469</v>
      </c>
      <c r="C24" s="93" cm="1">
        <f t="array" ref="C24">INDEX(股债表现与四个维度!$A:$T,MATCH($A24,股债表现与四个维度!$A:$A,0),MATCH(C$4,股债表现与四个维度!$2:$2,0))</f>
        <v>2.1025974025974001</v>
      </c>
      <c r="D24" s="93" t="e" cm="1">
        <f t="array" ref="D24">INDEX(股债表现与四个维度!$A:$T,MATCH($A24,股债表现与四个维度!$A:$A,0),MATCH(D$4,股债表现与四个维度!$2:$2,0))</f>
        <v>#N/A</v>
      </c>
      <c r="E24" s="93" t="str" cm="1">
        <f t="array" ref="E24">INDEX(股债表现与四个维度!$A:$T,MATCH($A24,股债表现与四个维度!$A:$A,0),MATCH(E$4,股债表现与四个维度!$2:$2,0))</f>
        <v>滞涨</v>
      </c>
      <c r="F24" s="93" t="str" cm="1">
        <f t="array" ref="F24">INDEX(股债表现与四个维度!$A:$T,MATCH($A24,股债表现与四个维度!$A:$A,0),MATCH(F$4,股债表现与四个维度!$2:$2,0))</f>
        <v>宽货币宽信用</v>
      </c>
      <c r="G24" s="93" t="str" cm="1">
        <f t="array" ref="G24">INDEX(股债表现与四个维度!$A:$T,MATCH($A24,股债表现与四个维度!$A:$A,0),MATCH(G$4,股债表现与四个维度!$2:$2,0))</f>
        <v>双宽</v>
      </c>
      <c r="H24" s="93" t="str" cm="1">
        <f t="array" ref="H24">INDEX(股债表现与四个维度!$A:$T,MATCH($A24,股债表现与四个维度!$A:$A,0),MATCH(H$4,股债表现与四个维度!$2:$2,0))</f>
        <v>被动补库存</v>
      </c>
      <c r="I24" s="93" t="str" cm="1">
        <f t="array" ref="I24">INDEX(股债表现与四个维度!$A:$T,MATCH($A24,股债表现与四个维度!$A:$A,0),MATCH(I$4,股债表现与四个维度!$2:$2,0))</f>
        <v>产能周期下行,主动去库存</v>
      </c>
      <c r="J24" s="93" cm="1">
        <f t="array" ref="J24">INDEX(股债表现与四个维度!$A:$T,MATCH($A24,股债表现与四个维度!$A:$A,0),MATCH(J$3&amp;J$4,股债表现与四个维度!$2:$2&amp;股债表现与四个维度!$3:$3,0))</f>
        <v>-0.1</v>
      </c>
      <c r="K24" s="93" cm="1">
        <f t="array" ref="K24">INDEX(股债表现与四个维度!$A:$T,MATCH($A24,股债表现与四个维度!$A:$A,0),MATCH(K$3&amp;K$4,股债表现与四个维度!$2:$2&amp;股债表现与四个维度!$3:$3,0))</f>
        <v>-0.3</v>
      </c>
      <c r="L24" s="93" cm="1">
        <f t="array" ref="L24">INDEX(股债表现与四个维度!$A:$T,MATCH($A24,股债表现与四个维度!$A:$A,0),MATCH(L$3&amp;L$4,股债表现与四个维度!$2:$2&amp;股债表现与四个维度!$3:$3,0))</f>
        <v>-0.21428571428571427</v>
      </c>
      <c r="M24" s="93" cm="1">
        <f t="array" ref="M24">INDEX(股债表现与四个维度!$A:$T,MATCH($A24,股债表现与四个维度!$A:$A,0),MATCH(M$3&amp;M$4,股债表现与四个维度!$2:$2&amp;股债表现与四个维度!$3:$3,0))</f>
        <v>0.5</v>
      </c>
      <c r="N24" s="93" cm="1">
        <f t="array" ref="N24">INDEX(股债表现与四个维度!$A:$T,MATCH($A24,股债表现与四个维度!$A:$A,0),MATCH(N$3&amp;N$4,股债表现与四个维度!$2:$2&amp;股债表现与四个维度!$3:$3,0))</f>
        <v>-7.8947368421052627E-2</v>
      </c>
      <c r="O24" s="93" cm="1">
        <f t="array" ref="O24">INDEX(股债表现与四个维度!$A:$T,MATCH($A24,股债表现与四个维度!$A:$A,0),MATCH(O$3&amp;O$4,股债表现与四个维度!$2:$2&amp;股债表现与四个维度!$3:$3,0))</f>
        <v>0.34210526315789475</v>
      </c>
      <c r="P24" s="93" cm="1">
        <f t="array" ref="P24">INDEX(股债表现与四个维度!$A:$T,MATCH($A24,股债表现与四个维度!$A:$A,0),MATCH(P$3&amp;P$4,股债表现与四个维度!$2:$2&amp;股债表现与四个维度!$3:$3,0))</f>
        <v>-4.7619047619047616E-2</v>
      </c>
      <c r="Q24" s="93" cm="1">
        <f t="array" ref="Q24">INDEX(股债表现与四个维度!$A:$T,MATCH($A24,股债表现与四个维度!$A:$A,0),MATCH(Q$3&amp;Q$4,股债表现与四个维度!$2:$2&amp;股债表现与四个维度!$3:$3,0))</f>
        <v>0.23809523809523808</v>
      </c>
      <c r="R24" s="93" cm="1">
        <f t="array" ref="R24">INDEX(股债表现与四个维度!$A:$T,MATCH($A24,股债表现与四个维度!$A:$A,0),MATCH(R$3&amp;R$4,股债表现与四个维度!$2:$2&amp;股债表现与四个维度!$3:$3,0))</f>
        <v>-0.23076923076923078</v>
      </c>
      <c r="S24" s="93" cm="1">
        <f t="array" ref="S24">INDEX(股债表现与四个维度!$A:$T,MATCH($A24,股债表现与四个维度!$A:$A,0),MATCH(S$3&amp;S$4,股债表现与四个维度!$2:$2&amp;股债表现与四个维度!$3:$3,0))</f>
        <v>7.6923076923076927E-2</v>
      </c>
      <c r="T24">
        <f t="shared" si="0"/>
        <v>-0.67162136109504533</v>
      </c>
      <c r="U24">
        <f t="shared" si="0"/>
        <v>0.85712357817620966</v>
      </c>
      <c r="V24">
        <f t="shared" si="7"/>
        <v>-1.5287449392712551</v>
      </c>
      <c r="W24">
        <f t="shared" si="1"/>
        <v>0.8967356900844532</v>
      </c>
      <c r="X24" t="e">
        <f t="shared" si="2"/>
        <v>#N/A</v>
      </c>
      <c r="Y24" s="92">
        <f t="shared" ref="Y24:Z24" si="26">AVERAGE(V24:V29)</f>
        <v>-0.88123548287937847</v>
      </c>
      <c r="Z24" s="92">
        <f t="shared" si="26"/>
        <v>-6.706409842140765</v>
      </c>
      <c r="AA24">
        <f t="shared" si="23"/>
        <v>-1.0148199351702205</v>
      </c>
      <c r="AB24">
        <v>-1.0148199351702201</v>
      </c>
      <c r="AC24">
        <v>-1.5354306111195215</v>
      </c>
    </row>
    <row r="25" spans="1:35" x14ac:dyDescent="0.35">
      <c r="A25" s="91">
        <f t="shared" si="6"/>
        <v>45412</v>
      </c>
      <c r="B25" s="93" cm="1">
        <f t="array" ref="B25">INDEX(股债表现与四个维度!$A:$T,MATCH($A25,股债表现与四个维度!$A:$A,0),MATCH(B$4,股债表现与四个维度!$2:$2,0))</f>
        <v>1.020186693010396</v>
      </c>
      <c r="C25" s="93" cm="1">
        <f t="array" ref="C25">INDEX(股债表现与四个维度!$A:$T,MATCH($A25,股债表现与四个维度!$A:$A,0),MATCH(C$4,股债表现与四个维度!$2:$2,0))</f>
        <v>-2.5316450216450002</v>
      </c>
      <c r="D25" s="93" t="e" cm="1">
        <f t="array" ref="D25">INDEX(股债表现与四个维度!$A:$T,MATCH($A25,股债表现与四个维度!$A:$A,0),MATCH(D$4,股债表现与四个维度!$2:$2,0))</f>
        <v>#N/A</v>
      </c>
      <c r="E25" s="93" t="str" cm="1">
        <f t="array" ref="E25">INDEX(股债表现与四个维度!$A:$T,MATCH($A25,股债表现与四个维度!$A:$A,0),MATCH(E$4,股债表现与四个维度!$2:$2,0))</f>
        <v>复苏</v>
      </c>
      <c r="F25" s="93" t="str" cm="1">
        <f t="array" ref="F25">INDEX(股债表现与四个维度!$A:$T,MATCH($A25,股债表现与四个维度!$A:$A,0),MATCH(F$4,股债表现与四个维度!$2:$2,0))</f>
        <v>宽货币紧信用</v>
      </c>
      <c r="G25" s="93" t="str" cm="1">
        <f t="array" ref="G25">INDEX(股债表现与四个维度!$A:$T,MATCH($A25,股债表现与四个维度!$A:$A,0),MATCH(G$4,股债表现与四个维度!$2:$2,0))</f>
        <v>双宽</v>
      </c>
      <c r="H25" s="93" t="str" cm="1">
        <f t="array" ref="H25">INDEX(股债表现与四个维度!$A:$T,MATCH($A25,股债表现与四个维度!$A:$A,0),MATCH(H$4,股债表现与四个维度!$2:$2,0))</f>
        <v>被动补库存</v>
      </c>
      <c r="I25" s="93" t="str" cm="1">
        <f t="array" ref="I25">INDEX(股债表现与四个维度!$A:$T,MATCH($A25,股债表现与四个维度!$A:$A,0),MATCH(I$4,股债表现与四个维度!$2:$2,0))</f>
        <v>产能周期下行,主动去库存</v>
      </c>
      <c r="J25" s="93" cm="1">
        <f t="array" ref="J25">INDEX(股债表现与四个维度!$A:$T,MATCH($A25,股债表现与四个维度!$A:$A,0),MATCH(J$3&amp;J$4,股债表现与四个维度!$2:$2&amp;股债表现与四个维度!$3:$3,0))</f>
        <v>0</v>
      </c>
      <c r="K25" s="93" cm="1">
        <f t="array" ref="K25">INDEX(股债表现与四个维度!$A:$T,MATCH($A25,股债表现与四个维度!$A:$A,0),MATCH(K$3&amp;K$4,股债表现与四个维度!$2:$2&amp;股债表现与四个维度!$3:$3,0))</f>
        <v>0.36363636363636365</v>
      </c>
      <c r="L25" s="93" cm="1">
        <f t="array" ref="L25">INDEX(股债表现与四个维度!$A:$T,MATCH($A25,股债表现与四个维度!$A:$A,0),MATCH(L$3&amp;L$4,股债表现与四个维度!$2:$2&amp;股债表现与四个维度!$3:$3,0))</f>
        <v>0.17647058823529413</v>
      </c>
      <c r="M25" s="93" cm="1">
        <f t="array" ref="M25">INDEX(股债表现与四个维度!$A:$T,MATCH($A25,股债表现与四个维度!$A:$A,0),MATCH(M$3&amp;M$4,股债表现与四个维度!$2:$2&amp;股债表现与四个维度!$3:$3,0))</f>
        <v>0.6470588235294118</v>
      </c>
      <c r="N25" s="93" cm="1">
        <f t="array" ref="N25">INDEX(股债表现与四个维度!$A:$T,MATCH($A25,股债表现与四个维度!$A:$A,0),MATCH(N$3&amp;N$4,股债表现与四个维度!$2:$2&amp;股债表现与四个维度!$3:$3,0))</f>
        <v>-7.8947368421052627E-2</v>
      </c>
      <c r="O25" s="93" cm="1">
        <f t="array" ref="O25">INDEX(股债表现与四个维度!$A:$T,MATCH($A25,股债表现与四个维度!$A:$A,0),MATCH(O$3&amp;O$4,股债表现与四个维度!$2:$2&amp;股债表现与四个维度!$3:$3,0))</f>
        <v>0.34210526315789475</v>
      </c>
      <c r="P25" s="93" cm="1">
        <f t="array" ref="P25">INDEX(股债表现与四个维度!$A:$T,MATCH($A25,股债表现与四个维度!$A:$A,0),MATCH(P$3&amp;P$4,股债表现与四个维度!$2:$2&amp;股债表现与四个维度!$3:$3,0))</f>
        <v>-0.1</v>
      </c>
      <c r="Q25" s="93" cm="1">
        <f t="array" ref="Q25">INDEX(股债表现与四个维度!$A:$T,MATCH($A25,股债表现与四个维度!$A:$A,0),MATCH(Q$3&amp;Q$4,股债表现与四个维度!$2:$2&amp;股债表现与四个维度!$3:$3,0))</f>
        <v>0.2</v>
      </c>
      <c r="R25" s="93" cm="1">
        <f t="array" ref="R25">INDEX(股债表现与四个维度!$A:$T,MATCH($A25,股债表现与四个维度!$A:$A,0),MATCH(R$3&amp;R$4,股债表现与四个维度!$2:$2&amp;股债表现与四个维度!$3:$3,0))</f>
        <v>-0.23076923076923078</v>
      </c>
      <c r="S25" s="93" cm="1">
        <f t="array" ref="S25">INDEX(股债表现与四个维度!$A:$T,MATCH($A25,股债表现与四个维度!$A:$A,0),MATCH(S$3&amp;S$4,股债表现与四个维度!$2:$2&amp;股债表现与四个维度!$3:$3,0))</f>
        <v>0</v>
      </c>
      <c r="T25">
        <f t="shared" ref="T25:U44" si="27">SUMIFS($J25:$S25,$J25:$S25,"&lt;&gt;"&amp;"#N/A",$J$4:$S$4,T$4)</f>
        <v>-0.23324601095498929</v>
      </c>
      <c r="U25">
        <f t="shared" si="27"/>
        <v>1.5528004503236701</v>
      </c>
      <c r="V25">
        <f t="shared" si="7"/>
        <v>-1.7860464612786593</v>
      </c>
      <c r="W25">
        <f t="shared" si="1"/>
        <v>-1.5114583286346042</v>
      </c>
      <c r="X25" t="e">
        <f t="shared" si="2"/>
        <v>#N/A</v>
      </c>
      <c r="Y25" s="92">
        <f t="shared" ref="Y25:Z25" si="28">AVERAGE(V25:V30)</f>
        <v>-0.70927294249578532</v>
      </c>
      <c r="Z25" s="92">
        <f t="shared" si="28"/>
        <v>-7.234317171379959</v>
      </c>
      <c r="AA25">
        <f t="shared" si="23"/>
        <v>-1.0711996693723835</v>
      </c>
      <c r="AB25">
        <v>-1.07119966937238</v>
      </c>
      <c r="AC25">
        <v>-1.211613441666435</v>
      </c>
    </row>
    <row r="26" spans="1:35" x14ac:dyDescent="0.35">
      <c r="A26" s="91">
        <f t="shared" si="6"/>
        <v>45382</v>
      </c>
      <c r="B26" s="93" cm="1">
        <f t="array" ref="B26">INDEX(股债表现与四个维度!$A:$T,MATCH($A26,股债表现与四个维度!$A:$A,0),MATCH(B$4,股债表现与四个维度!$2:$2,0))</f>
        <v>1.3511290693299061</v>
      </c>
      <c r="C26" s="93" cm="1">
        <f t="array" ref="C26">INDEX(股债表现与四个维度!$A:$T,MATCH($A26,股债表现与四个维度!$A:$A,0),MATCH(C$4,股债表现与四个维度!$2:$2,0))</f>
        <v>-9.9376984126983992</v>
      </c>
      <c r="D26" s="93" t="e" cm="1">
        <f t="array" ref="D26">INDEX(股债表现与四个维度!$A:$T,MATCH($A26,股债表现与四个维度!$A:$A,0),MATCH(D$4,股债表现与四个维度!$2:$2,0))</f>
        <v>#N/A</v>
      </c>
      <c r="E26" s="93" t="str" cm="1">
        <f t="array" ref="E26">INDEX(股债表现与四个维度!$A:$T,MATCH($A26,股债表现与四个维度!$A:$A,0),MATCH(E$4,股债表现与四个维度!$2:$2,0))</f>
        <v>衰退</v>
      </c>
      <c r="F26" s="93" t="str" cm="1">
        <f t="array" ref="F26">INDEX(股债表现与四个维度!$A:$T,MATCH($A26,股债表现与四个维度!$A:$A,0),MATCH(F$4,股债表现与四个维度!$2:$2,0))</f>
        <v>宽货币紧信用</v>
      </c>
      <c r="G26" s="93" t="str" cm="1">
        <f t="array" ref="G26">INDEX(股债表现与四个维度!$A:$T,MATCH($A26,股债表现与四个维度!$A:$A,0),MATCH(G$4,股债表现与四个维度!$2:$2,0))</f>
        <v>双紧</v>
      </c>
      <c r="H26" s="93" t="str" cm="1">
        <f t="array" ref="H26">INDEX(股债表现与四个维度!$A:$T,MATCH($A26,股债表现与四个维度!$A:$A,0),MATCH(H$4,股债表现与四个维度!$2:$2,0))</f>
        <v>被动补库存</v>
      </c>
      <c r="I26" s="93" t="str" cm="1">
        <f t="array" ref="I26">INDEX(股债表现与四个维度!$A:$T,MATCH($A26,股债表现与四个维度!$A:$A,0),MATCH(I$4,股债表现与四个维度!$2:$2,0))</f>
        <v>产能周期下行,主动去库存</v>
      </c>
      <c r="J26" s="93" cm="1">
        <f t="array" ref="J26">INDEX(股债表现与四个维度!$A:$T,MATCH($A26,股债表现与四个维度!$A:$A,0),MATCH(J$3&amp;J$4,股债表现与四个维度!$2:$2&amp;股债表现与四个维度!$3:$3,0))</f>
        <v>-0.125</v>
      </c>
      <c r="K26" s="93" cm="1">
        <f t="array" ref="K26">INDEX(股债表现与四个维度!$A:$T,MATCH($A26,股债表现与四个维度!$A:$A,0),MATCH(K$3&amp;K$4,股债表现与四个维度!$2:$2&amp;股债表现与四个维度!$3:$3,0))</f>
        <v>6.25E-2</v>
      </c>
      <c r="L26" s="93" cm="1">
        <f t="array" ref="L26">INDEX(股债表现与四个维度!$A:$T,MATCH($A26,股债表现与四个维度!$A:$A,0),MATCH(L$3&amp;L$4,股债表现与四个维度!$2:$2&amp;股债表现与四个维度!$3:$3,0))</f>
        <v>0.17647058823529413</v>
      </c>
      <c r="M26" s="93" cm="1">
        <f t="array" ref="M26">INDEX(股债表现与四个维度!$A:$T,MATCH($A26,股债表现与四个维度!$A:$A,0),MATCH(M$3&amp;M$4,股债表现与四个维度!$2:$2&amp;股债表现与四个维度!$3:$3,0))</f>
        <v>0.58823529411764708</v>
      </c>
      <c r="N26" s="93" cm="1">
        <f t="array" ref="N26">INDEX(股债表现与四个维度!$A:$T,MATCH($A26,股债表现与四个维度!$A:$A,0),MATCH(N$3&amp;N$4,股债表现与四个维度!$2:$2&amp;股债表现与四个维度!$3:$3,0))</f>
        <v>0.21739130434782608</v>
      </c>
      <c r="O26" s="93" cm="1">
        <f t="array" ref="O26">INDEX(股债表现与四个维度!$A:$T,MATCH($A26,股债表现与四个维度!$A:$A,0),MATCH(O$3&amp;O$4,股债表现与四个维度!$2:$2&amp;股债表现与四个维度!$3:$3,0))</f>
        <v>-0.13043478260869565</v>
      </c>
      <c r="P26" s="93" cm="1">
        <f t="array" ref="P26">INDEX(股债表现与四个维度!$A:$T,MATCH($A26,股债表现与四个维度!$A:$A,0),MATCH(P$3&amp;P$4,股债表现与四个维度!$2:$2&amp;股债表现与四个维度!$3:$3,0))</f>
        <v>-4.7619047619047616E-2</v>
      </c>
      <c r="Q26" s="93" cm="1">
        <f t="array" ref="Q26">INDEX(股债表现与四个维度!$A:$T,MATCH($A26,股债表现与四个维度!$A:$A,0),MATCH(Q$3&amp;Q$4,股债表现与四个维度!$2:$2&amp;股债表现与四个维度!$3:$3,0))</f>
        <v>0.19047619047619047</v>
      </c>
      <c r="R26" s="93" cm="1">
        <f t="array" ref="R26">INDEX(股债表现与四个维度!$A:$T,MATCH($A26,股债表现与四个维度!$A:$A,0),MATCH(R$3&amp;R$4,股债表现与四个维度!$2:$2&amp;股债表现与四个维度!$3:$3,0))</f>
        <v>-0.23076923076923078</v>
      </c>
      <c r="S26" s="93" cm="1">
        <f t="array" ref="S26">INDEX(股债表现与四个维度!$A:$T,MATCH($A26,股债表现与四个维度!$A:$A,0),MATCH(S$3&amp;S$4,股债表现与四个维度!$2:$2&amp;股债表现与四个维度!$3:$3,0))</f>
        <v>0</v>
      </c>
      <c r="T26">
        <f t="shared" si="27"/>
        <v>-9.5263858051581884E-3</v>
      </c>
      <c r="U26">
        <f t="shared" si="27"/>
        <v>0.71077670198514187</v>
      </c>
      <c r="V26">
        <f t="shared" si="7"/>
        <v>-0.72030308779030006</v>
      </c>
      <c r="W26">
        <f t="shared" si="1"/>
        <v>-8.5865693433684935</v>
      </c>
      <c r="X26" t="e">
        <f t="shared" si="2"/>
        <v>#N/A</v>
      </c>
      <c r="Y26" s="92">
        <f t="shared" ref="Y26:Z26" si="29">AVERAGE(V26:V31)</f>
        <v>-0.3750517457358889</v>
      </c>
      <c r="Z26" s="92">
        <f t="shared" si="29"/>
        <v>-6.5225011469883833</v>
      </c>
      <c r="AA26">
        <f t="shared" si="23"/>
        <v>-0.74126497448576989</v>
      </c>
      <c r="AB26">
        <v>-0.74126497448577</v>
      </c>
      <c r="AC26">
        <v>-1.3499846947190608</v>
      </c>
    </row>
    <row r="27" spans="1:35" x14ac:dyDescent="0.35">
      <c r="A27" s="91">
        <f t="shared" si="6"/>
        <v>45351</v>
      </c>
      <c r="B27" s="93" cm="1">
        <f t="array" ref="B27">INDEX(股债表现与四个维度!$A:$T,MATCH($A27,股债表现与四个维度!$A:$A,0),MATCH(B$4,股债表现与四个维度!$2:$2,0))</f>
        <v>9.6679642835044142</v>
      </c>
      <c r="C27" s="93" cm="1">
        <f t="array" ref="C27">INDEX(股债表现与四个维度!$A:$T,MATCH($A27,股债表现与四个维度!$A:$A,0),MATCH(C$4,股债表现与四个维度!$2:$2,0))</f>
        <v>-9.8124747474747007</v>
      </c>
      <c r="D27" s="93" t="e" cm="1">
        <f t="array" ref="D27">INDEX(股债表现与四个维度!$A:$T,MATCH($A27,股债表现与四个维度!$A:$A,0),MATCH(D$4,股债表现与四个维度!$2:$2,0))</f>
        <v>#N/A</v>
      </c>
      <c r="E27" s="93" t="str" cm="1">
        <f t="array" ref="E27">INDEX(股债表现与四个维度!$A:$T,MATCH($A27,股债表现与四个维度!$A:$A,0),MATCH(E$4,股债表现与四个维度!$2:$2,0))</f>
        <v>复苏</v>
      </c>
      <c r="F27" s="93" t="str" cm="1">
        <f t="array" ref="F27">INDEX(股债表现与四个维度!$A:$T,MATCH($A27,股债表现与四个维度!$A:$A,0),MATCH(F$4,股债表现与四个维度!$2:$2,0))</f>
        <v>宽货币紧信用</v>
      </c>
      <c r="G27" s="93" t="str" cm="1">
        <f t="array" ref="G27">INDEX(股债表现与四个维度!$A:$T,MATCH($A27,股债表现与四个维度!$A:$A,0),MATCH(G$4,股债表现与四个维度!$2:$2,0))</f>
        <v>双宽</v>
      </c>
      <c r="H27" s="93" t="str" cm="1">
        <f t="array" ref="H27">INDEX(股债表现与四个维度!$A:$T,MATCH($A27,股债表现与四个维度!$A:$A,0),MATCH(H$4,股债表现与四个维度!$2:$2,0))</f>
        <v>主动去库存</v>
      </c>
      <c r="I27" s="93" t="str" cm="1">
        <f t="array" ref="I27">INDEX(股债表现与四个维度!$A:$T,MATCH($A27,股债表现与四个维度!$A:$A,0),MATCH(I$4,股债表现与四个维度!$2:$2,0))</f>
        <v>产能周期上行,主动去库存</v>
      </c>
      <c r="J27" s="93" cm="1">
        <f t="array" ref="J27">INDEX(股债表现与四个维度!$A:$T,MATCH($A27,股债表现与四个维度!$A:$A,0),MATCH(J$3&amp;J$4,股债表现与四个维度!$2:$2&amp;股债表现与四个维度!$3:$3,0))</f>
        <v>0</v>
      </c>
      <c r="K27" s="93" cm="1">
        <f t="array" ref="K27">INDEX(股债表现与四个维度!$A:$T,MATCH($A27,股债表现与四个维度!$A:$A,0),MATCH(K$3&amp;K$4,股债表现与四个维度!$2:$2&amp;股债表现与四个维度!$3:$3,0))</f>
        <v>0.3</v>
      </c>
      <c r="L27" s="93" cm="1">
        <f t="array" ref="L27">INDEX(股债表现与四个维度!$A:$T,MATCH($A27,股债表现与四个维度!$A:$A,0),MATCH(L$3&amp;L$4,股债表现与四个维度!$2:$2&amp;股债表现与四个维度!$3:$3,0))</f>
        <v>0.17647058823529413</v>
      </c>
      <c r="M27" s="93" cm="1">
        <f t="array" ref="M27">INDEX(股债表现与四个维度!$A:$T,MATCH($A27,股债表现与四个维度!$A:$A,0),MATCH(M$3&amp;M$4,股债表现与四个维度!$2:$2&amp;股债表现与四个维度!$3:$3,0))</f>
        <v>0.58823529411764708</v>
      </c>
      <c r="N27" s="93" cm="1">
        <f t="array" ref="N27">INDEX(股债表现与四个维度!$A:$T,MATCH($A27,股债表现与四个维度!$A:$A,0),MATCH(N$3&amp;N$4,股债表现与四个维度!$2:$2&amp;股债表现与四个维度!$3:$3,0))</f>
        <v>-5.4054054054054057E-2</v>
      </c>
      <c r="O27" s="93" cm="1">
        <f t="array" ref="O27">INDEX(股债表现与四个维度!$A:$T,MATCH($A27,股债表现与四个维度!$A:$A,0),MATCH(O$3&amp;O$4,股债表现与四个维度!$2:$2&amp;股债表现与四个维度!$3:$3,0))</f>
        <v>0.32432432432432434</v>
      </c>
      <c r="P27" s="93" cm="1">
        <f t="array" ref="P27">INDEX(股债表现与四个维度!$A:$T,MATCH($A27,股债表现与四个维度!$A:$A,0),MATCH(P$3&amp;P$4,股债表现与四个维度!$2:$2&amp;股债表现与四个维度!$3:$3,0))</f>
        <v>4.5454545454545456E-2</v>
      </c>
      <c r="Q27" s="93" cm="1">
        <f t="array" ref="Q27">INDEX(股债表现与四个维度!$A:$T,MATCH($A27,股债表现与四个维度!$A:$A,0),MATCH(Q$3&amp;Q$4,股债表现与四个维度!$2:$2&amp;股债表现与四个维度!$3:$3,0))</f>
        <v>0.13636363636363635</v>
      </c>
      <c r="R27" s="93" cm="1">
        <f t="array" ref="R27">INDEX(股债表现与四个维度!$A:$T,MATCH($A27,股债表现与四个维度!$A:$A,0),MATCH(R$3&amp;R$4,股债表现与四个维度!$2:$2&amp;股债表现与四个维度!$3:$3,0))</f>
        <v>0.375</v>
      </c>
      <c r="S27" s="93" cm="1">
        <f t="array" ref="S27">INDEX(股债表现与四个维度!$A:$T,MATCH($A27,股债表现与四个维度!$A:$A,0),MATCH(S$3&amp;S$4,股债表现与四个维度!$2:$2&amp;股债表现与四个维度!$3:$3,0))</f>
        <v>6.25E-2</v>
      </c>
      <c r="T27">
        <f t="shared" si="27"/>
        <v>0.54287107963578551</v>
      </c>
      <c r="U27">
        <f t="shared" si="27"/>
        <v>1.4114232548056078</v>
      </c>
      <c r="V27">
        <f t="shared" si="7"/>
        <v>-0.8685521751698223</v>
      </c>
      <c r="W27">
        <f t="shared" si="1"/>
        <v>-0.14451046397028655</v>
      </c>
      <c r="X27" t="e">
        <f t="shared" si="2"/>
        <v>#N/A</v>
      </c>
      <c r="Y27" s="92">
        <f t="shared" ref="Y27:Z27" si="30">AVERAGE(V27:V32)</f>
        <v>-5.7553841892077164E-2</v>
      </c>
      <c r="Z27" s="92">
        <f t="shared" si="30"/>
        <v>-4.4937516126832753</v>
      </c>
      <c r="AA27">
        <f t="shared" si="23"/>
        <v>-0.55251599086326919</v>
      </c>
      <c r="AB27">
        <v>-0.55251599086326897</v>
      </c>
      <c r="AC27">
        <v>-1.1778414562817576</v>
      </c>
    </row>
    <row r="28" spans="1:35" x14ac:dyDescent="0.35">
      <c r="A28" s="91">
        <f t="shared" si="6"/>
        <v>45322</v>
      </c>
      <c r="B28" s="93" cm="1">
        <f t="array" ref="B28">INDEX(股债表现与四个维度!$A:$T,MATCH($A28,股债表现与四个维度!$A:$A,0),MATCH(B$4,股债表现与四个维度!$2:$2,0))</f>
        <v>-12.59459352065995</v>
      </c>
      <c r="C28" s="93" cm="1">
        <f t="array" ref="C28">INDEX(股债表现与四个维度!$A:$T,MATCH($A28,股债表现与四个维度!$A:$A,0),MATCH(C$4,股债表现与四个维度!$2:$2,0))</f>
        <v>-11.1504545454546</v>
      </c>
      <c r="D28" s="93" t="e" cm="1">
        <f t="array" ref="D28">INDEX(股债表现与四个维度!$A:$T,MATCH($A28,股债表现与四个维度!$A:$A,0),MATCH(D$4,股债表现与四个维度!$2:$2,0))</f>
        <v>#N/A</v>
      </c>
      <c r="E28" s="93" t="str" cm="1">
        <f t="array" ref="E28">INDEX(股债表现与四个维度!$A:$T,MATCH($A28,股债表现与四个维度!$A:$A,0),MATCH(E$4,股债表现与四个维度!$2:$2,0))</f>
        <v>复苏</v>
      </c>
      <c r="F28" s="93" t="str" cm="1">
        <f t="array" ref="F28">INDEX(股债表现与四个维度!$A:$T,MATCH($A28,股债表现与四个维度!$A:$A,0),MATCH(F$4,股债表现与四个维度!$2:$2,0))</f>
        <v>宽货币宽信用</v>
      </c>
      <c r="G28" s="93" t="str" cm="1">
        <f t="array" ref="G28">INDEX(股债表现与四个维度!$A:$T,MATCH($A28,股债表现与四个维度!$A:$A,0),MATCH(G$4,股债表现与四个维度!$2:$2,0))</f>
        <v>双宽</v>
      </c>
      <c r="H28" s="93" t="str" cm="1">
        <f t="array" ref="H28">INDEX(股债表现与四个维度!$A:$T,MATCH($A28,股债表现与四个维度!$A:$A,0),MATCH(H$4,股债表现与四个维度!$2:$2,0))</f>
        <v>主动去库存</v>
      </c>
      <c r="I28" s="93" t="str" cm="1">
        <f t="array" ref="I28">INDEX(股债表现与四个维度!$A:$T,MATCH($A28,股债表现与四个维度!$A:$A,0),MATCH(I$4,股债表现与四个维度!$2:$2,0))</f>
        <v>产能周期上行,主动去库存</v>
      </c>
      <c r="J28" s="93" cm="1">
        <f t="array" ref="J28">INDEX(股债表现与四个维度!$A:$T,MATCH($A28,股债表现与四个维度!$A:$A,0),MATCH(J$3&amp;J$4,股债表现与四个维度!$2:$2&amp;股债表现与四个维度!$3:$3,0))</f>
        <v>0</v>
      </c>
      <c r="K28" s="93" cm="1">
        <f t="array" ref="K28">INDEX(股债表现与四个维度!$A:$T,MATCH($A28,股债表现与四个维度!$A:$A,0),MATCH(K$3&amp;K$4,股债表现与四个维度!$2:$2&amp;股债表现与四个维度!$3:$3,0))</f>
        <v>0.3</v>
      </c>
      <c r="L28" s="93" cm="1">
        <f t="array" ref="L28">INDEX(股债表现与四个维度!$A:$T,MATCH($A28,股债表现与四个维度!$A:$A,0),MATCH(L$3&amp;L$4,股债表现与四个维度!$2:$2&amp;股债表现与四个维度!$3:$3,0))</f>
        <v>0</v>
      </c>
      <c r="M28" s="93" cm="1">
        <f t="array" ref="M28">INDEX(股债表现与四个维度!$A:$T,MATCH($A28,股债表现与四个维度!$A:$A,0),MATCH(M$3&amp;M$4,股债表现与四个维度!$2:$2&amp;股债表现与四个维度!$3:$3,0))</f>
        <v>0.46666666666666667</v>
      </c>
      <c r="N28" s="93" cm="1">
        <f t="array" ref="N28">INDEX(股债表现与四个维度!$A:$T,MATCH($A28,股债表现与四个维度!$A:$A,0),MATCH(N$3&amp;N$4,股债表现与四个维度!$2:$2&amp;股债表现与四个维度!$3:$3,0))</f>
        <v>-2.7777777777777776E-2</v>
      </c>
      <c r="O28" s="93" cm="1">
        <f t="array" ref="O28">INDEX(股债表现与四个维度!$A:$T,MATCH($A28,股债表现与四个维度!$A:$A,0),MATCH(O$3&amp;O$4,股债表现与四个维度!$2:$2&amp;股债表现与四个维度!$3:$3,0))</f>
        <v>0.30555555555555558</v>
      </c>
      <c r="P28" s="93" cm="1">
        <f t="array" ref="P28">INDEX(股债表现与四个维度!$A:$T,MATCH($A28,股债表现与四个维度!$A:$A,0),MATCH(P$3&amp;P$4,股债表现与四个维度!$2:$2&amp;股债表现与四个维度!$3:$3,0))</f>
        <v>4.5454545454545456E-2</v>
      </c>
      <c r="Q28" s="93" cm="1">
        <f t="array" ref="Q28">INDEX(股债表现与四个维度!$A:$T,MATCH($A28,股债表现与四个维度!$A:$A,0),MATCH(Q$3&amp;Q$4,股债表现与四个维度!$2:$2&amp;股债表现与四个维度!$3:$3,0))</f>
        <v>0.13636363636363635</v>
      </c>
      <c r="R28" s="93" cm="1">
        <f t="array" ref="R28">INDEX(股债表现与四个维度!$A:$T,MATCH($A28,股债表现与四个维度!$A:$A,0),MATCH(R$3&amp;R$4,股债表现与四个维度!$2:$2&amp;股债表现与四个维度!$3:$3,0))</f>
        <v>0.46666666666666667</v>
      </c>
      <c r="S28" s="93" cm="1">
        <f t="array" ref="S28">INDEX(股债表现与四个维度!$A:$T,MATCH($A28,股债表现与四个维度!$A:$A,0),MATCH(S$3&amp;S$4,股债表现与四个维度!$2:$2&amp;股债表现与四个维度!$3:$3,0))</f>
        <v>0</v>
      </c>
      <c r="T28">
        <f t="shared" si="27"/>
        <v>0.48434343434343435</v>
      </c>
      <c r="U28">
        <f t="shared" si="27"/>
        <v>1.2085858585858587</v>
      </c>
      <c r="V28">
        <f t="shared" si="7"/>
        <v>-0.72424242424242435</v>
      </c>
      <c r="W28">
        <f t="shared" si="1"/>
        <v>-23.745048066114549</v>
      </c>
      <c r="X28" t="e">
        <f t="shared" si="2"/>
        <v>#N/A</v>
      </c>
      <c r="Y28" s="92">
        <f t="shared" ref="Y28:Z28" si="31">AVERAGE(V28:V33)</f>
        <v>-0.18235630382689205</v>
      </c>
      <c r="Z28" s="92">
        <f t="shared" si="31"/>
        <v>-6.0414649042447195</v>
      </c>
      <c r="AA28">
        <f t="shared" si="23"/>
        <v>-0.21369433663579462</v>
      </c>
      <c r="AB28">
        <v>-0.21369433663579299</v>
      </c>
      <c r="AC28">
        <v>-0.50855238748197795</v>
      </c>
    </row>
    <row r="29" spans="1:35" x14ac:dyDescent="0.35">
      <c r="A29" s="91">
        <f t="shared" si="6"/>
        <v>45291</v>
      </c>
      <c r="B29" s="93" cm="1">
        <f t="array" ref="B29">INDEX(股债表现与四个维度!$A:$T,MATCH($A29,股债表现与四个维度!$A:$A,0),MATCH(B$4,股债表现与四个维度!$2:$2,0))</f>
        <v>-2.0535176317502102</v>
      </c>
      <c r="C29" s="93" cm="1">
        <f t="array" ref="C29">INDEX(股债表现与四个维度!$A:$T,MATCH($A29,股债表现与四个维度!$A:$A,0),MATCH(C$4,股债表现与四个维度!$2:$2,0))</f>
        <v>-5.0940909090908999</v>
      </c>
      <c r="D29" s="93" t="e" cm="1">
        <f t="array" ref="D29">INDEX(股债表现与四个维度!$A:$T,MATCH($A29,股债表现与四个维度!$A:$A,0),MATCH(D$4,股债表现与四个维度!$2:$2,0))</f>
        <v>#N/A</v>
      </c>
      <c r="E29" s="93" t="str" cm="1">
        <f t="array" ref="E29">INDEX(股债表现与四个维度!$A:$T,MATCH($A29,股债表现与四个维度!$A:$A,0),MATCH(E$4,股债表现与四个维度!$2:$2,0))</f>
        <v>复苏</v>
      </c>
      <c r="F29" s="93" t="str" cm="1">
        <f t="array" ref="F29">INDEX(股债表现与四个维度!$A:$T,MATCH($A29,股债表现与四个维度!$A:$A,0),MATCH(F$4,股债表现与四个维度!$2:$2,0))</f>
        <v>紧货币宽信用</v>
      </c>
      <c r="G29" s="93" t="str" cm="1">
        <f t="array" ref="G29">INDEX(股债表现与四个维度!$A:$T,MATCH($A29,股债表现与四个维度!$A:$A,0),MATCH(G$4,股债表现与四个维度!$2:$2,0))</f>
        <v>双宽</v>
      </c>
      <c r="H29" s="93" t="str" cm="1">
        <f t="array" ref="H29">INDEX(股债表现与四个维度!$A:$T,MATCH($A29,股债表现与四个维度!$A:$A,0),MATCH(H$4,股债表现与四个维度!$2:$2,0))</f>
        <v>被动补库存</v>
      </c>
      <c r="I29" s="93" t="str" cm="1">
        <f t="array" ref="I29">INDEX(股债表现与四个维度!$A:$T,MATCH($A29,股债表现与四个维度!$A:$A,0),MATCH(I$4,股债表现与四个维度!$2:$2,0))</f>
        <v>产能周期上行,主动去库存</v>
      </c>
      <c r="J29" s="93" cm="1">
        <f t="array" ref="J29">INDEX(股债表现与四个维度!$A:$T,MATCH($A29,股债表现与四个维度!$A:$A,0),MATCH(J$3&amp;J$4,股债表现与四个维度!$2:$2&amp;股债表现与四个维度!$3:$3,0))</f>
        <v>0.05</v>
      </c>
      <c r="K29" s="93" cm="1">
        <f t="array" ref="K29">INDEX(股债表现与四个维度!$A:$T,MATCH($A29,股债表现与四个维度!$A:$A,0),MATCH(K$3&amp;K$4,股债表现与四个维度!$2:$2&amp;股债表现与四个维度!$3:$3,0))</f>
        <v>0.3</v>
      </c>
      <c r="L29" s="93" cm="1">
        <f t="array" ref="L29">INDEX(股债表现与四个维度!$A:$T,MATCH($A29,股债表现与四个维度!$A:$A,0),MATCH(L$3&amp;L$4,股债表现与四个维度!$2:$2&amp;股债表现与四个维度!$3:$3,0))</f>
        <v>6.6666666666666666E-2</v>
      </c>
      <c r="M29" s="93" cm="1">
        <f t="array" ref="M29">INDEX(股债表现与四个维度!$A:$T,MATCH($A29,股债表现与四个维度!$A:$A,0),MATCH(M$3&amp;M$4,股债表现与四个维度!$2:$2&amp;股债表现与四个维度!$3:$3,0))</f>
        <v>-0.46666666666666667</v>
      </c>
      <c r="N29" s="93" cm="1">
        <f t="array" ref="N29">INDEX(股债表现与四个维度!$A:$T,MATCH($A29,股债表现与四个维度!$A:$A,0),MATCH(N$3&amp;N$4,股债表现与四个维度!$2:$2&amp;股债表现与四个维度!$3:$3,0))</f>
        <v>-2.8571428571428571E-2</v>
      </c>
      <c r="O29" s="93" cm="1">
        <f t="array" ref="O29">INDEX(股债表现与四个维度!$A:$T,MATCH($A29,股债表现与四个维度!$A:$A,0),MATCH(O$3&amp;O$4,股债表现与四个维度!$2:$2&amp;股债表现与四个维度!$3:$3,0))</f>
        <v>0.2857142857142857</v>
      </c>
      <c r="P29" s="93" cm="1">
        <f t="array" ref="P29">INDEX(股债表现与四个维度!$A:$T,MATCH($A29,股债表现与四个维度!$A:$A,0),MATCH(P$3&amp;P$4,股债表现与四个维度!$2:$2&amp;股债表现与四个维度!$3:$3,0))</f>
        <v>9.5238095238095233E-2</v>
      </c>
      <c r="Q29" s="93" cm="1">
        <f t="array" ref="Q29">INDEX(股债表现与四个维度!$A:$T,MATCH($A29,股债表现与四个维度!$A:$A,0),MATCH(Q$3&amp;Q$4,股债表现与四个维度!$2:$2&amp;股债表现与四个维度!$3:$3,0))</f>
        <v>0.19047619047619047</v>
      </c>
      <c r="R29" s="93" cm="1">
        <f t="array" ref="R29">INDEX(股债表现与四个维度!$A:$T,MATCH($A29,股债表现与四个维度!$A:$A,0),MATCH(R$3&amp;R$4,股债表现与四个维度!$2:$2&amp;股债表现与四个维度!$3:$3,0))</f>
        <v>0.46666666666666667</v>
      </c>
      <c r="S29" s="93" cm="1">
        <f t="array" ref="S29">INDEX(股债表现与四个维度!$A:$T,MATCH($A29,股债表现与四个维度!$A:$A,0),MATCH(S$3&amp;S$4,股债表现与四个维度!$2:$2&amp;股债表现与四个维度!$3:$3,0))</f>
        <v>0</v>
      </c>
      <c r="T29">
        <f t="shared" si="27"/>
        <v>0.65</v>
      </c>
      <c r="U29">
        <f t="shared" si="27"/>
        <v>0.30952380952380948</v>
      </c>
      <c r="V29">
        <f t="shared" si="7"/>
        <v>0.34047619047619054</v>
      </c>
      <c r="W29">
        <f t="shared" si="1"/>
        <v>-7.1476085408411105</v>
      </c>
      <c r="X29" t="e">
        <f t="shared" si="2"/>
        <v>#N/A</v>
      </c>
      <c r="Y29" s="92">
        <f t="shared" ref="Y29:Z29" si="32">AVERAGE(V29:V34)</f>
        <v>-0.435144245159725</v>
      </c>
      <c r="Z29" s="92">
        <f t="shared" si="32"/>
        <v>-2.1617524016444438</v>
      </c>
      <c r="AA29">
        <f t="shared" si="23"/>
        <v>-0.20076352722778548</v>
      </c>
      <c r="AB29">
        <v>-0.20076352722778501</v>
      </c>
      <c r="AC29">
        <v>-0.30549701975256921</v>
      </c>
    </row>
    <row r="30" spans="1:35" x14ac:dyDescent="0.35">
      <c r="A30" s="91">
        <f t="shared" si="6"/>
        <v>45260</v>
      </c>
      <c r="B30" s="93" cm="1">
        <f t="array" ref="B30">INDEX(股债表现与四个维度!$A:$T,MATCH($A30,股债表现与四个维度!$A:$A,0),MATCH(B$4,股债表现与四个维度!$2:$2,0))</f>
        <v>0.35048788689809202</v>
      </c>
      <c r="C30" s="93" cm="1">
        <f t="array" ref="C30">INDEX(股债表现与四个维度!$A:$T,MATCH($A30,股债表现与四个维度!$A:$A,0),MATCH(C$4,股债表现与四个维度!$2:$2,0))</f>
        <v>-2.6211961722488</v>
      </c>
      <c r="D30" s="93" t="e" cm="1">
        <f t="array" ref="D30">INDEX(股债表现与四个维度!$A:$T,MATCH($A30,股债表现与四个维度!$A:$A,0),MATCH(D$4,股债表现与四个维度!$2:$2,0))</f>
        <v>#N/A</v>
      </c>
      <c r="E30" s="93" t="str" cm="1">
        <f t="array" ref="E30">INDEX(股债表现与四个维度!$A:$T,MATCH($A30,股债表现与四个维度!$A:$A,0),MATCH(E$4,股债表现与四个维度!$2:$2,0))</f>
        <v>复苏</v>
      </c>
      <c r="F30" s="93" t="str" cm="1">
        <f t="array" ref="F30">INDEX(股债表现与四个维度!$A:$T,MATCH($A30,股债表现与四个维度!$A:$A,0),MATCH(F$4,股债表现与四个维度!$2:$2,0))</f>
        <v>紧货币宽信用</v>
      </c>
      <c r="G30" s="93" t="str" cm="1">
        <f t="array" ref="G30">INDEX(股债表现与四个维度!$A:$T,MATCH($A30,股债表现与四个维度!$A:$A,0),MATCH(G$4,股债表现与四个维度!$2:$2,0))</f>
        <v>双宽</v>
      </c>
      <c r="H30" s="93" t="str" cm="1">
        <f t="array" ref="H30">INDEX(股债表现与四个维度!$A:$T,MATCH($A30,股债表现与四个维度!$A:$A,0),MATCH(H$4,股债表现与四个维度!$2:$2,0))</f>
        <v>被动补库存</v>
      </c>
      <c r="I30" s="93" t="str" cm="1">
        <f t="array" ref="I30">INDEX(股债表现与四个维度!$A:$T,MATCH($A30,股债表现与四个维度!$A:$A,0),MATCH(I$4,股债表现与四个维度!$2:$2,0))</f>
        <v>产能周期下行,主动去库存</v>
      </c>
      <c r="J30" s="93" cm="1">
        <f t="array" ref="J30">INDEX(股债表现与四个维度!$A:$T,MATCH($A30,股债表现与四个维度!$A:$A,0),MATCH(J$3&amp;J$4,股债表现与四个维度!$2:$2&amp;股债表现与四个维度!$3:$3,0))</f>
        <v>0</v>
      </c>
      <c r="K30" s="93" cm="1">
        <f t="array" ref="K30">INDEX(股债表现与四个维度!$A:$T,MATCH($A30,股债表现与四个维度!$A:$A,0),MATCH(K$3&amp;K$4,股债表现与四个维度!$2:$2&amp;股债表现与四个维度!$3:$3,0))</f>
        <v>0.33333333333333331</v>
      </c>
      <c r="L30" s="93" cm="1">
        <f t="array" ref="L30">INDEX(股债表现与四个维度!$A:$T,MATCH($A30,股债表现与四个维度!$A:$A,0),MATCH(L$3&amp;L$4,股债表现与四个维度!$2:$2&amp;股债表现与四个维度!$3:$3,0))</f>
        <v>0.14285714285714285</v>
      </c>
      <c r="M30" s="93" cm="1">
        <f t="array" ref="M30">INDEX(股债表现与四个维度!$A:$T,MATCH($A30,股债表现与四个维度!$A:$A,0),MATCH(M$3&amp;M$4,股债表现与四个维度!$2:$2&amp;股债表现与四个维度!$3:$3,0))</f>
        <v>-0.42857142857142855</v>
      </c>
      <c r="N30" s="93" cm="1">
        <f t="array" ref="N30">INDEX(股债表现与四个维度!$A:$T,MATCH($A30,股债表现与四个维度!$A:$A,0),MATCH(N$3&amp;N$4,股债表现与四个维度!$2:$2&amp;股债表现与四个维度!$3:$3,0))</f>
        <v>-2.8571428571428571E-2</v>
      </c>
      <c r="O30" s="93" cm="1">
        <f t="array" ref="O30">INDEX(股债表现与四个维度!$A:$T,MATCH($A30,股债表现与四个维度!$A:$A,0),MATCH(O$3&amp;O$4,股债表现与四个维度!$2:$2&amp;股债表现与四个维度!$3:$3,0))</f>
        <v>0.34285714285714286</v>
      </c>
      <c r="P30" s="93" cm="1">
        <f t="array" ref="P30">INDEX(股债表现与四个维度!$A:$T,MATCH($A30,股债表现与四个维度!$A:$A,0),MATCH(P$3&amp;P$4,股债表现与四个维度!$2:$2&amp;股债表现与四个维度!$3:$3,0))</f>
        <v>4.5454545454545456E-2</v>
      </c>
      <c r="Q30" s="93" cm="1">
        <f t="array" ref="Q30">INDEX(股债表现与四个维度!$A:$T,MATCH($A30,股债表现与四个维度!$A:$A,0),MATCH(Q$3&amp;Q$4,股债表现与四个维度!$2:$2&amp;股债表现与四个维度!$3:$3,0))</f>
        <v>0.22727272727272727</v>
      </c>
      <c r="R30" s="93" cm="1">
        <f t="array" ref="R30">INDEX(股债表现与四个维度!$A:$T,MATCH($A30,股债表现与四个维度!$A:$A,0),MATCH(R$3&amp;R$4,股债表现与四个维度!$2:$2&amp;股债表现与四个维度!$3:$3,0))</f>
        <v>-0.18181818181818182</v>
      </c>
      <c r="S30" s="93" cm="1">
        <f t="array" ref="S30">INDEX(股债表现与四个维度!$A:$T,MATCH($A30,股债表现与四个维度!$A:$A,0),MATCH(S$3&amp;S$4,股债表现与四个维度!$2:$2&amp;股债表现与四个维度!$3:$3,0))</f>
        <v>0</v>
      </c>
      <c r="T30">
        <f t="shared" si="27"/>
        <v>-2.2077922077922085E-2</v>
      </c>
      <c r="U30">
        <f t="shared" si="27"/>
        <v>0.47489177489177492</v>
      </c>
      <c r="V30">
        <f t="shared" si="7"/>
        <v>-0.49696969696969701</v>
      </c>
      <c r="W30">
        <f t="shared" si="1"/>
        <v>-2.2707082853507079</v>
      </c>
      <c r="X30" t="e">
        <f t="shared" si="2"/>
        <v>#N/A</v>
      </c>
      <c r="Y30" s="92">
        <f t="shared" ref="Y30:Z30" si="33">AVERAGE(V30:V35)</f>
        <v>-0.80819574646200054</v>
      </c>
      <c r="Z30" s="92">
        <f t="shared" si="33"/>
        <v>-1.5478393039443501</v>
      </c>
      <c r="AA30">
        <f t="shared" si="23"/>
        <v>-0.26804259465392588</v>
      </c>
      <c r="AB30">
        <v>-0.26804259465392499</v>
      </c>
      <c r="AC30">
        <v>-1.8737090163324999</v>
      </c>
    </row>
    <row r="31" spans="1:35" x14ac:dyDescent="0.35">
      <c r="A31" s="91">
        <f t="shared" si="6"/>
        <v>45230</v>
      </c>
      <c r="B31" s="93" cm="1">
        <f t="array" ref="B31">INDEX(股债表现与四个维度!$A:$T,MATCH($A31,股债表现与四个维度!$A:$A,0),MATCH(B$4,股债表现与四个维度!$2:$2,0))</f>
        <v>-2.1621674454430502</v>
      </c>
      <c r="C31" s="93" cm="1">
        <f t="array" ref="C31">INDEX(股债表现与四个维度!$A:$T,MATCH($A31,股债表现与四个维度!$A:$A,0),MATCH(C$4,股债表现与四个维度!$2:$2,0))</f>
        <v>4.9216052631579004</v>
      </c>
      <c r="D31" s="93" t="e" cm="1">
        <f t="array" ref="D31">INDEX(股债表现与四个维度!$A:$T,MATCH($A31,股债表现与四个维度!$A:$A,0),MATCH(D$4,股债表现与四个维度!$2:$2,0))</f>
        <v>#N/A</v>
      </c>
      <c r="E31" s="93" t="str" cm="1">
        <f t="array" ref="E31">INDEX(股债表现与四个维度!$A:$T,MATCH($A31,股债表现与四个维度!$A:$A,0),MATCH(E$4,股债表现与四个维度!$2:$2,0))</f>
        <v>滞涨</v>
      </c>
      <c r="F31" s="93" t="str" cm="1">
        <f t="array" ref="F31">INDEX(股债表现与四个维度!$A:$T,MATCH($A31,股债表现与四个维度!$A:$A,0),MATCH(F$4,股债表现与四个维度!$2:$2,0))</f>
        <v>紧货币宽信用</v>
      </c>
      <c r="G31" s="93" t="str" cm="1">
        <f t="array" ref="G31">INDEX(股债表现与四个维度!$A:$T,MATCH($A31,股债表现与四个维度!$A:$A,0),MATCH(G$4,股债表现与四个维度!$2:$2,0))</f>
        <v>双宽</v>
      </c>
      <c r="H31" s="93" t="str" cm="1">
        <f t="array" ref="H31">INDEX(股债表现与四个维度!$A:$T,MATCH($A31,股债表现与四个维度!$A:$A,0),MATCH(H$4,股债表现与四个维度!$2:$2,0))</f>
        <v>主动补库存</v>
      </c>
      <c r="I31" s="93" t="str" cm="1">
        <f t="array" ref="I31">INDEX(股债表现与四个维度!$A:$T,MATCH($A31,股债表现与四个维度!$A:$A,0),MATCH(I$4,股债表现与四个维度!$2:$2,0))</f>
        <v>产能周期下行,主动去库存</v>
      </c>
      <c r="J31" s="93" cm="1">
        <f t="array" ref="J31">INDEX(股债表现与四个维度!$A:$T,MATCH($A31,股债表现与四个维度!$A:$A,0),MATCH(J$3&amp;J$4,股债表现与四个维度!$2:$2&amp;股债表现与四个维度!$3:$3,0))</f>
        <v>0.1</v>
      </c>
      <c r="K31" s="93" cm="1">
        <f t="array" ref="K31">INDEX(股债表现与四个维度!$A:$T,MATCH($A31,股债表现与四个维度!$A:$A,0),MATCH(K$3&amp;K$4,股债表现与四个维度!$2:$2&amp;股债表现与四个维度!$3:$3,0))</f>
        <v>-0.2</v>
      </c>
      <c r="L31" s="93" cm="1">
        <f t="array" ref="L31">INDEX(股债表现与四个维度!$A:$T,MATCH($A31,股债表现与四个维度!$A:$A,0),MATCH(L$3&amp;L$4,股债表现与四个维度!$2:$2&amp;股债表现与四个维度!$3:$3,0))</f>
        <v>0.23076923076923078</v>
      </c>
      <c r="M31" s="93" cm="1">
        <f t="array" ref="M31">INDEX(股债表现与四个维度!$A:$T,MATCH($A31,股债表现与四个维度!$A:$A,0),MATCH(M$3&amp;M$4,股债表现与四个维度!$2:$2&amp;股债表现与四个维度!$3:$3,0))</f>
        <v>-0.38461538461538464</v>
      </c>
      <c r="N31" s="93" cm="1">
        <f t="array" ref="N31">INDEX(股债表现与四个维度!$A:$T,MATCH($A31,股债表现与四个维度!$A:$A,0),MATCH(N$3&amp;N$4,股债表现与四个维度!$2:$2&amp;股债表现与四个维度!$3:$3,0))</f>
        <v>-2.8571428571428571E-2</v>
      </c>
      <c r="O31" s="93" cm="1">
        <f t="array" ref="O31">INDEX(股债表现与四个维度!$A:$T,MATCH($A31,股债表现与四个维度!$A:$A,0),MATCH(O$3&amp;O$4,股债表现与四个维度!$2:$2&amp;股债表现与四个维度!$3:$3,0))</f>
        <v>0.34285714285714286</v>
      </c>
      <c r="P31" s="93" cm="1">
        <f t="array" ref="P31">INDEX(股债表现与四个维度!$A:$T,MATCH($A31,股债表现与四个维度!$A:$A,0),MATCH(P$3&amp;P$4,股债表现与四个维度!$2:$2&amp;股债表现与四个维度!$3:$3,0))</f>
        <v>0.2857142857142857</v>
      </c>
      <c r="Q31" s="93" cm="1">
        <f t="array" ref="Q31">INDEX(股债表现与四个维度!$A:$T,MATCH($A31,股债表现与四个维度!$A:$A,0),MATCH(Q$3&amp;Q$4,股债表现与四个维度!$2:$2&amp;股债表现与四个维度!$3:$3,0))</f>
        <v>0.42857142857142855</v>
      </c>
      <c r="R31" s="93" cm="1">
        <f t="array" ref="R31">INDEX(股债表现与四个维度!$A:$T,MATCH($A31,股债表现与四个维度!$A:$A,0),MATCH(R$3&amp;R$4,股债表现与四个维度!$2:$2&amp;股债表现与四个维度!$3:$3,0))</f>
        <v>-0.18181818181818182</v>
      </c>
      <c r="S31" s="93" cm="1">
        <f t="array" ref="S31">INDEX(股债表现与四个维度!$A:$T,MATCH($A31,股债表现与四个维度!$A:$A,0),MATCH(S$3&amp;S$4,股债表现与四个维度!$2:$2&amp;股债表现与四个维度!$3:$3,0))</f>
        <v>0</v>
      </c>
      <c r="T31">
        <f t="shared" si="27"/>
        <v>0.40609390609390611</v>
      </c>
      <c r="U31">
        <f t="shared" si="27"/>
        <v>0.18681318681318676</v>
      </c>
      <c r="V31">
        <f t="shared" si="7"/>
        <v>0.21928071928071935</v>
      </c>
      <c r="W31">
        <f t="shared" si="1"/>
        <v>2.7594378177148502</v>
      </c>
      <c r="X31" t="e">
        <f t="shared" si="2"/>
        <v>#N/A</v>
      </c>
      <c r="Y31" s="92">
        <f t="shared" ref="Y31:Z31" si="34">AVERAGE(V31:V36)</f>
        <v>-0.89067247452696374</v>
      </c>
      <c r="Z31" s="92">
        <f t="shared" si="34"/>
        <v>-3.5755116129829321</v>
      </c>
      <c r="AA31">
        <f t="shared" si="23"/>
        <v>-0.17605966398871845</v>
      </c>
      <c r="AB31">
        <v>-0.176059663988718</v>
      </c>
      <c r="AC31">
        <v>0.76799472765324595</v>
      </c>
    </row>
    <row r="32" spans="1:35" x14ac:dyDescent="0.35">
      <c r="A32" s="91">
        <f t="shared" si="6"/>
        <v>45199</v>
      </c>
      <c r="B32" s="93" cm="1">
        <f t="array" ref="B32">INDEX(股债表现与四个维度!$A:$T,MATCH($A32,股债表现与四个维度!$A:$A,0),MATCH(B$4,股债表现与四个维度!$2:$2,0))</f>
        <v>-1.090224311450847</v>
      </c>
      <c r="C32" s="93" cm="1">
        <f t="array" ref="C32">INDEX(股债表现与四个维度!$A:$T,MATCH($A32,股债表现与四个维度!$A:$A,0),MATCH(C$4,股债表现与四个维度!$2:$2,0))</f>
        <v>4.6761521739129996</v>
      </c>
      <c r="D32" s="93" t="e" cm="1">
        <f t="array" ref="D32">INDEX(股债表现与四个维度!$A:$T,MATCH($A32,股债表现与四个维度!$A:$A,0),MATCH(D$4,股债表现与四个维度!$2:$2,0))</f>
        <v>#N/A</v>
      </c>
      <c r="E32" s="93" t="str" cm="1">
        <f t="array" ref="E32">INDEX(股债表现与四个维度!$A:$T,MATCH($A32,股债表现与四个维度!$A:$A,0),MATCH(E$4,股债表现与四个维度!$2:$2,0))</f>
        <v>衰退</v>
      </c>
      <c r="F32" s="93" t="str" cm="1">
        <f t="array" ref="F32">INDEX(股债表现与四个维度!$A:$T,MATCH($A32,股债表现与四个维度!$A:$A,0),MATCH(F$4,股债表现与四个维度!$2:$2,0))</f>
        <v>紧货币宽信用</v>
      </c>
      <c r="G32" s="93" t="str" cm="1">
        <f t="array" ref="G32">INDEX(股债表现与四个维度!$A:$T,MATCH($A32,股债表现与四个维度!$A:$A,0),MATCH(G$4,股债表现与四个维度!$2:$2,0))</f>
        <v>双紧</v>
      </c>
      <c r="H32" s="93" t="str" cm="1">
        <f t="array" ref="H32">INDEX(股债表现与四个维度!$A:$T,MATCH($A32,股债表现与四个维度!$A:$A,0),MATCH(H$4,股债表现与四个维度!$2:$2,0))</f>
        <v>主动去库存</v>
      </c>
      <c r="I32" s="93" t="str" cm="1">
        <f t="array" ref="I32">INDEX(股债表现与四个维度!$A:$T,MATCH($A32,股债表现与四个维度!$A:$A,0),MATCH(I$4,股债表现与四个维度!$2:$2,0))</f>
        <v>产能周期下行,被动补库存</v>
      </c>
      <c r="J32" s="93" cm="1">
        <f t="array" ref="J32">INDEX(股债表现与四个维度!$A:$T,MATCH($A32,股债表现与四个维度!$A:$A,0),MATCH(J$3&amp;J$4,股债表现与四个维度!$2:$2&amp;股债表现与四个维度!$3:$3,0))</f>
        <v>5.8823529411764705E-2</v>
      </c>
      <c r="K32" s="93" cm="1">
        <f t="array" ref="K32">INDEX(股债表现与四个维度!$A:$T,MATCH($A32,股债表现与四个维度!$A:$A,0),MATCH(K$3&amp;K$4,股债表现与四个维度!$2:$2&amp;股债表现与四个维度!$3:$3,0))</f>
        <v>0</v>
      </c>
      <c r="L32" s="93" cm="1">
        <f t="array" ref="L32">INDEX(股债表现与四个维度!$A:$T,MATCH($A32,股债表现与四个维度!$A:$A,0),MATCH(L$3&amp;L$4,股债表现与四个维度!$2:$2&amp;股债表现与四个维度!$3:$3,0))</f>
        <v>0.23076923076923078</v>
      </c>
      <c r="M32" s="93" cm="1">
        <f t="array" ref="M32">INDEX(股债表现与四个维度!$A:$T,MATCH($A32,股债表现与四个维度!$A:$A,0),MATCH(M$3&amp;M$4,股债表现与四个维度!$2:$2&amp;股债表现与四个维度!$3:$3,0))</f>
        <v>-0.38461538461538464</v>
      </c>
      <c r="N32" s="93" cm="1">
        <f t="array" ref="N32">INDEX(股债表现与四个维度!$A:$T,MATCH($A32,股债表现与四个维度!$A:$A,0),MATCH(N$3&amp;N$4,股债表现与四个维度!$2:$2&amp;股债表现与四个维度!$3:$3,0))</f>
        <v>0.28000000000000003</v>
      </c>
      <c r="O32" s="93" cm="1">
        <f t="array" ref="O32">INDEX(股债表现与四个维度!$A:$T,MATCH($A32,股债表现与四个维度!$A:$A,0),MATCH(O$3&amp;O$4,股债表现与四个维度!$2:$2&amp;股债表现与四个维度!$3:$3,0))</f>
        <v>-0.04</v>
      </c>
      <c r="P32" s="93" cm="1">
        <f t="array" ref="P32">INDEX(股债表现与四个维度!$A:$T,MATCH($A32,股债表现与四个维度!$A:$A,0),MATCH(P$3&amp;P$4,股债表现与四个维度!$2:$2&amp;股债表现与四个维度!$3:$3,0))</f>
        <v>9.5238095238095233E-2</v>
      </c>
      <c r="Q32" s="93" cm="1">
        <f t="array" ref="Q32">INDEX(股债表现与四个维度!$A:$T,MATCH($A32,股债表现与四个维度!$A:$A,0),MATCH(Q$3&amp;Q$4,股债表现与四个维度!$2:$2&amp;股债表现与四个维度!$3:$3,0))</f>
        <v>0.19047619047619047</v>
      </c>
      <c r="R32" s="93" cm="1">
        <f t="array" ref="R32">INDEX(股债表现与四个维度!$A:$T,MATCH($A32,股债表现与四个维度!$A:$A,0),MATCH(R$3&amp;R$4,股债表现与四个维度!$2:$2&amp;股债表现与四个维度!$3:$3,0))</f>
        <v>0</v>
      </c>
      <c r="S32" s="93" cm="1">
        <f t="array" ref="S32">INDEX(股债表现与四个维度!$A:$T,MATCH($A32,股债表现与四个维度!$A:$A,0),MATCH(S$3&amp;S$4,股债表现与四个维度!$2:$2&amp;股债表现与四个维度!$3:$3,0))</f>
        <v>-0.2857142857142857</v>
      </c>
      <c r="T32">
        <f t="shared" si="27"/>
        <v>0.66483085541909082</v>
      </c>
      <c r="U32">
        <f t="shared" si="27"/>
        <v>-0.51985347985347985</v>
      </c>
      <c r="V32">
        <f t="shared" si="7"/>
        <v>1.1846843352725707</v>
      </c>
      <c r="W32">
        <f t="shared" si="1"/>
        <v>3.5859278624621527</v>
      </c>
      <c r="X32" t="e">
        <f t="shared" si="2"/>
        <v>#N/A</v>
      </c>
      <c r="Y32" s="92">
        <f t="shared" ref="Y32:Z32" si="35">AVERAGE(V32:V37)</f>
        <v>-1.1763775102319995</v>
      </c>
      <c r="Z32" s="92">
        <f t="shared" si="35"/>
        <v>-4.9593523160539883</v>
      </c>
      <c r="AA32">
        <f t="shared" si="23"/>
        <v>-0.62157660263946457</v>
      </c>
      <c r="AB32">
        <v>-0.62157660263946501</v>
      </c>
      <c r="AC32">
        <v>-0.21749079298405638</v>
      </c>
    </row>
    <row r="33" spans="1:29" x14ac:dyDescent="0.35">
      <c r="A33" s="91">
        <f t="shared" si="6"/>
        <v>45169</v>
      </c>
      <c r="B33" s="93" cm="1">
        <f t="array" ref="B33">INDEX(股债表现与四个维度!$A:$T,MATCH($A33,股债表现与四个维度!$A:$A,0),MATCH(B$4,股债表现与四个维度!$2:$2,0))</f>
        <v>-5.6137094679973538</v>
      </c>
      <c r="C33" s="93" cm="1">
        <f t="array" ref="C33">INDEX(股债表现与四个维度!$A:$T,MATCH($A33,股债表现与四个维度!$A:$A,0),MATCH(C$4,股债表现与四个维度!$2:$2,0))</f>
        <v>-3.8170807453415998</v>
      </c>
      <c r="D33" s="93" t="e" cm="1">
        <f t="array" ref="D33">INDEX(股债表现与四个维度!$A:$T,MATCH($A33,股债表现与四个维度!$A:$A,0),MATCH(D$4,股债表现与四个维度!$2:$2,0))</f>
        <v>#N/A</v>
      </c>
      <c r="E33" s="93" t="str" cm="1">
        <f t="array" ref="E33">INDEX(股债表现与四个维度!$A:$T,MATCH($A33,股债表现与四个维度!$A:$A,0),MATCH(E$4,股债表现与四个维度!$2:$2,0))</f>
        <v>衰退</v>
      </c>
      <c r="F33" s="93" t="str" cm="1">
        <f t="array" ref="F33">INDEX(股债表现与四个维度!$A:$T,MATCH($A33,股债表现与四个维度!$A:$A,0),MATCH(F$4,股债表现与四个维度!$2:$2,0))</f>
        <v>宽货币宽信用</v>
      </c>
      <c r="G33" s="93" t="str" cm="1">
        <f t="array" ref="G33">INDEX(股债表现与四个维度!$A:$T,MATCH($A33,股债表现与四个维度!$A:$A,0),MATCH(G$4,股债表现与四个维度!$2:$2,0))</f>
        <v>双宽</v>
      </c>
      <c r="H33" s="93" t="str" cm="1">
        <f t="array" ref="H33">INDEX(股债表现与四个维度!$A:$T,MATCH($A33,股债表现与四个维度!$A:$A,0),MATCH(H$4,股债表现与四个维度!$2:$2,0))</f>
        <v>被动补库存</v>
      </c>
      <c r="I33" s="93" t="str" cm="1">
        <f t="array" ref="I33">INDEX(股债表现与四个维度!$A:$T,MATCH($A33,股债表现与四个维度!$A:$A,0),MATCH(I$4,股债表现与四个维度!$2:$2,0))</f>
        <v>产能周期上行,被动补库存</v>
      </c>
      <c r="J33" s="93" cm="1">
        <f t="array" ref="J33">INDEX(股债表现与四个维度!$A:$T,MATCH($A33,股债表现与四个维度!$A:$A,0),MATCH(J$3&amp;J$4,股债表现与四个维度!$2:$2&amp;股债表现与四个维度!$3:$3,0))</f>
        <v>5.8823529411764705E-2</v>
      </c>
      <c r="K33" s="93" cm="1">
        <f t="array" ref="K33">INDEX(股债表现与四个维度!$A:$T,MATCH($A33,股债表现与四个维度!$A:$A,0),MATCH(K$3&amp;K$4,股债表现与四个维度!$2:$2&amp;股债表现与四个维度!$3:$3,0))</f>
        <v>0</v>
      </c>
      <c r="L33" s="93" cm="1">
        <f t="array" ref="L33">INDEX(股债表现与四个维度!$A:$T,MATCH($A33,股债表现与四个维度!$A:$A,0),MATCH(L$3&amp;L$4,股债表现与四个维度!$2:$2&amp;股债表现与四个维度!$3:$3,0))</f>
        <v>0</v>
      </c>
      <c r="M33" s="93" cm="1">
        <f t="array" ref="M33">INDEX(股债表现与四个维度!$A:$T,MATCH($A33,股债表现与四个维度!$A:$A,0),MATCH(M$3&amp;M$4,股债表现与四个维度!$2:$2&amp;股债表现与四个维度!$3:$3,0))</f>
        <v>0.33333333333333331</v>
      </c>
      <c r="N33" s="93" cm="1">
        <f t="array" ref="N33">INDEX(股债表现与四个维度!$A:$T,MATCH($A33,股债表现与四个维度!$A:$A,0),MATCH(N$3&amp;N$4,股债表现与四个维度!$2:$2&amp;股债表现与四个维度!$3:$3,0))</f>
        <v>-5.7142857142857141E-2</v>
      </c>
      <c r="O33" s="93" cm="1">
        <f t="array" ref="O33">INDEX(股债表现与四个维度!$A:$T,MATCH($A33,股债表现与四个维度!$A:$A,0),MATCH(O$3&amp;O$4,股债表现与四个维度!$2:$2&amp;股债表现与四个维度!$3:$3,0))</f>
        <v>0.2857142857142857</v>
      </c>
      <c r="P33" s="93" cm="1">
        <f t="array" ref="P33">INDEX(股债表现与四个维度!$A:$T,MATCH($A33,股债表现与四个维度!$A:$A,0),MATCH(P$3&amp;P$4,股债表现与四个维度!$2:$2&amp;股债表现与四个维度!$3:$3,0))</f>
        <v>9.5238095238095233E-2</v>
      </c>
      <c r="Q33" s="93" cm="1">
        <f t="array" ref="Q33">INDEX(股债表现与四个维度!$A:$T,MATCH($A33,股债表现与四个维度!$A:$A,0),MATCH(Q$3&amp;Q$4,股债表现与四个维度!$2:$2&amp;股债表现与四个维度!$3:$3,0))</f>
        <v>9.5238095238095233E-2</v>
      </c>
      <c r="R33" s="93" cm="1">
        <f t="array" ref="R33">INDEX(股债表现与四个维度!$A:$T,MATCH($A33,股债表现与四个维度!$A:$A,0),MATCH(R$3&amp;R$4,股债表现与四个维度!$2:$2&amp;股债表现与四个维度!$3:$3,0))</f>
        <v>0</v>
      </c>
      <c r="S33" s="93" cm="1">
        <f t="array" ref="S33">INDEX(股债表现与四个维度!$A:$T,MATCH($A33,股债表现与四个维度!$A:$A,0),MATCH(S$3&amp;S$4,股债表现与四个维度!$2:$2&amp;股债表现与四个维度!$3:$3,0))</f>
        <v>1</v>
      </c>
      <c r="T33">
        <f t="shared" si="27"/>
        <v>9.691876750700279E-2</v>
      </c>
      <c r="U33">
        <f t="shared" si="27"/>
        <v>1.7142857142857144</v>
      </c>
      <c r="V33">
        <f t="shared" si="7"/>
        <v>-1.6173669467787115</v>
      </c>
      <c r="W33">
        <f t="shared" si="1"/>
        <v>-9.4307902133389536</v>
      </c>
      <c r="X33" t="e">
        <f t="shared" si="2"/>
        <v>#N/A</v>
      </c>
      <c r="Y33" s="92">
        <f t="shared" ref="Y33:Z33" si="36">AVERAGE(V33:V38)</f>
        <v>-1.4733813887064662</v>
      </c>
      <c r="Z33" s="92">
        <f t="shared" si="36"/>
        <v>-6.2568586066862091</v>
      </c>
      <c r="AA33">
        <f t="shared" si="23"/>
        <v>-0.94629431976642187</v>
      </c>
      <c r="AB33">
        <v>-0.94629431976642298</v>
      </c>
      <c r="AC33">
        <v>0.85508846908308955</v>
      </c>
    </row>
    <row r="34" spans="1:29" x14ac:dyDescent="0.35">
      <c r="A34" s="91">
        <f t="shared" si="6"/>
        <v>45138</v>
      </c>
      <c r="B34" s="93" cm="1">
        <f t="array" ref="B34">INDEX(股债表现与四个维度!$A:$T,MATCH($A34,股债表现与四个维度!$A:$A,0),MATCH(B$4,股债表现与四个维度!$2:$2,0))</f>
        <v>2.4722745685347052</v>
      </c>
      <c r="C34" s="93" cm="1">
        <f t="array" ref="C34">INDEX(股债表现与四个维度!$A:$T,MATCH($A34,股债表现与四个维度!$A:$A,0),MATCH(C$4,股债表现与四个维度!$2:$2,0))</f>
        <v>-2.9390476190475998</v>
      </c>
      <c r="D34" s="93" t="e" cm="1">
        <f t="array" ref="D34">INDEX(股债表现与四个维度!$A:$T,MATCH($A34,股债表现与四个维度!$A:$A,0),MATCH(D$4,股债表现与四个维度!$2:$2,0))</f>
        <v>#N/A</v>
      </c>
      <c r="E34" s="93" t="str" cm="1">
        <f t="array" ref="E34">INDEX(股债表现与四个维度!$A:$T,MATCH($A34,股债表现与四个维度!$A:$A,0),MATCH(E$4,股债表现与四个维度!$2:$2,0))</f>
        <v>复苏</v>
      </c>
      <c r="F34" s="93" t="str" cm="1">
        <f t="array" ref="F34">INDEX(股债表现与四个维度!$A:$T,MATCH($A34,股债表现与四个维度!$A:$A,0),MATCH(F$4,股债表现与四个维度!$2:$2,0))</f>
        <v>宽货币紧信用</v>
      </c>
      <c r="G34" s="93" t="str" cm="1">
        <f t="array" ref="G34">INDEX(股债表现与四个维度!$A:$T,MATCH($A34,股债表现与四个维度!$A:$A,0),MATCH(G$4,股债表现与四个维度!$2:$2,0))</f>
        <v>双宽</v>
      </c>
      <c r="H34" s="93" t="str" cm="1">
        <f t="array" ref="H34">INDEX(股债表现与四个维度!$A:$T,MATCH($A34,股债表现与四个维度!$A:$A,0),MATCH(H$4,股债表现与四个维度!$2:$2,0))</f>
        <v>被动补库存</v>
      </c>
      <c r="I34" s="93" t="str" cm="1">
        <f t="array" ref="I34">INDEX(股债表现与四个维度!$A:$T,MATCH($A34,股债表现与四个维度!$A:$A,0),MATCH(I$4,股债表现与四个维度!$2:$2,0))</f>
        <v>产能周期上行,被动补库存</v>
      </c>
      <c r="J34" s="93" cm="1">
        <f t="array" ref="J34">INDEX(股债表现与四个维度!$A:$T,MATCH($A34,股债表现与四个维度!$A:$A,0),MATCH(J$3&amp;J$4,股债表现与四个维度!$2:$2&amp;股债表现与四个维度!$3:$3,0))</f>
        <v>-0.10526315789473684</v>
      </c>
      <c r="K34" s="93" cm="1">
        <f t="array" ref="K34">INDEX(股债表现与四个维度!$A:$T,MATCH($A34,股债表现与四个维度!$A:$A,0),MATCH(K$3&amp;K$4,股债表现与四个维度!$2:$2&amp;股债表现与四个维度!$3:$3,0))</f>
        <v>0.26315789473684209</v>
      </c>
      <c r="L34" s="93" cm="1">
        <f t="array" ref="L34">INDEX(股债表现与四个维度!$A:$T,MATCH($A34,股债表现与四个维度!$A:$A,0),MATCH(L$3&amp;L$4,股债表现与四个维度!$2:$2&amp;股债表现与四个维度!$3:$3,0))</f>
        <v>0.11764705882352941</v>
      </c>
      <c r="M34" s="93" cm="1">
        <f t="array" ref="M34">INDEX(股债表现与四个维度!$A:$T,MATCH($A34,股债表现与四个维度!$A:$A,0),MATCH(M$3&amp;M$4,股债表现与四个维度!$2:$2&amp;股债表现与四个维度!$3:$3,0))</f>
        <v>0.47058823529411764</v>
      </c>
      <c r="N34" s="93" cm="1">
        <f t="array" ref="N34">INDEX(股债表现与四个维度!$A:$T,MATCH($A34,股债表现与四个维度!$A:$A,0),MATCH(N$3&amp;N$4,股债表现与四个维度!$2:$2&amp;股债表现与四个维度!$3:$3,0))</f>
        <v>-8.8235294117647065E-2</v>
      </c>
      <c r="O34" s="93" cm="1">
        <f t="array" ref="O34">INDEX(股债表现与四个维度!$A:$T,MATCH($A34,股债表现与四个维度!$A:$A,0),MATCH(O$3&amp;O$4,股债表现与四个维度!$2:$2&amp;股债表现与四个维度!$3:$3,0))</f>
        <v>0.26470588235294118</v>
      </c>
      <c r="P34" s="93" cm="1">
        <f t="array" ref="P34">INDEX(股债表现与四个维度!$A:$T,MATCH($A34,股债表现与四个维度!$A:$A,0),MATCH(P$3&amp;P$4,股债表现与四个维度!$2:$2&amp;股债表现与四个维度!$3:$3,0))</f>
        <v>9.5238095238095233E-2</v>
      </c>
      <c r="Q34" s="93" cm="1">
        <f t="array" ref="Q34">INDEX(股债表现与四个维度!$A:$T,MATCH($A34,股债表现与四个维度!$A:$A,0),MATCH(Q$3&amp;Q$4,股债表现与四个维度!$2:$2&amp;股债表现与四个维度!$3:$3,0))</f>
        <v>9.5238095238095233E-2</v>
      </c>
      <c r="R34" s="93" cm="1">
        <f t="array" ref="R34">INDEX(股债表现与四个维度!$A:$T,MATCH($A34,股债表现与四个维度!$A:$A,0),MATCH(R$3&amp;R$4,股债表现与四个维度!$2:$2&amp;股债表现与四个维度!$3:$3,0))</f>
        <v>-0.16666666666666666</v>
      </c>
      <c r="S34" s="93" cm="1">
        <f t="array" ref="S34">INDEX(股债表现与四个维度!$A:$T,MATCH($A34,股债表现与四个维度!$A:$A,0),MATCH(S$3&amp;S$4,股债表现与四个维度!$2:$2&amp;股债表现与四个维度!$3:$3,0))</f>
        <v>1</v>
      </c>
      <c r="T34">
        <f t="shared" si="27"/>
        <v>-0.14727996461742593</v>
      </c>
      <c r="U34">
        <f t="shared" si="27"/>
        <v>2.0936901076219963</v>
      </c>
      <c r="V34">
        <f t="shared" si="7"/>
        <v>-2.2409700722394224</v>
      </c>
      <c r="W34">
        <f t="shared" si="1"/>
        <v>-0.46677305051289464</v>
      </c>
      <c r="X34" t="e">
        <f t="shared" si="2"/>
        <v>#N/A</v>
      </c>
      <c r="Y34" s="92">
        <f t="shared" ref="Y34:Z34" si="37">AVERAGE(V34:V39)</f>
        <v>-1.0510173148718038</v>
      </c>
      <c r="Z34" s="92">
        <f t="shared" si="37"/>
        <v>-4.3636420441344805</v>
      </c>
      <c r="AA34">
        <f t="shared" si="23"/>
        <v>-1.2908460887228628</v>
      </c>
      <c r="AB34">
        <v>-1.2908460887228601</v>
      </c>
      <c r="AC34">
        <v>-0.4309675310339231</v>
      </c>
    </row>
    <row r="35" spans="1:29" x14ac:dyDescent="0.35">
      <c r="A35" s="91">
        <f t="shared" si="6"/>
        <v>45107</v>
      </c>
      <c r="B35" s="93" cm="1">
        <f t="array" ref="B35">INDEX(股债表现与四个维度!$A:$T,MATCH($A35,股债表现与四个维度!$A:$A,0),MATCH(B$4,股债表现与四个维度!$2:$2,0))</f>
        <v>1.5787271882165539</v>
      </c>
      <c r="C35" s="93" cm="1">
        <f t="array" ref="C35">INDEX(股债表现与四个维度!$A:$T,MATCH($A35,股债表现与四个维度!$A:$A,0),MATCH(C$4,股债表现与四个维度!$2:$2,0))</f>
        <v>-5.0428571428571001</v>
      </c>
      <c r="D35" s="93" t="e" cm="1">
        <f t="array" ref="D35">INDEX(股债表现与四个维度!$A:$T,MATCH($A35,股债表现与四个维度!$A:$A,0),MATCH(D$4,股债表现与四个维度!$2:$2,0))</f>
        <v>#N/A</v>
      </c>
      <c r="E35" s="93" t="str" cm="1">
        <f t="array" ref="E35">INDEX(股债表现与四个维度!$A:$T,MATCH($A35,股债表现与四个维度!$A:$A,0),MATCH(E$4,股债表现与四个维度!$2:$2,0))</f>
        <v>复苏</v>
      </c>
      <c r="F35" s="93" t="str" cm="1">
        <f t="array" ref="F35">INDEX(股债表现与四个维度!$A:$T,MATCH($A35,股债表现与四个维度!$A:$A,0),MATCH(F$4,股债表现与四个维度!$2:$2,0))</f>
        <v>宽货币紧信用</v>
      </c>
      <c r="G35" s="93" t="str" cm="1">
        <f t="array" ref="G35">INDEX(股债表现与四个维度!$A:$T,MATCH($A35,股债表现与四个维度!$A:$A,0),MATCH(G$4,股债表现与四个维度!$2:$2,0))</f>
        <v>双宽</v>
      </c>
      <c r="H35" s="93" t="str" cm="1">
        <f t="array" ref="H35">INDEX(股债表现与四个维度!$A:$T,MATCH($A35,股债表现与四个维度!$A:$A,0),MATCH(H$4,股债表现与四个维度!$2:$2,0))</f>
        <v>主动去库存</v>
      </c>
      <c r="I35" s="93" t="str" cm="1">
        <f t="array" ref="I35">INDEX(股债表现与四个维度!$A:$T,MATCH($A35,股债表现与四个维度!$A:$A,0),MATCH(I$4,股债表现与四个维度!$2:$2,0))</f>
        <v>产能周期上行,被动补库存</v>
      </c>
      <c r="J35" s="93" cm="1">
        <f t="array" ref="J35">INDEX(股债表现与四个维度!$A:$T,MATCH($A35,股债表现与四个维度!$A:$A,0),MATCH(J$3&amp;J$4,股债表现与四个维度!$2:$2&amp;股债表现与四个维度!$3:$3,0))</f>
        <v>-0.10526315789473684</v>
      </c>
      <c r="K35" s="93" cm="1">
        <f t="array" ref="K35">INDEX(股债表现与四个维度!$A:$T,MATCH($A35,股债表现与四个维度!$A:$A,0),MATCH(K$3&amp;K$4,股债表现与四个维度!$2:$2&amp;股债表现与四个维度!$3:$3,0))</f>
        <v>0.26315789473684209</v>
      </c>
      <c r="L35" s="93" cm="1">
        <f t="array" ref="L35">INDEX(股债表现与四个维度!$A:$T,MATCH($A35,股债表现与四个维度!$A:$A,0),MATCH(L$3&amp;L$4,股债表现与四个维度!$2:$2&amp;股债表现与四个维度!$3:$3,0))</f>
        <v>0.17647058823529413</v>
      </c>
      <c r="M35" s="93" cm="1">
        <f t="array" ref="M35">INDEX(股债表现与四个维度!$A:$T,MATCH($A35,股债表现与四个维度!$A:$A,0),MATCH(M$3&amp;M$4,股债表现与四个维度!$2:$2&amp;股债表现与四个维度!$3:$3,0))</f>
        <v>0.41176470588235292</v>
      </c>
      <c r="N35" s="93" cm="1">
        <f t="array" ref="N35">INDEX(股债表现与四个维度!$A:$T,MATCH($A35,股债表现与四个维度!$A:$A,0),MATCH(N$3&amp;N$4,股债表现与四个维度!$2:$2&amp;股债表现与四个维度!$3:$3,0))</f>
        <v>-5.8823529411764705E-2</v>
      </c>
      <c r="O35" s="93" cm="1">
        <f t="array" ref="O35">INDEX(股债表现与四个维度!$A:$T,MATCH($A35,股债表现与四个维度!$A:$A,0),MATCH(O$3&amp;O$4,股债表现与四个维度!$2:$2&amp;股债表现与四个维度!$3:$3,0))</f>
        <v>0.23529411764705882</v>
      </c>
      <c r="P35" s="93" cm="1">
        <f t="array" ref="P35">INDEX(股债表现与四个维度!$A:$T,MATCH($A35,股债表现与四个维度!$A:$A,0),MATCH(P$3&amp;P$4,股债表现与四个维度!$2:$2&amp;股债表现与四个维度!$3:$3,0))</f>
        <v>0.10526315789473684</v>
      </c>
      <c r="Q35" s="93" cm="1">
        <f t="array" ref="Q35">INDEX(股债表现与四个维度!$A:$T,MATCH($A35,股债表现与四个维度!$A:$A,0),MATCH(Q$3&amp;Q$4,股债表现与四个维度!$2:$2&amp;股债表现与四个维度!$3:$3,0))</f>
        <v>0.10526315789473684</v>
      </c>
      <c r="R35" s="93" cm="1">
        <f t="array" ref="R35">INDEX(股债表现与四个维度!$A:$T,MATCH($A35,股债表现与四个维度!$A:$A,0),MATCH(R$3&amp;R$4,股债表现与四个维度!$2:$2&amp;股债表现与四个维度!$3:$3,0))</f>
        <v>0</v>
      </c>
      <c r="S35" s="93" cm="1">
        <f t="array" ref="S35">INDEX(股债表现与四个维度!$A:$T,MATCH($A35,股债表现与四个维度!$A:$A,0),MATCH(S$3&amp;S$4,股债表现与四个维度!$2:$2&amp;股债表现与四个维度!$3:$3,0))</f>
        <v>1</v>
      </c>
      <c r="T35">
        <f t="shared" si="27"/>
        <v>0.11764705882352942</v>
      </c>
      <c r="U35">
        <f t="shared" si="27"/>
        <v>2.0154798761609909</v>
      </c>
      <c r="V35">
        <f t="shared" si="7"/>
        <v>-1.8978328173374615</v>
      </c>
      <c r="W35">
        <f t="shared" si="1"/>
        <v>-3.464129954640546</v>
      </c>
      <c r="X35" t="e">
        <f t="shared" si="2"/>
        <v>#N/A</v>
      </c>
      <c r="Y35" s="92">
        <f t="shared" ref="Y35:Z35" si="38">AVERAGE(V35:V40)</f>
        <v>-0.75568841776272111</v>
      </c>
      <c r="Z35" s="92">
        <f t="shared" si="38"/>
        <v>-2.7831180557839388</v>
      </c>
      <c r="AA35">
        <f t="shared" si="23"/>
        <v>-1.2727556698661975</v>
      </c>
      <c r="AB35">
        <v>-1.2727556698661899</v>
      </c>
      <c r="AC35">
        <v>-0.70917142430941138</v>
      </c>
    </row>
    <row r="36" spans="1:29" x14ac:dyDescent="0.35">
      <c r="A36" s="91">
        <f t="shared" si="6"/>
        <v>45077</v>
      </c>
      <c r="B36" s="93" cm="1">
        <f t="array" ref="B36">INDEX(股债表现与四个维度!$A:$T,MATCH($A36,股债表现与四个维度!$A:$A,0),MATCH(B$4,股债表现与四个维度!$2:$2,0))</f>
        <v>-3.3120754729155002</v>
      </c>
      <c r="C36" s="93" cm="1">
        <f t="array" ref="C36">INDEX(股债表现与四个维度!$A:$T,MATCH($A36,股债表现与四个维度!$A:$A,0),MATCH(C$4,股债表现与四个维度!$2:$2,0))</f>
        <v>-11.1246666666667</v>
      </c>
      <c r="D36" s="93" t="e" cm="1">
        <f t="array" ref="D36">INDEX(股债表现与四个维度!$A:$T,MATCH($A36,股债表现与四个维度!$A:$A,0),MATCH(D$4,股债表现与四个维度!$2:$2,0))</f>
        <v>#N/A</v>
      </c>
      <c r="E36" s="93" t="str" cm="1">
        <f t="array" ref="E36">INDEX(股债表现与四个维度!$A:$T,MATCH($A36,股债表现与四个维度!$A:$A,0),MATCH(E$4,股债表现与四个维度!$2:$2,0))</f>
        <v>衰退</v>
      </c>
      <c r="F36" s="93" t="str" cm="1">
        <f t="array" ref="F36">INDEX(股债表现与四个维度!$A:$T,MATCH($A36,股债表现与四个维度!$A:$A,0),MATCH(F$4,股债表现与四个维度!$2:$2,0))</f>
        <v>宽货币紧信用</v>
      </c>
      <c r="G36" s="93" t="str" cm="1">
        <f t="array" ref="G36">INDEX(股债表现与四个维度!$A:$T,MATCH($A36,股债表现与四个维度!$A:$A,0),MATCH(G$4,股债表现与四个维度!$2:$2,0))</f>
        <v>双宽</v>
      </c>
      <c r="H36" s="93" t="str" cm="1">
        <f t="array" ref="H36">INDEX(股债表现与四个维度!$A:$T,MATCH($A36,股债表现与四个维度!$A:$A,0),MATCH(H$4,股债表现与四个维度!$2:$2,0))</f>
        <v>主动去库存</v>
      </c>
      <c r="I36" s="93" t="str" cm="1">
        <f t="array" ref="I36">INDEX(股债表现与四个维度!$A:$T,MATCH($A36,股债表现与四个维度!$A:$A,0),MATCH(I$4,股债表现与四个维度!$2:$2,0))</f>
        <v>产能周期上行,被动补库存</v>
      </c>
      <c r="J36" s="93" cm="1">
        <f t="array" ref="J36">INDEX(股债表现与四个维度!$A:$T,MATCH($A36,股债表现与四个维度!$A:$A,0),MATCH(J$3&amp;J$4,股债表现与四个维度!$2:$2&amp;股债表现与四个维度!$3:$3,0))</f>
        <v>0.11764705882352941</v>
      </c>
      <c r="K36" s="93" cm="1">
        <f t="array" ref="K36">INDEX(股债表现与四个维度!$A:$T,MATCH($A36,股债表现与四个维度!$A:$A,0),MATCH(K$3&amp;K$4,股债表现与四个维度!$2:$2&amp;股债表现与四个维度!$3:$3,0))</f>
        <v>-5.8823529411764705E-2</v>
      </c>
      <c r="L36" s="93" cm="1">
        <f t="array" ref="L36">INDEX(股债表现与四个维度!$A:$T,MATCH($A36,股债表现与四个维度!$A:$A,0),MATCH(L$3&amp;L$4,股债表现与四个维度!$2:$2&amp;股债表现与四个维度!$3:$3,0))</f>
        <v>0.17647058823529413</v>
      </c>
      <c r="M36" s="93" cm="1">
        <f t="array" ref="M36">INDEX(股债表现与四个维度!$A:$T,MATCH($A36,股债表现与四个维度!$A:$A,0),MATCH(M$3&amp;M$4,股债表现与四个维度!$2:$2&amp;股债表现与四个维度!$3:$3,0))</f>
        <v>0.41176470588235292</v>
      </c>
      <c r="N36" s="93" cm="1">
        <f t="array" ref="N36">INDEX(股债表现与四个维度!$A:$T,MATCH($A36,股债表现与四个维度!$A:$A,0),MATCH(N$3&amp;N$4,股债表现与四个维度!$2:$2&amp;股债表现与四个维度!$3:$3,0))</f>
        <v>-5.8823529411764705E-2</v>
      </c>
      <c r="O36" s="93" cm="1">
        <f t="array" ref="O36">INDEX(股债表现与四个维度!$A:$T,MATCH($A36,股债表现与四个维度!$A:$A,0),MATCH(O$3&amp;O$4,股债表现与四个维度!$2:$2&amp;股债表现与四个维度!$3:$3,0))</f>
        <v>0.23529411764705882</v>
      </c>
      <c r="P36" s="93" cm="1">
        <f t="array" ref="P36">INDEX(股债表现与四个维度!$A:$T,MATCH($A36,股债表现与四个维度!$A:$A,0),MATCH(P$3&amp;P$4,股债表现与四个维度!$2:$2&amp;股债表现与四个维度!$3:$3,0))</f>
        <v>0.16666666666666666</v>
      </c>
      <c r="Q36" s="93" cm="1">
        <f t="array" ref="Q36">INDEX(股债表现与四个维度!$A:$T,MATCH($A36,股债表现与四个维度!$A:$A,0),MATCH(Q$3&amp;Q$4,股债表现与四个维度!$2:$2&amp;股债表现与四个维度!$3:$3,0))</f>
        <v>5.5555555555555552E-2</v>
      </c>
      <c r="R36" s="93" cm="1">
        <f t="array" ref="R36">INDEX(股债表现与四个维度!$A:$T,MATCH($A36,股债表现与四个维度!$A:$A,0),MATCH(R$3&amp;R$4,股债表现与四个维度!$2:$2&amp;股债表现与四个维度!$3:$3,0))</f>
        <v>0.25</v>
      </c>
      <c r="S36" s="93" cm="1">
        <f t="array" ref="S36">INDEX(股债表现与四个维度!$A:$T,MATCH($A36,股债表现与四个维度!$A:$A,0),MATCH(S$3&amp;S$4,股债表现与四个维度!$2:$2&amp;股债表现与四个维度!$3:$3,0))</f>
        <v>1</v>
      </c>
      <c r="T36">
        <f t="shared" si="27"/>
        <v>0.65196078431372551</v>
      </c>
      <c r="U36">
        <f t="shared" si="27"/>
        <v>1.6437908496732025</v>
      </c>
      <c r="V36">
        <f t="shared" si="7"/>
        <v>-0.99183006535947704</v>
      </c>
      <c r="W36">
        <f t="shared" si="1"/>
        <v>-14.436742139582201</v>
      </c>
      <c r="X36" t="e">
        <f t="shared" si="2"/>
        <v>#N/A</v>
      </c>
      <c r="Y36" s="92">
        <f t="shared" ref="Y36:Z36" si="39">AVERAGE(V36:V41)</f>
        <v>-0.63709536650713117</v>
      </c>
      <c r="Z36" s="92">
        <f t="shared" si="39"/>
        <v>-1.0324271037620878</v>
      </c>
      <c r="AA36">
        <f t="shared" si="23"/>
        <v>-1.1246078947774725</v>
      </c>
      <c r="AB36">
        <v>-1.12460789477747</v>
      </c>
      <c r="AC36">
        <v>-1.3218114323412553</v>
      </c>
    </row>
    <row r="37" spans="1:29" x14ac:dyDescent="0.35">
      <c r="A37" s="91">
        <f t="shared" si="6"/>
        <v>45046</v>
      </c>
      <c r="B37" s="93" cm="1">
        <f t="array" ref="B37">INDEX(股债表现与四个维度!$A:$T,MATCH($A37,股债表现与四个维度!$A:$A,0),MATCH(B$4,股债表现与四个维度!$2:$2,0))</f>
        <v>-1.4446498789723901</v>
      </c>
      <c r="C37" s="93" cm="1">
        <f t="array" ref="C37">INDEX(股债表现与四个维度!$A:$T,MATCH($A37,股债表现与四个维度!$A:$A,0),MATCH(C$4,股债表现与四个维度!$2:$2,0))</f>
        <v>-4.0989565217391002</v>
      </c>
      <c r="D37" s="93" t="e" cm="1">
        <f t="array" ref="D37">INDEX(股债表现与四个维度!$A:$T,MATCH($A37,股债表现与四个维度!$A:$A,0),MATCH(D$4,股债表现与四个维度!$2:$2,0))</f>
        <v>#N/A</v>
      </c>
      <c r="E37" s="93" t="str" cm="1">
        <f t="array" ref="E37">INDEX(股债表现与四个维度!$A:$T,MATCH($A37,股债表现与四个维度!$A:$A,0),MATCH(E$4,股债表现与四个维度!$2:$2,0))</f>
        <v>复苏</v>
      </c>
      <c r="F37" s="93" t="str" cm="1">
        <f t="array" ref="F37">INDEX(股债表现与四个维度!$A:$T,MATCH($A37,股债表现与四个维度!$A:$A,0),MATCH(F$4,股债表现与四个维度!$2:$2,0))</f>
        <v>宽货币宽信用</v>
      </c>
      <c r="G37" s="93" t="str" cm="1">
        <f t="array" ref="G37">INDEX(股债表现与四个维度!$A:$T,MATCH($A37,股债表现与四个维度!$A:$A,0),MATCH(G$4,股债表现与四个维度!$2:$2,0))</f>
        <v>双宽</v>
      </c>
      <c r="H37" s="93" t="str" cm="1">
        <f t="array" ref="H37">INDEX(股债表现与四个维度!$A:$T,MATCH($A37,股债表现与四个维度!$A:$A,0),MATCH(H$4,股债表现与四个维度!$2:$2,0))</f>
        <v>主动去库存</v>
      </c>
      <c r="I37" s="93" t="str" cm="1">
        <f t="array" ref="I37">INDEX(股债表现与四个维度!$A:$T,MATCH($A37,股债表现与四个维度!$A:$A,0),MATCH(I$4,股债表现与四个维度!$2:$2,0))</f>
        <v>产能周期上行,被动补库存</v>
      </c>
      <c r="J37" s="93" cm="1">
        <f t="array" ref="J37">INDEX(股债表现与四个维度!$A:$T,MATCH($A37,股债表现与四个维度!$A:$A,0),MATCH(J$3&amp;J$4,股债表现与四个维度!$2:$2&amp;股债表现与四个维度!$3:$3,0))</f>
        <v>-0.1111111111111111</v>
      </c>
      <c r="K37" s="93" cm="1">
        <f t="array" ref="K37">INDEX(股债表现与四个维度!$A:$T,MATCH($A37,股债表现与四个维度!$A:$A,0),MATCH(K$3&amp;K$4,股债表现与四个维度!$2:$2&amp;股债表现与四个维度!$3:$3,0))</f>
        <v>0.22222222222222221</v>
      </c>
      <c r="L37" s="93" cm="1">
        <f t="array" ref="L37">INDEX(股债表现与四个维度!$A:$T,MATCH($A37,股债表现与四个维度!$A:$A,0),MATCH(L$3&amp;L$4,股债表现与四个维度!$2:$2&amp;股债表现与四个维度!$3:$3,0))</f>
        <v>0</v>
      </c>
      <c r="M37" s="93" cm="1">
        <f t="array" ref="M37">INDEX(股债表现与四个维度!$A:$T,MATCH($A37,股债表现与四个维度!$A:$A,0),MATCH(M$3&amp;M$4,股债表现与四个维度!$2:$2&amp;股债表现与四个维度!$3:$3,0))</f>
        <v>0.33333333333333331</v>
      </c>
      <c r="N37" s="93" cm="1">
        <f t="array" ref="N37">INDEX(股债表现与四个维度!$A:$T,MATCH($A37,股债表现与四个维度!$A:$A,0),MATCH(N$3&amp;N$4,股债表现与四个维度!$2:$2&amp;股债表现与四个维度!$3:$3,0))</f>
        <v>-6.0606060606060608E-2</v>
      </c>
      <c r="O37" s="93" cm="1">
        <f t="array" ref="O37">INDEX(股债表现与四个维度!$A:$T,MATCH($A37,股债表现与四个维度!$A:$A,0),MATCH(O$3&amp;O$4,股债表现与四个维度!$2:$2&amp;股债表现与四个维度!$3:$3,0))</f>
        <v>0.21212121212121213</v>
      </c>
      <c r="P37" s="93" cm="1">
        <f t="array" ref="P37">INDEX(股债表现与四个维度!$A:$T,MATCH($A37,股债表现与四个维度!$A:$A,0),MATCH(P$3&amp;P$4,股债表现与四个维度!$2:$2&amp;股债表现与四个维度!$3:$3,0))</f>
        <v>0.16666666666666666</v>
      </c>
      <c r="Q37" s="93" cm="1">
        <f t="array" ref="Q37">INDEX(股债表现与四个维度!$A:$T,MATCH($A37,股债表现与四个维度!$A:$A,0),MATCH(Q$3&amp;Q$4,股债表现与四个维度!$2:$2&amp;股债表现与四个维度!$3:$3,0))</f>
        <v>5.5555555555555552E-2</v>
      </c>
      <c r="R37" s="93" cm="1">
        <f t="array" ref="R37">INDEX(股债表现与四个维度!$A:$T,MATCH($A37,股债表现与四个维度!$A:$A,0),MATCH(R$3&amp;R$4,股债表现与四个维度!$2:$2&amp;股债表现与四个维度!$3:$3,0))</f>
        <v>0.33333333333333331</v>
      </c>
      <c r="S37" s="93" cm="1">
        <f t="array" ref="S37">INDEX(股债表现与四个维度!$A:$T,MATCH($A37,股债表现与四个维度!$A:$A,0),MATCH(S$3&amp;S$4,股债表现与四个维度!$2:$2&amp;股债表现与四个维度!$3:$3,0))</f>
        <v>1</v>
      </c>
      <c r="T37">
        <f t="shared" si="27"/>
        <v>0.32828282828282829</v>
      </c>
      <c r="U37">
        <f t="shared" si="27"/>
        <v>1.8232323232323233</v>
      </c>
      <c r="V37">
        <f t="shared" si="7"/>
        <v>-1.494949494949495</v>
      </c>
      <c r="W37">
        <f t="shared" si="1"/>
        <v>-5.5436064007114902</v>
      </c>
      <c r="X37" t="e">
        <f t="shared" si="2"/>
        <v>#N/A</v>
      </c>
      <c r="Y37" s="92">
        <f t="shared" ref="Y37:Z37" si="40">AVERAGE(V37:V42)</f>
        <v>-0.68775943555355334</v>
      </c>
      <c r="Z37" s="92">
        <f t="shared" si="40"/>
        <v>3.7041461609066602</v>
      </c>
      <c r="AA37">
        <f t="shared" si="23"/>
        <v>-0.72793943447542286</v>
      </c>
      <c r="AB37">
        <v>-0.72793943447542198</v>
      </c>
      <c r="AC37">
        <v>-1.9051069042512307</v>
      </c>
    </row>
    <row r="38" spans="1:29" x14ac:dyDescent="0.35">
      <c r="A38" s="91">
        <f t="shared" si="6"/>
        <v>45016</v>
      </c>
      <c r="B38" s="93" cm="1">
        <f t="array" ref="B38">INDEX(股债表现与四个维度!$A:$T,MATCH($A38,股债表现与四个维度!$A:$A,0),MATCH(B$4,股债表现与四个维度!$2:$2,0))</f>
        <v>-0.82606640307027102</v>
      </c>
      <c r="C38" s="93" cm="1">
        <f t="array" ref="C38">INDEX(股债表现与四个维度!$A:$T,MATCH($A38,股债表现与四个维度!$A:$A,0),MATCH(C$4,股债表现与四个维度!$2:$2,0))</f>
        <v>-3.3730434782608998</v>
      </c>
      <c r="D38" s="93" t="e" cm="1">
        <f t="array" ref="D38">INDEX(股债表现与四个维度!$A:$T,MATCH($A38,股债表现与四个维度!$A:$A,0),MATCH(D$4,股债表现与四个维度!$2:$2,0))</f>
        <v>#N/A</v>
      </c>
      <c r="E38" s="93" t="str" cm="1">
        <f t="array" ref="E38">INDEX(股债表现与四个维度!$A:$T,MATCH($A38,股债表现与四个维度!$A:$A,0),MATCH(E$4,股债表现与四个维度!$2:$2,0))</f>
        <v>复苏</v>
      </c>
      <c r="F38" s="93" t="str" cm="1">
        <f t="array" ref="F38">INDEX(股债表现与四个维度!$A:$T,MATCH($A38,股债表现与四个维度!$A:$A,0),MATCH(F$4,股债表现与四个维度!$2:$2,0))</f>
        <v>紧货币宽信用</v>
      </c>
      <c r="G38" s="93" t="str" cm="1">
        <f t="array" ref="G38">INDEX(股债表现与四个维度!$A:$T,MATCH($A38,股债表现与四个维度!$A:$A,0),MATCH(G$4,股债表现与四个维度!$2:$2,0))</f>
        <v>双宽</v>
      </c>
      <c r="H38" s="93" t="str" cm="1">
        <f t="array" ref="H38">INDEX(股债表现与四个维度!$A:$T,MATCH($A38,股债表现与四个维度!$A:$A,0),MATCH(H$4,股债表现与四个维度!$2:$2,0))</f>
        <v>被动去库存</v>
      </c>
      <c r="I38" s="93" t="str" cm="1">
        <f t="array" ref="I38">INDEX(股债表现与四个维度!$A:$T,MATCH($A38,股债表现与四个维度!$A:$A,0),MATCH(I$4,股债表现与四个维度!$2:$2,0))</f>
        <v>产能周期上行,被动补库存</v>
      </c>
      <c r="J38" s="93" cm="1">
        <f t="array" ref="J38">INDEX(股债表现与四个维度!$A:$T,MATCH($A38,股债表现与四个维度!$A:$A,0),MATCH(J$3&amp;J$4,股债表现与四个维度!$2:$2&amp;股债表现与四个维度!$3:$3,0))</f>
        <v>-0.1111111111111111</v>
      </c>
      <c r="K38" s="93" cm="1">
        <f t="array" ref="K38">INDEX(股债表现与四个维度!$A:$T,MATCH($A38,股债表现与四个维度!$A:$A,0),MATCH(K$3&amp;K$4,股债表现与四个维度!$2:$2&amp;股债表现与四个维度!$3:$3,0))</f>
        <v>0.22222222222222221</v>
      </c>
      <c r="L38" s="93" cm="1">
        <f t="array" ref="L38">INDEX(股债表现与四个维度!$A:$T,MATCH($A38,股债表现与四个维度!$A:$A,0),MATCH(L$3&amp;L$4,股债表现与四个维度!$2:$2&amp;股债表现与四个维度!$3:$3,0))</f>
        <v>0.16666666666666666</v>
      </c>
      <c r="M38" s="93" cm="1">
        <f t="array" ref="M38">INDEX(股债表现与四个维度!$A:$T,MATCH($A38,股债表现与四个维度!$A:$A,0),MATCH(M$3&amp;M$4,股债表现与四个维度!$2:$2&amp;股债表现与四个维度!$3:$3,0))</f>
        <v>-0.41666666666666669</v>
      </c>
      <c r="N38" s="93" cm="1">
        <f t="array" ref="N38">INDEX(股债表现与四个维度!$A:$T,MATCH($A38,股债表现与四个维度!$A:$A,0),MATCH(N$3&amp;N$4,股债表现与四个维度!$2:$2&amp;股债表现与四个维度!$3:$3,0))</f>
        <v>-8.8235294117647065E-2</v>
      </c>
      <c r="O38" s="93" cm="1">
        <f t="array" ref="O38">INDEX(股债表现与四个维度!$A:$T,MATCH($A38,股债表现与四个维度!$A:$A,0),MATCH(O$3&amp;O$4,股债表现与四个维度!$2:$2&amp;股债表现与四个维度!$3:$3,0))</f>
        <v>0.23529411764705882</v>
      </c>
      <c r="P38" s="93" cm="1">
        <f t="array" ref="P38">INDEX(股债表现与四个维度!$A:$T,MATCH($A38,股债表现与四个维度!$A:$A,0),MATCH(P$3&amp;P$4,股债表现与四个维度!$2:$2&amp;股债表现与四个维度!$3:$3,0))</f>
        <v>0</v>
      </c>
      <c r="Q38" s="93" cm="1">
        <f t="array" ref="Q38">INDEX(股债表现与四个维度!$A:$T,MATCH($A38,股债表现与四个维度!$A:$A,0),MATCH(Q$3&amp;Q$4,股债表现与四个维度!$2:$2&amp;股债表现与四个维度!$3:$3,0))</f>
        <v>-0.14285714285714285</v>
      </c>
      <c r="R38" s="93" cm="1">
        <f t="array" ref="R38">INDEX(股债表现与四个维度!$A:$T,MATCH($A38,股债表现与四个维度!$A:$A,0),MATCH(R$3&amp;R$4,股债表现与四个维度!$2:$2&amp;股债表现与四个维度!$3:$3,0))</f>
        <v>0.33333333333333331</v>
      </c>
      <c r="S38" s="93" cm="1">
        <f t="array" ref="S38">INDEX(股债表现与四个维度!$A:$T,MATCH($A38,股债表现与四个维度!$A:$A,0),MATCH(S$3&amp;S$4,股债表现与四个维度!$2:$2&amp;股债表现与四个维度!$3:$3,0))</f>
        <v>1</v>
      </c>
      <c r="T38">
        <f t="shared" si="27"/>
        <v>0.30065359477124182</v>
      </c>
      <c r="U38">
        <f t="shared" si="27"/>
        <v>0.89799253034547144</v>
      </c>
      <c r="V38">
        <f t="shared" si="7"/>
        <v>-0.59733893557422957</v>
      </c>
      <c r="W38">
        <f t="shared" si="1"/>
        <v>-4.1991098813311707</v>
      </c>
      <c r="X38" t="e">
        <f t="shared" si="2"/>
        <v>#N/A</v>
      </c>
      <c r="Y38" s="92">
        <f t="shared" ref="Y38:Z38" si="41">AVERAGE(V38:V43)</f>
        <v>-0.60725198004609771</v>
      </c>
      <c r="Z38" s="92">
        <f t="shared" si="41"/>
        <v>5.0098392784172212</v>
      </c>
      <c r="AA38">
        <f t="shared" si="23"/>
        <v>3.6062630906596414E-2</v>
      </c>
      <c r="AB38">
        <v>3.6062630906597198E-2</v>
      </c>
      <c r="AC38">
        <v>-2.1657970957458006</v>
      </c>
    </row>
    <row r="39" spans="1:29" x14ac:dyDescent="0.35">
      <c r="A39" s="91">
        <f t="shared" ref="A39:A70" si="42">EOMONTH(A38,-1)</f>
        <v>44985</v>
      </c>
      <c r="B39" s="93" cm="1">
        <f t="array" ref="B39">INDEX(股债表现与四个维度!$A:$T,MATCH($A39,股债表现与四个维度!$A:$A,0),MATCH(B$4,股债表现与四个维度!$2:$2,0))</f>
        <v>-2.3713060250783999E-2</v>
      </c>
      <c r="C39" s="93" cm="1">
        <f t="array" ref="C39">INDEX(股债表现与四个维度!$A:$T,MATCH($A39,股债表现与四个维度!$A:$A,0),MATCH(C$4,股债表现与四个维度!$2:$2,0))</f>
        <v>1.9522222222222001</v>
      </c>
      <c r="D39" s="93" t="e" cm="1">
        <f t="array" ref="D39">INDEX(股债表现与四个维度!$A:$T,MATCH($A39,股债表现与四个维度!$A:$A,0),MATCH(D$4,股债表现与四个维度!$2:$2,0))</f>
        <v>#N/A</v>
      </c>
      <c r="E39" s="93" t="str" cm="1">
        <f t="array" ref="E39">INDEX(股债表现与四个维度!$A:$T,MATCH($A39,股债表现与四个维度!$A:$A,0),MATCH(E$4,股债表现与四个维度!$2:$2,0))</f>
        <v>衰退</v>
      </c>
      <c r="F39" s="93" t="str" cm="1">
        <f t="array" ref="F39">INDEX(股债表现与四个维度!$A:$T,MATCH($A39,股债表现与四个维度!$A:$A,0),MATCH(F$4,股债表现与四个维度!$2:$2,0))</f>
        <v>紧货币宽信用</v>
      </c>
      <c r="G39" s="93" t="str" cm="1">
        <f t="array" ref="G39">INDEX(股债表现与四个维度!$A:$T,MATCH($A39,股债表现与四个维度!$A:$A,0),MATCH(G$4,股债表现与四个维度!$2:$2,0))</f>
        <v>双紧</v>
      </c>
      <c r="H39" s="93" t="str" cm="1">
        <f t="array" ref="H39">INDEX(股债表现与四个维度!$A:$T,MATCH($A39,股债表现与四个维度!$A:$A,0),MATCH(H$4,股债表现与四个维度!$2:$2,0))</f>
        <v>被动去库存</v>
      </c>
      <c r="I39" s="93" t="str" cm="1">
        <f t="array" ref="I39">INDEX(股债表现与四个维度!$A:$T,MATCH($A39,股债表现与四个维度!$A:$A,0),MATCH(I$4,股债表现与四个维度!$2:$2,0))</f>
        <v>产能周期下行,被动补库存</v>
      </c>
      <c r="J39" s="93" cm="1">
        <f t="array" ref="J39">INDEX(股债表现与四个维度!$A:$T,MATCH($A39,股债表现与四个维度!$A:$A,0),MATCH(J$3&amp;J$4,股债表现与四个维度!$2:$2&amp;股债表现与四个维度!$3:$3,0))</f>
        <v>0</v>
      </c>
      <c r="K39" s="93" cm="1">
        <f t="array" ref="K39">INDEX(股债表现与四个维度!$A:$T,MATCH($A39,股债表现与四个维度!$A:$A,0),MATCH(K$3&amp;K$4,股债表现与四个维度!$2:$2&amp;股债表现与四个维度!$3:$3,0))</f>
        <v>5.8823529411764705E-2</v>
      </c>
      <c r="L39" s="93" cm="1">
        <f t="array" ref="L39">INDEX(股债表现与四个维度!$A:$T,MATCH($A39,股债表现与四个维度!$A:$A,0),MATCH(L$3&amp;L$4,股债表现与四个维度!$2:$2&amp;股债表现与四个维度!$3:$3,0))</f>
        <v>0.16666666666666666</v>
      </c>
      <c r="M39" s="93" cm="1">
        <f t="array" ref="M39">INDEX(股债表现与四个维度!$A:$T,MATCH($A39,股债表现与四个维度!$A:$A,0),MATCH(M$3&amp;M$4,股债表现与四个维度!$2:$2&amp;股债表现与四个维度!$3:$3,0))</f>
        <v>-0.41666666666666669</v>
      </c>
      <c r="N39" s="93" cm="1">
        <f t="array" ref="N39">INDEX(股债表现与四个维度!$A:$T,MATCH($A39,股债表现与四个维度!$A:$A,0),MATCH(N$3&amp;N$4,股债表现与四个维度!$2:$2&amp;股债表现与四个维度!$3:$3,0))</f>
        <v>0.23076923076923078</v>
      </c>
      <c r="O39" s="93" cm="1">
        <f t="array" ref="O39">INDEX(股债表现与四个维度!$A:$T,MATCH($A39,股债表现与四个维度!$A:$A,0),MATCH(O$3&amp;O$4,股债表现与四个维度!$2:$2&amp;股债表现与四个维度!$3:$3,0))</f>
        <v>3.8461538461538464E-2</v>
      </c>
      <c r="P39" s="93" cm="1">
        <f t="array" ref="P39">INDEX(股债表现与四个维度!$A:$T,MATCH($A39,股债表现与四个维度!$A:$A,0),MATCH(P$3&amp;P$4,股债表现与四个维度!$2:$2&amp;股债表现与四个维度!$3:$3,0))</f>
        <v>-0.16666666666666666</v>
      </c>
      <c r="Q39" s="93" cm="1">
        <f t="array" ref="Q39">INDEX(股债表现与四个维度!$A:$T,MATCH($A39,股债表现与四个维度!$A:$A,0),MATCH(Q$3&amp;Q$4,股债表现与四个维度!$2:$2&amp;股债表现与四个维度!$3:$3,0))</f>
        <v>-0.16666666666666666</v>
      </c>
      <c r="R39" s="93" cm="1">
        <f t="array" ref="R39">INDEX(股债表现与四个维度!$A:$T,MATCH($A39,股债表现与四个维度!$A:$A,0),MATCH(R$3&amp;R$4,股债表现与四个维度!$2:$2&amp;股债表现与四个维度!$3:$3,0))</f>
        <v>-0.2</v>
      </c>
      <c r="S39" s="93" cm="1">
        <f t="array" ref="S39">INDEX(股债表现与四个维度!$A:$T,MATCH($A39,股债表现与四个维度!$A:$A,0),MATCH(S$3&amp;S$4,股债表现与四个维度!$2:$2&amp;股债表现与四个维度!$3:$3,0))</f>
        <v>-0.4</v>
      </c>
      <c r="T39">
        <f t="shared" si="27"/>
        <v>3.0769230769230799E-2</v>
      </c>
      <c r="U39">
        <f t="shared" si="27"/>
        <v>-0.88604826546003013</v>
      </c>
      <c r="V39">
        <f t="shared" si="7"/>
        <v>0.9168174962292609</v>
      </c>
      <c r="W39">
        <f t="shared" si="1"/>
        <v>1.9285091619714161</v>
      </c>
      <c r="X39" t="e">
        <f t="shared" si="2"/>
        <v>#N/A</v>
      </c>
      <c r="Y39" s="92">
        <f t="shared" ref="Y39:Z39" si="43">AVERAGE(V39:V44)</f>
        <v>-0.55213993522817051</v>
      </c>
      <c r="Z39" s="92">
        <f t="shared" si="43"/>
        <v>4.4220818478898671</v>
      </c>
      <c r="AA39">
        <f t="shared" si="23"/>
        <v>-0.32914674537763516</v>
      </c>
      <c r="AB39">
        <v>-0.329146745377634</v>
      </c>
      <c r="AC39">
        <v>-1.2122221446555566</v>
      </c>
    </row>
    <row r="40" spans="1:29" x14ac:dyDescent="0.35">
      <c r="A40" s="91">
        <f t="shared" si="42"/>
        <v>44957</v>
      </c>
      <c r="B40" s="93" cm="1">
        <f t="array" ref="B40">INDEX(股债表现与四个维度!$A:$T,MATCH($A40,股债表现与四个维度!$A:$A,0),MATCH(B$4,股债表现与四个维度!$2:$2,0))</f>
        <v>7.3820713626821624</v>
      </c>
      <c r="C40" s="93" cm="1">
        <f t="array" ref="C40">INDEX(股债表现与四个维度!$A:$T,MATCH($A40,股债表现与四个维度!$A:$A,0),MATCH(C$4,股债表现与四个维度!$2:$2,0))</f>
        <v>1.6342995169082</v>
      </c>
      <c r="D40" s="93" t="e" cm="1">
        <f t="array" ref="D40">INDEX(股债表现与四个维度!$A:$T,MATCH($A40,股债表现与四个维度!$A:$A,0),MATCH(D$4,股债表现与四个维度!$2:$2,0))</f>
        <v>#N/A</v>
      </c>
      <c r="E40" s="93" t="str" cm="1">
        <f t="array" ref="E40">INDEX(股债表现与四个维度!$A:$T,MATCH($A40,股债表现与四个维度!$A:$A,0),MATCH(E$4,股债表现与四个维度!$2:$2,0))</f>
        <v>衰退</v>
      </c>
      <c r="F40" s="93" t="str" cm="1">
        <f t="array" ref="F40">INDEX(股债表现与四个维度!$A:$T,MATCH($A40,股债表现与四个维度!$A:$A,0),MATCH(F$4,股债表现与四个维度!$2:$2,0))</f>
        <v>紧货币紧信用</v>
      </c>
      <c r="G40" s="93" t="str" cm="1">
        <f t="array" ref="G40">INDEX(股债表现与四个维度!$A:$T,MATCH($A40,股债表现与四个维度!$A:$A,0),MATCH(G$4,股债表现与四个维度!$2:$2,0))</f>
        <v>双宽</v>
      </c>
      <c r="H40" s="93" t="str" cm="1">
        <f t="array" ref="H40">INDEX(股债表现与四个维度!$A:$T,MATCH($A40,股债表现与四个维度!$A:$A,0),MATCH(H$4,股债表现与四个维度!$2:$2,0))</f>
        <v>被动去库存</v>
      </c>
      <c r="I40" s="93" t="str" cm="1">
        <f t="array" ref="I40">INDEX(股债表现与四个维度!$A:$T,MATCH($A40,股债表现与四个维度!$A:$A,0),MATCH(I$4,股债表现与四个维度!$2:$2,0))</f>
        <v>产能周期下行,被动补库存</v>
      </c>
      <c r="J40" s="93" cm="1">
        <f t="array" ref="J40">INDEX(股债表现与四个维度!$A:$T,MATCH($A40,股债表现与四个维度!$A:$A,0),MATCH(J$3&amp;J$4,股债表现与四个维度!$2:$2&amp;股债表现与四个维度!$3:$3,0))</f>
        <v>0</v>
      </c>
      <c r="K40" s="93" cm="1">
        <f t="array" ref="K40">INDEX(股债表现与四个维度!$A:$T,MATCH($A40,股债表现与四个维度!$A:$A,0),MATCH(K$3&amp;K$4,股债表现与四个维度!$2:$2&amp;股债表现与四个维度!$3:$3,0))</f>
        <v>5.8823529411764705E-2</v>
      </c>
      <c r="L40" s="93" cm="1">
        <f t="array" ref="L40">INDEX(股债表现与四个维度!$A:$T,MATCH($A40,股债表现与四个维度!$A:$A,0),MATCH(L$3&amp;L$4,股债表现与四个维度!$2:$2&amp;股债表现与四个维度!$3:$3,0))</f>
        <v>-0.14285714285714285</v>
      </c>
      <c r="M40" s="93" cm="1">
        <f t="array" ref="M40">INDEX(股债表现与四个维度!$A:$T,MATCH($A40,股债表现与四个维度!$A:$A,0),MATCH(M$3&amp;M$4,股债表现与四个维度!$2:$2&amp;股债表现与四个维度!$3:$3,0))</f>
        <v>0.21428571428571427</v>
      </c>
      <c r="N40" s="93" cm="1">
        <f t="array" ref="N40">INDEX(股债表现与四个维度!$A:$T,MATCH($A40,股债表现与四个维度!$A:$A,0),MATCH(N$3&amp;N$4,股债表现与四个维度!$2:$2&amp;股债表现与四个维度!$3:$3,0))</f>
        <v>-6.0606060606060608E-2</v>
      </c>
      <c r="O40" s="93" cm="1">
        <f t="array" ref="O40">INDEX(股债表现与四个维度!$A:$T,MATCH($A40,股债表现与四个维度!$A:$A,0),MATCH(O$3&amp;O$4,股债表现与四个维度!$2:$2&amp;股债表现与四个维度!$3:$3,0))</f>
        <v>0.24242424242424243</v>
      </c>
      <c r="P40" s="93" cm="1">
        <f t="array" ref="P40">INDEX(股债表现与四个维度!$A:$T,MATCH($A40,股债表现与四个维度!$A:$A,0),MATCH(P$3&amp;P$4,股债表现与四个维度!$2:$2&amp;股债表现与四个维度!$3:$3,0))</f>
        <v>-0.16666666666666666</v>
      </c>
      <c r="Q40" s="93" cm="1">
        <f t="array" ref="Q40">INDEX(股债表现与四个维度!$A:$T,MATCH($A40,股债表现与四个维度!$A:$A,0),MATCH(Q$3&amp;Q$4,股债表现与四个维度!$2:$2&amp;股债表现与四个维度!$3:$3,0))</f>
        <v>-0.16666666666666666</v>
      </c>
      <c r="R40" s="93" cm="1">
        <f t="array" ref="R40">INDEX(股债表现与四个维度!$A:$T,MATCH($A40,股债表现与四个维度!$A:$A,0),MATCH(R$3&amp;R$4,股债表现与四个维度!$2:$2&amp;股债表现与四个维度!$3:$3,0))</f>
        <v>0</v>
      </c>
      <c r="S40" s="93" cm="1">
        <f t="array" ref="S40">INDEX(股债表现与四个维度!$A:$T,MATCH($A40,股债表现与四个维度!$A:$A,0),MATCH(S$3&amp;S$4,股债表现与四个维度!$2:$2&amp;股债表现与四个维度!$3:$3,0))</f>
        <v>-0.25</v>
      </c>
      <c r="T40">
        <f t="shared" si="27"/>
        <v>-0.37012987012987009</v>
      </c>
      <c r="U40">
        <f t="shared" si="27"/>
        <v>9.8866819455054711E-2</v>
      </c>
      <c r="V40">
        <f t="shared" si="7"/>
        <v>-0.4689966895849248</v>
      </c>
      <c r="W40">
        <f t="shared" si="1"/>
        <v>9.0163708795903617</v>
      </c>
      <c r="X40" t="e">
        <f t="shared" si="2"/>
        <v>#N/A</v>
      </c>
      <c r="Y40" s="92">
        <f t="shared" ref="Y40:Z40" si="44">AVERAGE(V40:V45)</f>
        <v>-0.65123914756267698</v>
      </c>
      <c r="Z40" s="92">
        <f t="shared" si="44"/>
        <v>1.4188426767567559</v>
      </c>
      <c r="AA40">
        <f t="shared" si="23"/>
        <v>-0.56379731089781204</v>
      </c>
      <c r="AB40">
        <v>-0.56379731089781104</v>
      </c>
      <c r="AC40">
        <v>-0.32242501789393119</v>
      </c>
    </row>
    <row r="41" spans="1:29" x14ac:dyDescent="0.35">
      <c r="A41" s="91">
        <f t="shared" si="42"/>
        <v>44926</v>
      </c>
      <c r="B41" s="93" cm="1">
        <f t="array" ref="B41">INDEX(股债表现与四个维度!$A:$T,MATCH($A41,股债表现与四个维度!$A:$A,0),MATCH(B$4,股债表现与四个维度!$2:$2,0))</f>
        <v>-2.115280685197241</v>
      </c>
      <c r="C41" s="93" cm="1">
        <f t="array" ref="C41">INDEX(股债表现与四个维度!$A:$T,MATCH($A41,股债表现与四个维度!$A:$A,0),MATCH(C$4,股债表现与四个维度!$2:$2,0))</f>
        <v>9.1552964426877992</v>
      </c>
      <c r="D41" s="93" t="e" cm="1">
        <f t="array" ref="D41">INDEX(股债表现与四个维度!$A:$T,MATCH($A41,股债表现与四个维度!$A:$A,0),MATCH(D$4,股债表现与四个维度!$2:$2,0))</f>
        <v>#N/A</v>
      </c>
      <c r="E41" s="93" t="str" cm="1">
        <f t="array" ref="E41">INDEX(股债表现与四个维度!$A:$T,MATCH($A41,股债表现与四个维度!$A:$A,0),MATCH(E$4,股债表现与四个维度!$2:$2,0))</f>
        <v>复苏</v>
      </c>
      <c r="F41" s="93" t="str" cm="1">
        <f t="array" ref="F41">INDEX(股债表现与四个维度!$A:$T,MATCH($A41,股债表现与四个维度!$A:$A,0),MATCH(F$4,股债表现与四个维度!$2:$2,0))</f>
        <v>紧货币紧信用</v>
      </c>
      <c r="G41" s="93" t="str" cm="1">
        <f t="array" ref="G41">INDEX(股债表现与四个维度!$A:$T,MATCH($A41,股债表现与四个维度!$A:$A,0),MATCH(G$4,股债表现与四个维度!$2:$2,0))</f>
        <v>双宽</v>
      </c>
      <c r="H41" s="93" t="str" cm="1">
        <f t="array" ref="H41">INDEX(股债表现与四个维度!$A:$T,MATCH($A41,股债表现与四个维度!$A:$A,0),MATCH(H$4,股债表现与四个维度!$2:$2,0))</f>
        <v>主动去库存</v>
      </c>
      <c r="I41" s="93" t="str" cm="1">
        <f t="array" ref="I41">INDEX(股债表现与四个维度!$A:$T,MATCH($A41,股债表现与四个维度!$A:$A,0),MATCH(I$4,股债表现与四个维度!$2:$2,0))</f>
        <v>产能周期下行,被动补库存</v>
      </c>
      <c r="J41" s="93" cm="1">
        <f t="array" ref="J41">INDEX(股债表现与四个维度!$A:$T,MATCH($A41,股债表现与四个维度!$A:$A,0),MATCH(J$3&amp;J$4,股债表现与四个维度!$2:$2&amp;股债表现与四个维度!$3:$3,0))</f>
        <v>-5.8823529411764705E-2</v>
      </c>
      <c r="K41" s="93" cm="1">
        <f t="array" ref="K41">INDEX(股债表现与四个维度!$A:$T,MATCH($A41,股债表现与四个维度!$A:$A,0),MATCH(K$3&amp;K$4,股债表现与四个维度!$2:$2&amp;股债表现与四个维度!$3:$3,0))</f>
        <v>0.29411764705882354</v>
      </c>
      <c r="L41" s="93" cm="1">
        <f t="array" ref="L41">INDEX(股债表现与四个维度!$A:$T,MATCH($A41,股债表现与四个维度!$A:$A,0),MATCH(L$3&amp;L$4,股债表现与四个维度!$2:$2&amp;股债表现与四个维度!$3:$3,0))</f>
        <v>-0.2857142857142857</v>
      </c>
      <c r="M41" s="93" cm="1">
        <f t="array" ref="M41">INDEX(股债表现与四个维度!$A:$T,MATCH($A41,股债表现与四个维度!$A:$A,0),MATCH(M$3&amp;M$4,股债表现与四个维度!$2:$2&amp;股债表现与四个维度!$3:$3,0))</f>
        <v>0.21428571428571427</v>
      </c>
      <c r="N41" s="93"/>
      <c r="O41" s="93"/>
      <c r="P41" s="93" cm="1">
        <f t="array" ref="P41">INDEX(股债表现与四个维度!$A:$T,MATCH($A41,股债表现与四个维度!$A:$A,0),MATCH(P$3&amp;P$4,股债表现与四个维度!$2:$2&amp;股债表现与四个维度!$3:$3,0))</f>
        <v>0.1875</v>
      </c>
      <c r="Q41" s="93" cm="1">
        <f t="array" ref="Q41">INDEX(股债表现与四个维度!$A:$T,MATCH($A41,股债表现与四个维度!$A:$A,0),MATCH(Q$3&amp;Q$4,股债表现与四个维度!$2:$2&amp;股债表现与四个维度!$3:$3,0))</f>
        <v>0.1875</v>
      </c>
      <c r="R41" s="93" cm="1">
        <f t="array" ref="R41">INDEX(股债表现与四个维度!$A:$T,MATCH($A41,股债表现与四个维度!$A:$A,0),MATCH(R$3&amp;R$4,股债表现与四个维度!$2:$2&amp;股债表现与四个维度!$3:$3,0))</f>
        <v>-0.33333333333333331</v>
      </c>
      <c r="S41" s="93" cm="1">
        <f t="array" ref="S41">INDEX(股债表现与四个维度!$A:$T,MATCH($A41,股债表现与四个维度!$A:$A,0),MATCH(S$3&amp;S$4,股债表现与四个维度!$2:$2&amp;股债表现与四个维度!$3:$3,0))</f>
        <v>0</v>
      </c>
      <c r="T41">
        <f t="shared" si="27"/>
        <v>-0.49037114845938373</v>
      </c>
      <c r="U41">
        <f t="shared" si="27"/>
        <v>0.69590336134453779</v>
      </c>
      <c r="V41">
        <f t="shared" si="7"/>
        <v>-1.1862745098039216</v>
      </c>
      <c r="W41">
        <f t="shared" si="1"/>
        <v>7.0400157574905577</v>
      </c>
      <c r="X41" t="e">
        <f t="shared" si="2"/>
        <v>#N/A</v>
      </c>
      <c r="Y41" s="92">
        <f t="shared" ref="Y41:Z41" si="45">AVERAGE(V41:V46)</f>
        <v>-0.56168586907077966</v>
      </c>
      <c r="Z41" s="92">
        <f t="shared" si="45"/>
        <v>-0.25689076530764349</v>
      </c>
      <c r="AA41">
        <f t="shared" si="23"/>
        <v>-0.85858366519444618</v>
      </c>
      <c r="AB41">
        <v>-0.85858366519444596</v>
      </c>
      <c r="AC41">
        <v>0.17971522622294095</v>
      </c>
    </row>
    <row r="42" spans="1:29" x14ac:dyDescent="0.35">
      <c r="A42" s="91">
        <f t="shared" si="42"/>
        <v>44895</v>
      </c>
      <c r="B42" s="93" cm="1">
        <f t="array" ref="B42">INDEX(股债表现与四个维度!$A:$T,MATCH($A42,股债表现与四个维度!$A:$A,0),MATCH(B$4,股债表现与四个维度!$2:$2,0))</f>
        <v>7.8584045191373848</v>
      </c>
      <c r="C42" s="93" cm="1">
        <f t="array" ref="C42">INDEX(股债表现与四个维度!$A:$T,MATCH($A42,股债表现与四个维度!$A:$A,0),MATCH(C$4,股债表现与四个维度!$2:$2,0))</f>
        <v>6.1242929292929</v>
      </c>
      <c r="D42" s="93" t="e" cm="1">
        <f t="array" ref="D42">INDEX(股债表现与四个维度!$A:$T,MATCH($A42,股债表现与四个维度!$A:$A,0),MATCH(D$4,股债表现与四个维度!$2:$2,0))</f>
        <v>#N/A</v>
      </c>
      <c r="E42" s="93" t="str" cm="1">
        <f t="array" ref="E42">INDEX(股债表现与四个维度!$A:$T,MATCH($A42,股债表现与四个维度!$A:$A,0),MATCH(E$4,股债表现与四个维度!$2:$2,0))</f>
        <v>复苏</v>
      </c>
      <c r="F42" s="93" t="str" cm="1">
        <f t="array" ref="F42">INDEX(股债表现与四个维度!$A:$T,MATCH($A42,股债表现与四个维度!$A:$A,0),MATCH(F$4,股债表现与四个维度!$2:$2,0))</f>
        <v>紧货币紧信用</v>
      </c>
      <c r="G42" s="93" t="str" cm="1">
        <f t="array" ref="G42">INDEX(股债表现与四个维度!$A:$T,MATCH($A42,股债表现与四个维度!$A:$A,0),MATCH(G$4,股债表现与四个维度!$2:$2,0))</f>
        <v>双紧</v>
      </c>
      <c r="H42" s="93" t="str" cm="1">
        <f t="array" ref="H42">INDEX(股债表现与四个维度!$A:$T,MATCH($A42,股债表现与四个维度!$A:$A,0),MATCH(H$4,股债表现与四个维度!$2:$2,0))</f>
        <v>主动去库存</v>
      </c>
      <c r="I42" s="93" t="str" cm="1">
        <f t="array" ref="I42">INDEX(股债表现与四个维度!$A:$T,MATCH($A42,股债表现与四个维度!$A:$A,0),MATCH(I$4,股债表现与四个维度!$2:$2,0))</f>
        <v>产能周期下行,被动补库存</v>
      </c>
      <c r="J42" s="93" cm="1">
        <f t="array" ref="J42">INDEX(股债表现与四个维度!$A:$T,MATCH($A42,股债表现与四个维度!$A:$A,0),MATCH(J$3&amp;J$4,股债表现与四个维度!$2:$2&amp;股债表现与四个维度!$3:$3,0))</f>
        <v>0</v>
      </c>
      <c r="K42" s="93" cm="1">
        <f t="array" ref="K42">INDEX(股债表现与四个维度!$A:$T,MATCH($A42,股债表现与四个维度!$A:$A,0),MATCH(K$3&amp;K$4,股债表现与四个维度!$2:$2&amp;股债表现与四个维度!$3:$3,0))</f>
        <v>0.375</v>
      </c>
      <c r="L42" s="93" cm="1">
        <f t="array" ref="L42">INDEX(股债表现与四个维度!$A:$T,MATCH($A42,股债表现与四个维度!$A:$A,0),MATCH(L$3&amp;L$4,股债表现与四个维度!$2:$2&amp;股债表现与四个维度!$3:$3,0))</f>
        <v>-0.23076923076923078</v>
      </c>
      <c r="M42" s="93" cm="1">
        <f t="array" ref="M42">INDEX(股债表现与四个维度!$A:$T,MATCH($A42,股债表现与四个维度!$A:$A,0),MATCH(M$3&amp;M$4,股债表现与四个维度!$2:$2&amp;股债表现与四个维度!$3:$3,0))</f>
        <v>0.30769230769230771</v>
      </c>
      <c r="N42" s="93"/>
      <c r="O42" s="93"/>
      <c r="P42" s="93" cm="1">
        <f t="array" ref="P42">INDEX(股债表现与四个维度!$A:$T,MATCH($A42,股债表现与四个维度!$A:$A,0),MATCH(P$3&amp;P$4,股债表现与四个维度!$2:$2&amp;股债表现与四个维度!$3:$3,0))</f>
        <v>0.23529411764705882</v>
      </c>
      <c r="Q42" s="93" cm="1">
        <f t="array" ref="Q42">INDEX(股债表现与四个维度!$A:$T,MATCH($A42,股债表现与四个维度!$A:$A,0),MATCH(Q$3&amp;Q$4,股债表现与四个维度!$2:$2&amp;股债表现与四个维度!$3:$3,0))</f>
        <v>0.11764705882352941</v>
      </c>
      <c r="R42" s="93" cm="1">
        <f t="array" ref="R42">INDEX(股债表现与四个维度!$A:$T,MATCH($A42,股债表现与四个维度!$A:$A,0),MATCH(R$3&amp;R$4,股债表现与四个维度!$2:$2&amp;股债表现与四个维度!$3:$3,0))</f>
        <v>0</v>
      </c>
      <c r="S42" s="93" cm="1">
        <f t="array" ref="S42">INDEX(股债表现与四个维度!$A:$T,MATCH($A42,股债表现与四个维度!$A:$A,0),MATCH(S$3&amp;S$4,股债表现与四个维度!$2:$2&amp;股债表现与四个维度!$3:$3,0))</f>
        <v>0.5</v>
      </c>
      <c r="T42">
        <f t="shared" si="27"/>
        <v>4.5248868778280382E-3</v>
      </c>
      <c r="U42">
        <f t="shared" si="27"/>
        <v>1.3003393665158371</v>
      </c>
      <c r="V42">
        <f t="shared" si="7"/>
        <v>-1.2958144796380091</v>
      </c>
      <c r="W42">
        <f t="shared" si="1"/>
        <v>13.982697448430285</v>
      </c>
      <c r="X42" t="e">
        <f t="shared" si="2"/>
        <v>#N/A</v>
      </c>
      <c r="Y42" s="92">
        <f t="shared" ref="Y42:Z42" si="46">AVERAGE(V42:V47)</f>
        <v>-0.34819200998868527</v>
      </c>
      <c r="Z42" s="92">
        <f t="shared" si="46"/>
        <v>0.15060607213011204</v>
      </c>
      <c r="AA42">
        <f t="shared" si="23"/>
        <v>-1.2999130625460771</v>
      </c>
      <c r="AB42">
        <v>-1.29991306254607</v>
      </c>
      <c r="AC42">
        <v>1.0581993294710412</v>
      </c>
    </row>
    <row r="43" spans="1:29" x14ac:dyDescent="0.35">
      <c r="A43" s="91">
        <f t="shared" si="42"/>
        <v>44865</v>
      </c>
      <c r="B43" s="93" cm="1">
        <f t="array" ref="B43">INDEX(股债表现与四个维度!$A:$T,MATCH($A43,股债表现与四个维度!$A:$A,0),MATCH(B$4,股债表现与四个维度!$2:$2,0))</f>
        <v>-2.5452413464418222</v>
      </c>
      <c r="C43" s="93" cm="1">
        <f t="array" ref="C43">INDEX(股债表现与四个维度!$A:$T,MATCH($A43,股债表现与四个维度!$A:$A,0),MATCH(C$4,股债表现与四个维度!$2:$2,0))</f>
        <v>4.8357936507936996</v>
      </c>
      <c r="D43" s="93" t="e" cm="1">
        <f t="array" ref="D43">INDEX(股债表现与四个维度!$A:$T,MATCH($A43,股债表现与四个维度!$A:$A,0),MATCH(D$4,股债表现与四个维度!$2:$2,0))</f>
        <v>#N/A</v>
      </c>
      <c r="E43" s="93" t="str" cm="1">
        <f t="array" ref="E43">INDEX(股债表现与四个维度!$A:$T,MATCH($A43,股债表现与四个维度!$A:$A,0),MATCH(E$4,股债表现与四个维度!$2:$2,0))</f>
        <v>复苏</v>
      </c>
      <c r="F43" s="93" t="str" cm="1">
        <f t="array" ref="F43">INDEX(股债表现与四个维度!$A:$T,MATCH($A43,股债表现与四个维度!$A:$A,0),MATCH(F$4,股债表现与四个维度!$2:$2,0))</f>
        <v>紧货币紧信用</v>
      </c>
      <c r="G43" s="93" t="str" cm="1">
        <f t="array" ref="G43">INDEX(股债表现与四个维度!$A:$T,MATCH($A43,股债表现与四个维度!$A:$A,0),MATCH(G$4,股债表现与四个维度!$2:$2,0))</f>
        <v>双宽</v>
      </c>
      <c r="H43" s="93" t="str" cm="1">
        <f t="array" ref="H43">INDEX(股债表现与四个维度!$A:$T,MATCH($A43,股债表现与四个维度!$A:$A,0),MATCH(H$4,股债表现与四个维度!$2:$2,0))</f>
        <v>被动补库存</v>
      </c>
      <c r="I43" s="93" t="str" cm="1">
        <f t="array" ref="I43">INDEX(股债表现与四个维度!$A:$T,MATCH($A43,股债表现与四个维度!$A:$A,0),MATCH(I$4,股债表现与四个维度!$2:$2,0))</f>
        <v>产能周期下行,被动补库存</v>
      </c>
      <c r="J43" s="93" cm="1">
        <f t="array" ref="J43">INDEX(股债表现与四个维度!$A:$T,MATCH($A43,股债表现与四个维度!$A:$A,0),MATCH(J$3&amp;J$4,股债表现与四个维度!$2:$2&amp;股债表现与四个维度!$3:$3,0))</f>
        <v>6.6666666666666666E-2</v>
      </c>
      <c r="K43" s="93" cm="1">
        <f t="array" ref="K43">INDEX(股债表现与四个维度!$A:$T,MATCH($A43,股债表现与四个维度!$A:$A,0),MATCH(K$3&amp;K$4,股债表现与四个维度!$2:$2&amp;股债表现与四个维度!$3:$3,0))</f>
        <v>0.4</v>
      </c>
      <c r="L43" s="93" cm="1">
        <f t="array" ref="L43">INDEX(股债表现与四个维度!$A:$T,MATCH($A43,股债表现与四个维度!$A:$A,0),MATCH(L$3&amp;L$4,股债表现与四个维度!$2:$2&amp;股债表现与四个维度!$3:$3,0))</f>
        <v>-0.14285714285714285</v>
      </c>
      <c r="M43" s="93" cm="1">
        <f t="array" ref="M43">INDEX(股债表现与四个维度!$A:$T,MATCH($A43,股债表现与四个维度!$A:$A,0),MATCH(M$3&amp;M$4,股债表现与四个维度!$2:$2&amp;股债表现与四个维度!$3:$3,0))</f>
        <v>0.2857142857142857</v>
      </c>
      <c r="N43" s="93"/>
      <c r="O43" s="93"/>
      <c r="P43" s="93" cm="1">
        <f t="array" ref="P43">INDEX(股债表现与四个维度!$A:$T,MATCH($A43,股债表现与四个维度!$A:$A,0),MATCH(P$3&amp;P$4,股债表现与四个维度!$2:$2&amp;股债表现与四个维度!$3:$3,0))</f>
        <v>4.1666666666666664E-2</v>
      </c>
      <c r="Q43" s="93" cm="1">
        <f t="array" ref="Q43">INDEX(股债表现与四个维度!$A:$T,MATCH($A43,股债表现与四个维度!$A:$A,0),MATCH(Q$3&amp;Q$4,股债表现与四个维度!$2:$2&amp;股债表现与四个维度!$3:$3,0))</f>
        <v>0.29166666666666669</v>
      </c>
      <c r="R43" s="93" cm="1">
        <f t="array" ref="R43">INDEX(股债表现与四个维度!$A:$T,MATCH($A43,股债表现与四个维度!$A:$A,0),MATCH(R$3&amp;R$4,股债表现与四个维度!$2:$2&amp;股债表现与四个维度!$3:$3,0))</f>
        <v>1</v>
      </c>
      <c r="S43" s="93" cm="1">
        <f t="array" ref="S43">INDEX(股债表现与四个维度!$A:$T,MATCH($A43,股债表现与四个维度!$A:$A,0),MATCH(S$3&amp;S$4,股债表现与四个维度!$2:$2&amp;股债表现与四个维度!$3:$3,0))</f>
        <v>1</v>
      </c>
      <c r="T43">
        <f t="shared" si="27"/>
        <v>0.96547619047619049</v>
      </c>
      <c r="U43">
        <f t="shared" si="27"/>
        <v>1.9773809523809525</v>
      </c>
      <c r="V43">
        <f t="shared" si="7"/>
        <v>-1.0119047619047619</v>
      </c>
      <c r="W43">
        <f t="shared" si="1"/>
        <v>2.2905523043518774</v>
      </c>
      <c r="X43" t="e">
        <f t="shared" si="2"/>
        <v>#N/A</v>
      </c>
      <c r="Y43" s="92">
        <f t="shared" ref="Y43:Z43" si="47">AVERAGE(V43:V48)</f>
        <v>-0.18182610465219162</v>
      </c>
      <c r="Z43" s="92">
        <f t="shared" si="47"/>
        <v>-1.4148032011093719</v>
      </c>
      <c r="AA43">
        <f t="shared" si="23"/>
        <v>-2.2404167024332033</v>
      </c>
      <c r="AB43">
        <v>-2.2404167024331998</v>
      </c>
      <c r="AC43">
        <v>2.6789054880408845</v>
      </c>
    </row>
    <row r="44" spans="1:29" x14ac:dyDescent="0.35">
      <c r="A44" s="91">
        <f t="shared" si="42"/>
        <v>44834</v>
      </c>
      <c r="B44" s="93" cm="1">
        <f t="array" ref="B44">INDEX(股债表现与四个维度!$A:$T,MATCH($A44,股债表现与四个维度!$A:$A,0),MATCH(B$4,股债表现与四个维度!$2:$2,0))</f>
        <v>-7.5689670938947913</v>
      </c>
      <c r="C44" s="93" cm="1">
        <f t="array" ref="C44">INDEX(股债表现与四个维度!$A:$T,MATCH($A44,股债表现与四个维度!$A:$A,0),MATCH(C$4,股债表现与四个维度!$2:$2,0))</f>
        <v>-0.1566873706005</v>
      </c>
      <c r="D44" s="93" t="e" cm="1">
        <f t="array" ref="D44">INDEX(股债表现与四个维度!$A:$T,MATCH($A44,股债表现与四个维度!$A:$A,0),MATCH(D$4,股债表现与四个维度!$2:$2,0))</f>
        <v>#N/A</v>
      </c>
      <c r="E44" s="93" t="str" cm="1">
        <f t="array" ref="E44">INDEX(股债表现与四个维度!$A:$T,MATCH($A44,股债表现与四个维度!$A:$A,0),MATCH(E$4,股债表现与四个维度!$2:$2,0))</f>
        <v>复苏</v>
      </c>
      <c r="F44" s="93" t="str" cm="1">
        <f t="array" ref="F44">INDEX(股债表现与四个维度!$A:$T,MATCH($A44,股债表现与四个维度!$A:$A,0),MATCH(F$4,股债表现与四个维度!$2:$2,0))</f>
        <v>宽货币宽信用</v>
      </c>
      <c r="G44" s="93" t="str" cm="1">
        <f t="array" ref="G44">INDEX(股债表现与四个维度!$A:$T,MATCH($A44,股债表现与四个维度!$A:$A,0),MATCH(G$4,股债表现与四个维度!$2:$2,0))</f>
        <v>双紧</v>
      </c>
      <c r="H44" s="93" t="str" cm="1">
        <f t="array" ref="H44">INDEX(股债表现与四个维度!$A:$T,MATCH($A44,股债表现与四个维度!$A:$A,0),MATCH(H$4,股债表现与四个维度!$2:$2,0))</f>
        <v>被动去库存</v>
      </c>
      <c r="I44" s="93" t="str" cm="1">
        <f t="array" ref="I44">INDEX(股债表现与四个维度!$A:$T,MATCH($A44,股债表现与四个维度!$A:$A,0),MATCH(I$4,股债表现与四个维度!$2:$2,0))</f>
        <v>产能周期下行,被动补库存</v>
      </c>
      <c r="J44" s="93" cm="1">
        <f t="array" ref="J44">INDEX(股债表现与四个维度!$A:$T,MATCH($A44,股债表现与四个维度!$A:$A,0),MATCH(J$3&amp;J$4,股债表现与四个维度!$2:$2&amp;股债表现与四个维度!$3:$3,0))</f>
        <v>6.6666666666666666E-2</v>
      </c>
      <c r="K44" s="93" cm="1">
        <f t="array" ref="K44">INDEX(股债表现与四个维度!$A:$T,MATCH($A44,股债表现与四个维度!$A:$A,0),MATCH(K$3&amp;K$4,股债表现与四个维度!$2:$2&amp;股债表现与四个维度!$3:$3,0))</f>
        <v>0.4</v>
      </c>
      <c r="L44" s="93" cm="1">
        <f t="array" ref="L44">INDEX(股债表现与四个维度!$A:$T,MATCH($A44,股债表现与四个维度!$A:$A,0),MATCH(L$3&amp;L$4,股债表现与四个维度!$2:$2&amp;股债表现与四个维度!$3:$3,0))</f>
        <v>0.13333333333333333</v>
      </c>
      <c r="M44" s="93" cm="1">
        <f t="array" ref="M44">INDEX(股债表现与四个维度!$A:$T,MATCH($A44,股债表现与四个维度!$A:$A,0),MATCH(M$3&amp;M$4,股债表现与四个维度!$2:$2&amp;股债表现与四个维度!$3:$3,0))</f>
        <v>0.26666666666666666</v>
      </c>
      <c r="N44" s="93"/>
      <c r="O44" s="93"/>
      <c r="P44" s="93" cm="1">
        <f t="array" ref="P44">INDEX(股债表现与四个维度!$A:$T,MATCH($A44,股债表现与四个维度!$A:$A,0),MATCH(P$3&amp;P$4,股债表现与四个维度!$2:$2&amp;股债表现与四个维度!$3:$3,0))</f>
        <v>0</v>
      </c>
      <c r="Q44" s="93" cm="1">
        <f t="array" ref="Q44">INDEX(股债表现与四个维度!$A:$T,MATCH($A44,股债表现与四个维度!$A:$A,0),MATCH(Q$3&amp;Q$4,股债表现与四个维度!$2:$2&amp;股债表现与四个维度!$3:$3,0))</f>
        <v>-0.2</v>
      </c>
      <c r="R44" s="93" cm="1">
        <f t="array" ref="R44">INDEX(股债表现与四个维度!$A:$T,MATCH($A44,股债表现与四个维度!$A:$A,0),MATCH(R$3&amp;R$4,股债表现与四个维度!$2:$2&amp;股债表现与四个维度!$3:$3,0))</f>
        <v>1</v>
      </c>
      <c r="S44" s="93" cm="1">
        <f t="array" ref="S44">INDEX(股债表现与四个维度!$A:$T,MATCH($A44,股债表现与四个维度!$A:$A,0),MATCH(S$3&amp;S$4,股债表现与四个维度!$2:$2&amp;股债表现与四个维度!$3:$3,0))</f>
        <v>1</v>
      </c>
      <c r="T44">
        <f t="shared" si="27"/>
        <v>1.2</v>
      </c>
      <c r="U44">
        <f t="shared" si="27"/>
        <v>1.4666666666666668</v>
      </c>
      <c r="V44">
        <f t="shared" si="7"/>
        <v>-0.26666666666666683</v>
      </c>
      <c r="W44">
        <f t="shared" si="1"/>
        <v>-7.7256544644952916</v>
      </c>
      <c r="X44" t="e">
        <f t="shared" si="2"/>
        <v>#N/A</v>
      </c>
      <c r="Y44" s="92">
        <f t="shared" ref="Y44:Z44" si="48">AVERAGE(V44:V49)</f>
        <v>-8.0571966633347716E-2</v>
      </c>
      <c r="Z44" s="92">
        <f t="shared" si="48"/>
        <v>-3.5281459512937161</v>
      </c>
      <c r="AA44">
        <f t="shared" si="23"/>
        <v>-2.3628670457064782</v>
      </c>
      <c r="AB44">
        <v>-2.36286704570648</v>
      </c>
      <c r="AC44">
        <v>-4.3570533534511897</v>
      </c>
    </row>
    <row r="45" spans="1:29" x14ac:dyDescent="0.35">
      <c r="A45" s="91">
        <f t="shared" si="42"/>
        <v>44804</v>
      </c>
      <c r="B45" s="93" cm="1">
        <f t="array" ref="B45">INDEX(股债表现与四个维度!$A:$T,MATCH($A45,股债表现与四个维度!$A:$A,0),MATCH(B$4,股债表现与四个维度!$2:$2,0))</f>
        <v>-2.864756092570556</v>
      </c>
      <c r="C45" s="93" cm="1">
        <f t="array" ref="C45">INDEX(股债表现与四个维度!$A:$T,MATCH($A45,股债表现与四个维度!$A:$A,0),MATCH(C$4,股债表现与四个维度!$2:$2,0))</f>
        <v>-13.2261697722567</v>
      </c>
      <c r="D45" s="93" t="e" cm="1">
        <f t="array" ref="D45">INDEX(股债表现与四个维度!$A:$T,MATCH($A45,股债表现与四个维度!$A:$A,0),MATCH(D$4,股债表现与四个维度!$2:$2,0))</f>
        <v>#N/A</v>
      </c>
      <c r="E45" s="93" t="str" cm="1">
        <f t="array" ref="E45">INDEX(股债表现与四个维度!$A:$T,MATCH($A45,股债表现与四个维度!$A:$A,0),MATCH(E$4,股债表现与四个维度!$2:$2,0))</f>
        <v>过热</v>
      </c>
      <c r="F45" s="93" t="str" cm="1">
        <f t="array" ref="F45">INDEX(股债表现与四个维度!$A:$T,MATCH($A45,股债表现与四个维度!$A:$A,0),MATCH(F$4,股债表现与四个维度!$2:$2,0))</f>
        <v>宽货币紧信用</v>
      </c>
      <c r="G45" s="93" t="str" cm="1">
        <f t="array" ref="G45">INDEX(股债表现与四个维度!$A:$T,MATCH($A45,股债表现与四个维度!$A:$A,0),MATCH(G$4,股债表现与四个维度!$2:$2,0))</f>
        <v>双宽</v>
      </c>
      <c r="H45" s="93" t="str" cm="1">
        <f t="array" ref="H45">INDEX(股债表现与四个维度!$A:$T,MATCH($A45,股债表现与四个维度!$A:$A,0),MATCH(H$4,股债表现与四个维度!$2:$2,0))</f>
        <v>主动去库存</v>
      </c>
      <c r="I45" s="93" t="str" cm="1">
        <f t="array" ref="I45">INDEX(股债表现与四个维度!$A:$T,MATCH($A45,股债表现与四个维度!$A:$A,0),MATCH(I$4,股债表现与四个维度!$2:$2,0))</f>
        <v>产能周期下行,主动补库存</v>
      </c>
      <c r="J45" s="93" cm="1">
        <f t="array" ref="J45">INDEX(股债表现与四个维度!$A:$T,MATCH($A45,股债表现与四个维度!$A:$A,0),MATCH(J$3&amp;J$4,股债表现与四个维度!$2:$2&amp;股债表现与四个维度!$3:$3,0))</f>
        <v>0.33333333333333331</v>
      </c>
      <c r="K45" s="93" cm="1">
        <f t="array" ref="K45">INDEX(股债表现与四个维度!$A:$T,MATCH($A45,股债表现与四个维度!$A:$A,0),MATCH(K$3&amp;K$4,股债表现与四个维度!$2:$2&amp;股债表现与四个维度!$3:$3,0))</f>
        <v>0.26666666666666666</v>
      </c>
      <c r="L45" s="93" cm="1">
        <f t="array" ref="L45">INDEX(股债表现与四个维度!$A:$T,MATCH($A45,股债表现与四个维度!$A:$A,0),MATCH(L$3&amp;L$4,股债表现与四个维度!$2:$2&amp;股债表现与四个维度!$3:$3,0))</f>
        <v>0.35294117647058826</v>
      </c>
      <c r="M45" s="93" cm="1">
        <f t="array" ref="M45">INDEX(股债表现与四个维度!$A:$T,MATCH($A45,股债表现与四个维度!$A:$A,0),MATCH(M$3&amp;M$4,股债表现与四个维度!$2:$2&amp;股债表现与四个维度!$3:$3,0))</f>
        <v>0.35294117647058826</v>
      </c>
      <c r="N45" s="93"/>
      <c r="O45" s="93"/>
      <c r="P45" s="93" cm="1">
        <f t="array" ref="P45">INDEX(股债表现与四个维度!$A:$T,MATCH($A45,股债表现与四个维度!$A:$A,0),MATCH(P$3&amp;P$4,股债表现与四个维度!$2:$2&amp;股债表现与四个维度!$3:$3,0))</f>
        <v>0.3888888888888889</v>
      </c>
      <c r="Q45" s="93" cm="1">
        <f t="array" ref="Q45">INDEX(股债表现与四个维度!$A:$T,MATCH($A45,股债表现与四个维度!$A:$A,0),MATCH(Q$3&amp;Q$4,股债表现与四个维度!$2:$2&amp;股债表现与四个维度!$3:$3,0))</f>
        <v>0</v>
      </c>
      <c r="R45" s="93" cm="1">
        <f t="array" ref="R45">INDEX(股债表现与四个维度!$A:$T,MATCH($A45,股债表现与四个维度!$A:$A,0),MATCH(R$3&amp;R$4,股债表现与四个维度!$2:$2&amp;股债表现与四个维度!$3:$3,0))</f>
        <v>0</v>
      </c>
      <c r="S45" s="93" cm="1">
        <f t="array" ref="S45">INDEX(股债表现与四个维度!$A:$T,MATCH($A45,股债表现与四个维度!$A:$A,0),MATCH(S$3&amp;S$4,股债表现与四个维度!$2:$2&amp;股债表现与四个维度!$3:$3,0))</f>
        <v>0.13333333333333333</v>
      </c>
      <c r="T45">
        <f t="shared" ref="T45:U64" si="49">SUMIFS($J45:$S45,$J45:$S45,"&lt;&gt;"&amp;"#N/A",$J$4:$S$4,T$4)</f>
        <v>1.0751633986928104</v>
      </c>
      <c r="U45">
        <f t="shared" si="49"/>
        <v>0.75294117647058822</v>
      </c>
      <c r="V45">
        <f t="shared" si="7"/>
        <v>0.32222222222222219</v>
      </c>
      <c r="W45">
        <f t="shared" si="1"/>
        <v>-16.090925864827256</v>
      </c>
      <c r="X45" t="e">
        <f t="shared" si="2"/>
        <v>#N/A</v>
      </c>
      <c r="Y45" s="92">
        <f t="shared" ref="Y45:Z45" si="50">AVERAGE(V45:V50)</f>
        <v>-0.15236683842821952</v>
      </c>
      <c r="Z45" s="92">
        <f t="shared" si="50"/>
        <v>-3.0122422050264426</v>
      </c>
      <c r="AA45">
        <f t="shared" si="23"/>
        <v>-1.3698729028985681</v>
      </c>
      <c r="AB45">
        <v>-1.3698729028985701</v>
      </c>
      <c r="AC45">
        <v>-2.6201255377766177</v>
      </c>
    </row>
    <row r="46" spans="1:29" x14ac:dyDescent="0.35">
      <c r="A46" s="91">
        <f t="shared" si="42"/>
        <v>44773</v>
      </c>
      <c r="B46" s="93" cm="1">
        <f t="array" ref="B46">INDEX(股债表现与四个维度!$A:$T,MATCH($A46,股债表现与四个维度!$A:$A,0),MATCH(B$4,股债表现与四个维度!$2:$2,0))</f>
        <v>-2.6689821537484342</v>
      </c>
      <c r="C46" s="93" cm="1">
        <f t="array" ref="C46">INDEX(股债表现与四个维度!$A:$T,MATCH($A46,股债表现与四个维度!$A:$A,0),MATCH(C$4,股债表现与四个维度!$2:$2,0))</f>
        <v>1.6309523809524</v>
      </c>
      <c r="D46" s="93" t="e" cm="1">
        <f t="array" ref="D46">INDEX(股债表现与四个维度!$A:$T,MATCH($A46,股债表现与四个维度!$A:$A,0),MATCH(D$4,股债表现与四个维度!$2:$2,0))</f>
        <v>#N/A</v>
      </c>
      <c r="E46" s="93" t="str" cm="1">
        <f t="array" ref="E46">INDEX(股债表现与四个维度!$A:$T,MATCH($A46,股债表现与四个维度!$A:$A,0),MATCH(E$4,股债表现与四个维度!$2:$2,0))</f>
        <v>滞涨</v>
      </c>
      <c r="F46" s="93" t="str" cm="1">
        <f t="array" ref="F46">INDEX(股债表现与四个维度!$A:$T,MATCH($A46,股债表现与四个维度!$A:$A,0),MATCH(F$4,股债表现与四个维度!$2:$2,0))</f>
        <v>宽货币紧信用</v>
      </c>
      <c r="G46" s="93" t="str" cm="1">
        <f t="array" ref="G46">INDEX(股债表现与四个维度!$A:$T,MATCH($A46,股债表现与四个维度!$A:$A,0),MATCH(G$4,股债表现与四个维度!$2:$2,0))</f>
        <v>双宽</v>
      </c>
      <c r="H46" s="93" t="str" cm="1">
        <f t="array" ref="H46">INDEX(股债表现与四个维度!$A:$T,MATCH($A46,股债表现与四个维度!$A:$A,0),MATCH(H$4,股债表现与四个维度!$2:$2,0))</f>
        <v>被动补库存</v>
      </c>
      <c r="I46" s="93" t="str" cm="1">
        <f t="array" ref="I46">INDEX(股债表现与四个维度!$A:$T,MATCH($A46,股债表现与四个维度!$A:$A,0),MATCH(I$4,股债表现与四个维度!$2:$2,0))</f>
        <v>产能周期下行,主动补库存</v>
      </c>
      <c r="J46" s="93" cm="1">
        <f t="array" ref="J46">INDEX(股债表现与四个维度!$A:$T,MATCH($A46,股债表现与四个维度!$A:$A,0),MATCH(J$3&amp;J$4,股债表现与四个维度!$2:$2&amp;股债表现与四个维度!$3:$3,0))</f>
        <v>0.25</v>
      </c>
      <c r="K46" s="93" cm="1">
        <f t="array" ref="K46">INDEX(股债表现与四个维度!$A:$T,MATCH($A46,股债表现与四个维度!$A:$A,0),MATCH(K$3&amp;K$4,股债表现与四个维度!$2:$2&amp;股债表现与四个维度!$3:$3,0))</f>
        <v>-0.25</v>
      </c>
      <c r="L46" s="93" cm="1">
        <f t="array" ref="L46">INDEX(股债表现与四个维度!$A:$T,MATCH($A46,股债表现与四个维度!$A:$A,0),MATCH(L$3&amp;L$4,股债表现与四个维度!$2:$2&amp;股债表现与四个维度!$3:$3,0))</f>
        <v>0.35294117647058826</v>
      </c>
      <c r="M46" s="93" cm="1">
        <f t="array" ref="M46">INDEX(股债表现与四个维度!$A:$T,MATCH($A46,股债表现与四个维度!$A:$A,0),MATCH(M$3&amp;M$4,股债表现与四个维度!$2:$2&amp;股债表现与四个维度!$3:$3,0))</f>
        <v>0.35294117647058826</v>
      </c>
      <c r="N46" s="93"/>
      <c r="O46" s="93"/>
      <c r="P46" s="93" cm="1">
        <f t="array" ref="P46">INDEX(股债表现与四个维度!$A:$T,MATCH($A46,股债表现与四个维度!$A:$A,0),MATCH(P$3&amp;P$4,股债表现与四个维度!$2:$2&amp;股债表现与四个维度!$3:$3,0))</f>
        <v>8.6956521739130432E-2</v>
      </c>
      <c r="Q46" s="93" cm="1">
        <f t="array" ref="Q46">INDEX(股债表现与四个维度!$A:$T,MATCH($A46,股债表现与四个维度!$A:$A,0),MATCH(Q$3&amp;Q$4,股债表现与四个维度!$2:$2&amp;股债表现与四个维度!$3:$3,0))</f>
        <v>0.30434782608695654</v>
      </c>
      <c r="R46" s="93" cm="1">
        <f t="array" ref="R46">INDEX(股债表现与四个维度!$A:$T,MATCH($A46,股债表现与四个维度!$A:$A,0),MATCH(R$3&amp;R$4,股债表现与四个维度!$2:$2&amp;股债表现与四个维度!$3:$3,0))</f>
        <v>-7.1428571428571425E-2</v>
      </c>
      <c r="S46" s="93" cm="1">
        <f t="array" ref="S46">INDEX(股债表现与四个维度!$A:$T,MATCH($A46,股债表现与四个维度!$A:$A,0),MATCH(S$3&amp;S$4,股债表现与四个维度!$2:$2&amp;股债表现与四个维度!$3:$3,0))</f>
        <v>0.14285714285714285</v>
      </c>
      <c r="T46">
        <f t="shared" si="49"/>
        <v>0.61846912678114729</v>
      </c>
      <c r="U46">
        <f t="shared" si="49"/>
        <v>0.55014614541468765</v>
      </c>
      <c r="V46">
        <f t="shared" si="7"/>
        <v>6.8322981366459645E-2</v>
      </c>
      <c r="W46">
        <f t="shared" si="1"/>
        <v>-1.0380297727960341</v>
      </c>
      <c r="X46" t="e">
        <f t="shared" si="2"/>
        <v>#N/A</v>
      </c>
      <c r="Y46" s="92">
        <f t="shared" ref="Y46:Z46" si="51">AVERAGE(V46:V51)</f>
        <v>-0.21622139274330013</v>
      </c>
      <c r="Z46" s="92">
        <f t="shared" si="51"/>
        <v>0.54227817276071766</v>
      </c>
      <c r="AA46">
        <f t="shared" si="23"/>
        <v>-1.3830775541277962</v>
      </c>
      <c r="AB46">
        <v>-1.38307755412779</v>
      </c>
      <c r="AC46">
        <v>-2.0911431436737371</v>
      </c>
    </row>
    <row r="47" spans="1:29" x14ac:dyDescent="0.35">
      <c r="A47" s="91">
        <f t="shared" si="42"/>
        <v>44742</v>
      </c>
      <c r="B47" s="93" cm="1">
        <f t="array" ref="B47">INDEX(股债表现与四个维度!$A:$T,MATCH($A47,股债表现与四个维度!$A:$A,0),MATCH(B$4,股债表现与四个维度!$2:$2,0))</f>
        <v>9.6799967821170902</v>
      </c>
      <c r="C47" s="93" cm="1">
        <f t="array" ref="C47">INDEX(股债表现与四个维度!$A:$T,MATCH($A47,股债表现与四个维度!$A:$A,0),MATCH(C$4,股债表现与四个维度!$2:$2,0))</f>
        <v>-0.19500000000000001</v>
      </c>
      <c r="D47" s="93" t="e" cm="1">
        <f t="array" ref="D47">INDEX(股债表现与四个维度!$A:$T,MATCH($A47,股债表现与四个维度!$A:$A,0),MATCH(D$4,股债表现与四个维度!$2:$2,0))</f>
        <v>#N/A</v>
      </c>
      <c r="E47" s="93" t="str" cm="1">
        <f t="array" ref="E47">INDEX(股债表现与四个维度!$A:$T,MATCH($A47,股债表现与四个维度!$A:$A,0),MATCH(E$4,股债表现与四个维度!$2:$2,0))</f>
        <v>滞涨</v>
      </c>
      <c r="F47" s="93" t="str" cm="1">
        <f t="array" ref="F47">INDEX(股债表现与四个维度!$A:$T,MATCH($A47,股债表现与四个维度!$A:$A,0),MATCH(F$4,股债表现与四个维度!$2:$2,0))</f>
        <v>宽货币宽信用</v>
      </c>
      <c r="G47" s="93" t="str" cm="1">
        <f t="array" ref="G47">INDEX(股债表现与四个维度!$A:$T,MATCH($A47,股债表现与四个维度!$A:$A,0),MATCH(G$4,股债表现与四个维度!$2:$2,0))</f>
        <v>双紧</v>
      </c>
      <c r="H47" s="93" t="str" cm="1">
        <f t="array" ref="H47">INDEX(股债表现与四个维度!$A:$T,MATCH($A47,股债表现与四个维度!$A:$A,0),MATCH(H$4,股债表现与四个维度!$2:$2,0))</f>
        <v>被动去库存</v>
      </c>
      <c r="I47" s="93" t="str" cm="1">
        <f t="array" ref="I47">INDEX(股债表现与四个维度!$A:$T,MATCH($A47,股债表现与四个维度!$A:$A,0),MATCH(I$4,股债表现与四个维度!$2:$2,0))</f>
        <v>产能周期下行,主动补库存</v>
      </c>
      <c r="J47" s="93" cm="1">
        <f t="array" ref="J47">INDEX(股债表现与四个维度!$A:$T,MATCH($A47,股债表现与四个维度!$A:$A,0),MATCH(J$3&amp;J$4,股债表现与四个维度!$2:$2&amp;股债表现与四个维度!$3:$3,0))</f>
        <v>8.3333333333333329E-2</v>
      </c>
      <c r="K47" s="93" cm="1">
        <f t="array" ref="K47">INDEX(股债表现与四个维度!$A:$T,MATCH($A47,股债表现与四个维度!$A:$A,0),MATCH(K$3&amp;K$4,股债表现与四个维度!$2:$2&amp;股债表现与四个维度!$3:$3,0))</f>
        <v>-0.33333333333333331</v>
      </c>
      <c r="L47" s="93" cm="1">
        <f t="array" ref="L47">INDEX(股债表现与四个维度!$A:$T,MATCH($A47,股债表现与四个维度!$A:$A,0),MATCH(L$3&amp;L$4,股债表现与四个维度!$2:$2&amp;股债表现与四个维度!$3:$3,0))</f>
        <v>7.1428571428571425E-2</v>
      </c>
      <c r="M47" s="93" cm="1">
        <f t="array" ref="M47">INDEX(股债表现与四个维度!$A:$T,MATCH($A47,股债表现与四个维度!$A:$A,0),MATCH(M$3&amp;M$4,股债表现与四个维度!$2:$2&amp;股债表现与四个维度!$3:$3,0))</f>
        <v>0.2857142857142857</v>
      </c>
      <c r="N47" s="93"/>
      <c r="O47" s="93"/>
      <c r="P47" s="93" cm="1">
        <f t="array" ref="P47">INDEX(股债表现与四个维度!$A:$T,MATCH($A47,股债表现与四个维度!$A:$A,0),MATCH(P$3&amp;P$4,股债表现与四个维度!$2:$2&amp;股债表现与四个维度!$3:$3,0))</f>
        <v>0</v>
      </c>
      <c r="Q47" s="93" cm="1">
        <f t="array" ref="Q47">INDEX(股债表现与四个维度!$A:$T,MATCH($A47,股债表现与四个维度!$A:$A,0),MATCH(Q$3&amp;Q$4,股债表现与四个维度!$2:$2&amp;股债表现与四个维度!$3:$3,0))</f>
        <v>-0.2</v>
      </c>
      <c r="R47" s="93" cm="1">
        <f t="array" ref="R47">INDEX(股债表现与四个维度!$A:$T,MATCH($A47,股债表现与四个维度!$A:$A,0),MATCH(R$3&amp;R$4,股债表现与四个维度!$2:$2&amp;股债表现与四个维度!$3:$3,0))</f>
        <v>-0.15384615384615385</v>
      </c>
      <c r="S47" s="93" cm="1">
        <f t="array" ref="S47">INDEX(股债表现与四个维度!$A:$T,MATCH($A47,股债表现与四个维度!$A:$A,0),MATCH(S$3&amp;S$4,股债表现与四个维度!$2:$2&amp;股债表现与四个维度!$3:$3,0))</f>
        <v>0.15384615384615385</v>
      </c>
      <c r="T47">
        <f t="shared" si="49"/>
        <v>9.157509157509125E-4</v>
      </c>
      <c r="U47">
        <f t="shared" si="49"/>
        <v>-9.3772893772893773E-2</v>
      </c>
      <c r="V47">
        <f t="shared" si="7"/>
        <v>9.4688644688644685E-2</v>
      </c>
      <c r="W47">
        <f t="shared" si="1"/>
        <v>9.48499678211709</v>
      </c>
      <c r="X47" t="e">
        <f t="shared" si="2"/>
        <v>#N/A</v>
      </c>
      <c r="Y47" s="92">
        <f t="shared" ref="Y47:Z47" si="52">AVERAGE(V47:V52)</f>
        <v>-0.25770114889696932</v>
      </c>
      <c r="Z47" s="92">
        <f t="shared" si="52"/>
        <v>-2.1807403213221739</v>
      </c>
      <c r="AA47">
        <f t="shared" si="23"/>
        <v>-0.68160690318831951</v>
      </c>
      <c r="AB47">
        <v>-0.68160690318831996</v>
      </c>
      <c r="AC47">
        <v>-2.4682611578868441</v>
      </c>
    </row>
    <row r="48" spans="1:29" x14ac:dyDescent="0.35">
      <c r="A48" s="91">
        <f t="shared" si="42"/>
        <v>44712</v>
      </c>
      <c r="B48" s="93" cm="1">
        <f t="array" ref="B48">INDEX(股债表现与四个维度!$A:$T,MATCH($A48,股债表现与四个维度!$A:$A,0),MATCH(B$4,股债表现与四个维度!$2:$2,0))</f>
        <v>5.8976227613743823</v>
      </c>
      <c r="C48" s="93" cm="1">
        <f t="array" ref="C48">INDEX(股债表现与四个维度!$A:$T,MATCH($A48,股债表现与四个维度!$A:$A,0),MATCH(C$4,股债表现与四个维度!$2:$2,0))</f>
        <v>-1.307380952381</v>
      </c>
      <c r="D48" s="93" t="e" cm="1">
        <f t="array" ref="D48">INDEX(股债表现与四个维度!$A:$T,MATCH($A48,股债表现与四个维度!$A:$A,0),MATCH(D$4,股债表现与四个维度!$2:$2,0))</f>
        <v>#N/A</v>
      </c>
      <c r="E48" s="93" t="str" cm="1">
        <f t="array" ref="E48">INDEX(股债表现与四个维度!$A:$T,MATCH($A48,股债表现与四个维度!$A:$A,0),MATCH(E$4,股债表现与四个维度!$2:$2,0))</f>
        <v>滞涨</v>
      </c>
      <c r="F48" s="93" t="str" cm="1">
        <f t="array" ref="F48">INDEX(股债表现与四个维度!$A:$T,MATCH($A48,股债表现与四个维度!$A:$A,0),MATCH(F$4,股债表现与四个维度!$2:$2,0))</f>
        <v>宽货币宽信用</v>
      </c>
      <c r="G48" s="93" t="str" cm="1">
        <f t="array" ref="G48">INDEX(股债表现与四个维度!$A:$T,MATCH($A48,股债表现与四个维度!$A:$A,0),MATCH(G$4,股债表现与四个维度!$2:$2,0))</f>
        <v>双宽</v>
      </c>
      <c r="H48" s="93" t="str" cm="1">
        <f t="array" ref="H48">INDEX(股债表现与四个维度!$A:$T,MATCH($A48,股债表现与四个维度!$A:$A,0),MATCH(H$4,股债表现与四个维度!$2:$2,0))</f>
        <v>主动补库存</v>
      </c>
      <c r="I48" s="93" t="str" cm="1">
        <f t="array" ref="I48">INDEX(股债表现与四个维度!$A:$T,MATCH($A48,股债表现与四个维度!$A:$A,0),MATCH(I$4,股债表现与四个维度!$2:$2,0))</f>
        <v>产能周期下行,主动补库存</v>
      </c>
      <c r="J48" s="93" cm="1">
        <f t="array" ref="J48">INDEX(股债表现与四个维度!$A:$T,MATCH($A48,股债表现与四个维度!$A:$A,0),MATCH(J$3&amp;J$4,股债表现与四个维度!$2:$2&amp;股债表现与四个维度!$3:$3,0))</f>
        <v>8.3333333333333329E-2</v>
      </c>
      <c r="K48" s="93" cm="1">
        <f t="array" ref="K48">INDEX(股债表现与四个维度!$A:$T,MATCH($A48,股债表现与四个维度!$A:$A,0),MATCH(K$3&amp;K$4,股债表现与四个维度!$2:$2&amp;股债表现与四个维度!$3:$3,0))</f>
        <v>-0.33333333333333331</v>
      </c>
      <c r="L48" s="93" cm="1">
        <f t="array" ref="L48">INDEX(股债表现与四个维度!$A:$T,MATCH($A48,股债表现与四个维度!$A:$A,0),MATCH(L$3&amp;L$4,股债表现与四个维度!$2:$2&amp;股债表现与四个维度!$3:$3,0))</f>
        <v>7.1428571428571425E-2</v>
      </c>
      <c r="M48" s="93" cm="1">
        <f t="array" ref="M48">INDEX(股债表现与四个维度!$A:$T,MATCH($A48,股债表现与四个维度!$A:$A,0),MATCH(M$3&amp;M$4,股债表现与四个维度!$2:$2&amp;股债表现与四个维度!$3:$3,0))</f>
        <v>0.2857142857142857</v>
      </c>
      <c r="N48" s="93"/>
      <c r="O48" s="93"/>
      <c r="P48" s="93" cm="1">
        <f t="array" ref="P48">INDEX(股债表现与四个维度!$A:$T,MATCH($A48,股债表现与四个维度!$A:$A,0),MATCH(P$3&amp;P$4,股债表现与四个维度!$2:$2&amp;股债表现与四个维度!$3:$3,0))</f>
        <v>-8.3333333333333329E-2</v>
      </c>
      <c r="Q48" s="93" cm="1">
        <f t="array" ref="Q48">INDEX(股债表现与四个维度!$A:$T,MATCH($A48,股债表现与四个维度!$A:$A,0),MATCH(Q$3&amp;Q$4,股债表现与四个维度!$2:$2&amp;股债表现与四个维度!$3:$3,0))</f>
        <v>0.16666666666666666</v>
      </c>
      <c r="R48" s="93" cm="1">
        <f t="array" ref="R48">INDEX(股债表现与四个维度!$A:$T,MATCH($A48,股债表现与四个维度!$A:$A,0),MATCH(R$3&amp;R$4,股债表现与四个维度!$2:$2&amp;股债表现与四个维度!$3:$3,0))</f>
        <v>-8.3333333333333329E-2</v>
      </c>
      <c r="S48" s="93" cm="1">
        <f t="array" ref="S48">INDEX(股债表现与四个维度!$A:$T,MATCH($A48,股债表现与四个维度!$A:$A,0),MATCH(S$3&amp;S$4,股债表现与四个维度!$2:$2&amp;股债表现与四个维度!$3:$3,0))</f>
        <v>0.16666666666666666</v>
      </c>
      <c r="T48">
        <f t="shared" si="49"/>
        <v>-1.190476190476189E-2</v>
      </c>
      <c r="U48">
        <f t="shared" si="49"/>
        <v>0.2857142857142857</v>
      </c>
      <c r="V48">
        <f t="shared" si="7"/>
        <v>-0.29761904761904756</v>
      </c>
      <c r="W48">
        <f t="shared" si="1"/>
        <v>4.5902418089933823</v>
      </c>
      <c r="X48" t="e">
        <f t="shared" si="2"/>
        <v>#N/A</v>
      </c>
      <c r="Y48" s="92">
        <f t="shared" ref="Y48:Z48" si="53">AVERAGE(V48:V53)</f>
        <v>-0.41231312189129526</v>
      </c>
      <c r="Z48" s="92">
        <f t="shared" si="53"/>
        <v>-4.7092055438434057</v>
      </c>
      <c r="AA48">
        <f t="shared" si="23"/>
        <v>8.2577220702340526E-2</v>
      </c>
      <c r="AB48">
        <v>8.2577220702341594E-2</v>
      </c>
      <c r="AC48">
        <v>-4.5848225098517137</v>
      </c>
    </row>
    <row r="49" spans="1:29" x14ac:dyDescent="0.35">
      <c r="A49" s="91">
        <f t="shared" si="42"/>
        <v>44681</v>
      </c>
      <c r="B49" s="93" cm="1">
        <f t="array" ref="B49">INDEX(股债表现与四个维度!$A:$T,MATCH($A49,股债表现与四个维度!$A:$A,0),MATCH(B$4,股债表现与四个维度!$2:$2,0))</f>
        <v>-9.5144938447873901</v>
      </c>
      <c r="C49" s="93" cm="1">
        <f t="array" ref="C49">INDEX(股债表现与四个维度!$A:$T,MATCH($A49,股债表现与四个维度!$A:$A,0),MATCH(C$4,股债表现与四个维度!$2:$2,0))</f>
        <v>-0.87501035196679999</v>
      </c>
      <c r="D49" s="93" t="e" cm="1">
        <f t="array" ref="D49">INDEX(股债表现与四个维度!$A:$T,MATCH($A49,股债表现与四个维度!$A:$A,0),MATCH(D$4,股债表现与四个维度!$2:$2,0))</f>
        <v>#N/A</v>
      </c>
      <c r="E49" s="93" t="str" cm="1">
        <f t="array" ref="E49">INDEX(股债表现与四个维度!$A:$T,MATCH($A49,股债表现与四个维度!$A:$A,0),MATCH(E$4,股债表现与四个维度!$2:$2,0))</f>
        <v>衰退</v>
      </c>
      <c r="F49" s="93" t="str" cm="1">
        <f t="array" ref="F49">INDEX(股债表现与四个维度!$A:$T,MATCH($A49,股债表现与四个维度!$A:$A,0),MATCH(F$4,股债表现与四个维度!$2:$2,0))</f>
        <v>宽货币紧信用</v>
      </c>
      <c r="G49" s="93" t="str" cm="1">
        <f t="array" ref="G49">INDEX(股债表现与四个维度!$A:$T,MATCH($A49,股债表现与四个维度!$A:$A,0),MATCH(G$4,股债表现与四个维度!$2:$2,0))</f>
        <v>双宽</v>
      </c>
      <c r="H49" s="93" t="str" cm="1">
        <f t="array" ref="H49">INDEX(股债表现与四个维度!$A:$T,MATCH($A49,股债表现与四个维度!$A:$A,0),MATCH(H$4,股债表现与四个维度!$2:$2,0))</f>
        <v>被动补库存</v>
      </c>
      <c r="I49" s="93" t="str" cm="1">
        <f t="array" ref="I49">INDEX(股债表现与四个维度!$A:$T,MATCH($A49,股债表现与四个维度!$A:$A,0),MATCH(I$4,股债表现与四个维度!$2:$2,0))</f>
        <v>产能周期下行,主动补库存</v>
      </c>
      <c r="J49" s="93" cm="1">
        <f t="array" ref="J49">INDEX(股债表现与四个维度!$A:$T,MATCH($A49,股债表现与四个维度!$A:$A,0),MATCH(J$3&amp;J$4,股债表现与四个维度!$2:$2&amp;股债表现与四个维度!$3:$3,0))</f>
        <v>6.25E-2</v>
      </c>
      <c r="K49" s="93" cm="1">
        <f t="array" ref="K49">INDEX(股债表现与四个维度!$A:$T,MATCH($A49,股债表现与四个维度!$A:$A,0),MATCH(K$3&amp;K$4,股债表现与四个维度!$2:$2&amp;股债表现与四个维度!$3:$3,0))</f>
        <v>6.25E-2</v>
      </c>
      <c r="L49" s="93" cm="1">
        <f t="array" ref="L49">INDEX(股债表现与四个维度!$A:$T,MATCH($A49,股债表现与四个维度!$A:$A,0),MATCH(L$3&amp;L$4,股债表现与四个维度!$2:$2&amp;股债表现与四个维度!$3:$3,0))</f>
        <v>0.35294117647058826</v>
      </c>
      <c r="M49" s="93" cm="1">
        <f t="array" ref="M49">INDEX(股债表现与四个维度!$A:$T,MATCH($A49,股债表现与四个维度!$A:$A,0),MATCH(M$3&amp;M$4,股债表现与四个维度!$2:$2&amp;股债表现与四个维度!$3:$3,0))</f>
        <v>0.29411764705882354</v>
      </c>
      <c r="N49" s="93"/>
      <c r="O49" s="93"/>
      <c r="P49" s="93" cm="1">
        <f t="array" ref="P49">INDEX(股债表现与四个维度!$A:$T,MATCH($A49,股债表现与四个维度!$A:$A,0),MATCH(P$3&amp;P$4,股债表现与四个维度!$2:$2&amp;股债表现与四个维度!$3:$3,0))</f>
        <v>0.19047619047619047</v>
      </c>
      <c r="Q49" s="93" cm="1">
        <f t="array" ref="Q49">INDEX(股债表现与四个维度!$A:$T,MATCH($A49,股债表现与四个维度!$A:$A,0),MATCH(Q$3&amp;Q$4,股债表现与四个维度!$2:$2&amp;股债表现与四个维度!$3:$3,0))</f>
        <v>0.38095238095238093</v>
      </c>
      <c r="R49" s="93" cm="1">
        <f t="array" ref="R49">INDEX(股债表现与四个维度!$A:$T,MATCH($A49,股债表现与四个维度!$A:$A,0),MATCH(R$3&amp;R$4,股债表现与四个维度!$2:$2&amp;股债表现与四个维度!$3:$3,0))</f>
        <v>0</v>
      </c>
      <c r="S49" s="93" cm="1">
        <f t="array" ref="S49">INDEX(股债表现与四个维度!$A:$T,MATCH($A49,股债表现与四个维度!$A:$A,0),MATCH(S$3&amp;S$4,股债表现与四个维度!$2:$2&amp;股债表现与四个维度!$3:$3,0))</f>
        <v>0.27272727272727271</v>
      </c>
      <c r="T49">
        <f t="shared" si="49"/>
        <v>0.60591736694677878</v>
      </c>
      <c r="U49">
        <f t="shared" si="49"/>
        <v>1.0102973007384772</v>
      </c>
      <c r="V49">
        <f t="shared" si="7"/>
        <v>-0.40437993379169845</v>
      </c>
      <c r="W49">
        <f t="shared" si="1"/>
        <v>-10.38950419675419</v>
      </c>
      <c r="X49" t="e">
        <f t="shared" si="2"/>
        <v>#N/A</v>
      </c>
      <c r="Y49" s="92">
        <f t="shared" ref="Y49:Z49" si="54">AVERAGE(V49:V54)</f>
        <v>-0.39257105839923184</v>
      </c>
      <c r="Z49" s="92">
        <f t="shared" si="54"/>
        <v>-6.1665505309303121</v>
      </c>
      <c r="AA49">
        <f t="shared" si="23"/>
        <v>1.1259958676057618</v>
      </c>
      <c r="AB49">
        <v>1.12599586760576</v>
      </c>
      <c r="AC49">
        <v>1.9442034284012342</v>
      </c>
    </row>
    <row r="50" spans="1:29" x14ac:dyDescent="0.35">
      <c r="A50" s="91">
        <f t="shared" si="42"/>
        <v>44651</v>
      </c>
      <c r="B50" s="93" cm="1">
        <f t="array" ref="B50">INDEX(股债表现与四个维度!$A:$T,MATCH($A50,股债表现与四个维度!$A:$A,0),MATCH(B$4,股债表现与四个维度!$2:$2,0))</f>
        <v>-7.5219982912394467</v>
      </c>
      <c r="C50" s="93" cm="1">
        <f t="array" ref="C50">INDEX(股债表现与四个维度!$A:$T,MATCH($A50,股债表现与四个维度!$A:$A,0),MATCH(C$4,股债表现与四个维度!$2:$2,0))</f>
        <v>2.8917663043477999</v>
      </c>
      <c r="D50" s="93" t="e" cm="1">
        <f t="array" ref="D50">INDEX(股债表现与四个维度!$A:$T,MATCH($A50,股债表现与四个维度!$A:$A,0),MATCH(D$4,股债表现与四个维度!$2:$2,0))</f>
        <v>#N/A</v>
      </c>
      <c r="E50" s="93" t="str" cm="1">
        <f t="array" ref="E50">INDEX(股债表现与四个维度!$A:$T,MATCH($A50,股债表现与四个维度!$A:$A,0),MATCH(E$4,股债表现与四个维度!$2:$2,0))</f>
        <v>滞涨</v>
      </c>
      <c r="F50" s="93" t="str" cm="1">
        <f t="array" ref="F50">INDEX(股债表现与四个维度!$A:$T,MATCH($A50,股债表现与四个维度!$A:$A,0),MATCH(F$4,股债表现与四个维度!$2:$2,0))</f>
        <v>宽货币宽信用</v>
      </c>
      <c r="G50" s="93" t="str" cm="1">
        <f t="array" ref="G50">INDEX(股债表现与四个维度!$A:$T,MATCH($A50,股债表现与四个维度!$A:$A,0),MATCH(G$4,股债表现与四个维度!$2:$2,0))</f>
        <v>双紧</v>
      </c>
      <c r="H50" s="93" t="str" cm="1">
        <f t="array" ref="H50">INDEX(股债表现与四个维度!$A:$T,MATCH($A50,股债表现与四个维度!$A:$A,0),MATCH(H$4,股债表现与四个维度!$2:$2,0))</f>
        <v>被动补库存</v>
      </c>
      <c r="I50" s="93" t="str" cm="1">
        <f t="array" ref="I50">INDEX(股债表现与四个维度!$A:$T,MATCH($A50,股债表现与四个维度!$A:$A,0),MATCH(I$4,股债表现与四个维度!$2:$2,0))</f>
        <v>产能周期下行,主动补库存</v>
      </c>
      <c r="J50" s="93" cm="1">
        <f t="array" ref="J50">INDEX(股债表现与四个维度!$A:$T,MATCH($A50,股债表现与四个维度!$A:$A,0),MATCH(J$3&amp;J$4,股债表现与四个维度!$2:$2&amp;股债表现与四个维度!$3:$3,0))</f>
        <v>0.16666666666666666</v>
      </c>
      <c r="K50" s="93" cm="1">
        <f t="array" ref="K50">INDEX(股债表现与四个维度!$A:$T,MATCH($A50,股债表现与四个维度!$A:$A,0),MATCH(K$3&amp;K$4,股债表现与四个维度!$2:$2&amp;股债表现与四个维度!$3:$3,0))</f>
        <v>-0.16666666666666666</v>
      </c>
      <c r="L50" s="93" cm="1">
        <f t="array" ref="L50">INDEX(股债表现与四个维度!$A:$T,MATCH($A50,股债表现与四个维度!$A:$A,0),MATCH(L$3&amp;L$4,股债表现与四个维度!$2:$2&amp;股债表现与四个维度!$3:$3,0))</f>
        <v>0.15384615384615385</v>
      </c>
      <c r="M50" s="93" cm="1">
        <f t="array" ref="M50">INDEX(股债表现与四个维度!$A:$T,MATCH($A50,股债表现与四个维度!$A:$A,0),MATCH(M$3&amp;M$4,股债表现与四个维度!$2:$2&amp;股债表现与四个维度!$3:$3,0))</f>
        <v>0.38461538461538464</v>
      </c>
      <c r="N50" s="93"/>
      <c r="O50" s="93"/>
      <c r="P50" s="93" cm="1">
        <f t="array" ref="P50">INDEX(股债表现与四个维度!$A:$T,MATCH($A50,股债表现与四个维度!$A:$A,0),MATCH(P$3&amp;P$4,股债表现与四个维度!$2:$2&amp;股债表现与四个维度!$3:$3,0))</f>
        <v>0.15</v>
      </c>
      <c r="Q50" s="93" cm="1">
        <f t="array" ref="Q50">INDEX(股债表现与四个维度!$A:$T,MATCH($A50,股债表现与四个维度!$A:$A,0),MATCH(Q$3&amp;Q$4,股债表现与四个维度!$2:$2&amp;股债表现与四个维度!$3:$3,0))</f>
        <v>0.45</v>
      </c>
      <c r="R50" s="93" cm="1">
        <f t="array" ref="R50">INDEX(股债表现与四个维度!$A:$T,MATCH($A50,股债表现与四个维度!$A:$A,0),MATCH(R$3&amp;R$4,股债表现与四个维度!$2:$2&amp;股债表现与四个维度!$3:$3,0))</f>
        <v>-0.1</v>
      </c>
      <c r="S50" s="93" cm="1">
        <f t="array" ref="S50">INDEX(股债表现与四个维度!$A:$T,MATCH($A50,股债表现与四个维度!$A:$A,0),MATCH(S$3&amp;S$4,股债表现与四个维度!$2:$2&amp;股债表现与四个维度!$3:$3,0))</f>
        <v>0.4</v>
      </c>
      <c r="T50">
        <f t="shared" si="49"/>
        <v>0.37051282051282053</v>
      </c>
      <c r="U50">
        <f t="shared" si="49"/>
        <v>1.0679487179487182</v>
      </c>
      <c r="V50">
        <f t="shared" si="7"/>
        <v>-0.69743589743589762</v>
      </c>
      <c r="W50">
        <f t="shared" si="1"/>
        <v>-4.6302319868916468</v>
      </c>
      <c r="X50" t="e">
        <f t="shared" si="2"/>
        <v>#N/A</v>
      </c>
      <c r="Y50" s="92">
        <f t="shared" ref="Y50:Z50" si="55">AVERAGE(V50:V55)</f>
        <v>-0.32358710117998046</v>
      </c>
      <c r="Z50" s="92">
        <f t="shared" si="55"/>
        <v>-2.6154824489890034</v>
      </c>
      <c r="AA50">
        <f t="shared" si="23"/>
        <v>0.83446232153010114</v>
      </c>
      <c r="AB50">
        <v>0.83446232153010302</v>
      </c>
      <c r="AC50">
        <v>1.6009115033962678</v>
      </c>
    </row>
    <row r="51" spans="1:29" x14ac:dyDescent="0.35">
      <c r="A51" s="91">
        <f t="shared" si="42"/>
        <v>44620</v>
      </c>
      <c r="B51" s="93" cm="1">
        <f t="array" ref="B51">INDEX(股债表现与四个维度!$A:$T,MATCH($A51,股债表现与四个维度!$A:$A,0),MATCH(B$4,股债表现与四个维度!$2:$2,0))</f>
        <v>2.814380925705203</v>
      </c>
      <c r="C51" s="93" cm="1">
        <f t="array" ref="C51">INDEX(股债表现与四个维度!$A:$T,MATCH($A51,股债表现与四个维度!$A:$A,0),MATCH(C$4,股债表现与四个维度!$2:$2,0))</f>
        <v>2.4218154761905</v>
      </c>
      <c r="D51" s="93" t="e" cm="1">
        <f t="array" ref="D51">INDEX(股债表现与四个维度!$A:$T,MATCH($A51,股债表现与四个维度!$A:$A,0),MATCH(D$4,股债表现与四个维度!$2:$2,0))</f>
        <v>#N/A</v>
      </c>
      <c r="E51" s="93" t="str" cm="1">
        <f t="array" ref="E51">INDEX(股债表现与四个维度!$A:$T,MATCH($A51,股债表现与四个维度!$A:$A,0),MATCH(E$4,股债表现与四个维度!$2:$2,0))</f>
        <v>滞涨</v>
      </c>
      <c r="F51" s="93" t="str" cm="1">
        <f t="array" ref="F51">INDEX(股债表现与四个维度!$A:$T,MATCH($A51,股债表现与四个维度!$A:$A,0),MATCH(F$4,股债表现与四个维度!$2:$2,0))</f>
        <v>宽货币紧信用</v>
      </c>
      <c r="G51" s="93" t="str" cm="1">
        <f t="array" ref="G51">INDEX(股债表现与四个维度!$A:$T,MATCH($A51,股债表现与四个维度!$A:$A,0),MATCH(G$4,股债表现与四个维度!$2:$2,0))</f>
        <v>双紧</v>
      </c>
      <c r="H51" s="93" t="str" cm="1">
        <f t="array" ref="H51">INDEX(股债表现与四个维度!$A:$T,MATCH($A51,股债表现与四个维度!$A:$A,0),MATCH(H$4,股债表现与四个维度!$2:$2,0))</f>
        <v>被动补库存</v>
      </c>
      <c r="I51" s="93" t="str" cm="1">
        <f t="array" ref="I51">INDEX(股债表现与四个维度!$A:$T,MATCH($A51,股债表现与四个维度!$A:$A,0),MATCH(I$4,股债表现与四个维度!$2:$2,0))</f>
        <v>产能周期下行,主动补库存</v>
      </c>
      <c r="J51" s="93" cm="1">
        <f t="array" ref="J51">INDEX(股债表现与四个维度!$A:$T,MATCH($A51,股债表现与四个维度!$A:$A,0),MATCH(J$3&amp;J$4,股债表现与四个维度!$2:$2&amp;股债表现与四个维度!$3:$3,0))</f>
        <v>0.27272727272727271</v>
      </c>
      <c r="K51" s="93" cm="1">
        <f t="array" ref="K51">INDEX(股债表现与四个维度!$A:$T,MATCH($A51,股债表现与四个维度!$A:$A,0),MATCH(K$3&amp;K$4,股债表现与四个维度!$2:$2&amp;股债表现与四个维度!$3:$3,0))</f>
        <v>-0.27272727272727271</v>
      </c>
      <c r="L51" s="93" cm="1">
        <f t="array" ref="L51">INDEX(股债表现与四个维度!$A:$T,MATCH($A51,股债表现与四个维度!$A:$A,0),MATCH(L$3&amp;L$4,股债表现与四个维度!$2:$2&amp;股债表现与四个维度!$3:$3,0))</f>
        <v>0.3125</v>
      </c>
      <c r="M51" s="93" cm="1">
        <f t="array" ref="M51">INDEX(股债表现与四个维度!$A:$T,MATCH($A51,股债表现与四个维度!$A:$A,0),MATCH(M$3&amp;M$4,股债表现与四个维度!$2:$2&amp;股债表现与四个维度!$3:$3,0))</f>
        <v>0.375</v>
      </c>
      <c r="N51" s="93"/>
      <c r="O51" s="93"/>
      <c r="P51" s="93" cm="1">
        <f t="array" ref="P51">INDEX(股债表现与四个维度!$A:$T,MATCH($A51,股债表现与四个维度!$A:$A,0),MATCH(P$3&amp;P$4,股债表现与四个维度!$2:$2&amp;股债表现与四个维度!$3:$3,0))</f>
        <v>0.21052631578947367</v>
      </c>
      <c r="Q51" s="93" cm="1">
        <f t="array" ref="Q51">INDEX(股债表现与四个维度!$A:$T,MATCH($A51,股债表现与四个维度!$A:$A,0),MATCH(Q$3&amp;Q$4,股债表现与四个维度!$2:$2&amp;股债表现与四个维度!$3:$3,0))</f>
        <v>0.42105263157894735</v>
      </c>
      <c r="R51" s="93" cm="1">
        <f t="array" ref="R51">INDEX(股债表现与四个维度!$A:$T,MATCH($A51,股债表现与四个维度!$A:$A,0),MATCH(R$3&amp;R$4,股债表现与四个维度!$2:$2&amp;股债表现与四个维度!$3:$3,0))</f>
        <v>0</v>
      </c>
      <c r="S51" s="93" cm="1">
        <f t="array" ref="S51">INDEX(股债表现与四个维度!$A:$T,MATCH($A51,股债表现与四个维度!$A:$A,0),MATCH(S$3&amp;S$4,股债表现与四个维度!$2:$2&amp;股债表现与四个维度!$3:$3,0))</f>
        <v>0.33333333333333331</v>
      </c>
      <c r="T51">
        <f t="shared" si="49"/>
        <v>0.79575358851674638</v>
      </c>
      <c r="U51">
        <f t="shared" si="49"/>
        <v>0.8566586921850079</v>
      </c>
      <c r="V51">
        <f t="shared" si="7"/>
        <v>-6.0905103668261518E-2</v>
      </c>
      <c r="W51">
        <f t="shared" si="1"/>
        <v>5.236196401895703</v>
      </c>
      <c r="X51" t="e">
        <f t="shared" si="2"/>
        <v>#N/A</v>
      </c>
      <c r="Y51" s="92">
        <f t="shared" ref="Y51:Z51" si="56">AVERAGE(V51:V56)</f>
        <v>-0.37282397541685469</v>
      </c>
      <c r="Z51" s="92">
        <f t="shared" si="56"/>
        <v>-1.8039164266054508</v>
      </c>
      <c r="AA51">
        <f t="shared" si="23"/>
        <v>0.76398641018962021</v>
      </c>
      <c r="AB51">
        <v>0.76398641018962199</v>
      </c>
      <c r="AC51">
        <v>-2.6993534451519832</v>
      </c>
    </row>
    <row r="52" spans="1:29" x14ac:dyDescent="0.35">
      <c r="A52" s="91">
        <f t="shared" si="42"/>
        <v>44592</v>
      </c>
      <c r="B52" s="93" cm="1">
        <f t="array" ref="B52">INDEX(股债表现与四个维度!$A:$T,MATCH($A52,股债表现与四个维度!$A:$A,0),MATCH(B$4,股债表现与四个维度!$2:$2,0))</f>
        <v>-9.4629937393637835</v>
      </c>
      <c r="C52" s="93" cm="1">
        <f t="array" ref="C52">INDEX(股债表现与四个维度!$A:$T,MATCH($A52,股债表现与四个维度!$A:$A,0),MATCH(C$4,股债表现与四个维度!$2:$2,0))</f>
        <v>-7.9131469979295996</v>
      </c>
      <c r="D52" s="93" t="e" cm="1">
        <f t="array" ref="D52">INDEX(股债表现与四个维度!$A:$T,MATCH($A52,股债表现与四个维度!$A:$A,0),MATCH(D$4,股债表现与四个维度!$2:$2,0))</f>
        <v>#N/A</v>
      </c>
      <c r="E52" s="93" t="str" cm="1">
        <f t="array" ref="E52">INDEX(股债表现与四个维度!$A:$T,MATCH($A52,股债表现与四个维度!$A:$A,0),MATCH(E$4,股债表现与四个维度!$2:$2,0))</f>
        <v>滞涨</v>
      </c>
      <c r="F52" s="93" t="str" cm="1">
        <f t="array" ref="F52">INDEX(股债表现与四个维度!$A:$T,MATCH($A52,股债表现与四个维度!$A:$A,0),MATCH(F$4,股债表现与四个维度!$2:$2,0))</f>
        <v>宽货币宽信用</v>
      </c>
      <c r="G52" s="93" t="str" cm="1">
        <f t="array" ref="G52">INDEX(股债表现与四个维度!$A:$T,MATCH($A52,股债表现与四个维度!$A:$A,0),MATCH(G$4,股债表现与四个维度!$2:$2,0))</f>
        <v>双宽</v>
      </c>
      <c r="H52" s="93" t="str" cm="1">
        <f t="array" ref="H52">INDEX(股债表现与四个维度!$A:$T,MATCH($A52,股债表现与四个维度!$A:$A,0),MATCH(H$4,股债表现与四个维度!$2:$2,0))</f>
        <v>被动补库存</v>
      </c>
      <c r="I52" s="93" t="str" cm="1">
        <f t="array" ref="I52">INDEX(股债表现与四个维度!$A:$T,MATCH($A52,股债表现与四个维度!$A:$A,0),MATCH(I$4,股债表现与四个维度!$2:$2,0))</f>
        <v>产能周期下行,主动补库存</v>
      </c>
      <c r="J52" s="93" cm="1">
        <f t="array" ref="J52">INDEX(股债表现与四个维度!$A:$T,MATCH($A52,股债表现与四个维度!$A:$A,0),MATCH(J$3&amp;J$4,股债表现与四个维度!$2:$2&amp;股债表现与四个维度!$3:$3,0))</f>
        <v>0.16666666666666666</v>
      </c>
      <c r="K52" s="93" cm="1">
        <f t="array" ref="K52">INDEX(股债表现与四个维度!$A:$T,MATCH($A52,股债表现与四个维度!$A:$A,0),MATCH(K$3&amp;K$4,股债表现与四个维度!$2:$2&amp;股债表现与四个维度!$3:$3,0))</f>
        <v>-0.33333333333333331</v>
      </c>
      <c r="L52" s="93" cm="1">
        <f t="array" ref="L52">INDEX(股债表现与四个维度!$A:$T,MATCH($A52,股债表现与四个维度!$A:$A,0),MATCH(L$3&amp;L$4,股债表现与四个维度!$2:$2&amp;股债表现与四个维度!$3:$3,0))</f>
        <v>0.25</v>
      </c>
      <c r="M52" s="93" cm="1">
        <f t="array" ref="M52">INDEX(股债表现与四个维度!$A:$T,MATCH($A52,股债表现与四个维度!$A:$A,0),MATCH(M$3&amp;M$4,股债表现与四个维度!$2:$2&amp;股债表现与四个维度!$3:$3,0))</f>
        <v>0.33333333333333331</v>
      </c>
      <c r="N52" s="93"/>
      <c r="O52" s="93"/>
      <c r="P52" s="93" cm="1">
        <f t="array" ref="P52">INDEX(股债表现与四个维度!$A:$T,MATCH($A52,股债表现与四个维度!$A:$A,0),MATCH(P$3&amp;P$4,股债表现与四个维度!$2:$2&amp;股债表现与四个维度!$3:$3,0))</f>
        <v>0.16666666666666666</v>
      </c>
      <c r="Q52" s="93" cm="1">
        <f t="array" ref="Q52">INDEX(股债表现与四个维度!$A:$T,MATCH($A52,股债表现与四个维度!$A:$A,0),MATCH(Q$3&amp;Q$4,股债表现与四个维度!$2:$2&amp;股债表现与四个维度!$3:$3,0))</f>
        <v>0.3888888888888889</v>
      </c>
      <c r="R52" s="93" cm="1">
        <f t="array" ref="R52">INDEX(股债表现与四个维度!$A:$T,MATCH($A52,股债表现与四个维度!$A:$A,0),MATCH(R$3&amp;R$4,股债表现与四个维度!$2:$2&amp;股债表现与四个维度!$3:$3,0))</f>
        <v>-0.125</v>
      </c>
      <c r="S52" s="93" cm="1">
        <f t="array" ref="S52">INDEX(股债表现与四个维度!$A:$T,MATCH($A52,股债表现与四个维度!$A:$A,0),MATCH(S$3&amp;S$4,股债表现与四个维度!$2:$2&amp;股债表现与四个维度!$3:$3,0))</f>
        <v>0.25</v>
      </c>
      <c r="T52">
        <f t="shared" si="49"/>
        <v>0.45833333333333326</v>
      </c>
      <c r="U52">
        <f t="shared" si="49"/>
        <v>0.63888888888888884</v>
      </c>
      <c r="V52">
        <f t="shared" si="7"/>
        <v>-0.18055555555555558</v>
      </c>
      <c r="W52">
        <f t="shared" si="1"/>
        <v>-17.376140737293383</v>
      </c>
      <c r="X52" t="e">
        <f t="shared" si="2"/>
        <v>#N/A</v>
      </c>
      <c r="Y52" s="92">
        <f t="shared" ref="Y52:Z52" si="57">AVERAGE(V52:V57)</f>
        <v>-0.42402843616078911</v>
      </c>
      <c r="Z52" s="92">
        <f t="shared" si="57"/>
        <v>-3.9183246704051959</v>
      </c>
      <c r="AA52">
        <f t="shared" si="23"/>
        <v>1.2839638369470487</v>
      </c>
      <c r="AB52">
        <v>1.2839638369470501</v>
      </c>
      <c r="AC52">
        <v>2.1176807619631219</v>
      </c>
    </row>
    <row r="53" spans="1:29" x14ac:dyDescent="0.35">
      <c r="A53" s="91">
        <f t="shared" si="42"/>
        <v>44561</v>
      </c>
      <c r="B53" s="93" cm="1">
        <f t="array" ref="B53">INDEX(股债表现与四个维度!$A:$T,MATCH($A53,股债表现与四个维度!$A:$A,0),MATCH(B$4,股债表现与四个维度!$2:$2,0))</f>
        <v>1.039067107068804</v>
      </c>
      <c r="C53" s="93" cm="1">
        <f t="array" ref="C53">INDEX(股债表现与四个维度!$A:$T,MATCH($A53,股债表现与四个维度!$A:$A,0),MATCH(C$4,股债表现与四个维度!$2:$2,0))</f>
        <v>-6.7248616600790996</v>
      </c>
      <c r="D53" s="93" t="e" cm="1">
        <f t="array" ref="D53">INDEX(股债表现与四个维度!$A:$T,MATCH($A53,股债表现与四个维度!$A:$A,0),MATCH(D$4,股债表现与四个维度!$2:$2,0))</f>
        <v>#N/A</v>
      </c>
      <c r="E53" s="93" t="str" cm="1">
        <f t="array" ref="E53">INDEX(股债表现与四个维度!$A:$T,MATCH($A53,股债表现与四个维度!$A:$A,0),MATCH(E$4,股债表现与四个维度!$2:$2,0))</f>
        <v>过热</v>
      </c>
      <c r="F53" s="93" t="str" cm="1">
        <f t="array" ref="F53">INDEX(股债表现与四个维度!$A:$T,MATCH($A53,股债表现与四个维度!$A:$A,0),MATCH(F$4,股债表现与四个维度!$2:$2,0))</f>
        <v>紧货币紧信用</v>
      </c>
      <c r="G53" s="93" t="str" cm="1">
        <f t="array" ref="G53">INDEX(股债表现与四个维度!$A:$T,MATCH($A53,股债表现与四个维度!$A:$A,0),MATCH(G$4,股债表现与四个维度!$2:$2,0))</f>
        <v>双紧</v>
      </c>
      <c r="H53" s="93" t="str" cm="1">
        <f t="array" ref="H53">INDEX(股债表现与四个维度!$A:$T,MATCH($A53,股债表现与四个维度!$A:$A,0),MATCH(H$4,股债表现与四个维度!$2:$2,0))</f>
        <v>被动补库存</v>
      </c>
      <c r="I53" s="93" t="str" cm="1">
        <f t="array" ref="I53">INDEX(股债表现与四个维度!$A:$T,MATCH($A53,股债表现与四个维度!$A:$A,0),MATCH(I$4,股债表现与四个维度!$2:$2,0))</f>
        <v>产能周期下行,主动补库存</v>
      </c>
      <c r="J53" s="93" cm="1">
        <f t="array" ref="J53">INDEX(股债表现与四个维度!$A:$T,MATCH($A53,股债表现与四个维度!$A:$A,0),MATCH(J$3&amp;J$4,股债表现与四个维度!$2:$2&amp;股债表现与四个维度!$3:$3,0))</f>
        <v>0.1875</v>
      </c>
      <c r="K53" s="93" cm="1">
        <f t="array" ref="K53">INDEX(股债表现与四个维度!$A:$T,MATCH($A53,股债表现与四个维度!$A:$A,0),MATCH(K$3&amp;K$4,股债表现与四个维度!$2:$2&amp;股债表现与四个维度!$3:$3,0))</f>
        <v>6.25E-2</v>
      </c>
      <c r="L53" s="93" cm="1">
        <f t="array" ref="L53">INDEX(股债表现与四个维度!$A:$T,MATCH($A53,股债表现与四个维度!$A:$A,0),MATCH(L$3&amp;L$4,股债表现与四个维度!$2:$2&amp;股债表现与四个维度!$3:$3,0))</f>
        <v>-0.11764705882352941</v>
      </c>
      <c r="M53" s="93" cm="1">
        <f t="array" ref="M53">INDEX(股债表现与四个维度!$A:$T,MATCH($A53,股债表现与四个维度!$A:$A,0),MATCH(M$3&amp;M$4,股债表现与四个维度!$2:$2&amp;股债表现与四个维度!$3:$3,0))</f>
        <v>0.17647058823529413</v>
      </c>
      <c r="N53" s="93"/>
      <c r="O53" s="93"/>
      <c r="P53" s="93" cm="1">
        <f t="array" ref="P53">INDEX(股债表现与四个维度!$A:$T,MATCH($A53,股债表现与四个维度!$A:$A,0),MATCH(P$3&amp;P$4,股债表现与四个维度!$2:$2&amp;股债表现与四个维度!$3:$3,0))</f>
        <v>0.11764705882352941</v>
      </c>
      <c r="Q53" s="93" cm="1">
        <f t="array" ref="Q53">INDEX(股债表现与四个维度!$A:$T,MATCH($A53,股债表现与四个维度!$A:$A,0),MATCH(Q$3&amp;Q$4,股债表现与四个维度!$2:$2&amp;股债表现与四个维度!$3:$3,0))</f>
        <v>0.35294117647058826</v>
      </c>
      <c r="R53" s="93" cm="1">
        <f t="array" ref="R53">INDEX(股债表现与四个维度!$A:$T,MATCH($A53,股债表现与四个维度!$A:$A,0),MATCH(R$3&amp;R$4,股债表现与四个维度!$2:$2&amp;股债表现与四个维度!$3:$3,0))</f>
        <v>-0.2857142857142857</v>
      </c>
      <c r="S53" s="93" cm="1">
        <f t="array" ref="S53">INDEX(股债表现与四个维度!$A:$T,MATCH($A53,股债表现与四个维度!$A:$A,0),MATCH(S$3&amp;S$4,股债表现与四个维度!$2:$2&amp;股债表现与四个维度!$3:$3,0))</f>
        <v>0.14285714285714285</v>
      </c>
      <c r="T53">
        <f t="shared" si="49"/>
        <v>-9.8214285714285698E-2</v>
      </c>
      <c r="U53">
        <f t="shared" si="49"/>
        <v>0.73476890756302526</v>
      </c>
      <c r="V53">
        <f t="shared" si="7"/>
        <v>-0.83298319327731096</v>
      </c>
      <c r="W53">
        <f t="shared" si="1"/>
        <v>-5.6857945530102958</v>
      </c>
      <c r="X53" t="e">
        <f t="shared" si="2"/>
        <v>#N/A</v>
      </c>
      <c r="Y53" s="92">
        <f t="shared" ref="Y53:Z53" si="58">AVERAGE(V53:V58)</f>
        <v>-0.44179909143144447</v>
      </c>
      <c r="Z53" s="92">
        <f t="shared" si="58"/>
        <v>-3.7707672482944581</v>
      </c>
      <c r="AA53">
        <f t="shared" si="23"/>
        <v>1.057315809389644</v>
      </c>
      <c r="AB53">
        <v>1.05731580938964</v>
      </c>
      <c r="AC53">
        <v>2.1168435854571159</v>
      </c>
    </row>
    <row r="54" spans="1:29" x14ac:dyDescent="0.35">
      <c r="A54" s="91">
        <f t="shared" si="42"/>
        <v>44530</v>
      </c>
      <c r="B54" s="93" cm="1">
        <f t="array" ref="B54">INDEX(股债表现与四个维度!$A:$T,MATCH($A54,股债表现与四个维度!$A:$A,0),MATCH(B$4,股债表现与四个维度!$2:$2,0))</f>
        <v>3.144941939947834</v>
      </c>
      <c r="C54" s="93" cm="1">
        <f t="array" ref="C54">INDEX(股债表现与四个维度!$A:$T,MATCH($A54,股债表现与四个维度!$A:$A,0),MATCH(C$4,股债表现与四个维度!$2:$2,0))</f>
        <v>-7.2987700534759004</v>
      </c>
      <c r="D54" s="93" t="e" cm="1">
        <f t="array" ref="D54">INDEX(股债表现与四个维度!$A:$T,MATCH($A54,股债表现与四个维度!$A:$A,0),MATCH(D$4,股债表现与四个维度!$2:$2,0))</f>
        <v>#N/A</v>
      </c>
      <c r="E54" s="93" t="str" cm="1">
        <f t="array" ref="E54">INDEX(股债表现与四个维度!$A:$T,MATCH($A54,股债表现与四个维度!$A:$A,0),MATCH(E$4,股债表现与四个维度!$2:$2,0))</f>
        <v>过热</v>
      </c>
      <c r="F54" s="93" t="str" cm="1">
        <f t="array" ref="F54">INDEX(股债表现与四个维度!$A:$T,MATCH($A54,股债表现与四个维度!$A:$A,0),MATCH(F$4,股债表现与四个维度!$2:$2,0))</f>
        <v>紧货币宽信用</v>
      </c>
      <c r="G54" s="93" t="str" cm="1">
        <f t="array" ref="G54">INDEX(股债表现与四个维度!$A:$T,MATCH($A54,股债表现与四个维度!$A:$A,0),MATCH(G$4,股债表现与四个维度!$2:$2,0))</f>
        <v>双紧</v>
      </c>
      <c r="H54" s="93" t="str" cm="1">
        <f t="array" ref="H54">INDEX(股债表现与四个维度!$A:$T,MATCH($A54,股债表现与四个维度!$A:$A,0),MATCH(H$4,股债表现与四个维度!$2:$2,0))</f>
        <v>被动补库存</v>
      </c>
      <c r="I54" s="93" t="str" cm="1">
        <f t="array" ref="I54">INDEX(股债表现与四个维度!$A:$T,MATCH($A54,股债表现与四个维度!$A:$A,0),MATCH(I$4,股债表现与四个维度!$2:$2,0))</f>
        <v>产能周期下行,主动补库存</v>
      </c>
      <c r="J54" s="93" cm="1">
        <f t="array" ref="J54">INDEX(股债表现与四个维度!$A:$T,MATCH($A54,股债表现与四个维度!$A:$A,0),MATCH(J$3&amp;J$4,股债表现与四个维度!$2:$2&amp;股债表现与四个维度!$3:$3,0))</f>
        <v>0.2</v>
      </c>
      <c r="K54" s="93" cm="1">
        <f t="array" ref="K54">INDEX(股债表现与四个维度!$A:$T,MATCH($A54,股债表现与四个维度!$A:$A,0),MATCH(K$3&amp;K$4,股债表现与四个维度!$2:$2&amp;股债表现与四个维度!$3:$3,0))</f>
        <v>0.13333333333333333</v>
      </c>
      <c r="L54" s="93" cm="1">
        <f t="array" ref="L54">INDEX(股债表现与四个维度!$A:$T,MATCH($A54,股债表现与四个维度!$A:$A,0),MATCH(L$3&amp;L$4,股债表现与四个维度!$2:$2&amp;股债表现与四个维度!$3:$3,0))</f>
        <v>0.2</v>
      </c>
      <c r="M54" s="93" cm="1">
        <f t="array" ref="M54">INDEX(股债表现与四个维度!$A:$T,MATCH($A54,股债表现与四个维度!$A:$A,0),MATCH(M$3&amp;M$4,股债表现与四个维度!$2:$2&amp;股债表现与四个维度!$3:$3,0))</f>
        <v>-0.53333333333333333</v>
      </c>
      <c r="N54" s="93"/>
      <c r="O54" s="93"/>
      <c r="P54" s="93" cm="1">
        <f t="array" ref="P54">INDEX(股债表现与四个维度!$A:$T,MATCH($A54,股债表现与四个维度!$A:$A,0),MATCH(P$3&amp;P$4,股债表现与四个维度!$2:$2&amp;股债表现与四个维度!$3:$3,0))</f>
        <v>0.125</v>
      </c>
      <c r="Q54" s="93" cm="1">
        <f t="array" ref="Q54">INDEX(股债表现与四个维度!$A:$T,MATCH($A54,股债表现与四个维度!$A:$A,0),MATCH(Q$3&amp;Q$4,股债表现与四个维度!$2:$2&amp;股债表现与四个维度!$3:$3,0))</f>
        <v>0.4375</v>
      </c>
      <c r="R54" s="93" cm="1">
        <f t="array" ref="R54">INDEX(股债表现与四个维度!$A:$T,MATCH($A54,股债表现与四个维度!$A:$A,0),MATCH(R$3&amp;R$4,股债表现与四个维度!$2:$2&amp;股债表现与四个维度!$3:$3,0))</f>
        <v>-0.33333333333333331</v>
      </c>
      <c r="S54" s="93" cm="1">
        <f t="array" ref="S54">INDEX(股债表现与四个维度!$A:$T,MATCH($A54,股债表现与四个维度!$A:$A,0),MATCH(S$3&amp;S$4,股债表现与四个维度!$2:$2&amp;股债表现与四个维度!$3:$3,0))</f>
        <v>0.33333333333333331</v>
      </c>
      <c r="T54">
        <f t="shared" si="49"/>
        <v>0.19166666666666671</v>
      </c>
      <c r="U54">
        <f t="shared" si="49"/>
        <v>0.37083333333333329</v>
      </c>
      <c r="V54">
        <f t="shared" si="7"/>
        <v>-0.17916666666666659</v>
      </c>
      <c r="W54">
        <f t="shared" si="1"/>
        <v>-4.1538281135280659</v>
      </c>
      <c r="X54" t="e">
        <f t="shared" si="2"/>
        <v>#N/A</v>
      </c>
      <c r="Y54" s="92">
        <f t="shared" ref="Y54:Z54" si="59">AVERAGE(V54:V59)</f>
        <v>-0.31685744810744815</v>
      </c>
      <c r="Z54" s="92">
        <f t="shared" si="59"/>
        <v>-2.9350306649329867</v>
      </c>
      <c r="AA54">
        <f t="shared" si="23"/>
        <v>0.52806622724865526</v>
      </c>
      <c r="AB54">
        <v>0.52806622724865604</v>
      </c>
      <c r="AC54">
        <v>1.6756893715688141</v>
      </c>
    </row>
    <row r="55" spans="1:29" x14ac:dyDescent="0.35">
      <c r="A55" s="91">
        <f t="shared" si="42"/>
        <v>44500</v>
      </c>
      <c r="B55" s="93" cm="1">
        <f t="array" ref="B55">INDEX(股债表现与四个维度!$A:$T,MATCH($A55,股债表现与四个维度!$A:$A,0),MATCH(B$4,股债表现与四个维度!$2:$2,0))</f>
        <v>0.34404333232687101</v>
      </c>
      <c r="C55" s="93" cm="1">
        <f t="array" ref="C55">INDEX(股债表现与四个维度!$A:$T,MATCH($A55,股债表现与四个维度!$A:$A,0),MATCH(C$4,股债表现与四个维度!$2:$2,0))</f>
        <v>10.5728609625668</v>
      </c>
      <c r="D55" s="93" t="e" cm="1">
        <f t="array" ref="D55">INDEX(股债表现与四个维度!$A:$T,MATCH($A55,股债表现与四个维度!$A:$A,0),MATCH(D$4,股债表现与四个维度!$2:$2,0))</f>
        <v>#N/A</v>
      </c>
      <c r="E55" s="93" t="str" cm="1">
        <f t="array" ref="E55">INDEX(股债表现与四个维度!$A:$T,MATCH($A55,股债表现与四个维度!$A:$A,0),MATCH(E$4,股债表现与四个维度!$2:$2,0))</f>
        <v>过热</v>
      </c>
      <c r="F55" s="93" t="str" cm="1">
        <f t="array" ref="F55">INDEX(股债表现与四个维度!$A:$T,MATCH($A55,股债表现与四个维度!$A:$A,0),MATCH(F$4,股债表现与四个维度!$2:$2,0))</f>
        <v>紧货币宽信用</v>
      </c>
      <c r="G55" s="93" t="str" cm="1">
        <f t="array" ref="G55">INDEX(股债表现与四个维度!$A:$T,MATCH($A55,股债表现与四个维度!$A:$A,0),MATCH(G$4,股债表现与四个维度!$2:$2,0))</f>
        <v>双宽</v>
      </c>
      <c r="H55" s="93" t="str" cm="1">
        <f t="array" ref="H55">INDEX(股债表现与四个维度!$A:$T,MATCH($A55,股债表现与四个维度!$A:$A,0),MATCH(H$4,股债表现与四个维度!$2:$2,0))</f>
        <v>被动补库存</v>
      </c>
      <c r="I55" s="93" t="str" cm="1">
        <f t="array" ref="I55">INDEX(股债表现与四个维度!$A:$T,MATCH($A55,股债表现与四个维度!$A:$A,0),MATCH(I$4,股债表现与四个维度!$2:$2,0))</f>
        <v>产能周期下行,主动补库存</v>
      </c>
      <c r="J55" s="93" cm="1">
        <f t="array" ref="J55">INDEX(股债表现与四个维度!$A:$T,MATCH($A55,股债表现与四个维度!$A:$A,0),MATCH(J$3&amp;J$4,股债表现与四个维度!$2:$2&amp;股债表现与四个维度!$3:$3,0))</f>
        <v>0.2857142857142857</v>
      </c>
      <c r="K55" s="93" cm="1">
        <f t="array" ref="K55">INDEX(股债表现与四个维度!$A:$T,MATCH($A55,股债表现与四个维度!$A:$A,0),MATCH(K$3&amp;K$4,股债表现与四个维度!$2:$2&amp;股债表现与四个维度!$3:$3,0))</f>
        <v>0.14285714285714285</v>
      </c>
      <c r="L55" s="93" cm="1">
        <f t="array" ref="L55">INDEX(股债表现与四个维度!$A:$T,MATCH($A55,股债表现与四个维度!$A:$A,0),MATCH(L$3&amp;L$4,股债表现与四个维度!$2:$2&amp;股债表现与四个维度!$3:$3,0))</f>
        <v>0.2</v>
      </c>
      <c r="M55" s="93" cm="1">
        <f t="array" ref="M55">INDEX(股债表现与四个维度!$A:$T,MATCH($A55,股债表现与四个维度!$A:$A,0),MATCH(M$3&amp;M$4,股债表现与四个维度!$2:$2&amp;股债表现与四个维度!$3:$3,0))</f>
        <v>-0.53333333333333333</v>
      </c>
      <c r="N55" s="93"/>
      <c r="O55" s="93"/>
      <c r="P55" s="93" cm="1">
        <f t="array" ref="P55">INDEX(股债表现与四个维度!$A:$T,MATCH($A55,股债表现与四个维度!$A:$A,0),MATCH(P$3&amp;P$4,股债表现与四个维度!$2:$2&amp;股债表现与四个维度!$3:$3,0))</f>
        <v>0.2</v>
      </c>
      <c r="Q55" s="93" cm="1">
        <f t="array" ref="Q55">INDEX(股债表现与四个维度!$A:$T,MATCH($A55,股债表现与四个维度!$A:$A,0),MATCH(Q$3&amp;Q$4,股债表现与四个维度!$2:$2&amp;股债表现与四个维度!$3:$3,0))</f>
        <v>0.46666666666666667</v>
      </c>
      <c r="R55" s="93" cm="1">
        <f t="array" ref="R55">INDEX(股债表现与四个维度!$A:$T,MATCH($A55,股债表现与四个维度!$A:$A,0),MATCH(R$3&amp;R$4,股债表现与四个维度!$2:$2&amp;股债表现与四个维度!$3:$3,0))</f>
        <v>-0.2</v>
      </c>
      <c r="S55" s="93" cm="1">
        <f t="array" ref="S55">INDEX(股债表现与四个维度!$A:$T,MATCH($A55,股债表现与四个维度!$A:$A,0),MATCH(S$3&amp;S$4,股债表现与四个维度!$2:$2&amp;股债表现与四个维度!$3:$3,0))</f>
        <v>0.4</v>
      </c>
      <c r="T55">
        <f t="shared" si="49"/>
        <v>0.48571428571428571</v>
      </c>
      <c r="U55">
        <f t="shared" si="49"/>
        <v>0.47619047619047622</v>
      </c>
      <c r="V55">
        <f t="shared" si="7"/>
        <v>9.52380952380949E-3</v>
      </c>
      <c r="W55">
        <f t="shared" si="1"/>
        <v>10.916904294893671</v>
      </c>
      <c r="X55" t="e">
        <f t="shared" si="2"/>
        <v>#N/A</v>
      </c>
      <c r="Y55" s="92">
        <f t="shared" ref="Y55:Z55" si="60">AVERAGE(V55:V60)</f>
        <v>-0.28233433233433236</v>
      </c>
      <c r="Z55" s="92">
        <f t="shared" si="60"/>
        <v>-2.5273300318918506</v>
      </c>
      <c r="AA55">
        <f t="shared" si="23"/>
        <v>0.67873710699641732</v>
      </c>
      <c r="AB55">
        <v>0.67873710699641898</v>
      </c>
      <c r="AC55">
        <v>0.19500215194727055</v>
      </c>
    </row>
    <row r="56" spans="1:29" x14ac:dyDescent="0.35">
      <c r="A56" s="91">
        <f t="shared" si="42"/>
        <v>44469</v>
      </c>
      <c r="B56" s="93" cm="1">
        <f t="array" ref="B56">INDEX(股债表现与四个维度!$A:$T,MATCH($A56,股债表现与四个维度!$A:$A,0),MATCH(B$4,股债表现与四个维度!$2:$2,0))</f>
        <v>-1.0308358525903369</v>
      </c>
      <c r="C56" s="93" cm="1">
        <f t="array" ref="C56">INDEX(股债表现与四个维度!$A:$T,MATCH($A56,股债表现与四个维度!$A:$A,0),MATCH(C$4,股债表现与四个维度!$2:$2,0))</f>
        <v>1.27</v>
      </c>
      <c r="D56" s="93" t="e" cm="1">
        <f t="array" ref="D56">INDEX(股债表现与四个维度!$A:$T,MATCH($A56,股债表现与四个维度!$A:$A,0),MATCH(D$4,股债表现与四个维度!$2:$2,0))</f>
        <v>#N/A</v>
      </c>
      <c r="E56" s="93" t="str" cm="1">
        <f t="array" ref="E56">INDEX(股债表现与四个维度!$A:$T,MATCH($A56,股债表现与四个维度!$A:$A,0),MATCH(E$4,股债表现与四个维度!$2:$2,0))</f>
        <v>过热</v>
      </c>
      <c r="F56" s="93" t="str" cm="1">
        <f t="array" ref="F56">INDEX(股债表现与四个维度!$A:$T,MATCH($A56,股债表现与四个维度!$A:$A,0),MATCH(F$4,股债表现与四个维度!$2:$2,0))</f>
        <v>紧货币紧信用</v>
      </c>
      <c r="G56" s="93" t="str" cm="1">
        <f t="array" ref="G56">INDEX(股债表现与四个维度!$A:$T,MATCH($A56,股债表现与四个维度!$A:$A,0),MATCH(G$4,股债表现与四个维度!$2:$2,0))</f>
        <v>双宽</v>
      </c>
      <c r="H56" s="93" t="str" cm="1">
        <f t="array" ref="H56">INDEX(股债表现与四个维度!$A:$T,MATCH($A56,股债表现与四个维度!$A:$A,0),MATCH(H$4,股债表现与四个维度!$2:$2,0))</f>
        <v>被动补库存</v>
      </c>
      <c r="I56" s="93" t="str" cm="1">
        <f t="array" ref="I56">INDEX(股债表现与四个维度!$A:$T,MATCH($A56,股债表现与四个维度!$A:$A,0),MATCH(I$4,股债表现与四个维度!$2:$2,0))</f>
        <v>产能周期下行,主动补库存</v>
      </c>
      <c r="J56" s="93" cm="1">
        <f t="array" ref="J56">INDEX(股债表现与四个维度!$A:$T,MATCH($A56,股债表现与四个维度!$A:$A,0),MATCH(J$3&amp;J$4,股债表现与四个维度!$2:$2&amp;股债表现与四个维度!$3:$3,0))</f>
        <v>0.2857142857142857</v>
      </c>
      <c r="K56" s="93" cm="1">
        <f t="array" ref="K56">INDEX(股债表现与四个维度!$A:$T,MATCH($A56,股债表现与四个维度!$A:$A,0),MATCH(K$3&amp;K$4,股债表现与四个维度!$2:$2&amp;股债表现与四个维度!$3:$3,0))</f>
        <v>0.14285714285714285</v>
      </c>
      <c r="L56" s="93" cm="1">
        <f t="array" ref="L56">INDEX(股债表现与四个维度!$A:$T,MATCH($A56,股债表现与四个维度!$A:$A,0),MATCH(L$3&amp;L$4,股债表现与四个维度!$2:$2&amp;股债表现与四个维度!$3:$3,0))</f>
        <v>-6.25E-2</v>
      </c>
      <c r="M56" s="93" cm="1">
        <f t="array" ref="M56">INDEX(股债表现与四个维度!$A:$T,MATCH($A56,股债表现与四个维度!$A:$A,0),MATCH(M$3&amp;M$4,股债表现与四个维度!$2:$2&amp;股债表现与四个维度!$3:$3,0))</f>
        <v>0.1875</v>
      </c>
      <c r="N56" s="93"/>
      <c r="O56" s="93"/>
      <c r="P56" s="93" cm="1">
        <f t="array" ref="P56">INDEX(股债表现与四个维度!$A:$T,MATCH($A56,股债表现与四个维度!$A:$A,0),MATCH(P$3&amp;P$4,股债表现与四个维度!$2:$2&amp;股债表现与四个维度!$3:$3,0))</f>
        <v>0.14285714285714285</v>
      </c>
      <c r="Q56" s="93" cm="1">
        <f t="array" ref="Q56">INDEX(股债表现与四个维度!$A:$T,MATCH($A56,股债表现与四个维度!$A:$A,0),MATCH(Q$3&amp;Q$4,股债表现与四个维度!$2:$2&amp;股债表现与四个维度!$3:$3,0))</f>
        <v>0.42857142857142855</v>
      </c>
      <c r="R56" s="93" cm="1">
        <f t="array" ref="R56">INDEX(股债表现与四个维度!$A:$T,MATCH($A56,股债表现与四个维度!$A:$A,0),MATCH(R$3&amp;R$4,股债表现与四个维度!$2:$2&amp;股债表现与四个维度!$3:$3,0))</f>
        <v>-0.2</v>
      </c>
      <c r="S56" s="93" cm="1">
        <f t="array" ref="S56">INDEX(股债表现与四个维度!$A:$T,MATCH($A56,股债表现与四个维度!$A:$A,0),MATCH(S$3&amp;S$4,股债表现与四个维度!$2:$2&amp;股债表现与四个维度!$3:$3,0))</f>
        <v>0.4</v>
      </c>
      <c r="T56">
        <f t="shared" si="49"/>
        <v>0.16607142857142854</v>
      </c>
      <c r="U56">
        <f t="shared" si="49"/>
        <v>1.1589285714285715</v>
      </c>
      <c r="V56">
        <f t="shared" si="7"/>
        <v>-0.99285714285714299</v>
      </c>
      <c r="W56">
        <f t="shared" si="1"/>
        <v>0.23916414740966307</v>
      </c>
      <c r="X56" t="e">
        <f t="shared" si="2"/>
        <v>#N/A</v>
      </c>
      <c r="Y56" s="92">
        <f t="shared" ref="Y56:Z56" si="61">AVERAGE(V56:V61)</f>
        <v>-0.17722971472971474</v>
      </c>
      <c r="Z56" s="92">
        <f t="shared" si="61"/>
        <v>-4.8114025023001812</v>
      </c>
      <c r="AA56">
        <f t="shared" si="23"/>
        <v>0.54992496064167584</v>
      </c>
      <c r="AB56">
        <v>0.54992496064167795</v>
      </c>
      <c r="AC56">
        <v>1.178056035353382</v>
      </c>
    </row>
    <row r="57" spans="1:29" x14ac:dyDescent="0.35">
      <c r="A57" s="91">
        <f t="shared" si="42"/>
        <v>44439</v>
      </c>
      <c r="B57" s="93" cm="1">
        <f t="array" ref="B57">INDEX(股债表现与四个维度!$A:$T,MATCH($A57,股债表现与四个维度!$A:$A,0),MATCH(B$4,股债表现与四个维度!$2:$2,0))</f>
        <v>3.223383302733537</v>
      </c>
      <c r="C57" s="93" cm="1">
        <f t="array" ref="C57">INDEX(股债表现与四个维度!$A:$T,MATCH($A57,股债表现与四个维度!$A:$A,0),MATCH(C$4,股债表现与四个维度!$2:$2,0))</f>
        <v>-10.6736363636363</v>
      </c>
      <c r="D57" s="93" t="e" cm="1">
        <f t="array" ref="D57">INDEX(股债表现与四个维度!$A:$T,MATCH($A57,股债表现与四个维度!$A:$A,0),MATCH(D$4,股债表现与四个维度!$2:$2,0))</f>
        <v>#N/A</v>
      </c>
      <c r="E57" s="93" t="str" cm="1">
        <f t="array" ref="E57">INDEX(股债表现与四个维度!$A:$T,MATCH($A57,股债表现与四个维度!$A:$A,0),MATCH(E$4,股债表现与四个维度!$2:$2,0))</f>
        <v>复苏</v>
      </c>
      <c r="F57" s="93" t="str" cm="1">
        <f t="array" ref="F57">INDEX(股债表现与四个维度!$A:$T,MATCH($A57,股债表现与四个维度!$A:$A,0),MATCH(F$4,股债表现与四个维度!$2:$2,0))</f>
        <v>宽货币紧信用</v>
      </c>
      <c r="G57" s="93" t="str" cm="1">
        <f t="array" ref="G57">INDEX(股债表现与四个维度!$A:$T,MATCH($A57,股债表现与四个维度!$A:$A,0),MATCH(G$4,股债表现与四个维度!$2:$2,0))</f>
        <v>双宽</v>
      </c>
      <c r="H57" s="93" t="str" cm="1">
        <f t="array" ref="H57">INDEX(股债表现与四个维度!$A:$T,MATCH($A57,股债表现与四个维度!$A:$A,0),MATCH(H$4,股债表现与四个维度!$2:$2,0))</f>
        <v>被动补库存</v>
      </c>
      <c r="I57" s="93" t="str" cm="1">
        <f t="array" ref="I57">INDEX(股债表现与四个维度!$A:$T,MATCH($A57,股债表现与四个维度!$A:$A,0),MATCH(I$4,股债表现与四个维度!$2:$2,0))</f>
        <v>产能周期上行,被动补库存</v>
      </c>
      <c r="J57" s="93" cm="1">
        <f t="array" ref="J57">INDEX(股债表现与四个维度!$A:$T,MATCH($A57,股债表现与四个维度!$A:$A,0),MATCH(J$3&amp;J$4,股债表现与四个维度!$2:$2&amp;股债表现与四个维度!$3:$3,0))</f>
        <v>0</v>
      </c>
      <c r="K57" s="93" cm="1">
        <f t="array" ref="K57">INDEX(股债表现与四个维度!$A:$T,MATCH($A57,股债表现与四个维度!$A:$A,0),MATCH(K$3&amp;K$4,股债表现与四个维度!$2:$2&amp;股债表现与四个维度!$3:$3,0))</f>
        <v>0.21428571428571427</v>
      </c>
      <c r="L57" s="93" cm="1">
        <f t="array" ref="L57">INDEX(股债表现与四个维度!$A:$T,MATCH($A57,股债表现与四个维度!$A:$A,0),MATCH(L$3&amp;L$4,股债表现与四个维度!$2:$2&amp;股债表现与四个维度!$3:$3,0))</f>
        <v>0.25</v>
      </c>
      <c r="M57" s="93" cm="1">
        <f t="array" ref="M57">INDEX(股债表现与四个维度!$A:$T,MATCH($A57,股债表现与四个维度!$A:$A,0),MATCH(M$3&amp;M$4,股债表现与四个维度!$2:$2&amp;股债表现与四个维度!$3:$3,0))</f>
        <v>0.25</v>
      </c>
      <c r="N57" s="93"/>
      <c r="O57" s="93"/>
      <c r="P57" s="93" cm="1">
        <f t="array" ref="P57">INDEX(股债表现与四个维度!$A:$T,MATCH($A57,股债表现与四个维度!$A:$A,0),MATCH(P$3&amp;P$4,股债表现与四个维度!$2:$2&amp;股债表现与四个维度!$3:$3,0))</f>
        <v>0.23076923076923078</v>
      </c>
      <c r="Q57" s="93" cm="1">
        <f t="array" ref="Q57">INDEX(股债表现与四个维度!$A:$T,MATCH($A57,股债表现与四个维度!$A:$A,0),MATCH(Q$3&amp;Q$4,股债表现与四个维度!$2:$2&amp;股债表现与四个维度!$3:$3,0))</f>
        <v>0.38461538461538464</v>
      </c>
      <c r="R57" s="93" cm="1">
        <f t="array" ref="R57">INDEX(股债表现与四个维度!$A:$T,MATCH($A57,股债表现与四个维度!$A:$A,0),MATCH(R$3&amp;R$4,股债表现与四个维度!$2:$2&amp;股债表现与四个维度!$3:$3,0))</f>
        <v>1</v>
      </c>
      <c r="S57" s="93" cm="1">
        <f t="array" ref="S57">INDEX(股债表现与四个维度!$A:$T,MATCH($A57,股债表现与四个维度!$A:$A,0),MATCH(S$3&amp;S$4,股债表现与四个维度!$2:$2&amp;股债表现与四个维度!$3:$3,0))</f>
        <v>1</v>
      </c>
      <c r="T57">
        <f t="shared" si="49"/>
        <v>1.4807692307692308</v>
      </c>
      <c r="U57">
        <f t="shared" si="49"/>
        <v>1.848901098901099</v>
      </c>
      <c r="V57">
        <f t="shared" si="7"/>
        <v>-0.36813186813186816</v>
      </c>
      <c r="W57">
        <f t="shared" si="1"/>
        <v>-7.4502530609027628</v>
      </c>
      <c r="X57" t="e">
        <f t="shared" si="2"/>
        <v>#N/A</v>
      </c>
      <c r="Y57" s="92">
        <f t="shared" ref="Y57:Z57" si="62">AVERAGE(V57:V62)</f>
        <v>5.0650321900321892E-2</v>
      </c>
      <c r="Z57" s="92">
        <f t="shared" si="62"/>
        <v>-5.4854559535628598</v>
      </c>
      <c r="AA57">
        <f t="shared" si="23"/>
        <v>0.27748750117368842</v>
      </c>
      <c r="AB57">
        <v>0.27748750117368898</v>
      </c>
      <c r="AC57">
        <v>0.42051111539258784</v>
      </c>
    </row>
    <row r="58" spans="1:29" x14ac:dyDescent="0.35">
      <c r="A58" s="91">
        <f t="shared" si="42"/>
        <v>44408</v>
      </c>
      <c r="B58" s="93" cm="1">
        <f t="array" ref="B58">INDEX(股债表现与四个维度!$A:$T,MATCH($A58,股债表现与四个维度!$A:$A,0),MATCH(B$4,股债表现与四个维度!$2:$2,0))</f>
        <v>-3.096445555278255</v>
      </c>
      <c r="C58" s="93" cm="1">
        <f t="array" ref="C58">INDEX(股债表现与四个维度!$A:$T,MATCH($A58,股债表现与四个维度!$A:$A,0),MATCH(C$4,股债表现与四个维度!$2:$2,0))</f>
        <v>-13.394350649350701</v>
      </c>
      <c r="D58" s="93" t="e" cm="1">
        <f t="array" ref="D58">INDEX(股债表现与四个维度!$A:$T,MATCH($A58,股债表现与四个维度!$A:$A,0),MATCH(D$4,股债表现与四个维度!$2:$2,0))</f>
        <v>#N/A</v>
      </c>
      <c r="E58" s="93" t="str" cm="1">
        <f t="array" ref="E58">INDEX(股债表现与四个维度!$A:$T,MATCH($A58,股债表现与四个维度!$A:$A,0),MATCH(E$4,股债表现与四个维度!$2:$2,0))</f>
        <v>复苏</v>
      </c>
      <c r="F58" s="93" t="str" cm="1">
        <f t="array" ref="F58">INDEX(股债表现与四个维度!$A:$T,MATCH($A58,股债表现与四个维度!$A:$A,0),MATCH(F$4,股债表现与四个维度!$2:$2,0))</f>
        <v>宽货币紧信用</v>
      </c>
      <c r="G58" s="93" t="str" cm="1">
        <f t="array" ref="G58">INDEX(股债表现与四个维度!$A:$T,MATCH($A58,股债表现与四个维度!$A:$A,0),MATCH(G$4,股债表现与四个维度!$2:$2,0))</f>
        <v>双宽</v>
      </c>
      <c r="H58" s="93" t="str" cm="1">
        <f t="array" ref="H58">INDEX(股债表现与四个维度!$A:$T,MATCH($A58,股债表现与四个维度!$A:$A,0),MATCH(H$4,股债表现与四个维度!$2:$2,0))</f>
        <v>被动补库存</v>
      </c>
      <c r="I58" s="93" t="str" cm="1">
        <f t="array" ref="I58">INDEX(股债表现与四个维度!$A:$T,MATCH($A58,股债表现与四个维度!$A:$A,0),MATCH(I$4,股债表现与四个维度!$2:$2,0))</f>
        <v>产能周期上行,被动补库存</v>
      </c>
      <c r="J58" s="93" cm="1">
        <f t="array" ref="J58">INDEX(股债表现与四个维度!$A:$T,MATCH($A58,股债表现与四个维度!$A:$A,0),MATCH(J$3&amp;J$4,股债表现与四个维度!$2:$2&amp;股债表现与四个维度!$3:$3,0))</f>
        <v>6.6666666666666666E-2</v>
      </c>
      <c r="K58" s="93" cm="1">
        <f t="array" ref="K58">INDEX(股债表现与四个维度!$A:$T,MATCH($A58,股债表现与四个维度!$A:$A,0),MATCH(K$3&amp;K$4,股债表现与四个维度!$2:$2&amp;股债表现与四个维度!$3:$3,0))</f>
        <v>0.2</v>
      </c>
      <c r="L58" s="93" cm="1">
        <f t="array" ref="L58">INDEX(股债表现与四个维度!$A:$T,MATCH($A58,股债表现与四个维度!$A:$A,0),MATCH(L$3&amp;L$4,股债表现与四个维度!$2:$2&amp;股债表现与四个维度!$3:$3,0))</f>
        <v>0.2</v>
      </c>
      <c r="M58" s="93" cm="1">
        <f t="array" ref="M58">INDEX(股债表现与四个维度!$A:$T,MATCH($A58,股债表现与四个维度!$A:$A,0),MATCH(M$3&amp;M$4,股债表现与四个维度!$2:$2&amp;股债表现与四个维度!$3:$3,0))</f>
        <v>0.2</v>
      </c>
      <c r="N58" s="93"/>
      <c r="O58" s="93"/>
      <c r="P58" s="93" cm="1">
        <f t="array" ref="P58">INDEX(股债表现与四个维度!$A:$T,MATCH($A58,股债表现与四个维度!$A:$A,0),MATCH(P$3&amp;P$4,股债表现与四个维度!$2:$2&amp;股债表现与四个维度!$3:$3,0))</f>
        <v>0.23076923076923078</v>
      </c>
      <c r="Q58" s="93" cm="1">
        <f t="array" ref="Q58">INDEX(股债表现与四个维度!$A:$T,MATCH($A58,股债表现与四个维度!$A:$A,0),MATCH(Q$3&amp;Q$4,股债表现与四个维度!$2:$2&amp;股债表现与四个维度!$3:$3,0))</f>
        <v>0.38461538461538464</v>
      </c>
      <c r="R58" s="93" cm="1">
        <f t="array" ref="R58">INDEX(股债表现与四个维度!$A:$T,MATCH($A58,股债表现与四个维度!$A:$A,0),MATCH(R$3&amp;R$4,股债表现与四个维度!$2:$2&amp;股债表现与四个维度!$3:$3,0))</f>
        <v>-0.26666666666666666</v>
      </c>
      <c r="S58" s="93" cm="1">
        <f t="array" ref="S58">INDEX(股债表现与四个维度!$A:$T,MATCH($A58,股债表现与四个维度!$A:$A,0),MATCH(S$3&amp;S$4,股债表现与四个维度!$2:$2&amp;股债表现与四个维度!$3:$3,0))</f>
        <v>-0.26666666666666666</v>
      </c>
      <c r="T58">
        <f t="shared" si="49"/>
        <v>0.23076923076923078</v>
      </c>
      <c r="U58">
        <f t="shared" si="49"/>
        <v>0.51794871794871811</v>
      </c>
      <c r="V58">
        <f t="shared" si="7"/>
        <v>-0.28717948717948732</v>
      </c>
      <c r="W58">
        <f t="shared" si="1"/>
        <v>-16.490796204628957</v>
      </c>
      <c r="X58" t="e">
        <f t="shared" si="2"/>
        <v>#N/A</v>
      </c>
      <c r="Y58" s="92">
        <f t="shared" ref="Y58:Z58" si="63">AVERAGE(V58:V63)</f>
        <v>0.3874685962185962</v>
      </c>
      <c r="Z58" s="92">
        <f t="shared" si="63"/>
        <v>-2.6861783039378793</v>
      </c>
      <c r="AA58">
        <f t="shared" si="23"/>
        <v>0.20601753453610724</v>
      </c>
      <c r="AB58">
        <v>0.20601753453610799</v>
      </c>
      <c r="AC58">
        <v>0.7577925966186928</v>
      </c>
    </row>
    <row r="59" spans="1:29" x14ac:dyDescent="0.35">
      <c r="A59" s="91">
        <f t="shared" si="42"/>
        <v>44377</v>
      </c>
      <c r="B59" s="93" cm="1">
        <f t="array" ref="B59">INDEX(股债表现与四个维度!$A:$T,MATCH($A59,股债表现与四个维度!$A:$A,0),MATCH(B$4,股债表现与四个维度!$2:$2,0))</f>
        <v>1.4197527667074319</v>
      </c>
      <c r="C59" s="93" cm="1">
        <f t="array" ref="C59">INDEX(股债表现与四个维度!$A:$T,MATCH($A59,股债表现与四个维度!$A:$A,0),MATCH(C$4,股债表现与四个维度!$2:$2,0))</f>
        <v>-2.0911278195489</v>
      </c>
      <c r="D59" s="93" t="e" cm="1">
        <f t="array" ref="D59">INDEX(股债表现与四个维度!$A:$T,MATCH($A59,股债表现与四个维度!$A:$A,0),MATCH(D$4,股债表现与四个维度!$2:$2,0))</f>
        <v>#N/A</v>
      </c>
      <c r="E59" s="93" t="str" cm="1">
        <f t="array" ref="E59">INDEX(股债表现与四个维度!$A:$T,MATCH($A59,股债表现与四个维度!$A:$A,0),MATCH(E$4,股债表现与四个维度!$2:$2,0))</f>
        <v>过热</v>
      </c>
      <c r="F59" s="93" t="str" cm="1">
        <f t="array" ref="F59">INDEX(股债表现与四个维度!$A:$T,MATCH($A59,股债表现与四个维度!$A:$A,0),MATCH(F$4,股债表现与四个维度!$2:$2,0))</f>
        <v>宽货币紧信用</v>
      </c>
      <c r="G59" s="93" t="str" cm="1">
        <f t="array" ref="G59">INDEX(股债表现与四个维度!$A:$T,MATCH($A59,股债表现与四个维度!$A:$A,0),MATCH(G$4,股债表现与四个维度!$2:$2,0))</f>
        <v>双宽</v>
      </c>
      <c r="H59" s="93" t="str" cm="1">
        <f t="array" ref="H59">INDEX(股债表现与四个维度!$A:$T,MATCH($A59,股债表现与四个维度!$A:$A,0),MATCH(H$4,股债表现与四个维度!$2:$2,0))</f>
        <v>主动补库存</v>
      </c>
      <c r="I59" s="93" t="str" cm="1">
        <f t="array" ref="I59">INDEX(股债表现与四个维度!$A:$T,MATCH($A59,股债表现与四个维度!$A:$A,0),MATCH(I$4,股债表现与四个维度!$2:$2,0))</f>
        <v>产能周期上行,被动补库存</v>
      </c>
      <c r="J59" s="93" cm="1">
        <f t="array" ref="J59">INDEX(股债表现与四个维度!$A:$T,MATCH($A59,股债表现与四个维度!$A:$A,0),MATCH(J$3&amp;J$4,股债表现与四个维度!$2:$2&amp;股债表现与四个维度!$3:$3,0))</f>
        <v>0.16666666666666666</v>
      </c>
      <c r="K59" s="93" cm="1">
        <f t="array" ref="K59">INDEX(股债表现与四个维度!$A:$T,MATCH($A59,股债表现与四个维度!$A:$A,0),MATCH(K$3&amp;K$4,股债表现与四个维度!$2:$2&amp;股债表现与四个维度!$3:$3,0))</f>
        <v>0</v>
      </c>
      <c r="L59" s="93" cm="1">
        <f t="array" ref="L59">INDEX(股债表现与四个维度!$A:$T,MATCH($A59,股债表现与四个维度!$A:$A,0),MATCH(L$3&amp;L$4,股债表现与四个维度!$2:$2&amp;股债表现与四个维度!$3:$3,0))</f>
        <v>0.14285714285714285</v>
      </c>
      <c r="M59" s="93" cm="1">
        <f t="array" ref="M59">INDEX(股债表现与四个维度!$A:$T,MATCH($A59,股债表现与四个维度!$A:$A,0),MATCH(M$3&amp;M$4,股债表现与四个维度!$2:$2&amp;股债表现与四个维度!$3:$3,0))</f>
        <v>0.14285714285714285</v>
      </c>
      <c r="N59" s="93"/>
      <c r="O59" s="93"/>
      <c r="P59" s="93" cm="1">
        <f t="array" ref="P59">INDEX(股债表现与四个维度!$A:$T,MATCH($A59,股债表现与四个维度!$A:$A,0),MATCH(P$3&amp;P$4,股债表现与四个维度!$2:$2&amp;股债表现与四个维度!$3:$3,0))</f>
        <v>-0.25</v>
      </c>
      <c r="Q59" s="93" cm="1">
        <f t="array" ref="Q59">INDEX(股债表现与四个维度!$A:$T,MATCH($A59,股债表现与四个维度!$A:$A,0),MATCH(Q$3&amp;Q$4,股债表现与四个维度!$2:$2&amp;股债表现与四个维度!$3:$3,0))</f>
        <v>0</v>
      </c>
      <c r="R59" s="93" cm="1">
        <f t="array" ref="R59">INDEX(股债表现与四个维度!$A:$T,MATCH($A59,股债表现与四个维度!$A:$A,0),MATCH(R$3&amp;R$4,股债表现与四个维度!$2:$2&amp;股债表现与四个维度!$3:$3,0))</f>
        <v>-0.26666666666666666</v>
      </c>
      <c r="S59" s="93" cm="1">
        <f t="array" ref="S59">INDEX(股债表现与四个维度!$A:$T,MATCH($A59,股债表现与四个维度!$A:$A,0),MATCH(S$3&amp;S$4,股债表现与四个维度!$2:$2&amp;股债表现与四个维度!$3:$3,0))</f>
        <v>-0.26666666666666666</v>
      </c>
      <c r="T59">
        <f t="shared" si="49"/>
        <v>-0.20714285714285713</v>
      </c>
      <c r="U59">
        <f t="shared" si="49"/>
        <v>-0.12380952380952381</v>
      </c>
      <c r="V59">
        <f t="shared" si="7"/>
        <v>-8.3333333333333315E-2</v>
      </c>
      <c r="W59">
        <f t="shared" si="1"/>
        <v>-0.67137505284146815</v>
      </c>
      <c r="X59" t="e">
        <f t="shared" si="2"/>
        <v>#N/A</v>
      </c>
      <c r="Y59" s="92">
        <f t="shared" ref="Y59:Z59" si="64">AVERAGE(V59:V64)</f>
        <v>0.57982804836065716</v>
      </c>
      <c r="Z59" s="92">
        <f t="shared" si="64"/>
        <v>-1.5390669434986384</v>
      </c>
      <c r="AA59">
        <f t="shared" si="23"/>
        <v>0.10405242927139023</v>
      </c>
      <c r="AB59">
        <v>0.10405242927139</v>
      </c>
      <c r="AC59">
        <v>-1.0586539073888157</v>
      </c>
    </row>
    <row r="60" spans="1:29" x14ac:dyDescent="0.35">
      <c r="A60" s="91">
        <f t="shared" si="42"/>
        <v>44347</v>
      </c>
      <c r="B60" s="93" cm="1">
        <f t="array" ref="B60">INDEX(股债表现与四个维度!$A:$T,MATCH($A60,股债表现与四个维度!$A:$A,0),MATCH(B$4,股债表现与四个维度!$2:$2,0))</f>
        <v>5.1350790340010493</v>
      </c>
      <c r="C60" s="93" cm="1">
        <f t="array" ref="C60">INDEX(股债表现与四个维度!$A:$T,MATCH($A60,股债表现与四个维度!$A:$A,0),MATCH(C$4,股债表现与四个维度!$2:$2,0))</f>
        <v>-6.8427033492823002</v>
      </c>
      <c r="D60" s="93" t="e" cm="1">
        <f t="array" ref="D60">INDEX(股债表现与四个维度!$A:$T,MATCH($A60,股债表现与四个维度!$A:$A,0),MATCH(D$4,股债表现与四个维度!$2:$2,0))</f>
        <v>#N/A</v>
      </c>
      <c r="E60" s="93" t="str" cm="1">
        <f t="array" ref="E60">INDEX(股债表现与四个维度!$A:$T,MATCH($A60,股债表现与四个维度!$A:$A,0),MATCH(E$4,股债表现与四个维度!$2:$2,0))</f>
        <v>过热</v>
      </c>
      <c r="F60" s="93" t="str" cm="1">
        <f t="array" ref="F60">INDEX(股债表现与四个维度!$A:$T,MATCH($A60,股债表现与四个维度!$A:$A,0),MATCH(F$4,股债表现与四个维度!$2:$2,0))</f>
        <v>宽货币紧信用</v>
      </c>
      <c r="G60" s="93" t="str" cm="1">
        <f t="array" ref="G60">INDEX(股债表现与四个维度!$A:$T,MATCH($A60,股债表现与四个维度!$A:$A,0),MATCH(G$4,股债表现与四个维度!$2:$2,0))</f>
        <v>双宽</v>
      </c>
      <c r="H60" s="93" t="str" cm="1">
        <f t="array" ref="H60">INDEX(股债表现与四个维度!$A:$T,MATCH($A60,股债表现与四个维度!$A:$A,0),MATCH(H$4,股债表现与四个维度!$2:$2,0))</f>
        <v>被动补库存</v>
      </c>
      <c r="I60" s="93" t="str" cm="1">
        <f t="array" ref="I60">INDEX(股债表现与四个维度!$A:$T,MATCH($A60,股债表现与四个维度!$A:$A,0),MATCH(I$4,股债表现与四个维度!$2:$2,0))</f>
        <v>产能周期下行,被动补库存</v>
      </c>
      <c r="J60" s="93" cm="1">
        <f t="array" ref="J60">INDEX(股债表现与四个维度!$A:$T,MATCH($A60,股债表现与四个维度!$A:$A,0),MATCH(J$3&amp;J$4,股债表现与四个维度!$2:$2&amp;股债表现与四个维度!$3:$3,0))</f>
        <v>9.0909090909090912E-2</v>
      </c>
      <c r="K60" s="93" cm="1">
        <f t="array" ref="K60">INDEX(股债表现与四个维度!$A:$T,MATCH($A60,股债表现与四个维度!$A:$A,0),MATCH(K$3&amp;K$4,股债表现与四个维度!$2:$2&amp;股债表现与四个维度!$3:$3,0))</f>
        <v>-9.0909090909090912E-2</v>
      </c>
      <c r="L60" s="93" cm="1">
        <f t="array" ref="L60">INDEX(股债表现与四个维度!$A:$T,MATCH($A60,股债表现与四个维度!$A:$A,0),MATCH(L$3&amp;L$4,股债表现与四个维度!$2:$2&amp;股债表现与四个维度!$3:$3,0))</f>
        <v>7.6923076923076927E-2</v>
      </c>
      <c r="M60" s="93" cm="1">
        <f t="array" ref="M60">INDEX(股债表现与四个维度!$A:$T,MATCH($A60,股债表现与四个维度!$A:$A,0),MATCH(M$3&amp;M$4,股债表现与四个维度!$2:$2&amp;股债表现与四个维度!$3:$3,0))</f>
        <v>7.6923076923076927E-2</v>
      </c>
      <c r="N60" s="93"/>
      <c r="O60" s="93"/>
      <c r="P60" s="93" cm="1">
        <f t="array" ref="P60">INDEX(股债表现与四个维度!$A:$T,MATCH($A60,股债表现与四个维度!$A:$A,0),MATCH(P$3&amp;P$4,股债表现与四个维度!$2:$2&amp;股债表现与四个维度!$3:$3,0))</f>
        <v>7.6923076923076927E-2</v>
      </c>
      <c r="Q60" s="93" cm="1">
        <f t="array" ref="Q60">INDEX(股债表现与四个维度!$A:$T,MATCH($A60,股债表现与四个维度!$A:$A,0),MATCH(Q$3&amp;Q$4,股债表现与四个维度!$2:$2&amp;股债表现与四个维度!$3:$3,0))</f>
        <v>0.23076923076923078</v>
      </c>
      <c r="R60" s="93" cm="1">
        <f t="array" ref="R60">INDEX(股债表现与四个维度!$A:$T,MATCH($A60,股债表现与四个维度!$A:$A,0),MATCH(R$3&amp;R$4,股债表现与四个维度!$2:$2&amp;股债表现与四个维度!$3:$3,0))</f>
        <v>-0.26666666666666666</v>
      </c>
      <c r="S60" s="93" cm="1">
        <f t="array" ref="S60">INDEX(股债表现与四个维度!$A:$T,MATCH($A60,股债表现与四个维度!$A:$A,0),MATCH(S$3&amp;S$4,股债表现与四个维度!$2:$2&amp;股债表现与四个维度!$3:$3,0))</f>
        <v>-0.26666666666666666</v>
      </c>
      <c r="T60">
        <f t="shared" si="49"/>
        <v>-2.1911421911421897E-2</v>
      </c>
      <c r="U60">
        <f t="shared" si="49"/>
        <v>-4.9883449883449865E-2</v>
      </c>
      <c r="V60">
        <f t="shared" si="7"/>
        <v>2.7972027972027969E-2</v>
      </c>
      <c r="W60">
        <f t="shared" si="1"/>
        <v>-1.7076243152812509</v>
      </c>
      <c r="X60" t="e">
        <f t="shared" si="2"/>
        <v>#N/A</v>
      </c>
      <c r="Y60" s="92">
        <f t="shared" ref="Y60:Z60" si="65">AVERAGE(V60:V65)</f>
        <v>0.62652579505840378</v>
      </c>
      <c r="Z60" s="92">
        <f t="shared" si="65"/>
        <v>-1.1114076093567522</v>
      </c>
      <c r="AA60">
        <f t="shared" si="23"/>
        <v>0.57093549458306614</v>
      </c>
      <c r="AB60">
        <v>0.57093549458306703</v>
      </c>
      <c r="AC60">
        <v>2.5797146500553856</v>
      </c>
    </row>
    <row r="61" spans="1:29" x14ac:dyDescent="0.35">
      <c r="A61" s="91">
        <f t="shared" si="42"/>
        <v>44316</v>
      </c>
      <c r="B61" s="93" cm="1">
        <f t="array" ref="B61">INDEX(股债表现与四个维度!$A:$T,MATCH($A61,股债表现与四个维度!$A:$A,0),MATCH(B$4,股债表现与四个维度!$2:$2,0))</f>
        <v>2.2146631483329902</v>
      </c>
      <c r="C61" s="93" cm="1">
        <f t="array" ref="C61">INDEX(股债表现与四个维度!$A:$T,MATCH($A61,股债表现与四个维度!$A:$A,0),MATCH(C$4,股债表现与四个维度!$2:$2,0))</f>
        <v>-5.0021936758893002</v>
      </c>
      <c r="D61" s="93" t="e" cm="1">
        <f t="array" ref="D61">INDEX(股债表现与四个维度!$A:$T,MATCH($A61,股债表现与四个维度!$A:$A,0),MATCH(D$4,股债表现与四个维度!$2:$2,0))</f>
        <v>#N/A</v>
      </c>
      <c r="E61" s="93" t="str" cm="1">
        <f t="array" ref="E61">INDEX(股债表现与四个维度!$A:$T,MATCH($A61,股债表现与四个维度!$A:$A,0),MATCH(E$4,股债表现与四个维度!$2:$2,0))</f>
        <v>过热</v>
      </c>
      <c r="F61" s="93" t="str" cm="1">
        <f t="array" ref="F61">INDEX(股债表现与四个维度!$A:$T,MATCH($A61,股债表现与四个维度!$A:$A,0),MATCH(F$4,股债表现与四个维度!$2:$2,0))</f>
        <v>宽货币紧信用</v>
      </c>
      <c r="G61" s="93" t="str" cm="1">
        <f t="array" ref="G61">INDEX(股债表现与四个维度!$A:$T,MATCH($A61,股债表现与四个维度!$A:$A,0),MATCH(G$4,股债表现与四个维度!$2:$2,0))</f>
        <v>双宽</v>
      </c>
      <c r="H61" s="93" t="str" cm="1">
        <f t="array" ref="H61">INDEX(股债表现与四个维度!$A:$T,MATCH($A61,股债表现与四个维度!$A:$A,0),MATCH(H$4,股债表现与四个维度!$2:$2,0))</f>
        <v>主动去库存</v>
      </c>
      <c r="I61" s="93" t="str" cm="1">
        <f t="array" ref="I61">INDEX(股债表现与四个维度!$A:$T,MATCH($A61,股债表现与四个维度!$A:$A,0),MATCH(I$4,股债表现与四个维度!$2:$2,0))</f>
        <v>产能周期下行,主动去库存</v>
      </c>
      <c r="J61" s="93" cm="1">
        <f t="array" ref="J61">INDEX(股债表现与四个维度!$A:$T,MATCH($A61,股债表现与四个维度!$A:$A,0),MATCH(J$3&amp;J$4,股债表现与四个维度!$2:$2&amp;股债表现与四个维度!$3:$3,0))</f>
        <v>9.0909090909090912E-2</v>
      </c>
      <c r="K61" s="93" cm="1">
        <f t="array" ref="K61">INDEX(股债表现与四个维度!$A:$T,MATCH($A61,股债表现与四个维度!$A:$A,0),MATCH(K$3&amp;K$4,股债表现与四个维度!$2:$2&amp;股债表现与四个维度!$3:$3,0))</f>
        <v>-9.0909090909090912E-2</v>
      </c>
      <c r="L61" s="93" cm="1">
        <f t="array" ref="L61">INDEX(股债表现与四个维度!$A:$T,MATCH($A61,股债表现与四个维度!$A:$A,0),MATCH(L$3&amp;L$4,股债表现与四个维度!$2:$2&amp;股债表现与四个维度!$3:$3,0))</f>
        <v>0.16666666666666666</v>
      </c>
      <c r="M61" s="93" cm="1">
        <f t="array" ref="M61">INDEX(股债表现与四个维度!$A:$T,MATCH($A61,股债表现与四个维度!$A:$A,0),MATCH(M$3&amp;M$4,股债表现与四个维度!$2:$2&amp;股债表现与四个维度!$3:$3,0))</f>
        <v>8.3333333333333329E-2</v>
      </c>
      <c r="N61" s="93"/>
      <c r="O61" s="93"/>
      <c r="P61" s="93" cm="1">
        <f t="array" ref="P61">INDEX(股债表现与四个维度!$A:$T,MATCH($A61,股债表现与四个维度!$A:$A,0),MATCH(P$3&amp;P$4,股债表现与四个维度!$2:$2&amp;股债表现与四个维度!$3:$3,0))</f>
        <v>0.375</v>
      </c>
      <c r="Q61" s="93" cm="1">
        <f t="array" ref="Q61">INDEX(股债表现与四个维度!$A:$T,MATCH($A61,股债表现与四个维度!$A:$A,0),MATCH(Q$3&amp;Q$4,股债表现与四个维度!$2:$2&amp;股债表现与四个维度!$3:$3,0))</f>
        <v>0</v>
      </c>
      <c r="R61" s="93" cm="1">
        <f t="array" ref="R61">INDEX(股债表现与四个维度!$A:$T,MATCH($A61,股债表现与四个维度!$A:$A,0),MATCH(R$3&amp;R$4,股债表现与四个维度!$2:$2&amp;股债表现与四个维度!$3:$3,0))</f>
        <v>-0.26666666666666666</v>
      </c>
      <c r="S61" s="93" cm="1">
        <f t="array" ref="S61">INDEX(股债表现与四个维度!$A:$T,MATCH($A61,股债表现与四个维度!$A:$A,0),MATCH(S$3&amp;S$4,股债表现与四个维度!$2:$2&amp;股债表现与四个维度!$3:$3,0))</f>
        <v>-0.26666666666666666</v>
      </c>
      <c r="T61">
        <f t="shared" si="49"/>
        <v>0.36590909090909091</v>
      </c>
      <c r="U61">
        <f t="shared" si="49"/>
        <v>-0.27424242424242423</v>
      </c>
      <c r="V61">
        <f t="shared" si="7"/>
        <v>0.64015151515151514</v>
      </c>
      <c r="W61">
        <f t="shared" si="1"/>
        <v>-2.78753052755631</v>
      </c>
      <c r="X61" t="e">
        <f t="shared" si="2"/>
        <v>#N/A</v>
      </c>
      <c r="Y61" s="92">
        <f t="shared" ref="Y61:Z61" si="66">AVERAGE(V61:V66)</f>
        <v>0.7531214216540304</v>
      </c>
      <c r="Z61" s="92">
        <f t="shared" si="66"/>
        <v>0.87692171353914949</v>
      </c>
      <c r="AA61">
        <f t="shared" si="23"/>
        <v>0.16688745104153357</v>
      </c>
      <c r="AB61">
        <v>0.16688745104153299</v>
      </c>
      <c r="AC61">
        <v>-0.57787072618117707</v>
      </c>
    </row>
    <row r="62" spans="1:29" x14ac:dyDescent="0.35">
      <c r="A62" s="91">
        <f t="shared" si="42"/>
        <v>44286</v>
      </c>
      <c r="B62" s="93" cm="1">
        <f t="array" ref="B62">INDEX(股债表现与四个维度!$A:$T,MATCH($A62,股债表现与四个维度!$A:$A,0),MATCH(B$4,股债表现与四个维度!$2:$2,0))</f>
        <v>-3.137483925895312</v>
      </c>
      <c r="C62" s="93" cm="1">
        <f t="array" ref="C62">INDEX(股债表现与四个维度!$A:$T,MATCH($A62,股债表现与四个维度!$A:$A,0),MATCH(C$4,股债表现与四个维度!$2:$2,0))</f>
        <v>-0.66767263427110002</v>
      </c>
      <c r="D62" s="93" t="e" cm="1">
        <f t="array" ref="D62">INDEX(股债表现与四个维度!$A:$T,MATCH($A62,股债表现与四个维度!$A:$A,0),MATCH(D$4,股债表现与四个维度!$2:$2,0))</f>
        <v>#N/A</v>
      </c>
      <c r="E62" s="93" t="str" cm="1">
        <f t="array" ref="E62">INDEX(股债表现与四个维度!$A:$T,MATCH($A62,股债表现与四个维度!$A:$A,0),MATCH(E$4,股债表现与四个维度!$2:$2,0))</f>
        <v>复苏</v>
      </c>
      <c r="F62" s="93" t="str" cm="1">
        <f t="array" ref="F62">INDEX(股债表现与四个维度!$A:$T,MATCH($A62,股债表现与四个维度!$A:$A,0),MATCH(F$4,股债表现与四个维度!$2:$2,0))</f>
        <v>宽货币紧信用</v>
      </c>
      <c r="G62" s="93" t="str" cm="1">
        <f t="array" ref="G62">INDEX(股债表现与四个维度!$A:$T,MATCH($A62,股债表现与四个维度!$A:$A,0),MATCH(G$4,股债表现与四个维度!$2:$2,0))</f>
        <v>双紧</v>
      </c>
      <c r="H62" s="93" t="str" cm="1">
        <f t="array" ref="H62">INDEX(股债表现与四个维度!$A:$T,MATCH($A62,股债表现与四个维度!$A:$A,0),MATCH(H$4,股债表现与四个维度!$2:$2,0))</f>
        <v>主动去库存</v>
      </c>
      <c r="I62" s="93" t="str" cm="1">
        <f t="array" ref="I62">INDEX(股债表现与四个维度!$A:$T,MATCH($A62,股债表现与四个维度!$A:$A,0),MATCH(I$4,股债表现与四个维度!$2:$2,0))</f>
        <v>产能周期下行,主动去库存</v>
      </c>
      <c r="J62" s="93" cm="1">
        <f t="array" ref="J62">INDEX(股债表现与四个维度!$A:$T,MATCH($A62,股债表现与四个维度!$A:$A,0),MATCH(J$3&amp;J$4,股债表现与四个维度!$2:$2&amp;股债表现与四个维度!$3:$3,0))</f>
        <v>6.25E-2</v>
      </c>
      <c r="K62" s="93" cm="1">
        <f t="array" ref="K62">INDEX(股债表现与四个维度!$A:$T,MATCH($A62,股债表现与四个维度!$A:$A,0),MATCH(K$3&amp;K$4,股债表现与四个维度!$2:$2&amp;股债表现与四个维度!$3:$3,0))</f>
        <v>0.125</v>
      </c>
      <c r="L62" s="93" cm="1">
        <f t="array" ref="L62">INDEX(股债表现与四个维度!$A:$T,MATCH($A62,股债表现与四个维度!$A:$A,0),MATCH(L$3&amp;L$4,股债表现与四个维度!$2:$2&amp;股债表现与四个维度!$3:$3,0))</f>
        <v>7.6923076923076927E-2</v>
      </c>
      <c r="M62" s="93" cm="1">
        <f t="array" ref="M62">INDEX(股债表现与四个维度!$A:$T,MATCH($A62,股债表现与四个维度!$A:$A,0),MATCH(M$3&amp;M$4,股债表现与四个维度!$2:$2&amp;股债表现与四个维度!$3:$3,0))</f>
        <v>0</v>
      </c>
      <c r="N62" s="93"/>
      <c r="O62" s="93"/>
      <c r="P62" s="93" cm="1">
        <f t="array" ref="P62">INDEX(股债表现与四个维度!$A:$T,MATCH($A62,股债表现与四个维度!$A:$A,0),MATCH(P$3&amp;P$4,股债表现与四个维度!$2:$2&amp;股债表现与四个维度!$3:$3,0))</f>
        <v>0.32</v>
      </c>
      <c r="Q62" s="93" cm="1">
        <f t="array" ref="Q62">INDEX(股债表现与四个维度!$A:$T,MATCH($A62,股债表现与四个维度!$A:$A,0),MATCH(Q$3&amp;Q$4,股债表现与四个维度!$2:$2&amp;股债表现与四个维度!$3:$3,0))</f>
        <v>-0.04</v>
      </c>
      <c r="R62" s="93" cm="1">
        <f t="array" ref="R62">INDEX(股债表现与四个维度!$A:$T,MATCH($A62,股债表现与四个维度!$A:$A,0),MATCH(R$3&amp;R$4,股债表现与四个维度!$2:$2&amp;股债表现与四个维度!$3:$3,0))</f>
        <v>-0.3125</v>
      </c>
      <c r="S62" s="93" cm="1">
        <f t="array" ref="S62">INDEX(股债表现与四个维度!$A:$T,MATCH($A62,股债表现与四个维度!$A:$A,0),MATCH(S$3&amp;S$4,股债表现与四个维度!$2:$2&amp;股债表现与四个维度!$3:$3,0))</f>
        <v>-0.3125</v>
      </c>
      <c r="T62">
        <f t="shared" si="49"/>
        <v>0.14692307692307693</v>
      </c>
      <c r="U62">
        <f t="shared" si="49"/>
        <v>-0.22750000000000001</v>
      </c>
      <c r="V62">
        <f t="shared" si="7"/>
        <v>0.37442307692307697</v>
      </c>
      <c r="W62">
        <f t="shared" si="1"/>
        <v>-3.8051565601664121</v>
      </c>
      <c r="X62" t="e">
        <f t="shared" si="2"/>
        <v>#N/A</v>
      </c>
      <c r="Y62" s="92">
        <f t="shared" ref="Y62:Z62" si="67">AVERAGE(V62:V67)</f>
        <v>0.81627077230338096</v>
      </c>
      <c r="Z62" s="92">
        <f t="shared" si="67"/>
        <v>2.8496284926328115</v>
      </c>
      <c r="AA62">
        <f t="shared" si="23"/>
        <v>0.30400821165300579</v>
      </c>
      <c r="AB62">
        <v>0.30400821165300601</v>
      </c>
      <c r="AC62">
        <v>-0.45656872145454325</v>
      </c>
    </row>
    <row r="63" spans="1:29" x14ac:dyDescent="0.35">
      <c r="A63" s="91">
        <f t="shared" si="42"/>
        <v>44255</v>
      </c>
      <c r="B63" s="93" cm="1">
        <f t="array" ref="B63">INDEX(股债表现与四个维度!$A:$T,MATCH($A63,股债表现与四个维度!$A:$A,0),MATCH(B$4,股债表现与四个维度!$2:$2,0))</f>
        <v>-6.9989278587770003E-3</v>
      </c>
      <c r="C63" s="93" cm="1">
        <f t="array" ref="C63">INDEX(股债表现与四个维度!$A:$T,MATCH($A63,股债表现与四个维度!$A:$A,0),MATCH(C$4,股债表现与四个维度!$2:$2,0))</f>
        <v>9.3524117647059004</v>
      </c>
      <c r="D63" s="93" t="e" cm="1">
        <f t="array" ref="D63">INDEX(股债表现与四个维度!$A:$T,MATCH($A63,股债表现与四个维度!$A:$A,0),MATCH(D$4,股债表现与四个维度!$2:$2,0))</f>
        <v>#N/A</v>
      </c>
      <c r="E63" s="93" t="str" cm="1">
        <f t="array" ref="E63">INDEX(股债表现与四个维度!$A:$T,MATCH($A63,股债表现与四个维度!$A:$A,0),MATCH(E$4,股债表现与四个维度!$2:$2,0))</f>
        <v>复苏</v>
      </c>
      <c r="F63" s="93" t="str" cm="1">
        <f t="array" ref="F63">INDEX(股债表现与四个维度!$A:$T,MATCH($A63,股债表现与四个维度!$A:$A,0),MATCH(F$4,股债表现与四个维度!$2:$2,0))</f>
        <v>紧货币宽信用</v>
      </c>
      <c r="G63" s="93" t="str" cm="1">
        <f t="array" ref="G63">INDEX(股债表现与四个维度!$A:$T,MATCH($A63,股债表现与四个维度!$A:$A,0),MATCH(G$4,股债表现与四个维度!$2:$2,0))</f>
        <v>双宽</v>
      </c>
      <c r="H63" s="93" t="str" cm="1">
        <f t="array" ref="H63">INDEX(股债表现与四个维度!$A:$T,MATCH($A63,股债表现与四个维度!$A:$A,0),MATCH(H$4,股债表现与四个维度!$2:$2,0))</f>
        <v>被动去库存</v>
      </c>
      <c r="I63" s="93" t="str" cm="1">
        <f t="array" ref="I63">INDEX(股债表现与四个维度!$A:$T,MATCH($A63,股债表现与四个维度!$A:$A,0),MATCH(I$4,股债表现与四个维度!$2:$2,0))</f>
        <v>产能周期上行,主动去库存</v>
      </c>
      <c r="J63" s="93" cm="1">
        <f t="array" ref="J63">INDEX(股债表现与四个维度!$A:$T,MATCH($A63,股债表现与四个维度!$A:$A,0),MATCH(J$3&amp;J$4,股债表现与四个维度!$2:$2&amp;股债表现与四个维度!$3:$3,0))</f>
        <v>6.6666666666666666E-2</v>
      </c>
      <c r="K63" s="93" cm="1">
        <f t="array" ref="K63">INDEX(股债表现与四个维度!$A:$T,MATCH($A63,股债表现与四个维度!$A:$A,0),MATCH(K$3&amp;K$4,股债表现与四个维度!$2:$2&amp;股债表现与四个维度!$3:$3,0))</f>
        <v>6.6666666666666666E-2</v>
      </c>
      <c r="L63" s="93" cm="1">
        <f t="array" ref="L63">INDEX(股债表现与四个维度!$A:$T,MATCH($A63,股债表现与四个维度!$A:$A,0),MATCH(L$3&amp;L$4,股债表现与四个维度!$2:$2&amp;股债表现与四个维度!$3:$3,0))</f>
        <v>0.13333333333333333</v>
      </c>
      <c r="M63" s="93" cm="1">
        <f t="array" ref="M63">INDEX(股债表现与四个维度!$A:$T,MATCH($A63,股债表现与四个维度!$A:$A,0),MATCH(M$3&amp;M$4,股债表现与四个维度!$2:$2&amp;股债表现与四个维度!$3:$3,0))</f>
        <v>-0.53333333333333333</v>
      </c>
      <c r="N63" s="93"/>
      <c r="O63" s="93"/>
      <c r="P63" s="93" cm="1">
        <f t="array" ref="P63">INDEX(股债表现与四个维度!$A:$T,MATCH($A63,股债表现与四个维度!$A:$A,0),MATCH(P$3&amp;P$4,股债表现与四个维度!$2:$2&amp;股债表现与四个维度!$3:$3,0))</f>
        <v>0.1111111111111111</v>
      </c>
      <c r="Q63" s="93" cm="1">
        <f t="array" ref="Q63">INDEX(股债表现与四个维度!$A:$T,MATCH($A63,股债表现与四个维度!$A:$A,0),MATCH(Q$3&amp;Q$4,股债表现与四个维度!$2:$2&amp;股债表现与四个维度!$3:$3,0))</f>
        <v>-0.33333333333333331</v>
      </c>
      <c r="R63" s="93" cm="1">
        <f t="array" ref="R63">INDEX(股债表现与四个维度!$A:$T,MATCH($A63,股债表现与四个维度!$A:$A,0),MATCH(R$3&amp;R$4,股债表现与四个维度!$2:$2&amp;股债表现与四个维度!$3:$3,0))</f>
        <v>0.5</v>
      </c>
      <c r="S63" s="93" cm="1">
        <f t="array" ref="S63">INDEX(股债表现与四个维度!$A:$T,MATCH($A63,股债表现与四个维度!$A:$A,0),MATCH(S$3&amp;S$4,股债表现与四个维度!$2:$2&amp;股债表现与四个维度!$3:$3,0))</f>
        <v>-4.1666666666666664E-2</v>
      </c>
      <c r="T63">
        <f t="shared" si="49"/>
        <v>0.81111111111111112</v>
      </c>
      <c r="U63">
        <f t="shared" si="49"/>
        <v>-0.84166666666666667</v>
      </c>
      <c r="V63">
        <f t="shared" si="7"/>
        <v>1.6527777777777777</v>
      </c>
      <c r="W63">
        <f t="shared" si="1"/>
        <v>9.3454128368471228</v>
      </c>
      <c r="X63" t="e">
        <f t="shared" si="2"/>
        <v>#N/A</v>
      </c>
      <c r="Y63" s="92">
        <f t="shared" ref="Y63:Z63" si="68">AVERAGE(V63:V68)</f>
        <v>0.8756177916074942</v>
      </c>
      <c r="Z63" s="92">
        <f t="shared" si="68"/>
        <v>4.5976533894091904</v>
      </c>
      <c r="AA63">
        <f t="shared" si="23"/>
        <v>0.43847445245794586</v>
      </c>
      <c r="AB63">
        <v>0.43847445245794597</v>
      </c>
      <c r="AC63">
        <v>-8.3086844328989287E-3</v>
      </c>
    </row>
    <row r="64" spans="1:29" x14ac:dyDescent="0.35">
      <c r="A64" s="91">
        <f t="shared" si="42"/>
        <v>44227</v>
      </c>
      <c r="B64" s="93" cm="1">
        <f t="array" ref="B64">INDEX(股债表现与四个维度!$A:$T,MATCH($A64,股债表现与四个维度!$A:$A,0),MATCH(B$4,股债表现与四个维度!$2:$2,0))</f>
        <v>-0.104258476776111</v>
      </c>
      <c r="C64" s="93" cm="1">
        <f t="array" ref="C64">INDEX(股债表现与四个维度!$A:$T,MATCH($A64,股债表现与四个维度!$A:$A,0),MATCH(C$4,股债表现与四个维度!$2:$2,0))</f>
        <v>-9.5038695652173999</v>
      </c>
      <c r="D64" s="93" t="e" cm="1">
        <f t="array" ref="D64">INDEX(股债表现与四个维度!$A:$T,MATCH($A64,股债表现与四个维度!$A:$A,0),MATCH(D$4,股债表现与四个维度!$2:$2,0))</f>
        <v>#N/A</v>
      </c>
      <c r="E64" s="93" t="str" cm="1">
        <f t="array" ref="E64">INDEX(股债表现与四个维度!$A:$T,MATCH($A64,股债表现与四个维度!$A:$A,0),MATCH(E$4,股债表现与四个维度!$2:$2,0))</f>
        <v>复苏</v>
      </c>
      <c r="F64" s="93" t="str" cm="1">
        <f t="array" ref="F64">INDEX(股债表现与四个维度!$A:$T,MATCH($A64,股债表现与四个维度!$A:$A,0),MATCH(F$4,股债表现与四个维度!$2:$2,0))</f>
        <v>宽货币宽信用</v>
      </c>
      <c r="G64" s="93" t="str" cm="1">
        <f t="array" ref="G64">INDEX(股债表现与四个维度!$A:$T,MATCH($A64,股债表现与四个维度!$A:$A,0),MATCH(G$4,股债表现与四个维度!$2:$2,0))</f>
        <v>双紧</v>
      </c>
      <c r="H64" s="93" t="str" cm="1">
        <f t="array" ref="H64">INDEX(股债表现与四个维度!$A:$T,MATCH($A64,股债表现与四个维度!$A:$A,0),MATCH(H$4,股债表现与四个维度!$2:$2,0))</f>
        <v>主动去库存</v>
      </c>
      <c r="I64" s="93" t="str" cm="1">
        <f t="array" ref="I64">INDEX(股债表现与四个维度!$A:$T,MATCH($A64,股债表现与四个维度!$A:$A,0),MATCH(I$4,股债表现与四个维度!$2:$2,0))</f>
        <v>产能周期上行,主动去库存</v>
      </c>
      <c r="J64" s="93" cm="1">
        <f t="array" ref="J64">INDEX(股债表现与四个维度!$A:$T,MATCH($A64,股债表现与四个维度!$A:$A,0),MATCH(J$3&amp;J$4,股债表现与四个维度!$2:$2&amp;股债表现与四个维度!$3:$3,0))</f>
        <v>6.6666666666666666E-2</v>
      </c>
      <c r="K64" s="93" cm="1">
        <f t="array" ref="K64">INDEX(股债表现与四个维度!$A:$T,MATCH($A64,股债表现与四个维度!$A:$A,0),MATCH(K$3&amp;K$4,股债表现与四个维度!$2:$2&amp;股债表现与四个维度!$3:$3,0))</f>
        <v>6.6666666666666666E-2</v>
      </c>
      <c r="L64" s="93" cm="1">
        <f t="array" ref="L64">INDEX(股债表现与四个维度!$A:$T,MATCH($A64,股债表现与四个维度!$A:$A,0),MATCH(L$3&amp;L$4,股债表现与四个维度!$2:$2&amp;股债表现与四个维度!$3:$3,0))</f>
        <v>0.2857142857142857</v>
      </c>
      <c r="M64" s="93" cm="1">
        <f t="array" ref="M64">INDEX(股债表现与四个维度!$A:$T,MATCH($A64,股债表现与四个维度!$A:$A,0),MATCH(M$3&amp;M$4,股债表现与四个维度!$2:$2&amp;股债表现与四个维度!$3:$3,0))</f>
        <v>0.35714285714285715</v>
      </c>
      <c r="N64" s="93"/>
      <c r="O64" s="93"/>
      <c r="P64" s="93" cm="1">
        <f t="array" ref="P64">INDEX(股债表现与四个维度!$A:$T,MATCH($A64,股债表现与四个维度!$A:$A,0),MATCH(P$3&amp;P$4,股债表现与四个维度!$2:$2&amp;股债表现与四个维度!$3:$3,0))</f>
        <v>0.33333333333333331</v>
      </c>
      <c r="Q64" s="93" cm="1">
        <f t="array" ref="Q64">INDEX(股债表现与四个维度!$A:$T,MATCH($A64,股债表现与四个维度!$A:$A,0),MATCH(Q$3&amp;Q$4,股债表现与四个维度!$2:$2&amp;股债表现与四个维度!$3:$3,0))</f>
        <v>-8.3333333333333329E-2</v>
      </c>
      <c r="R64" s="93" cm="1">
        <f t="array" ref="R64">INDEX(股债表现与四个维度!$A:$T,MATCH($A64,股债表现与四个维度!$A:$A,0),MATCH(R$3&amp;R$4,股债表现与四个维度!$2:$2&amp;股债表现与四个维度!$3:$3,0))</f>
        <v>0.47826086956521741</v>
      </c>
      <c r="S64" s="93" cm="1">
        <f t="array" ref="S64">INDEX(股债表现与四个维度!$A:$T,MATCH($A64,股债表现与四个维度!$A:$A,0),MATCH(S$3&amp;S$4,股债表现与四个维度!$2:$2&amp;股债表现与四个维度!$3:$3,0))</f>
        <v>-4.3478260869565216E-2</v>
      </c>
      <c r="T64">
        <f t="shared" si="49"/>
        <v>1.1639751552795032</v>
      </c>
      <c r="U64">
        <f t="shared" si="49"/>
        <v>0.2969979296066253</v>
      </c>
      <c r="V64">
        <f t="shared" si="7"/>
        <v>0.86697722567287794</v>
      </c>
      <c r="W64">
        <f t="shared" si="1"/>
        <v>-9.6081280419935116</v>
      </c>
      <c r="X64" t="e">
        <f t="shared" si="2"/>
        <v>#N/A</v>
      </c>
      <c r="Y64" s="92">
        <f t="shared" ref="Y64:Z64" si="69">AVERAGE(V64:V69)</f>
        <v>0.60217133066103312</v>
      </c>
      <c r="Z64" s="92">
        <f t="shared" si="69"/>
        <v>3.9824176142205121</v>
      </c>
      <c r="AA64">
        <f t="shared" si="23"/>
        <v>0.30867251856782996</v>
      </c>
      <c r="AB64">
        <v>0.30867251856783001</v>
      </c>
      <c r="AC64">
        <v>0.14600196503039076</v>
      </c>
    </row>
    <row r="65" spans="1:29" x14ac:dyDescent="0.35">
      <c r="A65" s="91">
        <f t="shared" si="42"/>
        <v>44196</v>
      </c>
      <c r="B65" s="93" cm="1">
        <f t="array" ref="B65">INDEX(股债表现与四个维度!$A:$T,MATCH($A65,股债表现与四个维度!$A:$A,0),MATCH(B$4,股债表现与四个维度!$2:$2,0))</f>
        <v>3.1099018629829489</v>
      </c>
      <c r="C65" s="93" cm="1">
        <f t="array" ref="C65">INDEX(股债表现与四个维度!$A:$T,MATCH($A65,股债表现与四个维度!$A:$A,0),MATCH(C$4,股债表现与四个维度!$2:$2,0))</f>
        <v>-1.2153209109731</v>
      </c>
      <c r="D65" s="93" t="e" cm="1">
        <f t="array" ref="D65">INDEX(股债表现与四个维度!$A:$T,MATCH($A65,股债表现与四个维度!$A:$A,0),MATCH(D$4,股债表现与四个维度!$2:$2,0))</f>
        <v>#N/A</v>
      </c>
      <c r="E65" s="93" t="str" cm="1">
        <f t="array" ref="E65">INDEX(股债表现与四个维度!$A:$T,MATCH($A65,股债表现与四个维度!$A:$A,0),MATCH(E$4,股债表现与四个维度!$2:$2,0))</f>
        <v>衰退</v>
      </c>
      <c r="F65" s="93" t="str" cm="1">
        <f t="array" ref="F65">INDEX(股债表现与四个维度!$A:$T,MATCH($A65,股债表现与四个维度!$A:$A,0),MATCH(F$4,股债表现与四个维度!$2:$2,0))</f>
        <v>宽货币紧信用</v>
      </c>
      <c r="G65" s="93" t="str" cm="1">
        <f t="array" ref="G65">INDEX(股债表现与四个维度!$A:$T,MATCH($A65,股债表现与四个维度!$A:$A,0),MATCH(G$4,股债表现与四个维度!$2:$2,0))</f>
        <v>双宽</v>
      </c>
      <c r="H65" s="93" t="str" cm="1">
        <f t="array" ref="H65">INDEX(股债表现与四个维度!$A:$T,MATCH($A65,股债表现与四个维度!$A:$A,0),MATCH(H$4,股债表现与四个维度!$2:$2,0))</f>
        <v>被动补库存</v>
      </c>
      <c r="I65" s="93" t="str" cm="1">
        <f t="array" ref="I65">INDEX(股债表现与四个维度!$A:$T,MATCH($A65,股债表现与四个维度!$A:$A,0),MATCH(I$4,股债表现与四个维度!$2:$2,0))</f>
        <v>产能周期上行,主动去库存</v>
      </c>
      <c r="J65" s="93" cm="1">
        <f t="array" ref="J65">INDEX(股债表现与四个维度!$A:$T,MATCH($A65,股债表现与四个维度!$A:$A,0),MATCH(J$3&amp;J$4,股债表现与四个维度!$2:$2&amp;股债表现与四个维度!$3:$3,0))</f>
        <v>0.15</v>
      </c>
      <c r="K65" s="93" cm="1">
        <f t="array" ref="K65">INDEX(股债表现与四个维度!$A:$T,MATCH($A65,股债表现与四个维度!$A:$A,0),MATCH(K$3&amp;K$4,股债表现与四个维度!$2:$2&amp;股债表现与四个维度!$3:$3,0))</f>
        <v>0.1</v>
      </c>
      <c r="L65" s="93" cm="1">
        <f t="array" ref="L65">INDEX(股债表现与四个维度!$A:$T,MATCH($A65,股债表现与四个维度!$A:$A,0),MATCH(L$3&amp;L$4,股债表现与四个维度!$2:$2&amp;股债表现与四个维度!$3:$3,0))</f>
        <v>0</v>
      </c>
      <c r="M65" s="93" cm="1">
        <f t="array" ref="M65">INDEX(股债表现与四个维度!$A:$T,MATCH($A65,股债表现与四个维度!$A:$A,0),MATCH(M$3&amp;M$4,股债表现与四个维度!$2:$2&amp;股债表现与四个维度!$3:$3,0))</f>
        <v>0</v>
      </c>
      <c r="N65" s="93"/>
      <c r="O65" s="93"/>
      <c r="P65" s="93" cm="1">
        <f t="array" ref="P65">INDEX(股债表现与四个维度!$A:$T,MATCH($A65,股债表现与四个维度!$A:$A,0),MATCH(P$3&amp;P$4,股债表现与四个维度!$2:$2&amp;股债表现与四个维度!$3:$3,0))</f>
        <v>7.6923076923076927E-2</v>
      </c>
      <c r="Q65" s="93" cm="1">
        <f t="array" ref="Q65">INDEX(股债表现与四个维度!$A:$T,MATCH($A65,股债表现与四个维度!$A:$A,0),MATCH(Q$3&amp;Q$4,股债表现与四个维度!$2:$2&amp;股债表现与四个维度!$3:$3,0))</f>
        <v>0.38461538461538464</v>
      </c>
      <c r="R65" s="93" cm="1">
        <f t="array" ref="R65">INDEX(股债表现与四个维度!$A:$T,MATCH($A65,股债表现与四个维度!$A:$A,0),MATCH(R$3&amp;R$4,股债表现与四个维度!$2:$2&amp;股债表现与四个维度!$3:$3,0))</f>
        <v>0.45454545454545453</v>
      </c>
      <c r="S65" s="93" cm="1">
        <f t="array" ref="S65">INDEX(股债表现与四个维度!$A:$T,MATCH($A65,股债表现与四个维度!$A:$A,0),MATCH(S$3&amp;S$4,股债表现与四个维度!$2:$2&amp;股债表现与四个维度!$3:$3,0))</f>
        <v>0</v>
      </c>
      <c r="T65">
        <f t="shared" ref="T65:U84" si="70">SUMIFS($J65:$S65,$J65:$S65,"&lt;&gt;"&amp;"#N/A",$J$4:$S$4,T$4)</f>
        <v>0.68146853146853148</v>
      </c>
      <c r="U65">
        <f t="shared" si="70"/>
        <v>0.48461538461538467</v>
      </c>
      <c r="V65">
        <f t="shared" si="7"/>
        <v>0.19685314685314681</v>
      </c>
      <c r="W65">
        <f t="shared" si="1"/>
        <v>1.8945809520098489</v>
      </c>
      <c r="X65" t="e">
        <f t="shared" si="2"/>
        <v>#N/A</v>
      </c>
      <c r="Y65" s="92">
        <f t="shared" ref="Y65:Z65" si="71">AVERAGE(V65:V70)</f>
        <v>0.39593376317026879</v>
      </c>
      <c r="Z65" s="92">
        <f t="shared" si="71"/>
        <v>9.7990632527877768</v>
      </c>
      <c r="AA65">
        <f t="shared" si="23"/>
        <v>0.36820736388324332</v>
      </c>
      <c r="AB65">
        <v>0.36820736388324399</v>
      </c>
      <c r="AC65">
        <v>1.7426444844812403</v>
      </c>
    </row>
    <row r="66" spans="1:29" x14ac:dyDescent="0.35">
      <c r="A66" s="91">
        <f t="shared" si="42"/>
        <v>44165</v>
      </c>
      <c r="B66" s="93" cm="1">
        <f t="array" ref="B66">INDEX(股债表现与四个维度!$A:$T,MATCH($A66,股债表现与四个维度!$A:$A,0),MATCH(B$4,股债表现与四个维度!$2:$2,0))</f>
        <v>3.9826317341389581</v>
      </c>
      <c r="C66" s="93" cm="1">
        <f t="array" ref="C66">INDEX(股债表现与四个维度!$A:$T,MATCH($A66,股债表现与四个维度!$A:$A,0),MATCH(C$4,股债表现与四个维度!$2:$2,0))</f>
        <v>6.2397198879552001</v>
      </c>
      <c r="D66" s="93" t="e" cm="1">
        <f t="array" ref="D66">INDEX(股债表现与四个维度!$A:$T,MATCH($A66,股债表现与四个维度!$A:$A,0),MATCH(D$4,股债表现与四个维度!$2:$2,0))</f>
        <v>#N/A</v>
      </c>
      <c r="E66" s="93" t="str" cm="1">
        <f t="array" ref="E66">INDEX(股债表现与四个维度!$A:$T,MATCH($A66,股债表现与四个维度!$A:$A,0),MATCH(E$4,股债表现与四个维度!$2:$2,0))</f>
        <v>滞涨</v>
      </c>
      <c r="F66" s="93" t="str" cm="1">
        <f t="array" ref="F66">INDEX(股债表现与四个维度!$A:$T,MATCH($A66,股债表现与四个维度!$A:$A,0),MATCH(F$4,股债表现与四个维度!$2:$2,0))</f>
        <v>紧货币宽信用</v>
      </c>
      <c r="G66" s="93" t="str" cm="1">
        <f t="array" ref="G66">INDEX(股债表现与四个维度!$A:$T,MATCH($A66,股债表现与四个维度!$A:$A,0),MATCH(G$4,股债表现与四个维度!$2:$2,0))</f>
        <v>双宽</v>
      </c>
      <c r="H66" s="93" t="str" cm="1">
        <f t="array" ref="H66">INDEX(股债表现与四个维度!$A:$T,MATCH($A66,股债表现与四个维度!$A:$A,0),MATCH(H$4,股债表现与四个维度!$2:$2,0))</f>
        <v>被动补库存</v>
      </c>
      <c r="I66" s="93" t="str" cm="1">
        <f t="array" ref="I66">INDEX(股债表现与四个维度!$A:$T,MATCH($A66,股债表现与四个维度!$A:$A,0),MATCH(I$4,股债表现与四个维度!$2:$2,0))</f>
        <v>产能周期上行,主动去库存</v>
      </c>
      <c r="J66" s="93" cm="1">
        <f t="array" ref="J66">INDEX(股债表现与四个维度!$A:$T,MATCH($A66,股债表现与四个维度!$A:$A,0),MATCH(J$3&amp;J$4,股债表现与四个维度!$2:$2&amp;股债表现与四个维度!$3:$3,0))</f>
        <v>0.14285714285714285</v>
      </c>
      <c r="K66" s="93" cm="1">
        <f t="array" ref="K66">INDEX(股债表现与四个维度!$A:$T,MATCH($A66,股债表现与四个维度!$A:$A,0),MATCH(K$3&amp;K$4,股债表现与四个维度!$2:$2&amp;股债表现与四个维度!$3:$3,0))</f>
        <v>-0.14285714285714285</v>
      </c>
      <c r="L66" s="93" cm="1">
        <f t="array" ref="L66">INDEX(股债表现与四个维度!$A:$T,MATCH($A66,股债表现与四个维度!$A:$A,0),MATCH(L$3&amp;L$4,股债表现与四个维度!$2:$2&amp;股债表现与四个维度!$3:$3,0))</f>
        <v>7.1428571428571425E-2</v>
      </c>
      <c r="M66" s="93" cm="1">
        <f t="array" ref="M66">INDEX(股债表现与四个维度!$A:$T,MATCH($A66,股债表现与四个维度!$A:$A,0),MATCH(M$3&amp;M$4,股债表现与四个维度!$2:$2&amp;股债表现与四个维度!$3:$3,0))</f>
        <v>-0.35714285714285715</v>
      </c>
      <c r="N66" s="93"/>
      <c r="O66" s="93"/>
      <c r="P66" s="93" cm="1">
        <f t="array" ref="P66">INDEX(股债表现与四个维度!$A:$T,MATCH($A66,股债表现与四个维度!$A:$A,0),MATCH(P$3&amp;P$4,股债表现与四个维度!$2:$2&amp;股债表现与四个维度!$3:$3,0))</f>
        <v>7.6923076923076927E-2</v>
      </c>
      <c r="Q66" s="93" cm="1">
        <f t="array" ref="Q66">INDEX(股债表现与四个维度!$A:$T,MATCH($A66,股债表现与四个维度!$A:$A,0),MATCH(Q$3&amp;Q$4,股债表现与四个维度!$2:$2&amp;股债表现与四个维度!$3:$3,0))</f>
        <v>0.38461538461538464</v>
      </c>
      <c r="R66" s="93" cm="1">
        <f t="array" ref="R66">INDEX(股债表现与四个维度!$A:$T,MATCH($A66,股债表现与四个维度!$A:$A,0),MATCH(R$3&amp;R$4,股债表现与四个维度!$2:$2&amp;股债表现与四个维度!$3:$3,0))</f>
        <v>0.42857142857142855</v>
      </c>
      <c r="S66" s="93" cm="1">
        <f t="array" ref="S66">INDEX(股债表现与四个维度!$A:$T,MATCH($A66,股债表现与四个维度!$A:$A,0),MATCH(S$3&amp;S$4,股债表现与四个维度!$2:$2&amp;股债表现与四个维度!$3:$3,0))</f>
        <v>4.7619047619047616E-2</v>
      </c>
      <c r="T66">
        <f t="shared" si="70"/>
        <v>0.71978021978021967</v>
      </c>
      <c r="U66">
        <f t="shared" si="70"/>
        <v>-6.7765567765567747E-2</v>
      </c>
      <c r="V66">
        <f t="shared" si="7"/>
        <v>0.78754578754578741</v>
      </c>
      <c r="W66">
        <f t="shared" si="1"/>
        <v>10.222351622094159</v>
      </c>
      <c r="X66" t="e">
        <f t="shared" si="2"/>
        <v>#N/A</v>
      </c>
      <c r="Y66" s="92">
        <f t="shared" ref="Y66:Z66" si="72">AVERAGE(V66:V71)</f>
        <v>0.27566204142795869</v>
      </c>
      <c r="Z66" s="92">
        <f t="shared" si="72"/>
        <v>13.317510566382628</v>
      </c>
      <c r="AA66">
        <f t="shared" si="23"/>
        <v>-2.5212721308702041E-4</v>
      </c>
      <c r="AB66">
        <v>-2.52127213086446E-4</v>
      </c>
      <c r="AC66">
        <v>0.15542638880618978</v>
      </c>
    </row>
    <row r="67" spans="1:29" x14ac:dyDescent="0.35">
      <c r="A67" s="91">
        <f t="shared" si="42"/>
        <v>44135</v>
      </c>
      <c r="B67" s="93" cm="1">
        <f t="array" ref="B67">INDEX(股债表现与四个维度!$A:$T,MATCH($A67,股债表现与四个维度!$A:$A,0),MATCH(B$4,股债表现与四个维度!$2:$2,0))</f>
        <v>1.0531091239877619</v>
      </c>
      <c r="C67" s="93" cm="1">
        <f t="array" ref="C67">INDEX(股债表现与四个维度!$A:$T,MATCH($A67,股债表现与四个维度!$A:$A,0),MATCH(C$4,股债表现与四个维度!$2:$2,0))</f>
        <v>7.9956010230179002</v>
      </c>
      <c r="D67" s="93" t="e" cm="1">
        <f t="array" ref="D67">INDEX(股债表现与四个维度!$A:$T,MATCH($A67,股债表现与四个维度!$A:$A,0),MATCH(D$4,股债表现与四个维度!$2:$2,0))</f>
        <v>#N/A</v>
      </c>
      <c r="E67" s="93" t="str" cm="1">
        <f t="array" ref="E67">INDEX(股债表现与四个维度!$A:$T,MATCH($A67,股债表现与四个维度!$A:$A,0),MATCH(E$4,股债表现与四个维度!$2:$2,0))</f>
        <v>过热</v>
      </c>
      <c r="F67" s="93" t="str" cm="1">
        <f t="array" ref="F67">INDEX(股债表现与四个维度!$A:$T,MATCH($A67,股债表现与四个维度!$A:$A,0),MATCH(F$4,股债表现与四个维度!$2:$2,0))</f>
        <v>紧货币宽信用</v>
      </c>
      <c r="G67" s="93" t="str" cm="1">
        <f t="array" ref="G67">INDEX(股债表现与四个维度!$A:$T,MATCH($A67,股债表现与四个维度!$A:$A,0),MATCH(G$4,股债表现与四个维度!$2:$2,0))</f>
        <v>双紧</v>
      </c>
      <c r="H67" s="93" t="str" cm="1">
        <f t="array" ref="H67">INDEX(股债表现与四个维度!$A:$T,MATCH($A67,股债表现与四个维度!$A:$A,0),MATCH(H$4,股债表现与四个维度!$2:$2,0))</f>
        <v>主动去库存</v>
      </c>
      <c r="I67" s="93" t="str" cm="1">
        <f t="array" ref="I67">INDEX(股债表现与四个维度!$A:$T,MATCH($A67,股债表现与四个维度!$A:$A,0),MATCH(I$4,股债表现与四个维度!$2:$2,0))</f>
        <v>产能周期上行,主动去库存</v>
      </c>
      <c r="J67" s="93" cm="1">
        <f t="array" ref="J67">INDEX(股债表现与四个维度!$A:$T,MATCH($A67,股债表现与四个维度!$A:$A,0),MATCH(J$3&amp;J$4,股债表现与四个维度!$2:$2&amp;股债表现与四个维度!$3:$3,0))</f>
        <v>0.1111111111111111</v>
      </c>
      <c r="K67" s="93" cm="1">
        <f t="array" ref="K67">INDEX(股债表现与四个维度!$A:$T,MATCH($A67,股债表现与四个维度!$A:$A,0),MATCH(K$3&amp;K$4,股债表现与四个维度!$2:$2&amp;股债表现与四个维度!$3:$3,0))</f>
        <v>0.1111111111111111</v>
      </c>
      <c r="L67" s="93" cm="1">
        <f t="array" ref="L67">INDEX(股债表现与四个维度!$A:$T,MATCH($A67,股债表现与四个维度!$A:$A,0),MATCH(L$3&amp;L$4,股债表现与四个维度!$2:$2&amp;股债表现与四个维度!$3:$3,0))</f>
        <v>7.1428571428571425E-2</v>
      </c>
      <c r="M67" s="93" cm="1">
        <f t="array" ref="M67">INDEX(股债表现与四个维度!$A:$T,MATCH($A67,股债表现与四个维度!$A:$A,0),MATCH(M$3&amp;M$4,股债表现与四个维度!$2:$2&amp;股债表现与四个维度!$3:$3,0))</f>
        <v>-0.21428571428571427</v>
      </c>
      <c r="N67" s="93"/>
      <c r="O67" s="93"/>
      <c r="P67" s="93" cm="1">
        <f t="array" ref="P67">INDEX(股债表现与四个维度!$A:$T,MATCH($A67,股债表现与四个维度!$A:$A,0),MATCH(P$3&amp;P$4,股债表现与四个维度!$2:$2&amp;股债表现与四个维度!$3:$3,0))</f>
        <v>0.33333333333333331</v>
      </c>
      <c r="Q67" s="93" cm="1">
        <f t="array" ref="Q67">INDEX(股债表现与四个维度!$A:$T,MATCH($A67,股债表现与四个维度!$A:$A,0),MATCH(Q$3&amp;Q$4,股债表现与四个维度!$2:$2&amp;股债表现与四个维度!$3:$3,0))</f>
        <v>0</v>
      </c>
      <c r="R67" s="93" cm="1">
        <f t="array" ref="R67">INDEX(股债表现与四个维度!$A:$T,MATCH($A67,股债表现与四个维度!$A:$A,0),MATCH(R$3&amp;R$4,股债表现与四个维度!$2:$2&amp;股债表现与四个维度!$3:$3,0))</f>
        <v>0.5</v>
      </c>
      <c r="S67" s="93" cm="1">
        <f t="array" ref="S67">INDEX(股债表现与四个维度!$A:$T,MATCH($A67,股债表现与四个维度!$A:$A,0),MATCH(S$3&amp;S$4,股债表现与四个维度!$2:$2&amp;股债表现与四个维度!$3:$3,0))</f>
        <v>0.1</v>
      </c>
      <c r="T67">
        <f t="shared" si="70"/>
        <v>1.0158730158730158</v>
      </c>
      <c r="U67">
        <f t="shared" si="70"/>
        <v>-3.1746031746031633E-3</v>
      </c>
      <c r="V67">
        <f t="shared" si="7"/>
        <v>1.019047619047619</v>
      </c>
      <c r="W67">
        <f t="shared" si="1"/>
        <v>9.0487101470056626</v>
      </c>
      <c r="X67" t="e">
        <f t="shared" si="2"/>
        <v>#N/A</v>
      </c>
      <c r="Y67" s="92">
        <f t="shared" ref="Y67:Z67" si="73">AVERAGE(V67:V72)</f>
        <v>-4.7298331532414216E-2</v>
      </c>
      <c r="Z67" s="92">
        <f t="shared" si="73"/>
        <v>14.022070621393043</v>
      </c>
      <c r="AA67">
        <f t="shared" si="23"/>
        <v>-0.28533925373618174</v>
      </c>
      <c r="AB67">
        <v>-0.28533925373618102</v>
      </c>
      <c r="AC67">
        <v>0.24485383748765621</v>
      </c>
    </row>
    <row r="68" spans="1:29" x14ac:dyDescent="0.35">
      <c r="A68" s="91">
        <f t="shared" si="42"/>
        <v>44104</v>
      </c>
      <c r="B68" s="93" cm="1">
        <f t="array" ref="B68">INDEX(股债表现与四个维度!$A:$T,MATCH($A68,股债表现与四个维度!$A:$A,0),MATCH(B$4,股债表现与四个维度!$2:$2,0))</f>
        <v>-5.9693053161541387</v>
      </c>
      <c r="C68" s="93" cm="1">
        <f t="array" ref="C68">INDEX(股债表现与四个维度!$A:$T,MATCH($A68,股债表现与四个维度!$A:$A,0),MATCH(C$4,股债表现与四个维度!$2:$2,0))</f>
        <v>12.652298136645999</v>
      </c>
      <c r="D68" s="93" t="e" cm="1">
        <f t="array" ref="D68">INDEX(股债表现与四个维度!$A:$T,MATCH($A68,股债表现与四个维度!$A:$A,0),MATCH(D$4,股债表现与四个维度!$2:$2,0))</f>
        <v>#N/A</v>
      </c>
      <c r="E68" s="93" t="str" cm="1">
        <f t="array" ref="E68">INDEX(股债表现与四个维度!$A:$T,MATCH($A68,股债表现与四个维度!$A:$A,0),MATCH(E$4,股债表现与四个维度!$2:$2,0))</f>
        <v>过热</v>
      </c>
      <c r="F68" s="93" t="str" cm="1">
        <f t="array" ref="F68">INDEX(股债表现与四个维度!$A:$T,MATCH($A68,股债表现与四个维度!$A:$A,0),MATCH(F$4,股债表现与四个维度!$2:$2,0))</f>
        <v>紧货币宽信用</v>
      </c>
      <c r="G68" s="93" t="str" cm="1">
        <f t="array" ref="G68">INDEX(股债表现与四个维度!$A:$T,MATCH($A68,股债表现与四个维度!$A:$A,0),MATCH(G$4,股债表现与四个维度!$2:$2,0))</f>
        <v>双宽</v>
      </c>
      <c r="H68" s="93" t="str" cm="1">
        <f t="array" ref="H68">INDEX(股债表现与四个维度!$A:$T,MATCH($A68,股债表现与四个维度!$A:$A,0),MATCH(H$4,股债表现与四个维度!$2:$2,0))</f>
        <v>主动去库存</v>
      </c>
      <c r="I68" s="93" t="str" cm="1">
        <f t="array" ref="I68">INDEX(股债表现与四个维度!$A:$T,MATCH($A68,股债表现与四个维度!$A:$A,0),MATCH(I$4,股债表现与四个维度!$2:$2,0))</f>
        <v>产能周期上行,主动去库存</v>
      </c>
      <c r="J68" s="93" cm="1">
        <f t="array" ref="J68">INDEX(股债表现与四个维度!$A:$T,MATCH($A68,股债表现与四个维度!$A:$A,0),MATCH(J$3&amp;J$4,股债表现与四个维度!$2:$2&amp;股债表现与四个维度!$3:$3,0))</f>
        <v>0.1111111111111111</v>
      </c>
      <c r="K68" s="93" cm="1">
        <f t="array" ref="K68">INDEX(股债表现与四个维度!$A:$T,MATCH($A68,股债表现与四个维度!$A:$A,0),MATCH(K$3&amp;K$4,股债表现与四个维度!$2:$2&amp;股债表现与四个维度!$3:$3,0))</f>
        <v>0.1111111111111111</v>
      </c>
      <c r="L68" s="93" cm="1">
        <f t="array" ref="L68">INDEX(股债表现与四个维度!$A:$T,MATCH($A68,股债表现与四个维度!$A:$A,0),MATCH(L$3&amp;L$4,股债表现与四个维度!$2:$2&amp;股债表现与四个维度!$3:$3,0))</f>
        <v>0</v>
      </c>
      <c r="M68" s="93" cm="1">
        <f t="array" ref="M68">INDEX(股债表现与四个维度!$A:$T,MATCH($A68,股债表现与四个维度!$A:$A,0),MATCH(M$3&amp;M$4,股债表现与四个维度!$2:$2&amp;股债表现与四个维度!$3:$3,0))</f>
        <v>-0.15384615384615385</v>
      </c>
      <c r="N68" s="93"/>
      <c r="O68" s="93"/>
      <c r="P68" s="93" cm="1">
        <f t="array" ref="P68">INDEX(股债表现与四个维度!$A:$T,MATCH($A68,股债表现与四个维度!$A:$A,0),MATCH(P$3&amp;P$4,股债表现与四个维度!$2:$2&amp;股债表现与四个维度!$3:$3,0))</f>
        <v>0.30434782608695654</v>
      </c>
      <c r="Q68" s="93" cm="1">
        <f t="array" ref="Q68">INDEX(股债表现与四个维度!$A:$T,MATCH($A68,股债表现与四个维度!$A:$A,0),MATCH(Q$3&amp;Q$4,股债表现与四个维度!$2:$2&amp;股债表现与四个维度!$3:$3,0))</f>
        <v>4.3478260869565216E-2</v>
      </c>
      <c r="R68" s="93" cm="1">
        <f t="array" ref="R68">INDEX(股债表现与四个维度!$A:$T,MATCH($A68,股债表现与四个维度!$A:$A,0),MATCH(R$3&amp;R$4,股债表现与四个维度!$2:$2&amp;股债表现与四个维度!$3:$3,0))</f>
        <v>0.47368421052631576</v>
      </c>
      <c r="S68" s="93" cm="1">
        <f t="array" ref="S68">INDEX(股债表现与四个维度!$A:$T,MATCH($A68,股债表现与四个维度!$A:$A,0),MATCH(S$3&amp;S$4,股债表现与四个维度!$2:$2&amp;股债表现与四个维度!$3:$3,0))</f>
        <v>0.15789473684210525</v>
      </c>
      <c r="T68">
        <f t="shared" si="70"/>
        <v>0.88914314772438341</v>
      </c>
      <c r="U68">
        <f t="shared" si="70"/>
        <v>0.15863795497662772</v>
      </c>
      <c r="V68">
        <f t="shared" si="7"/>
        <v>0.73050519274775572</v>
      </c>
      <c r="W68">
        <f t="shared" si="1"/>
        <v>6.6829928204918607</v>
      </c>
      <c r="X68" t="e">
        <f t="shared" si="2"/>
        <v>#N/A</v>
      </c>
      <c r="Y68" s="92">
        <f t="shared" ref="Y68:Z68" si="74">AVERAGE(V68:V73)</f>
        <v>-0.31543019966428232</v>
      </c>
      <c r="Z68" s="92">
        <f t="shared" si="74"/>
        <v>11.560079057935338</v>
      </c>
      <c r="AA68">
        <f t="shared" si="23"/>
        <v>-0.62697427386810933</v>
      </c>
      <c r="AB68">
        <v>-0.62697427386811</v>
      </c>
      <c r="AC68">
        <v>0.35022872337509697</v>
      </c>
    </row>
    <row r="69" spans="1:29" x14ac:dyDescent="0.35">
      <c r="A69" s="91">
        <f t="shared" si="42"/>
        <v>44074</v>
      </c>
      <c r="B69" s="93" cm="1">
        <f t="array" ref="B69">INDEX(股债表现与四个维度!$A:$T,MATCH($A69,股债表现与四个维度!$A:$A,0),MATCH(B$4,股债表现与四个维度!$2:$2,0))</f>
        <v>1.96847023540455</v>
      </c>
      <c r="C69" s="93" cm="1">
        <f t="array" ref="C69">INDEX(股债表现与四个维度!$A:$T,MATCH($A69,股债表现与四个维度!$A:$A,0),MATCH(C$4,股债表现与四个维度!$2:$2,0))</f>
        <v>3.6855279503105001</v>
      </c>
      <c r="D69" s="93" t="e" cm="1">
        <f t="array" ref="D69">INDEX(股债表现与四个维度!$A:$T,MATCH($A69,股债表现与四个维度!$A:$A,0),MATCH(D$4,股债表现与四个维度!$2:$2,0))</f>
        <v>#N/A</v>
      </c>
      <c r="E69" s="93" t="str" cm="1">
        <f t="array" ref="E69">INDEX(股债表现与四个维度!$A:$T,MATCH($A69,股债表现与四个维度!$A:$A,0),MATCH(E$4,股债表现与四个维度!$2:$2,0))</f>
        <v>衰退</v>
      </c>
      <c r="F69" s="93" t="str" cm="1">
        <f t="array" ref="F69">INDEX(股债表现与四个维度!$A:$T,MATCH($A69,股债表现与四个维度!$A:$A,0),MATCH(F$4,股债表现与四个维度!$2:$2,0))</f>
        <v>紧货币宽信用</v>
      </c>
      <c r="G69" s="93" t="str" cm="1">
        <f t="array" ref="G69">INDEX(股债表现与四个维度!$A:$T,MATCH($A69,股债表现与四个维度!$A:$A,0),MATCH(G$4,股债表现与四个维度!$2:$2,0))</f>
        <v>双紧</v>
      </c>
      <c r="H69" s="93" t="str" cm="1">
        <f t="array" ref="H69">INDEX(股债表现与四个维度!$A:$T,MATCH($A69,股债表现与四个维度!$A:$A,0),MATCH(H$4,股债表现与四个维度!$2:$2,0))</f>
        <v>主动去库存</v>
      </c>
      <c r="I69" s="93" t="str" cm="1">
        <f t="array" ref="I69">INDEX(股债表现与四个维度!$A:$T,MATCH($A69,股债表现与四个维度!$A:$A,0),MATCH(I$4,股债表现与四个维度!$2:$2,0))</f>
        <v>产能周期上行,主动去库存</v>
      </c>
      <c r="J69" s="93" cm="1">
        <f t="array" ref="J69">INDEX(股债表现与四个维度!$A:$T,MATCH($A69,股债表现与四个维度!$A:$A,0),MATCH(J$3&amp;J$4,股债表现与四个维度!$2:$2&amp;股债表现与四个维度!$3:$3,0))</f>
        <v>0</v>
      </c>
      <c r="K69" s="93" cm="1">
        <f t="array" ref="K69">INDEX(股债表现与四个维度!$A:$T,MATCH($A69,股债表现与四个维度!$A:$A,0),MATCH(K$3&amp;K$4,股债表现与四个维度!$2:$2&amp;股债表现与四个维度!$3:$3,0))</f>
        <v>0.23809523809523808</v>
      </c>
      <c r="L69" s="93" cm="1">
        <f t="array" ref="L69">INDEX(股债表现与四个维度!$A:$T,MATCH($A69,股债表现与四个维度!$A:$A,0),MATCH(L$3&amp;L$4,股债表现与四个维度!$2:$2&amp;股债表现与四个维度!$3:$3,0))</f>
        <v>-0.15384615384615385</v>
      </c>
      <c r="M69" s="93" cm="1">
        <f t="array" ref="M69">INDEX(股债表现与四个维度!$A:$T,MATCH($A69,股债表现与四个维度!$A:$A,0),MATCH(M$3&amp;M$4,股债表现与四个维度!$2:$2&amp;股债表现与四个维度!$3:$3,0))</f>
        <v>0</v>
      </c>
      <c r="N69" s="93"/>
      <c r="O69" s="93"/>
      <c r="P69" s="93" cm="1">
        <f t="array" ref="P69">INDEX(股债表现与四个维度!$A:$T,MATCH($A69,股债表现与四个维度!$A:$A,0),MATCH(P$3&amp;P$4,股债表现与四个维度!$2:$2&amp;股债表现与四个维度!$3:$3,0))</f>
        <v>0.27272727272727271</v>
      </c>
      <c r="Q69" s="93" cm="1">
        <f t="array" ref="Q69">INDEX(股债表现与四个维度!$A:$T,MATCH($A69,股债表现与四个维度!$A:$A,0),MATCH(Q$3&amp;Q$4,股债表现与四个维度!$2:$2&amp;股债表现与四个维度!$3:$3,0))</f>
        <v>9.0909090909090912E-2</v>
      </c>
      <c r="R69" s="93" cm="1">
        <f t="array" ref="R69">INDEX(股债表现与四个维度!$A:$T,MATCH($A69,股债表现与四个维度!$A:$A,0),MATCH(R$3&amp;R$4,股债表现与四个维度!$2:$2&amp;股债表现与四个维度!$3:$3,0))</f>
        <v>0.44444444444444442</v>
      </c>
      <c r="S69" s="93" cm="1">
        <f t="array" ref="S69">INDEX(股债表现与四个维度!$A:$T,MATCH($A69,股债表现与四个维度!$A:$A,0),MATCH(S$3&amp;S$4,股债表现与四个维度!$2:$2&amp;股债表现与四个维度!$3:$3,0))</f>
        <v>0.22222222222222221</v>
      </c>
      <c r="T69">
        <f t="shared" si="70"/>
        <v>0.56332556332556327</v>
      </c>
      <c r="U69">
        <f t="shared" si="70"/>
        <v>0.55122655122655118</v>
      </c>
      <c r="V69">
        <f t="shared" ref="V69:V107" si="75">T69-U69</f>
        <v>1.2099012099012096E-2</v>
      </c>
      <c r="W69">
        <f t="shared" ref="W69:W132" si="76">B69+C69</f>
        <v>5.6539981857150501</v>
      </c>
      <c r="X69" t="e">
        <f t="shared" ref="X69:X132" si="77">B69-D69</f>
        <v>#N/A</v>
      </c>
      <c r="Y69" s="92">
        <f t="shared" ref="Y69:Z69" si="78">AVERAGE(V69:V74)</f>
        <v>-0.53759819185515789</v>
      </c>
      <c r="Z69" s="92">
        <f t="shared" si="78"/>
        <v>6.380056939701352</v>
      </c>
      <c r="AA69">
        <f t="shared" si="23"/>
        <v>-0.88887929313954039</v>
      </c>
      <c r="AB69">
        <v>-0.88887929313954195</v>
      </c>
      <c r="AC69">
        <v>-0.78712028777359433</v>
      </c>
    </row>
    <row r="70" spans="1:29" x14ac:dyDescent="0.35">
      <c r="A70" s="91">
        <f t="shared" si="42"/>
        <v>44043</v>
      </c>
      <c r="B70" s="93" cm="1">
        <f t="array" ref="B70">INDEX(股债表现与四个维度!$A:$T,MATCH($A70,股债表现与四个维度!$A:$A,0),MATCH(B$4,股债表现与四个维度!$2:$2,0))</f>
        <v>13.06394040638728</v>
      </c>
      <c r="C70" s="93" cm="1">
        <f t="array" ref="C70">INDEX(股债表现与四个维度!$A:$T,MATCH($A70,股债表现与四个维度!$A:$A,0),MATCH(C$4,股债表现与四个维度!$2:$2,0))</f>
        <v>12.227805383022799</v>
      </c>
      <c r="D70" s="93" t="e" cm="1">
        <f t="array" ref="D70">INDEX(股债表现与四个维度!$A:$T,MATCH($A70,股债表现与四个维度!$A:$A,0),MATCH(D$4,股债表现与四个维度!$2:$2,0))</f>
        <v>#N/A</v>
      </c>
      <c r="E70" s="93" t="str" cm="1">
        <f t="array" ref="E70">INDEX(股债表现与四个维度!$A:$T,MATCH($A70,股债表现与四个维度!$A:$A,0),MATCH(E$4,股债表现与四个维度!$2:$2,0))</f>
        <v>复苏</v>
      </c>
      <c r="F70" s="93" t="str" cm="1">
        <f t="array" ref="F70">INDEX(股债表现与四个维度!$A:$T,MATCH($A70,股债表现与四个维度!$A:$A,0),MATCH(F$4,股债表现与四个维度!$2:$2,0))</f>
        <v>紧货币宽信用</v>
      </c>
      <c r="G70" s="93" t="str" cm="1">
        <f t="array" ref="G70">INDEX(股债表现与四个维度!$A:$T,MATCH($A70,股债表现与四个维度!$A:$A,0),MATCH(G$4,股债表现与四个维度!$2:$2,0))</f>
        <v>双紧</v>
      </c>
      <c r="H70" s="93" t="str" cm="1">
        <f t="array" ref="H70">INDEX(股债表现与四个维度!$A:$T,MATCH($A70,股债表现与四个维度!$A:$A,0),MATCH(H$4,股债表现与四个维度!$2:$2,0))</f>
        <v>主动去库存</v>
      </c>
      <c r="I70" s="93" t="str" cm="1">
        <f t="array" ref="I70">INDEX(股债表现与四个维度!$A:$T,MATCH($A70,股债表现与四个维度!$A:$A,0),MATCH(I$4,股债表现与四个维度!$2:$2,0))</f>
        <v>产能周期上行,主动去库存</v>
      </c>
      <c r="J70" s="93" cm="1">
        <f t="array" ref="J70">INDEX(股债表现与四个维度!$A:$T,MATCH($A70,股债表现与四个维度!$A:$A,0),MATCH(J$3&amp;J$4,股债表现与四个维度!$2:$2&amp;股债表现与四个维度!$3:$3,0))</f>
        <v>0</v>
      </c>
      <c r="K70" s="93" cm="1">
        <f t="array" ref="K70">INDEX(股债表现与四个维度!$A:$T,MATCH($A70,股债表现与四个维度!$A:$A,0),MATCH(K$3&amp;K$4,股债表现与四个维度!$2:$2&amp;股债表现与四个维度!$3:$3,0))</f>
        <v>0.25</v>
      </c>
      <c r="L70" s="93" cm="1">
        <f t="array" ref="L70">INDEX(股债表现与四个维度!$A:$T,MATCH($A70,股债表现与四个维度!$A:$A,0),MATCH(L$3&amp;L$4,股债表现与四个维度!$2:$2&amp;股债表现与四个维度!$3:$3,0))</f>
        <v>-0.25</v>
      </c>
      <c r="M70" s="93" cm="1">
        <f t="array" ref="M70">INDEX(股债表现与四个维度!$A:$T,MATCH($A70,股债表现与四个维度!$A:$A,0),MATCH(M$3&amp;M$4,股债表现与四个维度!$2:$2&amp;股债表现与四个维度!$3:$3,0))</f>
        <v>8.3333333333333329E-2</v>
      </c>
      <c r="N70" s="93"/>
      <c r="O70" s="93"/>
      <c r="P70" s="93" cm="1">
        <f t="array" ref="P70">INDEX(股债表现与四个维度!$A:$T,MATCH($A70,股债表现与四个维度!$A:$A,0),MATCH(P$3&amp;P$4,股债表现与四个维度!$2:$2&amp;股债表现与四个维度!$3:$3,0))</f>
        <v>0.23809523809523808</v>
      </c>
      <c r="Q70" s="93" cm="1">
        <f t="array" ref="Q70">INDEX(股债表现与四个维度!$A:$T,MATCH($A70,股债表现与四个维度!$A:$A,0),MATCH(Q$3&amp;Q$4,股债表现与四个维度!$2:$2&amp;股债表现与四个维度!$3:$3,0))</f>
        <v>0.14285714285714285</v>
      </c>
      <c r="R70" s="93" cm="1">
        <f t="array" ref="R70">INDEX(股债表现与四个维度!$A:$T,MATCH($A70,股债表现与四个维度!$A:$A,0),MATCH(R$3&amp;R$4,股债表现与四个维度!$2:$2&amp;股债表现与四个维度!$3:$3,0))</f>
        <v>0.41176470588235292</v>
      </c>
      <c r="S70" s="93" cm="1">
        <f t="array" ref="S70">INDEX(股债表现与四个维度!$A:$T,MATCH($A70,股债表现与四个维度!$A:$A,0),MATCH(S$3&amp;S$4,股债表现与四个维度!$2:$2&amp;股债表现与四个维度!$3:$3,0))</f>
        <v>0.29411764705882354</v>
      </c>
      <c r="T70">
        <f t="shared" si="70"/>
        <v>0.399859943977591</v>
      </c>
      <c r="U70">
        <f t="shared" si="70"/>
        <v>0.77030812324929965</v>
      </c>
      <c r="V70">
        <f t="shared" si="75"/>
        <v>-0.37044817927170864</v>
      </c>
      <c r="W70">
        <f t="shared" si="76"/>
        <v>25.291745789410079</v>
      </c>
      <c r="X70" t="e">
        <f t="shared" si="77"/>
        <v>#N/A</v>
      </c>
      <c r="Y70" s="92">
        <f t="shared" ref="Y70:Z70" si="79">AVERAGE(V70:V75)</f>
        <v>-0.33842421768118375</v>
      </c>
      <c r="Z70" s="92">
        <f t="shared" si="79"/>
        <v>1.0815554431387213</v>
      </c>
      <c r="AA70">
        <f t="shared" si="23"/>
        <v>-0.49620513134573896</v>
      </c>
      <c r="AB70">
        <v>-0.49620513134574101</v>
      </c>
      <c r="AC70">
        <v>0.50321103692287128</v>
      </c>
    </row>
    <row r="71" spans="1:29" x14ac:dyDescent="0.35">
      <c r="A71" s="91">
        <f t="shared" ref="A71:A102" si="80">EOMONTH(A70,-1)</f>
        <v>44012</v>
      </c>
      <c r="B71" s="93" cm="1">
        <f t="array" ref="B71">INDEX(股债表现与四个维度!$A:$T,MATCH($A71,股债表现与四个维度!$A:$A,0),MATCH(B$4,股债表现与四个维度!$2:$2,0))</f>
        <v>8.4079214751829543</v>
      </c>
      <c r="C71" s="93" cm="1">
        <f t="array" ref="C71">INDEX(股债表现与四个维度!$A:$T,MATCH($A71,股债表现与四个维度!$A:$A,0),MATCH(C$4,股债表现与四个维度!$2:$2,0))</f>
        <v>14.597343358396</v>
      </c>
      <c r="D71" s="93" t="e" cm="1">
        <f t="array" ref="D71">INDEX(股债表现与四个维度!$A:$T,MATCH($A71,股债表现与四个维度!$A:$A,0),MATCH(D$4,股债表现与四个维度!$2:$2,0))</f>
        <v>#N/A</v>
      </c>
      <c r="E71" s="93" t="str" cm="1">
        <f t="array" ref="E71">INDEX(股债表现与四个维度!$A:$T,MATCH($A71,股债表现与四个维度!$A:$A,0),MATCH(E$4,股债表现与四个维度!$2:$2,0))</f>
        <v>衰退</v>
      </c>
      <c r="F71" s="93" t="str" cm="1">
        <f t="array" ref="F71">INDEX(股债表现与四个维度!$A:$T,MATCH($A71,股债表现与四个维度!$A:$A,0),MATCH(F$4,股债表现与四个维度!$2:$2,0))</f>
        <v>紧货币宽信用</v>
      </c>
      <c r="G71" s="93" t="str" cm="1">
        <f t="array" ref="G71">INDEX(股债表现与四个维度!$A:$T,MATCH($A71,股债表现与四个维度!$A:$A,0),MATCH(G$4,股债表现与四个维度!$2:$2,0))</f>
        <v>双紧</v>
      </c>
      <c r="H71" s="93" t="str" cm="1">
        <f t="array" ref="H71">INDEX(股债表现与四个维度!$A:$T,MATCH($A71,股债表现与四个维度!$A:$A,0),MATCH(H$4,股债表现与四个维度!$2:$2,0))</f>
        <v>主动去库存</v>
      </c>
      <c r="I71" s="93" t="str" cm="1">
        <f t="array" ref="I71">INDEX(股债表现与四个维度!$A:$T,MATCH($A71,股债表现与四个维度!$A:$A,0),MATCH(I$4,股债表现与四个维度!$2:$2,0))</f>
        <v>产能周期上行,主动去库存</v>
      </c>
      <c r="J71" s="93" cm="1">
        <f t="array" ref="J71">INDEX(股债表现与四个维度!$A:$T,MATCH($A71,股债表现与四个维度!$A:$A,0),MATCH(J$3&amp;J$4,股债表现与四个维度!$2:$2&amp;股债表现与四个维度!$3:$3,0))</f>
        <v>-0.1</v>
      </c>
      <c r="K71" s="93" cm="1">
        <f t="array" ref="K71">INDEX(股债表现与四个维度!$A:$T,MATCH($A71,股债表现与四个维度!$A:$A,0),MATCH(K$3&amp;K$4,股债表现与四个维度!$2:$2&amp;股债表现与四个维度!$3:$3,0))</f>
        <v>0.3</v>
      </c>
      <c r="L71" s="93" cm="1">
        <f t="array" ref="L71">INDEX(股债表现与四个维度!$A:$T,MATCH($A71,股债表现与四个维度!$A:$A,0),MATCH(L$3&amp;L$4,股债表现与四个维度!$2:$2&amp;股债表现与四个维度!$3:$3,0))</f>
        <v>-0.25</v>
      </c>
      <c r="M71" s="93" cm="1">
        <f t="array" ref="M71">INDEX(股债表现与四个维度!$A:$T,MATCH($A71,股债表现与四个维度!$A:$A,0),MATCH(M$3&amp;M$4,股债表现与四个维度!$2:$2&amp;股债表现与四个维度!$3:$3,0))</f>
        <v>8.3333333333333329E-2</v>
      </c>
      <c r="N71" s="93"/>
      <c r="O71" s="93"/>
      <c r="P71" s="93" cm="1">
        <f t="array" ref="P71">INDEX(股债表现与四个维度!$A:$T,MATCH($A71,股债表现与四个维度!$A:$A,0),MATCH(P$3&amp;P$4,股债表现与四个维度!$2:$2&amp;股债表现与四个维度!$3:$3,0))</f>
        <v>0.27272727272727271</v>
      </c>
      <c r="Q71" s="93" cm="1">
        <f t="array" ref="Q71">INDEX(股债表现与四个维度!$A:$T,MATCH($A71,股债表现与四个维度!$A:$A,0),MATCH(Q$3&amp;Q$4,股债表现与四个维度!$2:$2&amp;股债表现与四个维度!$3:$3,0))</f>
        <v>0.18181818181818182</v>
      </c>
      <c r="R71" s="93" cm="1">
        <f t="array" ref="R71">INDEX(股债表现与四个维度!$A:$T,MATCH($A71,股债表现与四个维度!$A:$A,0),MATCH(R$3&amp;R$4,股债表现与四个维度!$2:$2&amp;股债表现与四个维度!$3:$3,0))</f>
        <v>0.41176470588235292</v>
      </c>
      <c r="S71" s="93" cm="1">
        <f t="array" ref="S71">INDEX(股债表现与四个维度!$A:$T,MATCH($A71,股债表现与四个维度!$A:$A,0),MATCH(S$3&amp;S$4,股债表现与四个维度!$2:$2&amp;股债表现与四个维度!$3:$3,0))</f>
        <v>0.29411764705882354</v>
      </c>
      <c r="T71">
        <f t="shared" si="70"/>
        <v>0.33449197860962565</v>
      </c>
      <c r="U71">
        <f t="shared" si="70"/>
        <v>0.85926916221033878</v>
      </c>
      <c r="V71">
        <f t="shared" si="75"/>
        <v>-0.52477718360071313</v>
      </c>
      <c r="W71">
        <f t="shared" si="76"/>
        <v>23.005264833578956</v>
      </c>
      <c r="X71" t="e">
        <f t="shared" si="77"/>
        <v>#N/A</v>
      </c>
      <c r="Y71" s="92">
        <f t="shared" ref="Y71:Z71" si="81">AVERAGE(V71:V76)</f>
        <v>-9.4143171929549727E-2</v>
      </c>
      <c r="Z71" s="92">
        <f t="shared" si="81"/>
        <v>-4.5124405106296672</v>
      </c>
      <c r="AA71">
        <f t="shared" si="23"/>
        <v>-0.20322507993135042</v>
      </c>
      <c r="AB71">
        <v>-0.203225079931352</v>
      </c>
      <c r="AC71">
        <v>-0.46811246209674207</v>
      </c>
    </row>
    <row r="72" spans="1:29" x14ac:dyDescent="0.35">
      <c r="A72" s="91">
        <f t="shared" si="80"/>
        <v>43982</v>
      </c>
      <c r="B72" s="93" cm="1">
        <f t="array" ref="B72">INDEX(股债表现与四个维度!$A:$T,MATCH($A72,股债表现与四个维度!$A:$A,0),MATCH(B$4,股债表现与四个维度!$2:$2,0))</f>
        <v>0.57999903349634296</v>
      </c>
      <c r="C72" s="93" cm="1">
        <f t="array" ref="C72">INDEX(股债表现与四个维度!$A:$T,MATCH($A72,股债表现与四个维度!$A:$A,0),MATCH(C$4,股债表现与四个维度!$2:$2,0))</f>
        <v>13.8697129186603</v>
      </c>
      <c r="D72" s="93" t="e" cm="1">
        <f t="array" ref="D72">INDEX(股债表现与四个维度!$A:$T,MATCH($A72,股债表现与四个维度!$A:$A,0),MATCH(D$4,股债表现与四个维度!$2:$2,0))</f>
        <v>#N/A</v>
      </c>
      <c r="E72" s="93" t="str" cm="1">
        <f t="array" ref="E72">INDEX(股债表现与四个维度!$A:$T,MATCH($A72,股债表现与四个维度!$A:$A,0),MATCH(E$4,股债表现与四个维度!$2:$2,0))</f>
        <v>衰退</v>
      </c>
      <c r="F72" s="93" t="str" cm="1">
        <f t="array" ref="F72">INDEX(股债表现与四个维度!$A:$T,MATCH($A72,股债表现与四个维度!$A:$A,0),MATCH(F$4,股债表现与四个维度!$2:$2,0))</f>
        <v>宽货币宽信用</v>
      </c>
      <c r="G72" s="93" t="str" cm="1">
        <f t="array" ref="G72">INDEX(股债表现与四个维度!$A:$T,MATCH($A72,股债表现与四个维度!$A:$A,0),MATCH(G$4,股债表现与四个维度!$2:$2,0))</f>
        <v>双紧</v>
      </c>
      <c r="H72" s="93" t="str" cm="1">
        <f t="array" ref="H72">INDEX(股债表现与四个维度!$A:$T,MATCH($A72,股债表现与四个维度!$A:$A,0),MATCH(H$4,股债表现与四个维度!$2:$2,0))</f>
        <v>主动补库存</v>
      </c>
      <c r="I72" s="93" t="str" cm="1">
        <f t="array" ref="I72">INDEX(股债表现与四个维度!$A:$T,MATCH($A72,股债表现与四个维度!$A:$A,0),MATCH(I$4,股债表现与四个维度!$2:$2,0))</f>
        <v>产能周期下行,主动去库存</v>
      </c>
      <c r="J72" s="93" cm="1">
        <f t="array" ref="J72">INDEX(股债表现与四个维度!$A:$T,MATCH($A72,股债表现与四个维度!$A:$A,0),MATCH(J$3&amp;J$4,股债表现与四个维度!$2:$2&amp;股债表现与四个维度!$3:$3,0))</f>
        <v>-0.1</v>
      </c>
      <c r="K72" s="93" cm="1">
        <f t="array" ref="K72">INDEX(股债表现与四个维度!$A:$T,MATCH($A72,股债表现与四个维度!$A:$A,0),MATCH(K$3&amp;K$4,股债表现与四个维度!$2:$2&amp;股债表现与四个维度!$3:$3,0))</f>
        <v>0.3</v>
      </c>
      <c r="L72" s="93" cm="1">
        <f t="array" ref="L72">INDEX(股债表现与四个维度!$A:$T,MATCH($A72,股债表现与四个维度!$A:$A,0),MATCH(L$3&amp;L$4,股债表现与四个维度!$2:$2&amp;股债表现与四个维度!$3:$3,0))</f>
        <v>0.13333333333333333</v>
      </c>
      <c r="M72" s="93" cm="1">
        <f t="array" ref="M72">INDEX(股债表现与四个维度!$A:$T,MATCH($A72,股债表现与四个维度!$A:$A,0),MATCH(M$3&amp;M$4,股债表现与四个维度!$2:$2&amp;股债表现与四个维度!$3:$3,0))</f>
        <v>0.26666666666666666</v>
      </c>
      <c r="N72" s="93"/>
      <c r="O72" s="93"/>
      <c r="P72" s="93" cm="1">
        <f t="array" ref="P72">INDEX(股债表现与四个维度!$A:$T,MATCH($A72,股债表现与四个维度!$A:$A,0),MATCH(P$3&amp;P$4,股债表现与四个维度!$2:$2&amp;股债表现与四个维度!$3:$3,0))</f>
        <v>-0.45454545454545453</v>
      </c>
      <c r="Q72" s="93" cm="1">
        <f t="array" ref="Q72">INDEX(股债表现与四个维度!$A:$T,MATCH($A72,股债表现与四个维度!$A:$A,0),MATCH(Q$3&amp;Q$4,股债表现与四个维度!$2:$2&amp;股债表现与四个维度!$3:$3,0))</f>
        <v>9.0909090909090912E-2</v>
      </c>
      <c r="R72" s="93" cm="1">
        <f t="array" ref="R72">INDEX(股债表现与四个维度!$A:$T,MATCH($A72,股债表现与四个维度!$A:$A,0),MATCH(R$3&amp;R$4,股债表现与四个维度!$2:$2&amp;股债表现与四个维度!$3:$3,0))</f>
        <v>-0.42857142857142855</v>
      </c>
      <c r="S72" s="93" cm="1">
        <f t="array" ref="S72">INDEX(股债表现与四个维度!$A:$T,MATCH($A72,股债表现与四个维度!$A:$A,0),MATCH(S$3&amp;S$4,股债表现与四个维度!$2:$2&amp;股债表现与四个维度!$3:$3,0))</f>
        <v>-0.35714285714285715</v>
      </c>
      <c r="T72">
        <f t="shared" si="70"/>
        <v>-0.84978354978354975</v>
      </c>
      <c r="U72">
        <f t="shared" si="70"/>
        <v>0.30043290043290044</v>
      </c>
      <c r="V72">
        <f t="shared" si="75"/>
        <v>-1.1502164502164502</v>
      </c>
      <c r="W72">
        <f t="shared" si="76"/>
        <v>14.449711952156642</v>
      </c>
      <c r="X72" t="e">
        <f t="shared" si="77"/>
        <v>#N/A</v>
      </c>
      <c r="Y72" s="92">
        <f t="shared" ref="Y72:Z72" si="82">AVERAGE(V72:V77)</f>
        <v>3.6761630182682747E-2</v>
      </c>
      <c r="Z72" s="92">
        <f t="shared" si="82"/>
        <v>-7.8798432788223911</v>
      </c>
      <c r="AA72">
        <f t="shared" si="23"/>
        <v>1.5485542666529017E-3</v>
      </c>
      <c r="AB72">
        <v>1.54855426665197E-3</v>
      </c>
      <c r="AC72">
        <v>-1.5550963703323786</v>
      </c>
    </row>
    <row r="73" spans="1:29" x14ac:dyDescent="0.35">
      <c r="A73" s="91">
        <f t="shared" si="80"/>
        <v>43951</v>
      </c>
      <c r="B73" s="93" cm="1">
        <f t="array" ref="B73">INDEX(股债表现与四个维度!$A:$T,MATCH($A73,股债表现与四个维度!$A:$A,0),MATCH(B$4,股债表现与四个维度!$2:$2,0))</f>
        <v>5.2322153117140493</v>
      </c>
      <c r="C73" s="93" cm="1">
        <f t="array" ref="C73">INDEX(股债表现与四个维度!$A:$T,MATCH($A73,股债表现与四个维度!$A:$A,0),MATCH(C$4,股债表现与四个维度!$2:$2,0))</f>
        <v>-10.9554545454546</v>
      </c>
      <c r="D73" s="93" t="e" cm="1">
        <f t="array" ref="D73">INDEX(股债表现与四个维度!$A:$T,MATCH($A73,股债表现与四个维度!$A:$A,0),MATCH(D$4,股债表现与四个维度!$2:$2,0))</f>
        <v>#N/A</v>
      </c>
      <c r="E73" s="93" t="str" cm="1">
        <f t="array" ref="E73">INDEX(股债表现与四个维度!$A:$T,MATCH($A73,股债表现与四个维度!$A:$A,0),MATCH(E$4,股债表现与四个维度!$2:$2,0))</f>
        <v>复苏</v>
      </c>
      <c r="F73" s="93" t="str" cm="1">
        <f t="array" ref="F73">INDEX(股债表现与四个维度!$A:$T,MATCH($A73,股债表现与四个维度!$A:$A,0),MATCH(F$4,股债表现与四个维度!$2:$2,0))</f>
        <v>宽货币宽信用</v>
      </c>
      <c r="G73" s="93" t="str" cm="1">
        <f t="array" ref="G73">INDEX(股债表现与四个维度!$A:$T,MATCH($A73,股债表现与四个维度!$A:$A,0),MATCH(G$4,股债表现与四个维度!$2:$2,0))</f>
        <v>双宽</v>
      </c>
      <c r="H73" s="93" t="str" cm="1">
        <f t="array" ref="H73">INDEX(股债表现与四个维度!$A:$T,MATCH($A73,股债表现与四个维度!$A:$A,0),MATCH(H$4,股债表现与四个维度!$2:$2,0))</f>
        <v>主动补库存</v>
      </c>
      <c r="I73" s="93" t="str" cm="1">
        <f t="array" ref="I73">INDEX(股债表现与四个维度!$A:$T,MATCH($A73,股债表现与四个维度!$A:$A,0),MATCH(I$4,股债表现与四个维度!$2:$2,0))</f>
        <v>产能周期下行,主动去库存</v>
      </c>
      <c r="J73" s="93" cm="1">
        <f t="array" ref="J73">INDEX(股债表现与四个维度!$A:$T,MATCH($A73,股债表现与四个维度!$A:$A,0),MATCH(J$3&amp;J$4,股债表现与四个维度!$2:$2&amp;股债表现与四个维度!$3:$3,0))</f>
        <v>-6.6666666666666666E-2</v>
      </c>
      <c r="K73" s="93" cm="1">
        <f t="array" ref="K73">INDEX(股债表现与四个维度!$A:$T,MATCH($A73,股债表现与四个维度!$A:$A,0),MATCH(K$3&amp;K$4,股债表现与四个维度!$2:$2&amp;股债表现与四个维度!$3:$3,0))</f>
        <v>0.2</v>
      </c>
      <c r="L73" s="93" cm="1">
        <f t="array" ref="L73">INDEX(股债表现与四个维度!$A:$T,MATCH($A73,股债表现与四个维度!$A:$A,0),MATCH(L$3&amp;L$4,股债表现与四个维度!$2:$2&amp;股债表现与四个维度!$3:$3,0))</f>
        <v>0.21428571428571427</v>
      </c>
      <c r="M73" s="93" cm="1">
        <f t="array" ref="M73">INDEX(股债表现与四个维度!$A:$T,MATCH($A73,股债表现与四个维度!$A:$A,0),MATCH(M$3&amp;M$4,股债表现与四个维度!$2:$2&amp;股债表现与四个维度!$3:$3,0))</f>
        <v>0.21428571428571427</v>
      </c>
      <c r="N73" s="93"/>
      <c r="O73" s="93"/>
      <c r="P73" s="93" cm="1">
        <f t="array" ref="P73">INDEX(股债表现与四个维度!$A:$T,MATCH($A73,股债表现与四个维度!$A:$A,0),MATCH(P$3&amp;P$4,股债表现与四个维度!$2:$2&amp;股债表现与四个维度!$3:$3,0))</f>
        <v>-0.4</v>
      </c>
      <c r="Q73" s="93" cm="1">
        <f t="array" ref="Q73">INDEX(股债表现与四个维度!$A:$T,MATCH($A73,股债表现与四个维度!$A:$A,0),MATCH(Q$3&amp;Q$4,股债表现与四个维度!$2:$2&amp;股债表现与四个维度!$3:$3,0))</f>
        <v>0</v>
      </c>
      <c r="R73" s="93" cm="1">
        <f t="array" ref="R73">INDEX(股债表现与四个维度!$A:$T,MATCH($A73,股债表现与四个维度!$A:$A,0),MATCH(R$3&amp;R$4,股债表现与四个维度!$2:$2&amp;股债表现与四个维度!$3:$3,0))</f>
        <v>-0.38461538461538464</v>
      </c>
      <c r="S73" s="93" cm="1">
        <f t="array" ref="S73">INDEX(股债表现与四个维度!$A:$T,MATCH($A73,股债表现与四个维度!$A:$A,0),MATCH(S$3&amp;S$4,股债表现与四个维度!$2:$2&amp;股债表现与四个维度!$3:$3,0))</f>
        <v>-0.46153846153846156</v>
      </c>
      <c r="T73">
        <f t="shared" si="70"/>
        <v>-0.63699633699633706</v>
      </c>
      <c r="U73">
        <f t="shared" si="70"/>
        <v>-4.7252747252747307E-2</v>
      </c>
      <c r="V73">
        <f t="shared" si="75"/>
        <v>-0.58974358974358976</v>
      </c>
      <c r="W73">
        <f t="shared" si="76"/>
        <v>-5.7232392337405509</v>
      </c>
      <c r="X73" t="e">
        <f t="shared" si="77"/>
        <v>#N/A</v>
      </c>
      <c r="Y73" s="92">
        <f t="shared" ref="Y73:Z73" si="83">AVERAGE(V73:V78)</f>
        <v>0.28674454200769983</v>
      </c>
      <c r="Z73" s="92">
        <f t="shared" si="83"/>
        <v>-10.236129732589589</v>
      </c>
      <c r="AA73">
        <f t="shared" si="23"/>
        <v>0.41762283426081331</v>
      </c>
      <c r="AB73">
        <v>0.41762283426081198</v>
      </c>
      <c r="AC73">
        <v>-1.804956283303909</v>
      </c>
    </row>
    <row r="74" spans="1:29" x14ac:dyDescent="0.35">
      <c r="A74" s="91">
        <f t="shared" si="80"/>
        <v>43921</v>
      </c>
      <c r="B74" s="93" cm="1">
        <f t="array" ref="B74">INDEX(股债表现与四个维度!$A:$T,MATCH($A74,股债表现与四个维度!$A:$A,0),MATCH(B$4,股债表现与四个维度!$2:$2,0))</f>
        <v>-6.530276252548469</v>
      </c>
      <c r="C74" s="93" cm="1">
        <f t="array" ref="C74">INDEX(股债表现与四个维度!$A:$T,MATCH($A74,股债表现与四个维度!$A:$A,0),MATCH(C$4,股债表现与四个维度!$2:$2,0))</f>
        <v>-17.8668636363636</v>
      </c>
      <c r="D74" s="93" t="e" cm="1">
        <f t="array" ref="D74">INDEX(股债表现与四个维度!$A:$T,MATCH($A74,股债表现与四个维度!$A:$A,0),MATCH(D$4,股债表现与四个维度!$2:$2,0))</f>
        <v>#N/A</v>
      </c>
      <c r="E74" s="93" t="str" cm="1">
        <f t="array" ref="E74">INDEX(股债表现与四个维度!$A:$T,MATCH($A74,股债表现与四个维度!$A:$A,0),MATCH(E$4,股债表现与四个维度!$2:$2,0))</f>
        <v>衰退</v>
      </c>
      <c r="F74" s="93" t="str" cm="1">
        <f t="array" ref="F74">INDEX(股债表现与四个维度!$A:$T,MATCH($A74,股债表现与四个维度!$A:$A,0),MATCH(F$4,股债表现与四个维度!$2:$2,0))</f>
        <v>宽货币宽信用</v>
      </c>
      <c r="G74" s="93" t="str" cm="1">
        <f t="array" ref="G74">INDEX(股债表现与四个维度!$A:$T,MATCH($A74,股债表现与四个维度!$A:$A,0),MATCH(G$4,股债表现与四个维度!$2:$2,0))</f>
        <v>双紧</v>
      </c>
      <c r="H74" s="93" t="str" cm="1">
        <f t="array" ref="H74">INDEX(股债表现与四个维度!$A:$T,MATCH($A74,股债表现与四个维度!$A:$A,0),MATCH(H$4,股债表现与四个维度!$2:$2,0))</f>
        <v>主动补库存</v>
      </c>
      <c r="I74" s="93" t="str" cm="1">
        <f t="array" ref="I74">INDEX(股债表现与四个维度!$A:$T,MATCH($A74,股债表现与四个维度!$A:$A,0),MATCH(I$4,股债表现与四个维度!$2:$2,0))</f>
        <v>产能周期下行,主动去库存</v>
      </c>
      <c r="J74" s="93" cm="1">
        <f t="array" ref="J74">INDEX(股债表现与四个维度!$A:$T,MATCH($A74,股债表现与四个维度!$A:$A,0),MATCH(J$3&amp;J$4,股债表现与四个维度!$2:$2&amp;股债表现与四个维度!$3:$3,0))</f>
        <v>-5.2631578947368418E-2</v>
      </c>
      <c r="K74" s="93" cm="1">
        <f t="array" ref="K74">INDEX(股债表现与四个维度!$A:$T,MATCH($A74,股债表现与四个维度!$A:$A,0),MATCH(K$3&amp;K$4,股债表现与四个维度!$2:$2&amp;股债表现与四个维度!$3:$3,0))</f>
        <v>0.26315789473684209</v>
      </c>
      <c r="L74" s="93" cm="1">
        <f t="array" ref="L74">INDEX(股债表现与四个维度!$A:$T,MATCH($A74,股债表现与四个维度!$A:$A,0),MATCH(L$3&amp;L$4,股债表现与四个维度!$2:$2&amp;股债表现与四个维度!$3:$3,0))</f>
        <v>0.26666666666666666</v>
      </c>
      <c r="M74" s="93" cm="1">
        <f t="array" ref="M74">INDEX(股债表现与四个维度!$A:$T,MATCH($A74,股债表现与四个维度!$A:$A,0),MATCH(M$3&amp;M$4,股债表现与四个维度!$2:$2&amp;股债表现与四个维度!$3:$3,0))</f>
        <v>0.26666666666666666</v>
      </c>
      <c r="N74" s="93"/>
      <c r="O74" s="93"/>
      <c r="P74" s="93" cm="1">
        <f t="array" ref="P74">INDEX(股债表现与四个维度!$A:$T,MATCH($A74,股债表现与四个维度!$A:$A,0),MATCH(P$3&amp;P$4,股债表现与四个维度!$2:$2&amp;股债表现与四个维度!$3:$3,0))</f>
        <v>-0.27272727272727271</v>
      </c>
      <c r="Q74" s="93" cm="1">
        <f t="array" ref="Q74">INDEX(股债表现与四个维度!$A:$T,MATCH($A74,股债表现与四个维度!$A:$A,0),MATCH(Q$3&amp;Q$4,股债表现与四个维度!$2:$2&amp;股债表现与四个维度!$3:$3,0))</f>
        <v>9.0909090909090912E-2</v>
      </c>
      <c r="R74" s="93" cm="1">
        <f t="array" ref="R74">INDEX(股债表现与四个维度!$A:$T,MATCH($A74,股债表现与四个维度!$A:$A,0),MATCH(R$3&amp;R$4,股债表现与四个维度!$2:$2&amp;股债表现与四个维度!$3:$3,0))</f>
        <v>-0.38461538461538464</v>
      </c>
      <c r="S74" s="93" cm="1">
        <f t="array" ref="S74">INDEX(股债表现与四个维度!$A:$T,MATCH($A74,股债表现与四个维度!$A:$A,0),MATCH(S$3&amp;S$4,股债表现与四个维度!$2:$2&amp;股债表现与四个维度!$3:$3,0))</f>
        <v>-0.46153846153846156</v>
      </c>
      <c r="T74">
        <f t="shared" si="70"/>
        <v>-0.4433075696233591</v>
      </c>
      <c r="U74">
        <f t="shared" si="70"/>
        <v>0.15919519077413813</v>
      </c>
      <c r="V74">
        <f t="shared" si="75"/>
        <v>-0.60250276039749728</v>
      </c>
      <c r="W74">
        <f t="shared" si="76"/>
        <v>-24.397139888912069</v>
      </c>
      <c r="X74" t="e">
        <f t="shared" si="77"/>
        <v>#N/A</v>
      </c>
      <c r="Y74" s="92">
        <f t="shared" ref="Y74:Z74" si="84">AVERAGE(V74:V79)</f>
        <v>0.32359723180156613</v>
      </c>
      <c r="Z74" s="92">
        <f t="shared" si="84"/>
        <v>-7.2737442925352154</v>
      </c>
      <c r="AA74">
        <f t="shared" si="23"/>
        <v>0.67381415269942602</v>
      </c>
      <c r="AB74">
        <v>0.67381415269942502</v>
      </c>
      <c r="AC74">
        <v>-1.2212013922534897</v>
      </c>
    </row>
    <row r="75" spans="1:29" x14ac:dyDescent="0.35">
      <c r="A75" s="91">
        <f t="shared" si="80"/>
        <v>43890</v>
      </c>
      <c r="B75" s="93" cm="1">
        <f t="array" ref="B75">INDEX(股债表现与四个维度!$A:$T,MATCH($A75,股债表现与四个维度!$A:$A,0),MATCH(B$4,股债表现与四个维度!$2:$2,0))</f>
        <v>-2.7510793660733002E-2</v>
      </c>
      <c r="C75" s="93" cm="1">
        <f t="array" ref="C75">INDEX(股债表现与四个维度!$A:$T,MATCH($A75,股债表现与四个维度!$A:$A,0),MATCH(C$4,股债表现与四个维度!$2:$2,0))</f>
        <v>-26.109500000000001</v>
      </c>
      <c r="D75" s="93" t="e" cm="1">
        <f t="array" ref="D75">INDEX(股债表现与四个维度!$A:$T,MATCH($A75,股债表现与四个维度!$A:$A,0),MATCH(D$4,股债表现与四个维度!$2:$2,0))</f>
        <v>#N/A</v>
      </c>
      <c r="E75" s="93" t="str" cm="1">
        <f t="array" ref="E75">INDEX(股债表现与四个维度!$A:$T,MATCH($A75,股债表现与四个维度!$A:$A,0),MATCH(E$4,股债表现与四个维度!$2:$2,0))</f>
        <v>滞涨</v>
      </c>
      <c r="F75" s="93" t="str" cm="1">
        <f t="array" ref="F75">INDEX(股债表现与四个维度!$A:$T,MATCH($A75,股债表现与四个维度!$A:$A,0),MATCH(F$4,股债表现与四个维度!$2:$2,0))</f>
        <v>宽货币紧信用</v>
      </c>
      <c r="G75" s="93" t="str" cm="1">
        <f t="array" ref="G75">INDEX(股债表现与四个维度!$A:$T,MATCH($A75,股债表现与四个维度!$A:$A,0),MATCH(G$4,股债表现与四个维度!$2:$2,0))</f>
        <v>双宽</v>
      </c>
      <c r="H75" s="93" t="str" cm="1">
        <f t="array" ref="H75">INDEX(股债表现与四个维度!$A:$T,MATCH($A75,股债表现与四个维度!$A:$A,0),MATCH(H$4,股债表现与四个维度!$2:$2,0))</f>
        <v>被动去库存</v>
      </c>
      <c r="I75" s="93" t="str" cm="1">
        <f t="array" ref="I75">INDEX(股债表现与四个维度!$A:$T,MATCH($A75,股债表现与四个维度!$A:$A,0),MATCH(I$4,股债表现与四个维度!$2:$2,0))</f>
        <v>产能周期上行,主动去库存</v>
      </c>
      <c r="J75" s="93" cm="1">
        <f t="array" ref="J75">INDEX(股债表现与四个维度!$A:$T,MATCH($A75,股债表现与四个维度!$A:$A,0),MATCH(J$3&amp;J$4,股债表现与四个维度!$2:$2&amp;股债表现与四个维度!$3:$3,0))</f>
        <v>0.26666666666666666</v>
      </c>
      <c r="K75" s="93" cm="1">
        <f t="array" ref="K75">INDEX(股债表现与四个维度!$A:$T,MATCH($A75,股债表现与四个维度!$A:$A,0),MATCH(K$3&amp;K$4,股债表现与四个维度!$2:$2&amp;股债表现与四个维度!$3:$3,0))</f>
        <v>-6.6666666666666666E-2</v>
      </c>
      <c r="L75" s="93" cm="1">
        <f t="array" ref="L75">INDEX(股债表现与四个维度!$A:$T,MATCH($A75,股债表现与四个维度!$A:$A,0),MATCH(L$3&amp;L$4,股债表现与四个维度!$2:$2&amp;股债表现与四个维度!$3:$3,0))</f>
        <v>0.21428571428571427</v>
      </c>
      <c r="M75" s="93" cm="1">
        <f t="array" ref="M75">INDEX(股债表现与四个维度!$A:$T,MATCH($A75,股债表现与四个维度!$A:$A,0),MATCH(M$3&amp;M$4,股债表现与四个维度!$2:$2&amp;股债表现与四个维度!$3:$3,0))</f>
        <v>-0.14285714285714285</v>
      </c>
      <c r="N75" s="93"/>
      <c r="O75" s="93"/>
      <c r="P75" s="93" cm="1">
        <f t="array" ref="P75">INDEX(股债表现与四个维度!$A:$T,MATCH($A75,股债表现与四个维度!$A:$A,0),MATCH(P$3&amp;P$4,股债表现与四个维度!$2:$2&amp;股债表现与四个维度!$3:$3,0))</f>
        <v>8.3333333333333329E-2</v>
      </c>
      <c r="Q75" s="93" cm="1">
        <f t="array" ref="Q75">INDEX(股债表现与四个维度!$A:$T,MATCH($A75,股债表现与四个维度!$A:$A,0),MATCH(Q$3&amp;Q$4,股债表现与四个维度!$2:$2&amp;股债表现与四个维度!$3:$3,0))</f>
        <v>-0.16666666666666666</v>
      </c>
      <c r="R75" s="93" cm="1">
        <f t="array" ref="R75">INDEX(股债表现与四个维度!$A:$T,MATCH($A75,股债表现与四个维度!$A:$A,0),MATCH(R$3&amp;R$4,股债表现与四个维度!$2:$2&amp;股债表现与四个维度!$3:$3,0))</f>
        <v>0.46666666666666667</v>
      </c>
      <c r="S75" s="93" cm="1">
        <f t="array" ref="S75">INDEX(股债表现与四个维度!$A:$T,MATCH($A75,股债表现与四个维度!$A:$A,0),MATCH(S$3&amp;S$4,股债表现与四个维度!$2:$2&amp;股债表现与四个维度!$3:$3,0))</f>
        <v>0.2</v>
      </c>
      <c r="T75">
        <f t="shared" si="70"/>
        <v>1.0309523809523808</v>
      </c>
      <c r="U75">
        <f t="shared" si="70"/>
        <v>-0.17619047619047618</v>
      </c>
      <c r="V75">
        <f t="shared" si="75"/>
        <v>1.2071428571428571</v>
      </c>
      <c r="W75">
        <f t="shared" si="76"/>
        <v>-26.137010793660732</v>
      </c>
      <c r="X75" t="e">
        <f t="shared" si="77"/>
        <v>#N/A</v>
      </c>
      <c r="Y75" s="92">
        <f t="shared" ref="Y75:Z75" si="85">AVERAGE(V75:V80)</f>
        <v>0.43148489725502109</v>
      </c>
      <c r="Z75" s="92">
        <f t="shared" si="85"/>
        <v>-2.3833790504584345</v>
      </c>
      <c r="AA75">
        <f t="shared" si="23"/>
        <v>0.93531664029712225</v>
      </c>
      <c r="AB75">
        <v>0.93531664029712203</v>
      </c>
      <c r="AC75">
        <v>1.5689246829892147</v>
      </c>
    </row>
    <row r="76" spans="1:29" x14ac:dyDescent="0.35">
      <c r="A76" s="91">
        <f t="shared" si="80"/>
        <v>43861</v>
      </c>
      <c r="B76" s="93" cm="1">
        <f t="array" ref="B76">INDEX(股债表现与四个维度!$A:$T,MATCH($A76,股债表现与四个维度!$A:$A,0),MATCH(B$4,股债表现与四个维度!$2:$2,0))</f>
        <v>-0.25268447865475102</v>
      </c>
      <c r="C76" s="93" cm="1">
        <f t="array" ref="C76">INDEX(股债表现与四个维度!$A:$T,MATCH($A76,股债表现与四个维度!$A:$A,0),MATCH(C$4,股债表现与四个维度!$2:$2,0))</f>
        <v>-8.0195454545455007</v>
      </c>
      <c r="D76" s="93" t="e" cm="1">
        <f t="array" ref="D76">INDEX(股债表现与四个维度!$A:$T,MATCH($A76,股债表现与四个维度!$A:$A,0),MATCH(D$4,股债表现与四个维度!$2:$2,0))</f>
        <v>#N/A</v>
      </c>
      <c r="E76" s="93" t="str" cm="1">
        <f t="array" ref="E76">INDEX(股债表现与四个维度!$A:$T,MATCH($A76,股债表现与四个维度!$A:$A,0),MATCH(E$4,股债表现与四个维度!$2:$2,0))</f>
        <v>过热</v>
      </c>
      <c r="F76" s="93" t="str" cm="1">
        <f t="array" ref="F76">INDEX(股债表现与四个维度!$A:$T,MATCH($A76,股债表现与四个维度!$A:$A,0),MATCH(F$4,股债表现与四个维度!$2:$2,0))</f>
        <v>宽货币宽信用</v>
      </c>
      <c r="G76" s="93" t="str" cm="1">
        <f t="array" ref="G76">INDEX(股债表现与四个维度!$A:$T,MATCH($A76,股债表现与四个维度!$A:$A,0),MATCH(G$4,股债表现与四个维度!$2:$2,0))</f>
        <v>双紧</v>
      </c>
      <c r="H76" s="93" t="str" cm="1">
        <f t="array" ref="H76">INDEX(股债表现与四个维度!$A:$T,MATCH($A76,股债表现与四个维度!$A:$A,0),MATCH(H$4,股债表现与四个维度!$2:$2,0))</f>
        <v>主动去库存</v>
      </c>
      <c r="I76" s="93" t="str" cm="1">
        <f t="array" ref="I76">INDEX(股债表现与四个维度!$A:$T,MATCH($A76,股债表现与四个维度!$A:$A,0),MATCH(I$4,股债表现与四个维度!$2:$2,0))</f>
        <v>产能周期上行,主动去库存</v>
      </c>
      <c r="J76" s="93" cm="1">
        <f t="array" ref="J76">INDEX(股债表现与四个维度!$A:$T,MATCH($A76,股债表现与四个维度!$A:$A,0),MATCH(J$3&amp;J$4,股债表现与四个维度!$2:$2&amp;股债表现与四个维度!$3:$3,0))</f>
        <v>0.3</v>
      </c>
      <c r="K76" s="93" cm="1">
        <f t="array" ref="K76">INDEX(股债表现与四个维度!$A:$T,MATCH($A76,股债表现与四个维度!$A:$A,0),MATCH(K$3&amp;K$4,股债表现与四个维度!$2:$2&amp;股债表现与四个维度!$3:$3,0))</f>
        <v>-0.2</v>
      </c>
      <c r="L76" s="93" cm="1">
        <f t="array" ref="L76">INDEX(股债表现与四个维度!$A:$T,MATCH($A76,股债表现与四个维度!$A:$A,0),MATCH(L$3&amp;L$4,股债表现与四个维度!$2:$2&amp;股债表现与四个维度!$3:$3,0))</f>
        <v>0.2857142857142857</v>
      </c>
      <c r="M76" s="93" cm="1">
        <f t="array" ref="M76">INDEX(股债表现与四个维度!$A:$T,MATCH($A76,股债表现与四个维度!$A:$A,0),MATCH(M$3&amp;M$4,股债表现与四个维度!$2:$2&amp;股债表现与四个维度!$3:$3,0))</f>
        <v>0.21428571428571427</v>
      </c>
      <c r="N76" s="93"/>
      <c r="O76" s="93"/>
      <c r="P76" s="93" cm="1">
        <f t="array" ref="P76">INDEX(股债表现与四个维度!$A:$T,MATCH($A76,股债表现与四个维度!$A:$A,0),MATCH(P$3&amp;P$4,股债表现与四个维度!$2:$2&amp;股债表现与四个维度!$3:$3,0))</f>
        <v>0.2857142857142857</v>
      </c>
      <c r="Q76" s="93" cm="1">
        <f t="array" ref="Q76">INDEX(股债表现与四个维度!$A:$T,MATCH($A76,股债表现与四个维度!$A:$A,0),MATCH(Q$3&amp;Q$4,股债表现与四个维度!$2:$2&amp;股债表现与四个维度!$3:$3,0))</f>
        <v>4.7619047619047616E-2</v>
      </c>
      <c r="R76" s="93" cm="1">
        <f t="array" ref="R76">INDEX(股债表现与四个维度!$A:$T,MATCH($A76,股债表现与四个维度!$A:$A,0),MATCH(R$3&amp;R$4,股债表现与四个维度!$2:$2&amp;股债表现与四个维度!$3:$3,0))</f>
        <v>0.42857142857142855</v>
      </c>
      <c r="S76" s="93" cm="1">
        <f t="array" ref="S76">INDEX(股债表现与四个维度!$A:$T,MATCH($A76,股债表现与四个维度!$A:$A,0),MATCH(S$3&amp;S$4,股债表现与四个维度!$2:$2&amp;股债表现与四个维度!$3:$3,0))</f>
        <v>0.14285714285714285</v>
      </c>
      <c r="T76">
        <f t="shared" si="70"/>
        <v>1.2999999999999998</v>
      </c>
      <c r="U76">
        <f t="shared" si="70"/>
        <v>0.20476190476190473</v>
      </c>
      <c r="V76">
        <f t="shared" si="75"/>
        <v>1.0952380952380951</v>
      </c>
      <c r="W76">
        <f t="shared" si="76"/>
        <v>-8.2722299332002525</v>
      </c>
      <c r="X76" t="e">
        <f t="shared" si="77"/>
        <v>#N/A</v>
      </c>
      <c r="Y76" s="92">
        <f t="shared" ref="Y76:Z76" si="86">AVERAGE(V76:V81)</f>
        <v>0.31571108773121154</v>
      </c>
      <c r="Z76" s="92">
        <f t="shared" si="86"/>
        <v>-0.16952707375603904</v>
      </c>
      <c r="AA76">
        <f t="shared" si="23"/>
        <v>0.9278899666011603</v>
      </c>
      <c r="AB76">
        <v>0.92788996660116096</v>
      </c>
      <c r="AC76">
        <v>2.2610913454092025</v>
      </c>
    </row>
    <row r="77" spans="1:29" x14ac:dyDescent="0.35">
      <c r="A77" s="91">
        <f t="shared" si="80"/>
        <v>43830</v>
      </c>
      <c r="B77" s="93" cm="1">
        <f t="array" ref="B77">INDEX(股债表现与四个维度!$A:$T,MATCH($A77,股债表现与四个维度!$A:$A,0),MATCH(B$4,股债表现与四个维度!$2:$2,0))</f>
        <v>7.5465408651152188</v>
      </c>
      <c r="C77" s="93" cm="1">
        <f t="array" ref="C77">INDEX(股债表现与四个维度!$A:$T,MATCH($A77,股债表现与四个维度!$A:$A,0),MATCH(C$4,股债表现与四个维度!$2:$2,0))</f>
        <v>-4.7456926406926003</v>
      </c>
      <c r="D77" s="93" t="e" cm="1">
        <f t="array" ref="D77">INDEX(股债表现与四个维度!$A:$T,MATCH($A77,股债表现与四个维度!$A:$A,0),MATCH(D$4,股债表现与四个维度!$2:$2,0))</f>
        <v>#N/A</v>
      </c>
      <c r="E77" s="93" t="str" cm="1">
        <f t="array" ref="E77">INDEX(股债表现与四个维度!$A:$T,MATCH($A77,股债表现与四个维度!$A:$A,0),MATCH(E$4,股债表现与四个维度!$2:$2,0))</f>
        <v>衰退</v>
      </c>
      <c r="F77" s="93" t="str" cm="1">
        <f t="array" ref="F77">INDEX(股债表现与四个维度!$A:$T,MATCH($A77,股债表现与四个维度!$A:$A,0),MATCH(F$4,股债表现与四个维度!$2:$2,0))</f>
        <v>紧货币紧信用</v>
      </c>
      <c r="G77" s="93" t="str" cm="1">
        <f t="array" ref="G77">INDEX(股债表现与四个维度!$A:$T,MATCH($A77,股债表现与四个维度!$A:$A,0),MATCH(G$4,股债表现与四个维度!$2:$2,0))</f>
        <v>双宽</v>
      </c>
      <c r="H77" s="93" t="str" cm="1">
        <f t="array" ref="H77">INDEX(股债表现与四个维度!$A:$T,MATCH($A77,股债表现与四个维度!$A:$A,0),MATCH(H$4,股债表现与四个维度!$2:$2,0))</f>
        <v>主动去库存</v>
      </c>
      <c r="I77" s="93" t="str" cm="1">
        <f t="array" ref="I77">INDEX(股债表现与四个维度!$A:$T,MATCH($A77,股债表现与四个维度!$A:$A,0),MATCH(I$4,股债表现与四个维度!$2:$2,0))</f>
        <v>产能周期上行,主动去库存</v>
      </c>
      <c r="J77" s="93" cm="1">
        <f t="array" ref="J77">INDEX(股债表现与四个维度!$A:$T,MATCH($A77,股债表现与四个维度!$A:$A,0),MATCH(J$3&amp;J$4,股债表现与四个维度!$2:$2&amp;股债表现与四个维度!$3:$3,0))</f>
        <v>5.2631578947368418E-2</v>
      </c>
      <c r="K77" s="93" cm="1">
        <f t="array" ref="K77">INDEX(股债表现与四个维度!$A:$T,MATCH($A77,股债表现与四个维度!$A:$A,0),MATCH(K$3&amp;K$4,股债表现与四个维度!$2:$2&amp;股债表现与四个维度!$3:$3,0))</f>
        <v>0.21052631578947367</v>
      </c>
      <c r="L77" s="93" cm="1">
        <f t="array" ref="L77">INDEX(股债表现与四个维度!$A:$T,MATCH($A77,股债表现与四个维度!$A:$A,0),MATCH(L$3&amp;L$4,股债表现与四个维度!$2:$2&amp;股债表现与四个维度!$3:$3,0))</f>
        <v>5.2631578947368418E-2</v>
      </c>
      <c r="M77" s="93" cm="1">
        <f t="array" ref="M77">INDEX(股债表现与四个维度!$A:$T,MATCH($A77,股债表现与四个维度!$A:$A,0),MATCH(M$3&amp;M$4,股债表现与四个维度!$2:$2&amp;股债表现与四个维度!$3:$3,0))</f>
        <v>0.15789473684210525</v>
      </c>
      <c r="N77" s="93"/>
      <c r="O77" s="93"/>
      <c r="P77" s="93" cm="1">
        <f t="array" ref="P77">INDEX(股债表现与四个维度!$A:$T,MATCH($A77,股债表现与四个维度!$A:$A,0),MATCH(P$3&amp;P$4,股债表现与四个维度!$2:$2&amp;股债表现与四个维度!$3:$3,0))</f>
        <v>0.2857142857142857</v>
      </c>
      <c r="Q77" s="93" cm="1">
        <f t="array" ref="Q77">INDEX(股债表现与四个维度!$A:$T,MATCH($A77,股债表现与四个维度!$A:$A,0),MATCH(Q$3&amp;Q$4,股债表现与四个维度!$2:$2&amp;股债表现与四个维度!$3:$3,0))</f>
        <v>4.7619047619047616E-2</v>
      </c>
      <c r="R77" s="93" cm="1">
        <f t="array" ref="R77">INDEX(股债表现与四个维度!$A:$T,MATCH($A77,股债表现与四个维度!$A:$A,0),MATCH(R$3&amp;R$4,股债表现与四个维度!$2:$2&amp;股债表现与四个维度!$3:$3,0))</f>
        <v>0.42857142857142855</v>
      </c>
      <c r="S77" s="93" cm="1">
        <f t="array" ref="S77">INDEX(股债表现与四个维度!$A:$T,MATCH($A77,股债表现与四个维度!$A:$A,0),MATCH(S$3&amp;S$4,股债表现与四个维度!$2:$2&amp;股债表现与四个维度!$3:$3,0))</f>
        <v>0.14285714285714285</v>
      </c>
      <c r="T77">
        <f t="shared" si="70"/>
        <v>0.81954887218045114</v>
      </c>
      <c r="U77">
        <f t="shared" si="70"/>
        <v>0.55889724310776945</v>
      </c>
      <c r="V77">
        <f t="shared" si="75"/>
        <v>0.26065162907268169</v>
      </c>
      <c r="W77">
        <f t="shared" si="76"/>
        <v>2.8008482244226185</v>
      </c>
      <c r="X77" t="e">
        <f t="shared" si="77"/>
        <v>#N/A</v>
      </c>
      <c r="Y77" s="92">
        <f t="shared" ref="Y77:Z77" si="87">AVERAGE(V77:V82)</f>
        <v>0.34608485339909484</v>
      </c>
      <c r="Z77" s="92">
        <f t="shared" si="87"/>
        <v>7.1113995273838881E-2</v>
      </c>
      <c r="AA77">
        <f t="shared" si="23"/>
        <v>0.76395327977745309</v>
      </c>
      <c r="AB77">
        <v>0.76395327977745298</v>
      </c>
      <c r="AC77">
        <v>0.76052934309127807</v>
      </c>
    </row>
    <row r="78" spans="1:29" x14ac:dyDescent="0.35">
      <c r="A78" s="91">
        <f t="shared" si="80"/>
        <v>43799</v>
      </c>
      <c r="B78" s="93" cm="1">
        <f t="array" ref="B78">INDEX(股债表现与四个维度!$A:$T,MATCH($A78,股债表现与四个维度!$A:$A,0),MATCH(B$4,股债表现与四个维度!$2:$2,0))</f>
        <v>-1.5069290762109431</v>
      </c>
      <c r="C78" s="93" cm="1">
        <f t="array" ref="C78">INDEX(股债表现与四个维度!$A:$T,MATCH($A78,股债表现与四个维度!$A:$A,0),MATCH(C$4,股债表现与四个维度!$2:$2,0))</f>
        <v>1.8189223057643999</v>
      </c>
      <c r="D78" s="93" t="e" cm="1">
        <f t="array" ref="D78">INDEX(股债表现与四个维度!$A:$T,MATCH($A78,股债表现与四个维度!$A:$A,0),MATCH(D$4,股债表现与四个维度!$2:$2,0))</f>
        <v>#N/A</v>
      </c>
      <c r="E78" s="93" t="str" cm="1">
        <f t="array" ref="E78">INDEX(股债表现与四个维度!$A:$T,MATCH($A78,股债表现与四个维度!$A:$A,0),MATCH(E$4,股债表现与四个维度!$2:$2,0))</f>
        <v>衰退</v>
      </c>
      <c r="F78" s="93" t="str" cm="1">
        <f t="array" ref="F78">INDEX(股债表现与四个维度!$A:$T,MATCH($A78,股债表现与四个维度!$A:$A,0),MATCH(F$4,股债表现与四个维度!$2:$2,0))</f>
        <v>紧货币宽信用</v>
      </c>
      <c r="G78" s="93" t="str" cm="1">
        <f t="array" ref="G78">INDEX(股债表现与四个维度!$A:$T,MATCH($A78,股债表现与四个维度!$A:$A,0),MATCH(G$4,股债表现与四个维度!$2:$2,0))</f>
        <v>双宽</v>
      </c>
      <c r="H78" s="93" t="str" cm="1">
        <f t="array" ref="H78">INDEX(股债表现与四个维度!$A:$T,MATCH($A78,股债表现与四个维度!$A:$A,0),MATCH(H$4,股债表现与四个维度!$2:$2,0))</f>
        <v>被动去库存</v>
      </c>
      <c r="I78" s="93" t="str" cm="1">
        <f t="array" ref="I78">INDEX(股债表现与四个维度!$A:$T,MATCH($A78,股债表现与四个维度!$A:$A,0),MATCH(I$4,股债表现与四个维度!$2:$2,0))</f>
        <v>产能周期下行,主动去库存</v>
      </c>
      <c r="J78" s="93" cm="1">
        <f t="array" ref="J78">INDEX(股债表现与四个维度!$A:$T,MATCH($A78,股债表现与四个维度!$A:$A,0),MATCH(J$3&amp;J$4,股债表现与四个维度!$2:$2&amp;股债表现与四个维度!$3:$3,0))</f>
        <v>5.2631578947368418E-2</v>
      </c>
      <c r="K78" s="93" cm="1">
        <f t="array" ref="K78">INDEX(股债表现与四个维度!$A:$T,MATCH($A78,股债表现与四个维度!$A:$A,0),MATCH(K$3&amp;K$4,股债表现与四个维度!$2:$2&amp;股债表现与四个维度!$3:$3,0))</f>
        <v>0.21052631578947367</v>
      </c>
      <c r="L78" s="93" cm="1">
        <f t="array" ref="L78">INDEX(股债表现与四个维度!$A:$T,MATCH($A78,股债表现与四个维度!$A:$A,0),MATCH(L$3&amp;L$4,股债表现与四个维度!$2:$2&amp;股债表现与四个维度!$3:$3,0))</f>
        <v>-8.3333333333333329E-2</v>
      </c>
      <c r="M78" s="93" cm="1">
        <f t="array" ref="M78">INDEX(股债表现与四个维度!$A:$T,MATCH($A78,股债表现与四个维度!$A:$A,0),MATCH(M$3&amp;M$4,股债表现与四个维度!$2:$2&amp;股债表现与四个维度!$3:$3,0))</f>
        <v>0</v>
      </c>
      <c r="N78" s="93"/>
      <c r="O78" s="93"/>
      <c r="P78" s="93" cm="1">
        <f t="array" ref="P78">INDEX(股债表现与四个维度!$A:$T,MATCH($A78,股债表现与四个维度!$A:$A,0),MATCH(P$3&amp;P$4,股债表现与四个维度!$2:$2&amp;股债表现与四个维度!$3:$3,0))</f>
        <v>0.25</v>
      </c>
      <c r="Q78" s="93" cm="1">
        <f t="array" ref="Q78">INDEX(股债表现与四个维度!$A:$T,MATCH($A78,股债表现与四个维度!$A:$A,0),MATCH(Q$3&amp;Q$4,股债表现与四个维度!$2:$2&amp;股债表现与四个维度!$3:$3,0))</f>
        <v>-0.25</v>
      </c>
      <c r="R78" s="93" cm="1">
        <f t="array" ref="R78">INDEX(股债表现与四个维度!$A:$T,MATCH($A78,股债表现与四个维度!$A:$A,0),MATCH(R$3&amp;R$4,股债表现与四个维度!$2:$2&amp;股债表现与四个维度!$3:$3,0))</f>
        <v>-0.36363636363636365</v>
      </c>
      <c r="S78" s="93" cm="1">
        <f t="array" ref="S78">INDEX(股债表现与四个维度!$A:$T,MATCH($A78,股债表现与四个维度!$A:$A,0),MATCH(S$3&amp;S$4,股债表现与四个维度!$2:$2&amp;股债表现与四个维度!$3:$3,0))</f>
        <v>-0.45454545454545453</v>
      </c>
      <c r="T78">
        <f t="shared" si="70"/>
        <v>-0.14433811802232854</v>
      </c>
      <c r="U78">
        <f t="shared" si="70"/>
        <v>-0.49401913875598086</v>
      </c>
      <c r="V78">
        <f t="shared" si="75"/>
        <v>0.34968102073365231</v>
      </c>
      <c r="W78">
        <f t="shared" si="76"/>
        <v>0.31199322955345687</v>
      </c>
      <c r="X78" t="e">
        <f t="shared" si="77"/>
        <v>#N/A</v>
      </c>
      <c r="Y78" s="92">
        <f t="shared" ref="Y78:Z78" si="88">AVERAGE(V78:V83)</f>
        <v>0.46418692676432616</v>
      </c>
      <c r="Z78" s="92">
        <f t="shared" si="88"/>
        <v>-1.0190250648630717</v>
      </c>
      <c r="AA78">
        <f t="shared" si="23"/>
        <v>0.89786771715665425</v>
      </c>
      <c r="AB78">
        <v>0.89786771715665403</v>
      </c>
      <c r="AC78">
        <v>0.94134930963258368</v>
      </c>
    </row>
    <row r="79" spans="1:29" x14ac:dyDescent="0.35">
      <c r="A79" s="91">
        <f t="shared" si="80"/>
        <v>43769</v>
      </c>
      <c r="B79" s="93" cm="1">
        <f t="array" ref="B79">INDEX(股债表现与四个维度!$A:$T,MATCH($A79,股债表现与四个维度!$A:$A,0),MATCH(B$4,股债表现与四个维度!$2:$2,0))</f>
        <v>0.816186188540583</v>
      </c>
      <c r="C79" s="93" cm="1">
        <f t="array" ref="C79">INDEX(股债表现与四个维度!$A:$T,MATCH($A79,股债表现与四个维度!$A:$A,0),MATCH(C$4,股债表现与四个维度!$2:$2,0))</f>
        <v>11.234887218045101</v>
      </c>
      <c r="D79" s="93" t="e" cm="1">
        <f t="array" ref="D79">INDEX(股债表现与四个维度!$A:$T,MATCH($A79,股债表现与四个维度!$A:$A,0),MATCH(D$4,股债表现与四个维度!$2:$2,0))</f>
        <v>#N/A</v>
      </c>
      <c r="E79" s="93" t="str" cm="1">
        <f t="array" ref="E79">INDEX(股债表现与四个维度!$A:$T,MATCH($A79,股债表现与四个维度!$A:$A,0),MATCH(E$4,股债表现与四个维度!$2:$2,0))</f>
        <v>复苏</v>
      </c>
      <c r="F79" s="93" t="str" cm="1">
        <f t="array" ref="F79">INDEX(股债表现与四个维度!$A:$T,MATCH($A79,股债表现与四个维度!$A:$A,0),MATCH(F$4,股债表现与四个维度!$2:$2,0))</f>
        <v>紧货币紧信用</v>
      </c>
      <c r="G79" s="93" t="str" cm="1">
        <f t="array" ref="G79">INDEX(股债表现与四个维度!$A:$T,MATCH($A79,股债表现与四个维度!$A:$A,0),MATCH(G$4,股债表现与四个维度!$2:$2,0))</f>
        <v>双宽</v>
      </c>
      <c r="H79" s="93" t="str" cm="1">
        <f t="array" ref="H79">INDEX(股债表现与四个维度!$A:$T,MATCH($A79,股债表现与四个维度!$A:$A,0),MATCH(H$4,股债表现与四个维度!$2:$2,0))</f>
        <v>主动去库存</v>
      </c>
      <c r="I79" s="93" t="str" cm="1">
        <f t="array" ref="I79">INDEX(股债表现与四个维度!$A:$T,MATCH($A79,股债表现与四个维度!$A:$A,0),MATCH(I$4,股债表现与四个维度!$2:$2,0))</f>
        <v>产能周期下行,主动去库存</v>
      </c>
      <c r="J79" s="93" cm="1">
        <f t="array" ref="J79">INDEX(股债表现与四个维度!$A:$T,MATCH($A79,股债表现与四个维度!$A:$A,0),MATCH(J$3&amp;J$4,股债表现与四个维度!$2:$2&amp;股债表现与四个维度!$3:$3,0))</f>
        <v>0</v>
      </c>
      <c r="K79" s="93" cm="1">
        <f t="array" ref="K79">INDEX(股债表现与四个维度!$A:$T,MATCH($A79,股债表现与四个维度!$A:$A,0),MATCH(K$3&amp;K$4,股债表现与四个维度!$2:$2&amp;股债表现与四个维度!$3:$3,0))</f>
        <v>0.33333333333333331</v>
      </c>
      <c r="L79" s="93" cm="1">
        <f t="array" ref="L79">INDEX(股债表现与四个维度!$A:$T,MATCH($A79,股债表现与四个维度!$A:$A,0),MATCH(L$3&amp;L$4,股债表现与四个维度!$2:$2&amp;股债表现与四个维度!$3:$3,0))</f>
        <v>5.8823529411764705E-2</v>
      </c>
      <c r="M79" s="93" cm="1">
        <f t="array" ref="M79">INDEX(股债表现与四个维度!$A:$T,MATCH($A79,股债表现与四个维度!$A:$A,0),MATCH(M$3&amp;M$4,股债表现与四个维度!$2:$2&amp;股债表现与四个维度!$3:$3,0))</f>
        <v>0.29411764705882354</v>
      </c>
      <c r="N79" s="93"/>
      <c r="O79" s="93"/>
      <c r="P79" s="93" cm="1">
        <f t="array" ref="P79">INDEX(股债表现与四个维度!$A:$T,MATCH($A79,股债表现与四个维度!$A:$A,0),MATCH(P$3&amp;P$4,股债表现与四个维度!$2:$2&amp;股债表现与四个维度!$3:$3,0))</f>
        <v>0.3</v>
      </c>
      <c r="Q79" s="93" cm="1">
        <f t="array" ref="Q79">INDEX(股债表现与四个维度!$A:$T,MATCH($A79,股债表现与四个维度!$A:$A,0),MATCH(Q$3&amp;Q$4,股债表现与四个维度!$2:$2&amp;股债表现与四个维度!$3:$3,0))</f>
        <v>0.1</v>
      </c>
      <c r="R79" s="93" cm="1">
        <f t="array" ref="R79">INDEX(股债表现与四个维度!$A:$T,MATCH($A79,股债表现与四个维度!$A:$A,0),MATCH(R$3&amp;R$4,股债表现与四个维度!$2:$2&amp;股债表现与四个维度!$3:$3,0))</f>
        <v>-0.4</v>
      </c>
      <c r="S79" s="93" cm="1">
        <f t="array" ref="S79">INDEX(股债表现与四个维度!$A:$T,MATCH($A79,股债表现与四个维度!$A:$A,0),MATCH(S$3&amp;S$4,股债表现与四个维度!$2:$2&amp;股债表现与四个维度!$3:$3,0))</f>
        <v>-0.4</v>
      </c>
      <c r="T79">
        <f t="shared" si="70"/>
        <v>-4.1176470588235314E-2</v>
      </c>
      <c r="U79">
        <f t="shared" si="70"/>
        <v>0.32745098039215681</v>
      </c>
      <c r="V79">
        <f t="shared" si="75"/>
        <v>-0.36862745098039212</v>
      </c>
      <c r="W79">
        <f t="shared" si="76"/>
        <v>12.051073406585683</v>
      </c>
      <c r="X79" t="e">
        <f t="shared" si="77"/>
        <v>#N/A</v>
      </c>
      <c r="Y79" s="92">
        <f t="shared" ref="Y79:Z79" si="89">AVERAGE(V79:V84)</f>
        <v>0.52093572277395817</v>
      </c>
      <c r="Z79" s="92">
        <f t="shared" si="89"/>
        <v>-2.6512148532778865</v>
      </c>
      <c r="AA79">
        <f t="shared" si="23"/>
        <v>1.1575351972924091</v>
      </c>
      <c r="AB79">
        <v>1.1575351972924</v>
      </c>
      <c r="AC79">
        <v>-0.26780837267223295</v>
      </c>
    </row>
    <row r="80" spans="1:29" x14ac:dyDescent="0.35">
      <c r="A80" s="91">
        <f t="shared" si="80"/>
        <v>43738</v>
      </c>
      <c r="B80" s="93" cm="1">
        <f t="array" ref="B80">INDEX(股债表现与四个维度!$A:$T,MATCH($A80,股债表现与四个维度!$A:$A,0),MATCH(B$4,股债表现与四个维度!$2:$2,0))</f>
        <v>0.76953208302911902</v>
      </c>
      <c r="C80" s="93" cm="1">
        <f t="array" ref="C80">INDEX(股债表现与四个维度!$A:$T,MATCH($A80,股债表现与四个维度!$A:$A,0),MATCH(C$4,股债表现与四个维度!$2:$2,0))</f>
        <v>4.1755194805195002</v>
      </c>
      <c r="D80" s="93" t="e" cm="1">
        <f t="array" ref="D80">INDEX(股债表现与四个维度!$A:$T,MATCH($A80,股债表现与四个维度!$A:$A,0),MATCH(D$4,股债表现与四个维度!$2:$2,0))</f>
        <v>#N/A</v>
      </c>
      <c r="E80" s="93" t="str" cm="1">
        <f t="array" ref="E80">INDEX(股债表现与四个维度!$A:$T,MATCH($A80,股债表现与四个维度!$A:$A,0),MATCH(E$4,股债表现与四个维度!$2:$2,0))</f>
        <v>衰退</v>
      </c>
      <c r="F80" s="93" t="str" cm="1">
        <f t="array" ref="F80">INDEX(股债表现与四个维度!$A:$T,MATCH($A80,股债表现与四个维度!$A:$A,0),MATCH(F$4,股债表现与四个维度!$2:$2,0))</f>
        <v>紧货币紧信用</v>
      </c>
      <c r="G80" s="93" t="str" cm="1">
        <f t="array" ref="G80">INDEX(股债表现与四个维度!$A:$T,MATCH($A80,股债表现与四个维度!$A:$A,0),MATCH(G$4,股债表现与四个维度!$2:$2,0))</f>
        <v>双宽</v>
      </c>
      <c r="H80" s="93" t="str" cm="1">
        <f t="array" ref="H80">INDEX(股债表现与四个维度!$A:$T,MATCH($A80,股债表现与四个维度!$A:$A,0),MATCH(H$4,股债表现与四个维度!$2:$2,0))</f>
        <v>被动去库存</v>
      </c>
      <c r="I80" s="93" t="str" cm="1">
        <f t="array" ref="I80">INDEX(股债表现与四个维度!$A:$T,MATCH($A80,股债表现与四个维度!$A:$A,0),MATCH(I$4,股债表现与四个维度!$2:$2,0))</f>
        <v>产能周期下行,主动去库存</v>
      </c>
      <c r="J80" s="93" cm="1">
        <f t="array" ref="J80">INDEX(股债表现与四个维度!$A:$T,MATCH($A80,股债表现与四个维度!$A:$A,0),MATCH(J$3&amp;J$4,股债表现与四个维度!$2:$2&amp;股债表现与四个维度!$3:$3,0))</f>
        <v>5.5555555555555552E-2</v>
      </c>
      <c r="K80" s="93" cm="1">
        <f t="array" ref="K80">INDEX(股债表现与四个维度!$A:$T,MATCH($A80,股债表现与四个维度!$A:$A,0),MATCH(K$3&amp;K$4,股债表现与四个维度!$2:$2&amp;股债表现与四个维度!$3:$3,0))</f>
        <v>0.27777777777777779</v>
      </c>
      <c r="L80" s="93" cm="1">
        <f t="array" ref="L80">INDEX(股债表现与四个维度!$A:$T,MATCH($A80,股债表现与四个维度!$A:$A,0),MATCH(L$3&amp;L$4,股债表现与四个维度!$2:$2&amp;股债表现与四个维度!$3:$3,0))</f>
        <v>6.25E-2</v>
      </c>
      <c r="M80" s="93" cm="1">
        <f t="array" ref="M80">INDEX(股债表现与四个维度!$A:$T,MATCH($A80,股债表现与四个维度!$A:$A,0),MATCH(M$3&amp;M$4,股债表现与四个维度!$2:$2&amp;股债表现与四个维度!$3:$3,0))</f>
        <v>0.25</v>
      </c>
      <c r="N80" s="93"/>
      <c r="O80" s="93"/>
      <c r="P80" s="93" cm="1">
        <f t="array" ref="P80">INDEX(股债表现与四个维度!$A:$T,MATCH($A80,股债表现与四个维度!$A:$A,0),MATCH(P$3&amp;P$4,股债表现与四个维度!$2:$2&amp;股债表现与四个维度!$3:$3,0))</f>
        <v>0.27272727272727271</v>
      </c>
      <c r="Q80" s="93" cm="1">
        <f t="array" ref="Q80">INDEX(股债表现与四个维度!$A:$T,MATCH($A80,股债表现与四个维度!$A:$A,0),MATCH(Q$3&amp;Q$4,股债表现与四个维度!$2:$2&amp;股债表现与四个维度!$3:$3,0))</f>
        <v>-0.18181818181818182</v>
      </c>
      <c r="R80" s="93" cm="1">
        <f t="array" ref="R80">INDEX(股债表现与四个维度!$A:$T,MATCH($A80,股债表现与四个维度!$A:$A,0),MATCH(R$3&amp;R$4,股债表现与四个维度!$2:$2&amp;股债表现与四个维度!$3:$3,0))</f>
        <v>-0.4</v>
      </c>
      <c r="S80" s="93" cm="1">
        <f t="array" ref="S80">INDEX(股债表现与四个维度!$A:$T,MATCH($A80,股债表现与四个维度!$A:$A,0),MATCH(S$3&amp;S$4,股债表现与四个维度!$2:$2&amp;股债表现与四个维度!$3:$3,0))</f>
        <v>-0.4</v>
      </c>
      <c r="T80">
        <f t="shared" si="70"/>
        <v>-9.2171717171717349E-3</v>
      </c>
      <c r="U80">
        <f t="shared" si="70"/>
        <v>-5.4040404040404055E-2</v>
      </c>
      <c r="V80">
        <f t="shared" si="75"/>
        <v>4.482323232323232E-2</v>
      </c>
      <c r="W80">
        <f t="shared" si="76"/>
        <v>4.9450515635486187</v>
      </c>
      <c r="X80" t="e">
        <f t="shared" si="77"/>
        <v>#N/A</v>
      </c>
      <c r="Y80" s="92">
        <f t="shared" ref="Y80:Z80" si="90">AVERAGE(V80:V85)</f>
        <v>0.6218694295900179</v>
      </c>
      <c r="Z80" s="92">
        <f t="shared" si="90"/>
        <v>-1.5248339435420082</v>
      </c>
      <c r="AA80">
        <f t="shared" si="23"/>
        <v>2.3256863389368987</v>
      </c>
      <c r="AB80">
        <v>2.3256863389368898</v>
      </c>
      <c r="AC80">
        <v>0.34781353333268789</v>
      </c>
    </row>
    <row r="81" spans="1:29" x14ac:dyDescent="0.35">
      <c r="A81" s="91">
        <f t="shared" si="80"/>
        <v>43708</v>
      </c>
      <c r="B81" s="93" cm="1">
        <f t="array" ref="B81">INDEX(股债表现与四个维度!$A:$T,MATCH($A81,股债表现与四个维度!$A:$A,0),MATCH(B$4,股债表现与四个维度!$2:$2,0))</f>
        <v>-0.74154715479026001</v>
      </c>
      <c r="C81" s="93" cm="1">
        <f t="array" ref="C81">INDEX(股债表现与四个维度!$A:$T,MATCH($A81,股债表现与四个维度!$A:$A,0),MATCH(C$4,股债表现与四个维度!$2:$2,0))</f>
        <v>-12.1123517786561</v>
      </c>
      <c r="D81" s="93" t="e" cm="1">
        <f t="array" ref="D81">INDEX(股债表现与四个维度!$A:$T,MATCH($A81,股债表现与四个维度!$A:$A,0),MATCH(D$4,股债表现与四个维度!$2:$2,0))</f>
        <v>#N/A</v>
      </c>
      <c r="E81" s="93" t="str" cm="1">
        <f t="array" ref="E81">INDEX(股债表现与四个维度!$A:$T,MATCH($A81,股债表现与四个维度!$A:$A,0),MATCH(E$4,股债表现与四个维度!$2:$2,0))</f>
        <v>复苏</v>
      </c>
      <c r="F81" s="93" t="str" cm="1">
        <f t="array" ref="F81">INDEX(股债表现与四个维度!$A:$T,MATCH($A81,股债表现与四个维度!$A:$A,0),MATCH(F$4,股债表现与四个维度!$2:$2,0))</f>
        <v>紧货币紧信用</v>
      </c>
      <c r="G81" s="93" t="str" cm="1">
        <f t="array" ref="G81">INDEX(股债表现与四个维度!$A:$T,MATCH($A81,股债表现与四个维度!$A:$A,0),MATCH(G$4,股债表现与四个维度!$2:$2,0))</f>
        <v>双紧</v>
      </c>
      <c r="H81" s="93" t="str" cm="1">
        <f t="array" ref="H81">INDEX(股债表现与四个维度!$A:$T,MATCH($A81,股债表现与四个维度!$A:$A,0),MATCH(H$4,股债表现与四个维度!$2:$2,0))</f>
        <v>主动去库存</v>
      </c>
      <c r="I81" s="93" t="str" cm="1">
        <f t="array" ref="I81">INDEX(股债表现与四个维度!$A:$T,MATCH($A81,股债表现与四个维度!$A:$A,0),MATCH(I$4,股债表现与四个维度!$2:$2,0))</f>
        <v>产能周期上行,主动去库存</v>
      </c>
      <c r="J81" s="93" cm="1">
        <f t="array" ref="J81">INDEX(股债表现与四个维度!$A:$T,MATCH($A81,股债表现与四个维度!$A:$A,0),MATCH(J$3&amp;J$4,股债表现与四个维度!$2:$2&amp;股债表现与四个维度!$3:$3,0))</f>
        <v>6.6666666666666666E-2</v>
      </c>
      <c r="K81" s="93" cm="1">
        <f t="array" ref="K81">INDEX(股债表现与四个维度!$A:$T,MATCH($A81,股债表现与四个维度!$A:$A,0),MATCH(K$3&amp;K$4,股债表现与四个维度!$2:$2&amp;股债表现与四个维度!$3:$3,0))</f>
        <v>0.2</v>
      </c>
      <c r="L81" s="93" cm="1">
        <f t="array" ref="L81">INDEX(股债表现与四个维度!$A:$T,MATCH($A81,股债表现与四个维度!$A:$A,0),MATCH(L$3&amp;L$4,股债表现与四个维度!$2:$2&amp;股债表现与四个维度!$3:$3,0))</f>
        <v>6.25E-2</v>
      </c>
      <c r="M81" s="93" cm="1">
        <f t="array" ref="M81">INDEX(股债表现与四个维度!$A:$T,MATCH($A81,股债表现与四个维度!$A:$A,0),MATCH(M$3&amp;M$4,股债表现与四个维度!$2:$2&amp;股债表现与四个维度!$3:$3,0))</f>
        <v>0.25</v>
      </c>
      <c r="N81" s="93"/>
      <c r="O81" s="93"/>
      <c r="P81" s="93" cm="1">
        <f t="array" ref="P81">INDEX(股债表现与四个维度!$A:$T,MATCH($A81,股债表现与四个维度!$A:$A,0),MATCH(P$3&amp;P$4,股债表现与四个维度!$2:$2&amp;股债表现与四个维度!$3:$3,0))</f>
        <v>0.33333333333333331</v>
      </c>
      <c r="Q81" s="93" cm="1">
        <f t="array" ref="Q81">INDEX(股债表现与四个维度!$A:$T,MATCH($A81,股债表现与四个维度!$A:$A,0),MATCH(Q$3&amp;Q$4,股债表现与四个维度!$2:$2&amp;股债表现与四个维度!$3:$3,0))</f>
        <v>0</v>
      </c>
      <c r="R81" s="93" cm="1">
        <f t="array" ref="R81">INDEX(股债表现与四个维度!$A:$T,MATCH($A81,股债表现与四个维度!$A:$A,0),MATCH(R$3&amp;R$4,股债表现与四个维度!$2:$2&amp;股债表现与四个维度!$3:$3,0))</f>
        <v>0.5</v>
      </c>
      <c r="S81" s="93" cm="1">
        <f t="array" ref="S81">INDEX(股债表现与四个维度!$A:$T,MATCH($A81,股债表现与四个维度!$A:$A,0),MATCH(S$3&amp;S$4,股债表现与四个维度!$2:$2&amp;股债表现与四个维度!$3:$3,0))</f>
        <v>0</v>
      </c>
      <c r="T81">
        <f t="shared" si="70"/>
        <v>0.96249999999999991</v>
      </c>
      <c r="U81">
        <f t="shared" si="70"/>
        <v>0.45</v>
      </c>
      <c r="V81">
        <f t="shared" si="75"/>
        <v>0.51249999999999996</v>
      </c>
      <c r="W81">
        <f t="shared" si="76"/>
        <v>-12.853898933446359</v>
      </c>
      <c r="X81" t="e">
        <f t="shared" si="77"/>
        <v>#N/A</v>
      </c>
      <c r="Y81" s="92">
        <f t="shared" ref="Y81:Z81" si="91">AVERAGE(V81:V86)</f>
        <v>0.62770421299833068</v>
      </c>
      <c r="Z81" s="92">
        <f t="shared" si="91"/>
        <v>-0.74256634208941164</v>
      </c>
      <c r="AA81">
        <f t="shared" si="23"/>
        <v>2.3389195881910476</v>
      </c>
      <c r="AB81">
        <v>2.3389195881910401</v>
      </c>
      <c r="AC81">
        <v>1.5243646408134424</v>
      </c>
    </row>
    <row r="82" spans="1:29" x14ac:dyDescent="0.35">
      <c r="A82" s="91">
        <f t="shared" si="80"/>
        <v>43677</v>
      </c>
      <c r="B82" s="93" cm="1">
        <f t="array" ref="B82">INDEX(股债表现与四个维度!$A:$T,MATCH($A82,股债表现与四个维度!$A:$A,0),MATCH(B$4,股债表现与四个维度!$2:$2,0))</f>
        <v>-0.112433862270385</v>
      </c>
      <c r="C82" s="93" cm="1">
        <f t="array" ref="C82">INDEX(股债表现与四个维度!$A:$T,MATCH($A82,股债表现与四个维度!$A:$A,0),MATCH(C$4,股债表现与四个维度!$2:$2,0))</f>
        <v>-6.7159496567505998</v>
      </c>
      <c r="D82" s="93" t="e" cm="1">
        <f t="array" ref="D82">INDEX(股债表现与四个维度!$A:$T,MATCH($A82,股债表现与四个维度!$A:$A,0),MATCH(D$4,股债表现与四个维度!$2:$2,0))</f>
        <v>#N/A</v>
      </c>
      <c r="E82" s="93" t="str" cm="1">
        <f t="array" ref="E82">INDEX(股债表现与四个维度!$A:$T,MATCH($A82,股债表现与四个维度!$A:$A,0),MATCH(E$4,股债表现与四个维度!$2:$2,0))</f>
        <v>衰退</v>
      </c>
      <c r="F82" s="93" t="str" cm="1">
        <f t="array" ref="F82">INDEX(股债表现与四个维度!$A:$T,MATCH($A82,股债表现与四个维度!$A:$A,0),MATCH(F$4,股债表现与四个维度!$2:$2,0))</f>
        <v>宽货币紧信用</v>
      </c>
      <c r="G82" s="93" t="str" cm="1">
        <f t="array" ref="G82">INDEX(股债表现与四个维度!$A:$T,MATCH($A82,股债表现与四个维度!$A:$A,0),MATCH(G$4,股债表现与四个维度!$2:$2,0))</f>
        <v>双紧</v>
      </c>
      <c r="H82" s="93" t="str" cm="1">
        <f t="array" ref="H82">INDEX(股债表现与四个维度!$A:$T,MATCH($A82,股债表现与四个维度!$A:$A,0),MATCH(H$4,股债表现与四个维度!$2:$2,0))</f>
        <v>主动去库存</v>
      </c>
      <c r="I82" s="93" t="str" cm="1">
        <f t="array" ref="I82">INDEX(股债表现与四个维度!$A:$T,MATCH($A82,股债表现与四个维度!$A:$A,0),MATCH(I$4,股债表现与四个维度!$2:$2,0))</f>
        <v>产能周期上行,主动去库存</v>
      </c>
      <c r="J82" s="93" cm="1">
        <f t="array" ref="J82">INDEX(股债表现与四个维度!$A:$T,MATCH($A82,股债表现与四个维度!$A:$A,0),MATCH(J$3&amp;J$4,股债表现与四个维度!$2:$2&amp;股债表现与四个维度!$3:$3,0))</f>
        <v>5.8823529411764705E-2</v>
      </c>
      <c r="K82" s="93" cm="1">
        <f t="array" ref="K82">INDEX(股债表现与四个维度!$A:$T,MATCH($A82,股债表现与四个维度!$A:$A,0),MATCH(K$3&amp;K$4,股债表现与四个维度!$2:$2&amp;股债表现与四个维度!$3:$3,0))</f>
        <v>0.23529411764705882</v>
      </c>
      <c r="L82" s="93" cm="1">
        <f t="array" ref="L82">INDEX(股债表现与四个维度!$A:$T,MATCH($A82,股债表现与四个维度!$A:$A,0),MATCH(L$3&amp;L$4,股债表现与四个维度!$2:$2&amp;股债表现与四个维度!$3:$3,0))</f>
        <v>0.44444444444444442</v>
      </c>
      <c r="M82" s="93" cm="1">
        <f t="array" ref="M82">INDEX(股债表现与四个维度!$A:$T,MATCH($A82,股债表现与四个维度!$A:$A,0),MATCH(M$3&amp;M$4,股债表现与四个维度!$2:$2&amp;股债表现与四个维度!$3:$3,0))</f>
        <v>-0.1111111111111111</v>
      </c>
      <c r="N82" s="93"/>
      <c r="O82" s="93"/>
      <c r="P82" s="93" cm="1">
        <f t="array" ref="P82">INDEX(股债表现与四个维度!$A:$T,MATCH($A82,股债表现与四个维度!$A:$A,0),MATCH(P$3&amp;P$4,股债表现与四个维度!$2:$2&amp;股债表现与四个维度!$3:$3,0))</f>
        <v>0.29411764705882354</v>
      </c>
      <c r="Q82" s="93" cm="1">
        <f t="array" ref="Q82">INDEX(股债表现与四个维度!$A:$T,MATCH($A82,股债表现与四个维度!$A:$A,0),MATCH(Q$3&amp;Q$4,股债表现与四个维度!$2:$2&amp;股债表现与四个维度!$3:$3,0))</f>
        <v>-5.8823529411764705E-2</v>
      </c>
      <c r="R82" s="93" cm="1">
        <f t="array" ref="R82">INDEX(股债表现与四个维度!$A:$T,MATCH($A82,股债表现与四个维度!$A:$A,0),MATCH(R$3&amp;R$4,股债表现与四个维度!$2:$2&amp;股债表现与四个维度!$3:$3,0))</f>
        <v>0.45454545454545453</v>
      </c>
      <c r="S82" s="93" cm="1">
        <f t="array" ref="S82">INDEX(股债表现与四个维度!$A:$T,MATCH($A82,股债表现与四个维度!$A:$A,0),MATCH(S$3&amp;S$4,股债表现与四个维度!$2:$2&amp;股债表现与四个维度!$3:$3,0))</f>
        <v>-9.0909090909090912E-2</v>
      </c>
      <c r="T82">
        <f t="shared" si="70"/>
        <v>1.2519310754604873</v>
      </c>
      <c r="U82">
        <f t="shared" si="70"/>
        <v>-2.5549613784907901E-2</v>
      </c>
      <c r="V82">
        <f t="shared" si="75"/>
        <v>1.2774806892453952</v>
      </c>
      <c r="W82">
        <f t="shared" si="76"/>
        <v>-6.8283835190209849</v>
      </c>
      <c r="X82" t="e">
        <f t="shared" si="77"/>
        <v>#N/A</v>
      </c>
      <c r="Y82" s="92">
        <f t="shared" ref="Y82:Z82" si="92">AVERAGE(V82:V87)</f>
        <v>0.75617643522055289</v>
      </c>
      <c r="Z82" s="92">
        <f t="shared" si="92"/>
        <v>4.3361753718922396</v>
      </c>
      <c r="AA82">
        <f t="shared" si="23"/>
        <v>2.4190187284569058</v>
      </c>
      <c r="AB82">
        <v>2.4190187284569</v>
      </c>
      <c r="AC82">
        <v>1.277471224466959</v>
      </c>
    </row>
    <row r="83" spans="1:29" x14ac:dyDescent="0.35">
      <c r="A83" s="91">
        <f t="shared" si="80"/>
        <v>43646</v>
      </c>
      <c r="B83" s="93" cm="1">
        <f t="array" ref="B83">INDEX(股债表现与四个维度!$A:$T,MATCH($A83,股债表现与四个维度!$A:$A,0),MATCH(B$4,股债表现与四个维度!$2:$2,0))</f>
        <v>3.3729461944282559</v>
      </c>
      <c r="C83" s="93" cm="1">
        <f t="array" ref="C83">INDEX(股债表现与四个维度!$A:$T,MATCH($A83,股债表现与四个维度!$A:$A,0),MATCH(C$4,股债表现与四个维度!$2:$2,0))</f>
        <v>-7.1129323308270997</v>
      </c>
      <c r="D83" s="93" t="e" cm="1">
        <f t="array" ref="D83">INDEX(股债表现与四个维度!$A:$T,MATCH($A83,股债表现与四个维度!$A:$A,0),MATCH(D$4,股债表现与四个维度!$2:$2,0))</f>
        <v>#N/A</v>
      </c>
      <c r="E83" s="93" t="str" cm="1">
        <f t="array" ref="E83">INDEX(股债表现与四个维度!$A:$T,MATCH($A83,股债表现与四个维度!$A:$A,0),MATCH(E$4,股债表现与四个维度!$2:$2,0))</f>
        <v>复苏</v>
      </c>
      <c r="F83" s="93" t="str" cm="1">
        <f t="array" ref="F83">INDEX(股债表现与四个维度!$A:$T,MATCH($A83,股债表现与四个维度!$A:$A,0),MATCH(F$4,股债表现与四个维度!$2:$2,0))</f>
        <v>宽货币宽信用</v>
      </c>
      <c r="G83" s="93" t="str" cm="1">
        <f t="array" ref="G83">INDEX(股债表现与四个维度!$A:$T,MATCH($A83,股债表现与四个维度!$A:$A,0),MATCH(G$4,股债表现与四个维度!$2:$2,0))</f>
        <v>双宽</v>
      </c>
      <c r="H83" s="93" t="str" cm="1">
        <f t="array" ref="H83">INDEX(股债表现与四个维度!$A:$T,MATCH($A83,股债表现与四个维度!$A:$A,0),MATCH(H$4,股债表现与四个维度!$2:$2,0))</f>
        <v>主动去库存</v>
      </c>
      <c r="I83" s="93" t="str" cm="1">
        <f t="array" ref="I83">INDEX(股债表现与四个维度!$A:$T,MATCH($A83,股债表现与四个维度!$A:$A,0),MATCH(I$4,股债表现与四个维度!$2:$2,0))</f>
        <v>产能周期上行,主动去库存</v>
      </c>
      <c r="J83" s="93" cm="1">
        <f t="array" ref="J83">INDEX(股债表现与四个维度!$A:$T,MATCH($A83,股债表现与四个维度!$A:$A,0),MATCH(J$3&amp;J$4,股债表现与四个维度!$2:$2&amp;股债表现与四个维度!$3:$3,0))</f>
        <v>0</v>
      </c>
      <c r="K83" s="93" cm="1">
        <f t="array" ref="K83">INDEX(股债表现与四个维度!$A:$T,MATCH($A83,股债表现与四个维度!$A:$A,0),MATCH(K$3&amp;K$4,股债表现与四个维度!$2:$2&amp;股债表现与四个维度!$3:$3,0))</f>
        <v>0.14285714285714285</v>
      </c>
      <c r="L83" s="93" cm="1">
        <f t="array" ref="L83">INDEX(股债表现与四个维度!$A:$T,MATCH($A83,股债表现与四个维度!$A:$A,0),MATCH(L$3&amp;L$4,股债表现与四个维度!$2:$2&amp;股债表现与四个维度!$3:$3,0))</f>
        <v>0.33333333333333331</v>
      </c>
      <c r="M83" s="93" cm="1">
        <f t="array" ref="M83">INDEX(股债表现与四个维度!$A:$T,MATCH($A83,股债表现与四个维度!$A:$A,0),MATCH(M$3&amp;M$4,股债表现与四个维度!$2:$2&amp;股债表现与四个维度!$3:$3,0))</f>
        <v>0.26666666666666666</v>
      </c>
      <c r="N83" s="93"/>
      <c r="O83" s="93"/>
      <c r="P83" s="93" cm="1">
        <f t="array" ref="P83">INDEX(股债表现与四个维度!$A:$T,MATCH($A83,股债表现与四个维度!$A:$A,0),MATCH(P$3&amp;P$4,股债表现与四个维度!$2:$2&amp;股债表现与四个维度!$3:$3,0))</f>
        <v>0.375</v>
      </c>
      <c r="Q83" s="93" cm="1">
        <f t="array" ref="Q83">INDEX(股债表现与四个维度!$A:$T,MATCH($A83,股债表现与四个维度!$A:$A,0),MATCH(Q$3&amp;Q$4,股债表现与四个维度!$2:$2&amp;股债表现与四个维度!$3:$3,0))</f>
        <v>-0.125</v>
      </c>
      <c r="R83" s="93" cm="1">
        <f t="array" ref="R83">INDEX(股债表现与四个维度!$A:$T,MATCH($A83,股债表现与四个维度!$A:$A,0),MATCH(R$3&amp;R$4,股债表现与四个维度!$2:$2&amp;股债表现与四个维度!$3:$3,0))</f>
        <v>0.45454545454545453</v>
      </c>
      <c r="S83" s="93" cm="1">
        <f t="array" ref="S83">INDEX(股债表现与四个维度!$A:$T,MATCH($A83,股债表现与四个维度!$A:$A,0),MATCH(S$3&amp;S$4,股债表现与四个维度!$2:$2&amp;股债表现与四个维度!$3:$3,0))</f>
        <v>-9.0909090909090912E-2</v>
      </c>
      <c r="T83">
        <f t="shared" si="70"/>
        <v>1.1628787878787878</v>
      </c>
      <c r="U83">
        <f t="shared" si="70"/>
        <v>0.1936147186147186</v>
      </c>
      <c r="V83">
        <f t="shared" si="75"/>
        <v>0.96926406926406927</v>
      </c>
      <c r="W83">
        <f t="shared" si="76"/>
        <v>-3.7399861363988438</v>
      </c>
      <c r="X83" t="e">
        <f t="shared" si="77"/>
        <v>#N/A</v>
      </c>
      <c r="Y83" s="92">
        <f t="shared" ref="Y83:Z83" si="93">AVERAGE(V83:V88)</f>
        <v>0.66323847720906537</v>
      </c>
      <c r="Z83" s="92">
        <f t="shared" si="93"/>
        <v>2.998560176387695</v>
      </c>
      <c r="AA83">
        <f t="shared" si="23"/>
        <v>2.6409616045268645</v>
      </c>
      <c r="AB83">
        <v>2.64096160452686</v>
      </c>
      <c r="AC83">
        <v>1.5640159673664855</v>
      </c>
    </row>
    <row r="84" spans="1:29" x14ac:dyDescent="0.35">
      <c r="A84" s="91">
        <f t="shared" si="80"/>
        <v>43616</v>
      </c>
      <c r="B84" s="93" cm="1">
        <f t="array" ref="B84">INDEX(股债表现与四个维度!$A:$T,MATCH($A84,股债表现与四个维度!$A:$A,0),MATCH(B$4,股债表现与四个维度!$2:$2,0))</f>
        <v>-6.3814701762601338</v>
      </c>
      <c r="C84" s="93" cm="1">
        <f t="array" ref="C84">INDEX(股债表现与四个维度!$A:$T,MATCH($A84,股债表现与四个维度!$A:$A,0),MATCH(C$4,股债表现与四个维度!$2:$2,0))</f>
        <v>-3.0996753246752999</v>
      </c>
      <c r="D84" s="93" t="e" cm="1">
        <f t="array" ref="D84">INDEX(股债表现与四个维度!$A:$T,MATCH($A84,股债表现与四个维度!$A:$A,0),MATCH(D$4,股债表现与四个维度!$2:$2,0))</f>
        <v>#N/A</v>
      </c>
      <c r="E84" s="93" t="str" cm="1">
        <f t="array" ref="E84">INDEX(股债表现与四个维度!$A:$T,MATCH($A84,股债表现与四个维度!$A:$A,0),MATCH(E$4,股债表现与四个维度!$2:$2,0))</f>
        <v>衰退</v>
      </c>
      <c r="F84" s="93" t="str" cm="1">
        <f t="array" ref="F84">INDEX(股债表现与四个维度!$A:$T,MATCH($A84,股债表现与四个维度!$A:$A,0),MATCH(F$4,股债表现与四个维度!$2:$2,0))</f>
        <v>紧货币宽信用</v>
      </c>
      <c r="G84" s="93" t="str" cm="1">
        <f t="array" ref="G84">INDEX(股债表现与四个维度!$A:$T,MATCH($A84,股债表现与四个维度!$A:$A,0),MATCH(G$4,股债表现与四个维度!$2:$2,0))</f>
        <v>双宽</v>
      </c>
      <c r="H84" s="93" t="str" cm="1">
        <f t="array" ref="H84">INDEX(股债表现与四个维度!$A:$T,MATCH($A84,股债表现与四个维度!$A:$A,0),MATCH(H$4,股债表现与四个维度!$2:$2,0))</f>
        <v>主动去库存</v>
      </c>
      <c r="I84" s="93" t="str" cm="1">
        <f t="array" ref="I84">INDEX(股债表现与四个维度!$A:$T,MATCH($A84,股债表现与四个维度!$A:$A,0),MATCH(I$4,股债表现与四个维度!$2:$2,0))</f>
        <v>产能周期下行,主动去库存</v>
      </c>
      <c r="J84" s="93" cm="1">
        <f t="array" ref="J84">INDEX(股债表现与四个维度!$A:$T,MATCH($A84,股债表现与四个维度!$A:$A,0),MATCH(J$3&amp;J$4,股债表现与四个维度!$2:$2&amp;股债表现与四个维度!$3:$3,0))</f>
        <v>0.125</v>
      </c>
      <c r="K84" s="93" cm="1">
        <f t="array" ref="K84">INDEX(股债表现与四个维度!$A:$T,MATCH($A84,股债表现与四个维度!$A:$A,0),MATCH(K$3&amp;K$4,股债表现与四个维度!$2:$2&amp;股债表现与四个维度!$3:$3,0))</f>
        <v>0.1875</v>
      </c>
      <c r="L84" s="93" cm="1">
        <f t="array" ref="L84">INDEX(股债表现与四个维度!$A:$T,MATCH($A84,股债表现与四个维度!$A:$A,0),MATCH(L$3&amp;L$4,股债表现与四个维度!$2:$2&amp;股债表现与四个维度!$3:$3,0))</f>
        <v>0</v>
      </c>
      <c r="M84" s="93" cm="1">
        <f t="array" ref="M84">INDEX(股债表现与四个维度!$A:$T,MATCH($A84,股债表现与四个维度!$A:$A,0),MATCH(M$3&amp;M$4,股债表现与四个维度!$2:$2&amp;股债表现与四个维度!$3:$3,0))</f>
        <v>-9.0909090909090912E-2</v>
      </c>
      <c r="N84" s="93"/>
      <c r="O84" s="93"/>
      <c r="P84" s="93" cm="1">
        <f t="array" ref="P84">INDEX(股债表现与四个维度!$A:$T,MATCH($A84,股债表现与四个维度!$A:$A,0),MATCH(P$3&amp;P$4,股债表现与四个维度!$2:$2&amp;股债表现与四个维度!$3:$3,0))</f>
        <v>0.35294117647058826</v>
      </c>
      <c r="Q84" s="93" cm="1">
        <f t="array" ref="Q84">INDEX(股债表现与四个维度!$A:$T,MATCH($A84,股债表现与四个维度!$A:$A,0),MATCH(Q$3&amp;Q$4,股债表现与四个维度!$2:$2&amp;股债表现与四个维度!$3:$3,0))</f>
        <v>-5.8823529411764705E-2</v>
      </c>
      <c r="R84" s="93" cm="1">
        <f t="array" ref="R84">INDEX(股债表现与四个维度!$A:$T,MATCH($A84,股债表现与四个维度!$A:$A,0),MATCH(R$3&amp;R$4,股债表现与四个维度!$2:$2&amp;股债表现与四个维度!$3:$3,0))</f>
        <v>-0.25</v>
      </c>
      <c r="S84" s="93" cm="1">
        <f t="array" ref="S84">INDEX(股债表现与四个维度!$A:$T,MATCH($A84,股债表现与四个维度!$A:$A,0),MATCH(S$3&amp;S$4,股债表现与四个维度!$2:$2&amp;股债表现与四个维度!$3:$3,0))</f>
        <v>-0.5</v>
      </c>
      <c r="T84">
        <f t="shared" si="70"/>
        <v>0.22794117647058826</v>
      </c>
      <c r="U84">
        <f t="shared" si="70"/>
        <v>-0.4622326203208556</v>
      </c>
      <c r="V84">
        <f t="shared" si="75"/>
        <v>0.69017379679144386</v>
      </c>
      <c r="W84">
        <f t="shared" si="76"/>
        <v>-9.4811455009354333</v>
      </c>
      <c r="X84" t="e">
        <f t="shared" si="77"/>
        <v>#N/A</v>
      </c>
      <c r="Y84" s="92">
        <f t="shared" ref="Y84:Z84" si="94">AVERAGE(V84:V89)</f>
        <v>0.58850765247824066</v>
      </c>
      <c r="Z84" s="92">
        <f t="shared" si="94"/>
        <v>0.59098681717316504</v>
      </c>
      <c r="AA84">
        <f t="shared" si="23"/>
        <v>2.7571772536552568</v>
      </c>
      <c r="AB84">
        <v>2.7571772536552501</v>
      </c>
      <c r="AC84">
        <v>2.4993541904471122</v>
      </c>
    </row>
    <row r="85" spans="1:29" x14ac:dyDescent="0.35">
      <c r="A85" s="91">
        <f t="shared" si="80"/>
        <v>43585</v>
      </c>
      <c r="B85" s="93" cm="1">
        <f t="array" ref="B85">INDEX(股债表现与四个维度!$A:$T,MATCH($A85,股债表现与四个维度!$A:$A,0),MATCH(B$4,股债表现与四个维度!$2:$2,0))</f>
        <v>-1.4403164596743501</v>
      </c>
      <c r="C85" s="93" cm="1">
        <f t="array" ref="C85">INDEX(股债表现与四个维度!$A:$T,MATCH($A85,股债表现与四个维度!$A:$A,0),MATCH(C$4,股债表现与四个维度!$2:$2,0))</f>
        <v>20.249675324675302</v>
      </c>
      <c r="D85" s="93" t="e" cm="1">
        <f t="array" ref="D85">INDEX(股债表现与四个维度!$A:$T,MATCH($A85,股债表现与四个维度!$A:$A,0),MATCH(D$4,股债表现与四个维度!$2:$2,0))</f>
        <v>#N/A</v>
      </c>
      <c r="E85" s="93" t="str" cm="1">
        <f t="array" ref="E85">INDEX(股债表现与四个维度!$A:$T,MATCH($A85,股债表现与四个维度!$A:$A,0),MATCH(E$4,股债表现与四个维度!$2:$2,0))</f>
        <v>滞涨</v>
      </c>
      <c r="F85" s="93" t="str" cm="1">
        <f t="array" ref="F85">INDEX(股债表现与四个维度!$A:$T,MATCH($A85,股债表现与四个维度!$A:$A,0),MATCH(F$4,股债表现与四个维度!$2:$2,0))</f>
        <v>紧货币紧信用</v>
      </c>
      <c r="G85" s="93" t="str" cm="1">
        <f t="array" ref="G85">INDEX(股债表现与四个维度!$A:$T,MATCH($A85,股债表现与四个维度!$A:$A,0),MATCH(G$4,股债表现与四个维度!$2:$2,0))</f>
        <v>双紧</v>
      </c>
      <c r="H85" s="93" t="str" cm="1">
        <f t="array" ref="H85">INDEX(股债表现与四个维度!$A:$T,MATCH($A85,股债表现与四个维度!$A:$A,0),MATCH(H$4,股债表现与四个维度!$2:$2,0))</f>
        <v>被动补库存</v>
      </c>
      <c r="I85" s="93" t="str" cm="1">
        <f t="array" ref="I85">INDEX(股债表现与四个维度!$A:$T,MATCH($A85,股债表现与四个维度!$A:$A,0),MATCH(I$4,股债表现与四个维度!$2:$2,0))</f>
        <v>产能周期下行,主动去库存</v>
      </c>
      <c r="J85" s="93" cm="1">
        <f t="array" ref="J85">INDEX(股债表现与四个维度!$A:$T,MATCH($A85,股债表现与四个维度!$A:$A,0),MATCH(J$3&amp;J$4,股债表现与四个维度!$2:$2&amp;股债表现与四个维度!$3:$3,0))</f>
        <v>0.41176470588235292</v>
      </c>
      <c r="K85" s="93" cm="1">
        <f t="array" ref="K85">INDEX(股债表现与四个维度!$A:$T,MATCH($A85,股债表现与四个维度!$A:$A,0),MATCH(K$3&amp;K$4,股债表现与四个维度!$2:$2&amp;股债表现与四个维度!$3:$3,0))</f>
        <v>0.11764705882352941</v>
      </c>
      <c r="L85" s="93" cm="1">
        <f t="array" ref="L85">INDEX(股债表现与四个维度!$A:$T,MATCH($A85,股债表现与四个维度!$A:$A,0),MATCH(L$3&amp;L$4,股债表现与四个维度!$2:$2&amp;股债表现与四个维度!$3:$3,0))</f>
        <v>0.13333333333333333</v>
      </c>
      <c r="M85" s="93" cm="1">
        <f t="array" ref="M85">INDEX(股债表现与四个维度!$A:$T,MATCH($A85,股债表现与四个维度!$A:$A,0),MATCH(M$3&amp;M$4,股债表现与四个维度!$2:$2&amp;股债表现与四个维度!$3:$3,0))</f>
        <v>0.33333333333333331</v>
      </c>
      <c r="N85" s="93"/>
      <c r="O85" s="93"/>
      <c r="P85" s="93" cm="1">
        <f t="array" ref="P85">INDEX(股债表现与四个维度!$A:$T,MATCH($A85,股债表现与四个维度!$A:$A,0),MATCH(P$3&amp;P$4,股债表现与四个维度!$2:$2&amp;股债表现与四个维度!$3:$3,0))</f>
        <v>0.29411764705882354</v>
      </c>
      <c r="Q85" s="93" cm="1">
        <f t="array" ref="Q85">INDEX(股债表现与四个维度!$A:$T,MATCH($A85,股债表现与四个维度!$A:$A,0),MATCH(Q$3&amp;Q$4,股债表现与四个维度!$2:$2&amp;股债表现与四个维度!$3:$3,0))</f>
        <v>0.29411764705882354</v>
      </c>
      <c r="R85" s="93" cm="1">
        <f t="array" ref="R85">INDEX(股债表现与四个维度!$A:$T,MATCH($A85,股债表现与四个维度!$A:$A,0),MATCH(R$3&amp;R$4,股债表现与四个维度!$2:$2&amp;股债表现与四个维度!$3:$3,0))</f>
        <v>-0.42857142857142855</v>
      </c>
      <c r="S85" s="93" cm="1">
        <f t="array" ref="S85">INDEX(股债表现与四个维度!$A:$T,MATCH($A85,股债表现与四个维度!$A:$A,0),MATCH(S$3&amp;S$4,股债表现与四个维度!$2:$2&amp;股债表现与四个维度!$3:$3,0))</f>
        <v>-0.5714285714285714</v>
      </c>
      <c r="T85">
        <f t="shared" ref="T85:U107" si="95">SUMIFS($J85:$S85,$J85:$S85,"&lt;&gt;"&amp;"#N/A",$J$4:$S$4,T$4)</f>
        <v>0.41064425770308116</v>
      </c>
      <c r="U85">
        <f t="shared" si="95"/>
        <v>0.1736694677871149</v>
      </c>
      <c r="V85">
        <f t="shared" si="75"/>
        <v>0.23697478991596627</v>
      </c>
      <c r="W85">
        <f t="shared" si="76"/>
        <v>18.809358865000952</v>
      </c>
      <c r="X85" t="e">
        <f t="shared" si="77"/>
        <v>#N/A</v>
      </c>
      <c r="Y85" s="92">
        <f t="shared" ref="Y85:Z85" si="96">AVERAGE(V85:V90)</f>
        <v>0.56593900380665074</v>
      </c>
      <c r="Z85" s="92">
        <f t="shared" si="96"/>
        <v>0.25401405683067385</v>
      </c>
      <c r="AA85">
        <f t="shared" ref="AA85:AA107" si="97">AVERAGE(AC85:AC90)</f>
        <v>2.7565938745232983</v>
      </c>
      <c r="AB85">
        <v>2.7565938745233001</v>
      </c>
      <c r="AC85">
        <v>6.7410984771947033</v>
      </c>
    </row>
    <row r="86" spans="1:29" x14ac:dyDescent="0.35">
      <c r="A86" s="91">
        <f t="shared" si="80"/>
        <v>43555</v>
      </c>
      <c r="B86" s="93" cm="1">
        <f t="array" ref="B86">INDEX(股债表现与四个维度!$A:$T,MATCH($A86,股债表现与四个维度!$A:$A,0),MATCH(B$4,股债表现与四个维度!$2:$2,0))</f>
        <v>7.9750437268859988</v>
      </c>
      <c r="C86" s="93" cm="1">
        <f t="array" ref="C86">INDEX(股债表现与四个维度!$A:$T,MATCH($A86,股债表现与四个维度!$A:$A,0),MATCH(C$4,股债表现与四个维度!$2:$2,0))</f>
        <v>1.6636134453782001</v>
      </c>
      <c r="D86" s="93" t="e" cm="1">
        <f t="array" ref="D86">INDEX(股债表现与四个维度!$A:$T,MATCH($A86,股债表现与四个维度!$A:$A,0),MATCH(D$4,股债表现与四个维度!$2:$2,0))</f>
        <v>#N/A</v>
      </c>
      <c r="E86" s="93" t="str" cm="1">
        <f t="array" ref="E86">INDEX(股债表现与四个维度!$A:$T,MATCH($A86,股债表现与四个维度!$A:$A,0),MATCH(E$4,股债表现与四个维度!$2:$2,0))</f>
        <v>滞涨</v>
      </c>
      <c r="F86" s="93" t="str" cm="1">
        <f t="array" ref="F86">INDEX(股债表现与四个维度!$A:$T,MATCH($A86,股债表现与四个维度!$A:$A,0),MATCH(F$4,股债表现与四个维度!$2:$2,0))</f>
        <v>宽货币宽信用</v>
      </c>
      <c r="G86" s="93" t="str" cm="1">
        <f t="array" ref="G86">INDEX(股债表现与四个维度!$A:$T,MATCH($A86,股债表现与四个维度!$A:$A,0),MATCH(G$4,股债表现与四个维度!$2:$2,0))</f>
        <v>双紧</v>
      </c>
      <c r="H86" s="93" t="str" cm="1">
        <f t="array" ref="H86">INDEX(股债表现与四个维度!$A:$T,MATCH($A86,股债表现与四个维度!$A:$A,0),MATCH(H$4,股债表现与四个维度!$2:$2,0))</f>
        <v>主动补库存</v>
      </c>
      <c r="I86" s="93" t="str" cm="1">
        <f t="array" ref="I86">INDEX(股债表现与四个维度!$A:$T,MATCH($A86,股债表现与四个维度!$A:$A,0),MATCH(I$4,股债表现与四个维度!$2:$2,0))</f>
        <v>产能周期下行,主动去库存</v>
      </c>
      <c r="J86" s="93" cm="1">
        <f t="array" ref="J86">INDEX(股债表现与四个维度!$A:$T,MATCH($A86,股债表现与四个维度!$A:$A,0),MATCH(J$3&amp;J$4,股债表现与四个维度!$2:$2&amp;股债表现与四个维度!$3:$3,0))</f>
        <v>0.41176470588235292</v>
      </c>
      <c r="K86" s="93" cm="1">
        <f t="array" ref="K86">INDEX(股债表现与四个维度!$A:$T,MATCH($A86,股债表现与四个维度!$A:$A,0),MATCH(K$3&amp;K$4,股债表现与四个维度!$2:$2&amp;股债表现与四个维度!$3:$3,0))</f>
        <v>0.11764705882352941</v>
      </c>
      <c r="L86" s="93" cm="1">
        <f t="array" ref="L86">INDEX(股债表现与四个维度!$A:$T,MATCH($A86,股债表现与四个维度!$A:$A,0),MATCH(L$3&amp;L$4,股债表现与四个维度!$2:$2&amp;股债表现与四个维度!$3:$3,0))</f>
        <v>0.2857142857142857</v>
      </c>
      <c r="M86" s="93" cm="1">
        <f t="array" ref="M86">INDEX(股债表现与四个维度!$A:$T,MATCH($A86,股债表现与四个维度!$A:$A,0),MATCH(M$3&amp;M$4,股债表现与四个维度!$2:$2&amp;股债表现与四个维度!$3:$3,0))</f>
        <v>0.2857142857142857</v>
      </c>
      <c r="N86" s="93"/>
      <c r="O86" s="93"/>
      <c r="P86" s="93" cm="1">
        <f t="array" ref="P86">INDEX(股债表现与四个维度!$A:$T,MATCH($A86,股债表现与四个维度!$A:$A,0),MATCH(P$3&amp;P$4,股债表现与四个维度!$2:$2&amp;股债表现与四个维度!$3:$3,0))</f>
        <v>0</v>
      </c>
      <c r="Q86" s="93" cm="1">
        <f t="array" ref="Q86">INDEX(股债表现与四个维度!$A:$T,MATCH($A86,股债表现与四个维度!$A:$A,0),MATCH(Q$3&amp;Q$4,股债表现与四个维度!$2:$2&amp;股债表现与四个维度!$3:$3,0))</f>
        <v>0.35714285714285715</v>
      </c>
      <c r="R86" s="93" cm="1">
        <f t="array" ref="R86">INDEX(股债表现与四个维度!$A:$T,MATCH($A86,股债表现与四个维度!$A:$A,0),MATCH(R$3&amp;R$4,股债表现与四个维度!$2:$2&amp;股债表现与四个维度!$3:$3,0))</f>
        <v>-0.42857142857142855</v>
      </c>
      <c r="S86" s="93" cm="1">
        <f t="array" ref="S86">INDEX(股债表现与四个维度!$A:$T,MATCH($A86,股债表现与四个维度!$A:$A,0),MATCH(S$3&amp;S$4,股债表现与四个维度!$2:$2&amp;股债表现与四个维度!$3:$3,0))</f>
        <v>-0.5714285714285714</v>
      </c>
      <c r="T86">
        <f t="shared" si="95"/>
        <v>0.26890756302521007</v>
      </c>
      <c r="U86">
        <f t="shared" si="95"/>
        <v>0.18907563025210083</v>
      </c>
      <c r="V86">
        <f t="shared" si="75"/>
        <v>7.9831932773109238E-2</v>
      </c>
      <c r="W86">
        <f t="shared" si="76"/>
        <v>9.6386571722641996</v>
      </c>
      <c r="X86" t="e">
        <f t="shared" si="77"/>
        <v>#N/A</v>
      </c>
      <c r="Y86" s="92">
        <f t="shared" ref="Y86:Z86" si="98">AVERAGE(V86:V91)</f>
        <v>0.62215027619439389</v>
      </c>
      <c r="Z86" s="92">
        <f t="shared" si="98"/>
        <v>-5.637557506327572</v>
      </c>
      <c r="AA86">
        <f t="shared" si="97"/>
        <v>1.8196121392783091</v>
      </c>
      <c r="AB86">
        <v>1.81961213927831</v>
      </c>
      <c r="AC86">
        <v>0.42721302885758139</v>
      </c>
    </row>
    <row r="87" spans="1:29" x14ac:dyDescent="0.35">
      <c r="A87" s="91">
        <f t="shared" si="80"/>
        <v>43524</v>
      </c>
      <c r="B87" s="93" cm="1">
        <f t="array" ref="B87">INDEX(股债表现与四个维度!$A:$T,MATCH($A87,股债表现与四个维度!$A:$A,0),MATCH(B$4,股债表现与四个维度!$2:$2,0))</f>
        <v>17.842749211406151</v>
      </c>
      <c r="C87" s="93" cm="1">
        <f t="array" ref="C87">INDEX(股债表现与四个维度!$A:$T,MATCH($A87,股债表现与四个维度!$A:$A,0),MATCH(C$4,股债表现与四个维度!$2:$2,0))</f>
        <v>-0.2241978609626</v>
      </c>
      <c r="D87" s="93" t="e" cm="1">
        <f t="array" ref="D87">INDEX(股债表现与四个维度!$A:$T,MATCH($A87,股债表现与四个维度!$A:$A,0),MATCH(D$4,股债表现与四个维度!$2:$2,0))</f>
        <v>#N/A</v>
      </c>
      <c r="E87" s="93" t="str" cm="1">
        <f t="array" ref="E87">INDEX(股债表现与四个维度!$A:$T,MATCH($A87,股债表现与四个维度!$A:$A,0),MATCH(E$4,股债表现与四个维度!$2:$2,0))</f>
        <v>过热</v>
      </c>
      <c r="F87" s="93" t="str" cm="1">
        <f t="array" ref="F87">INDEX(股债表现与四个维度!$A:$T,MATCH($A87,股债表现与四个维度!$A:$A,0),MATCH(F$4,股债表现与四个维度!$2:$2,0))</f>
        <v>宽货币紧信用</v>
      </c>
      <c r="G87" s="93" t="str" cm="1">
        <f t="array" ref="G87">INDEX(股债表现与四个维度!$A:$T,MATCH($A87,股债表现与四个维度!$A:$A,0),MATCH(G$4,股债表现与四个维度!$2:$2,0))</f>
        <v>双紧</v>
      </c>
      <c r="H87" s="93" t="str" cm="1">
        <f t="array" ref="H87">INDEX(股债表现与四个维度!$A:$T,MATCH($A87,股债表现与四个维度!$A:$A,0),MATCH(H$4,股债表现与四个维度!$2:$2,0))</f>
        <v>被动补库存</v>
      </c>
      <c r="I87" s="93" t="str" cm="1">
        <f t="array" ref="I87">INDEX(股债表现与四个维度!$A:$T,MATCH($A87,股债表现与四个维度!$A:$A,0),MATCH(I$4,股债表现与四个维度!$2:$2,0))</f>
        <v>产能周期上行,被动去库存</v>
      </c>
      <c r="J87" s="93" cm="1">
        <f t="array" ref="J87">INDEX(股债表现与四个维度!$A:$T,MATCH($A87,股债表现与四个维度!$A:$A,0),MATCH(J$3&amp;J$4,股债表现与四个维度!$2:$2&amp;股债表现与四个维度!$3:$3,0))</f>
        <v>0.36363636363636365</v>
      </c>
      <c r="K87" s="93" cm="1">
        <f t="array" ref="K87">INDEX(股债表现与四个维度!$A:$T,MATCH($A87,股债表现与四个维度!$A:$A,0),MATCH(K$3&amp;K$4,股债表现与四个维度!$2:$2&amp;股债表现与四个维度!$3:$3,0))</f>
        <v>0</v>
      </c>
      <c r="L87" s="93" cm="1">
        <f t="array" ref="L87">INDEX(股债表现与四个维度!$A:$T,MATCH($A87,股债表现与四个维度!$A:$A,0),MATCH(L$3&amp;L$4,股债表现与四个维度!$2:$2&amp;股债表现与四个维度!$3:$3,0))</f>
        <v>0.3</v>
      </c>
      <c r="M87" s="93" cm="1">
        <f t="array" ref="M87">INDEX(股债表现与四个维度!$A:$T,MATCH($A87,股债表现与四个维度!$A:$A,0),MATCH(M$3&amp;M$4,股债表现与四个维度!$2:$2&amp;股债表现与四个维度!$3:$3,0))</f>
        <v>-0.05</v>
      </c>
      <c r="N87" s="93"/>
      <c r="O87" s="93"/>
      <c r="P87" s="93" cm="1">
        <f t="array" ref="P87">INDEX(股债表现与四个维度!$A:$T,MATCH($A87,股债表现与四个维度!$A:$A,0),MATCH(P$3&amp;P$4,股债表现与四个维度!$2:$2&amp;股债表现与四个维度!$3:$3,0))</f>
        <v>0.2</v>
      </c>
      <c r="Q87" s="93" cm="1">
        <f t="array" ref="Q87">INDEX(股债表现与四个维度!$A:$T,MATCH($A87,股债表现与四个维度!$A:$A,0),MATCH(Q$3&amp;Q$4,股债表现与四个维度!$2:$2&amp;股债表现与四个维度!$3:$3,0))</f>
        <v>0.26666666666666666</v>
      </c>
      <c r="R87" s="93" cm="1">
        <f t="array" ref="R87">INDEX(股债表现与四个维度!$A:$T,MATCH($A87,股债表现与四个维度!$A:$A,0),MATCH(R$3&amp;R$4,股债表现与四个维度!$2:$2&amp;股债表现与四个维度!$3:$3,0))</f>
        <v>0.63636363636363635</v>
      </c>
      <c r="S87" s="93" cm="1">
        <f t="array" ref="S87">INDEX(股债表现与四个维度!$A:$T,MATCH($A87,股债表现与四个维度!$A:$A,0),MATCH(S$3&amp;S$4,股债表现与四个维度!$2:$2&amp;股债表现与四个维度!$3:$3,0))</f>
        <v>0</v>
      </c>
      <c r="T87">
        <f t="shared" si="95"/>
        <v>1.5</v>
      </c>
      <c r="U87">
        <f t="shared" si="95"/>
        <v>0.21666666666666667</v>
      </c>
      <c r="V87">
        <f t="shared" si="75"/>
        <v>1.2833333333333332</v>
      </c>
      <c r="W87">
        <f t="shared" si="76"/>
        <v>17.61855135044355</v>
      </c>
      <c r="X87" t="e">
        <f t="shared" si="77"/>
        <v>#N/A</v>
      </c>
      <c r="Y87" s="92">
        <f t="shared" ref="Y87:Z87" si="99">AVERAGE(V87:V92)</f>
        <v>0.65674500722875317</v>
      </c>
      <c r="Z87" s="92">
        <f t="shared" si="99"/>
        <v>-5.8124793824932501</v>
      </c>
      <c r="AA87">
        <f t="shared" si="97"/>
        <v>2.2298924907462725</v>
      </c>
      <c r="AB87">
        <v>2.2298924907462698</v>
      </c>
      <c r="AC87">
        <v>2.0049594824085939</v>
      </c>
    </row>
    <row r="88" spans="1:29" x14ac:dyDescent="0.35">
      <c r="A88" s="91">
        <f t="shared" si="80"/>
        <v>43496</v>
      </c>
      <c r="B88" s="93" cm="1">
        <f t="array" ref="B88">INDEX(股债表现与四个维度!$A:$T,MATCH($A88,股债表现与四个维度!$A:$A,0),MATCH(B$4,股债表现与四个维度!$2:$2,0))</f>
        <v>2.7295023830505478</v>
      </c>
      <c r="C88" s="93" cm="1">
        <f t="array" ref="C88">INDEX(股债表现与四个维度!$A:$T,MATCH($A88,股债表现与四个维度!$A:$A,0),MATCH(C$4,股债表现与四个维度!$2:$2,0))</f>
        <v>-17.583577075098798</v>
      </c>
      <c r="D88" s="93" t="e" cm="1">
        <f t="array" ref="D88">INDEX(股债表现与四个维度!$A:$T,MATCH($A88,股债表现与四个维度!$A:$A,0),MATCH(D$4,股债表现与四个维度!$2:$2,0))</f>
        <v>#N/A</v>
      </c>
      <c r="E88" s="93" t="str" cm="1">
        <f t="array" ref="E88">INDEX(股债表现与四个维度!$A:$T,MATCH($A88,股债表现与四个维度!$A:$A,0),MATCH(E$4,股债表现与四个维度!$2:$2,0))</f>
        <v>衰退</v>
      </c>
      <c r="F88" s="93" t="str" cm="1">
        <f t="array" ref="F88">INDEX(股债表现与四个维度!$A:$T,MATCH($A88,股债表现与四个维度!$A:$A,0),MATCH(F$4,股债表现与四个维度!$2:$2,0))</f>
        <v>宽货币宽信用</v>
      </c>
      <c r="G88" s="93" t="str" cm="1">
        <f t="array" ref="G88">INDEX(股债表现与四个维度!$A:$T,MATCH($A88,股债表现与四个维度!$A:$A,0),MATCH(G$4,股债表现与四个维度!$2:$2,0))</f>
        <v>双宽</v>
      </c>
      <c r="H88" s="93" t="str" cm="1">
        <f t="array" ref="H88">INDEX(股债表现与四个维度!$A:$T,MATCH($A88,股债表现与四个维度!$A:$A,0),MATCH(H$4,股债表现与四个维度!$2:$2,0))</f>
        <v>被动补库存</v>
      </c>
      <c r="I88" s="93" t="str" cm="1">
        <f t="array" ref="I88">INDEX(股债表现与四个维度!$A:$T,MATCH($A88,股债表现与四个维度!$A:$A,0),MATCH(I$4,股债表现与四个维度!$2:$2,0))</f>
        <v>产能周期上行,被动去库存</v>
      </c>
      <c r="J88" s="93" cm="1">
        <f t="array" ref="J88">INDEX(股债表现与四个维度!$A:$T,MATCH($A88,股债表现与四个维度!$A:$A,0),MATCH(J$3&amp;J$4,股债表现与四个维度!$2:$2&amp;股债表现与四个维度!$3:$3,0))</f>
        <v>-5.8823529411764705E-2</v>
      </c>
      <c r="K88" s="93" cm="1">
        <f t="array" ref="K88">INDEX(股债表现与四个维度!$A:$T,MATCH($A88,股债表现与四个维度!$A:$A,0),MATCH(K$3&amp;K$4,股债表现与四个维度!$2:$2&amp;股债表现与四个维度!$3:$3,0))</f>
        <v>5.8823529411764705E-2</v>
      </c>
      <c r="L88" s="93" cm="1">
        <f t="array" ref="L88">INDEX(股债表现与四个维度!$A:$T,MATCH($A88,股债表现与四个维度!$A:$A,0),MATCH(L$3&amp;L$4,股债表现与四个维度!$2:$2&amp;股债表现与四个维度!$3:$3,0))</f>
        <v>0.23076923076923078</v>
      </c>
      <c r="M88" s="93" cm="1">
        <f t="array" ref="M88">INDEX(股债表现与四个维度!$A:$T,MATCH($A88,股债表现与四个维度!$A:$A,0),MATCH(M$3&amp;M$4,股债表现与四个维度!$2:$2&amp;股债表现与四个维度!$3:$3,0))</f>
        <v>0.23076923076923078</v>
      </c>
      <c r="N88" s="93"/>
      <c r="O88" s="93"/>
      <c r="P88" s="93" cm="1">
        <f t="array" ref="P88">INDEX(股债表现与四个维度!$A:$T,MATCH($A88,股债表现与四个维度!$A:$A,0),MATCH(P$3&amp;P$4,股债表现与四个维度!$2:$2&amp;股债表现与四个维度!$3:$3,0))</f>
        <v>0.125</v>
      </c>
      <c r="Q88" s="93" cm="1">
        <f t="array" ref="Q88">INDEX(股债表现与四个维度!$A:$T,MATCH($A88,股债表现与四个维度!$A:$A,0),MATCH(Q$3&amp;Q$4,股债表现与四个维度!$2:$2&amp;股债表现与四个维度!$3:$3,0))</f>
        <v>0.1875</v>
      </c>
      <c r="R88" s="93" cm="1">
        <f t="array" ref="R88">INDEX(股债表现与四个维度!$A:$T,MATCH($A88,股债表现与四个维度!$A:$A,0),MATCH(R$3&amp;R$4,股债表现与四个维度!$2:$2&amp;股债表现与四个维度!$3:$3,0))</f>
        <v>0.8</v>
      </c>
      <c r="S88" s="93" cm="1">
        <f t="array" ref="S88">INDEX(股债表现与四个维度!$A:$T,MATCH($A88,股债表现与四个维度!$A:$A,0),MATCH(S$3&amp;S$4,股债表现与四个维度!$2:$2&amp;股债表现与四个维度!$3:$3,0))</f>
        <v>-0.1</v>
      </c>
      <c r="T88">
        <f t="shared" si="95"/>
        <v>1.0969457013574662</v>
      </c>
      <c r="U88">
        <f t="shared" si="95"/>
        <v>0.37709276018099547</v>
      </c>
      <c r="V88">
        <f t="shared" si="75"/>
        <v>0.7198529411764707</v>
      </c>
      <c r="W88">
        <f t="shared" si="76"/>
        <v>-14.85407469204825</v>
      </c>
      <c r="X88" t="e">
        <f t="shared" si="77"/>
        <v>#N/A</v>
      </c>
      <c r="Y88" s="92">
        <f t="shared" ref="Y88:Z88" si="100">AVERAGE(V88:V93)</f>
        <v>0.22708300256674874</v>
      </c>
      <c r="Z88" s="92">
        <f t="shared" si="100"/>
        <v>-8.8215914368973838</v>
      </c>
      <c r="AA88">
        <f t="shared" si="97"/>
        <v>2.4007153843450144</v>
      </c>
      <c r="AB88">
        <v>2.40071538434501</v>
      </c>
      <c r="AC88">
        <v>2.6091284808867092</v>
      </c>
    </row>
    <row r="89" spans="1:29" x14ac:dyDescent="0.35">
      <c r="A89" s="91">
        <f t="shared" si="80"/>
        <v>43465</v>
      </c>
      <c r="B89" s="93" cm="1">
        <f t="array" ref="B89">INDEX(股债表现与四个维度!$A:$T,MATCH($A89,股债表现与四个维度!$A:$A,0),MATCH(B$4,股债表现与四个维度!$2:$2,0))</f>
        <v>-4.8358215486030263</v>
      </c>
      <c r="C89" s="93" cm="1">
        <f t="array" ref="C89">INDEX(股债表现与四个维度!$A:$T,MATCH($A89,股债表现与四个维度!$A:$A,0),MATCH(C$4,股债表现与四个维度!$2:$2,0))</f>
        <v>-13.349604743083001</v>
      </c>
      <c r="D89" s="93" t="e" cm="1">
        <f t="array" ref="D89">INDEX(股债表现与四个维度!$A:$T,MATCH($A89,股债表现与四个维度!$A:$A,0),MATCH(D$4,股债表现与四个维度!$2:$2,0))</f>
        <v>#N/A</v>
      </c>
      <c r="E89" s="93" t="str" cm="1">
        <f t="array" ref="E89">INDEX(股债表现与四个维度!$A:$T,MATCH($A89,股债表现与四个维度!$A:$A,0),MATCH(E$4,股债表现与四个维度!$2:$2,0))</f>
        <v>复苏</v>
      </c>
      <c r="F89" s="93" t="str" cm="1">
        <f t="array" ref="F89">INDEX(股债表现与四个维度!$A:$T,MATCH($A89,股债表现与四个维度!$A:$A,0),MATCH(F$4,股债表现与四个维度!$2:$2,0))</f>
        <v>紧货币紧信用</v>
      </c>
      <c r="G89" s="93" t="str" cm="1">
        <f t="array" ref="G89">INDEX(股债表现与四个维度!$A:$T,MATCH($A89,股债表现与四个维度!$A:$A,0),MATCH(G$4,股债表现与四个维度!$2:$2,0))</f>
        <v>双紧</v>
      </c>
      <c r="H89" s="93" t="str" cm="1">
        <f t="array" ref="H89">INDEX(股债表现与四个维度!$A:$T,MATCH($A89,股债表现与四个维度!$A:$A,0),MATCH(H$4,股债表现与四个维度!$2:$2,0))</f>
        <v>主动补库存</v>
      </c>
      <c r="I89" s="93" t="str" cm="1">
        <f t="array" ref="I89">INDEX(股债表现与四个维度!$A:$T,MATCH($A89,股债表现与四个维度!$A:$A,0),MATCH(I$4,股债表现与四个维度!$2:$2,0))</f>
        <v>产能周期上行,被动去库存</v>
      </c>
      <c r="J89" s="93" cm="1">
        <f t="array" ref="J89">INDEX(股债表现与四个维度!$A:$T,MATCH($A89,股债表现与四个维度!$A:$A,0),MATCH(J$3&amp;J$4,股债表现与四个维度!$2:$2&amp;股债表现与四个维度!$3:$3,0))</f>
        <v>0</v>
      </c>
      <c r="K89" s="93" cm="1">
        <f t="array" ref="K89">INDEX(股债表现与四个维度!$A:$T,MATCH($A89,股债表现与四个维度!$A:$A,0),MATCH(K$3&amp;K$4,股债表现与四个维度!$2:$2&amp;股债表现与四个维度!$3:$3,0))</f>
        <v>7.6923076923076927E-2</v>
      </c>
      <c r="L89" s="93" cm="1">
        <f t="array" ref="L89">INDEX(股债表现与四个维度!$A:$T,MATCH($A89,股债表现与四个维度!$A:$A,0),MATCH(L$3&amp;L$4,股债表现与四个维度!$2:$2&amp;股债表现与四个维度!$3:$3,0))</f>
        <v>7.1428571428571425E-2</v>
      </c>
      <c r="M89" s="93" cm="1">
        <f t="array" ref="M89">INDEX(股债表现与四个维度!$A:$T,MATCH($A89,股债表现与四个维度!$A:$A,0),MATCH(M$3&amp;M$4,股债表现与四个维度!$2:$2&amp;股债表现与四个维度!$3:$3,0))</f>
        <v>0.14285714285714285</v>
      </c>
      <c r="N89" s="93"/>
      <c r="O89" s="93"/>
      <c r="P89" s="93" cm="1">
        <f t="array" ref="P89">INDEX(股债表现与四个维度!$A:$T,MATCH($A89,股债表现与四个维度!$A:$A,0),MATCH(P$3&amp;P$4,股债表现与四个维度!$2:$2&amp;股债表现与四个维度!$3:$3,0))</f>
        <v>7.6923076923076927E-2</v>
      </c>
      <c r="Q89" s="93" cm="1">
        <f t="array" ref="Q89">INDEX(股债表现与四个维度!$A:$T,MATCH($A89,股债表现与四个维度!$A:$A,0),MATCH(Q$3&amp;Q$4,股债表现与四个维度!$2:$2&amp;股债表现与四个维度!$3:$3,0))</f>
        <v>0.30769230769230771</v>
      </c>
      <c r="R89" s="93" cm="1">
        <f t="array" ref="R89">INDEX(股债表现与四个维度!$A:$T,MATCH($A89,股债表现与四个维度!$A:$A,0),MATCH(R$3&amp;R$4,股债表现与四个维度!$2:$2&amp;股债表现与四个维度!$3:$3,0))</f>
        <v>0.8</v>
      </c>
      <c r="S89" s="93" cm="1">
        <f t="array" ref="S89">INDEX(股债表现与四个维度!$A:$T,MATCH($A89,股债表现与四个维度!$A:$A,0),MATCH(S$3&amp;S$4,股债表现与四个维度!$2:$2&amp;股债表现与四个维度!$3:$3,0))</f>
        <v>-0.1</v>
      </c>
      <c r="T89">
        <f t="shared" si="95"/>
        <v>0.94835164835164842</v>
      </c>
      <c r="U89">
        <f t="shared" si="95"/>
        <v>0.42747252747252751</v>
      </c>
      <c r="V89">
        <f t="shared" si="75"/>
        <v>0.52087912087912092</v>
      </c>
      <c r="W89">
        <f t="shared" si="76"/>
        <v>-18.185426291686028</v>
      </c>
      <c r="X89" t="e">
        <f t="shared" si="77"/>
        <v>#N/A</v>
      </c>
      <c r="Y89" s="92">
        <f t="shared" ref="Y89:Z89" si="101">AVERAGE(V89:V94)</f>
        <v>0.15377867746288804</v>
      </c>
      <c r="Z89" s="92">
        <f t="shared" si="101"/>
        <v>-7.9495238451186578</v>
      </c>
      <c r="AA89">
        <f t="shared" si="97"/>
        <v>2.4953788338333953</v>
      </c>
      <c r="AB89">
        <v>2.49537883383339</v>
      </c>
      <c r="AC89">
        <v>2.2613098621368395</v>
      </c>
    </row>
    <row r="90" spans="1:29" x14ac:dyDescent="0.35">
      <c r="A90" s="91">
        <f t="shared" si="80"/>
        <v>43434</v>
      </c>
      <c r="B90" s="93" cm="1">
        <f t="array" ref="B90">INDEX(股债表现与四个维度!$A:$T,MATCH($A90,股债表现与四个维度!$A:$A,0),MATCH(B$4,股债表现与四个维度!$2:$2,0))</f>
        <v>2.1249977349894191</v>
      </c>
      <c r="C90" s="93" cm="1">
        <f t="array" ref="C90">INDEX(股债表现与四个维度!$A:$T,MATCH($A90,股债表现与四个维度!$A:$A,0),MATCH(C$4,股债表现与四个维度!$2:$2,0))</f>
        <v>-13.627979797979799</v>
      </c>
      <c r="D90" s="93" t="e" cm="1">
        <f t="array" ref="D90">INDEX(股债表现与四个维度!$A:$T,MATCH($A90,股债表现与四个维度!$A:$A,0),MATCH(D$4,股债表现与四个维度!$2:$2,0))</f>
        <v>#N/A</v>
      </c>
      <c r="E90" s="93" t="str" cm="1">
        <f t="array" ref="E90">INDEX(股债表现与四个维度!$A:$T,MATCH($A90,股债表现与四个维度!$A:$A,0),MATCH(E$4,股债表现与四个维度!$2:$2,0))</f>
        <v>复苏</v>
      </c>
      <c r="F90" s="93" t="str" cm="1">
        <f t="array" ref="F90">INDEX(股债表现与四个维度!$A:$T,MATCH($A90,股债表现与四个维度!$A:$A,0),MATCH(F$4,股债表现与四个维度!$2:$2,0))</f>
        <v>紧货币紧信用</v>
      </c>
      <c r="G90" s="93" t="str" cm="1">
        <f t="array" ref="G90">INDEX(股债表现与四个维度!$A:$T,MATCH($A90,股债表现与四个维度!$A:$A,0),MATCH(G$4,股债表现与四个维度!$2:$2,0))</f>
        <v>双紧</v>
      </c>
      <c r="H90" s="93" t="str" cm="1">
        <f t="array" ref="H90">INDEX(股债表现与四个维度!$A:$T,MATCH($A90,股债表现与四个维度!$A:$A,0),MATCH(H$4,股债表现与四个维度!$2:$2,0))</f>
        <v>被动补库存</v>
      </c>
      <c r="I90" s="93" t="str" cm="1">
        <f t="array" ref="I90">INDEX(股债表现与四个维度!$A:$T,MATCH($A90,股债表现与四个维度!$A:$A,0),MATCH(I$4,股债表现与四个维度!$2:$2,0))</f>
        <v>产能周期下行,被动去库存</v>
      </c>
      <c r="J90" s="93" cm="1">
        <f t="array" ref="J90">INDEX(股债表现与四个维度!$A:$T,MATCH($A90,股债表现与四个维度!$A:$A,0),MATCH(J$3&amp;J$4,股债表现与四个维度!$2:$2&amp;股债表现与四个维度!$3:$3,0))</f>
        <v>8.3333333333333329E-2</v>
      </c>
      <c r="K90" s="93" cm="1">
        <f t="array" ref="K90">INDEX(股债表现与四个维度!$A:$T,MATCH($A90,股债表现与四个维度!$A:$A,0),MATCH(K$3&amp;K$4,股债表现与四个维度!$2:$2&amp;股债表现与四个维度!$3:$3,0))</f>
        <v>0</v>
      </c>
      <c r="L90" s="93" cm="1">
        <f t="array" ref="L90">INDEX(股债表现与四个维度!$A:$T,MATCH($A90,股债表现与四个维度!$A:$A,0),MATCH(L$3&amp;L$4,股债表现与四个维度!$2:$2&amp;股债表现与四个维度!$3:$3,0))</f>
        <v>7.1428571428571425E-2</v>
      </c>
      <c r="M90" s="93" cm="1">
        <f t="array" ref="M90">INDEX(股债表现与四个维度!$A:$T,MATCH($A90,股债表现与四个维度!$A:$A,0),MATCH(M$3&amp;M$4,股债表现与四个维度!$2:$2&amp;股债表现与四个维度!$3:$3,0))</f>
        <v>0</v>
      </c>
      <c r="N90" s="93"/>
      <c r="O90" s="93"/>
      <c r="P90" s="93" cm="1">
        <f t="array" ref="P90">INDEX(股债表现与四个维度!$A:$T,MATCH($A90,股债表现与四个维度!$A:$A,0),MATCH(P$3&amp;P$4,股债表现与四个维度!$2:$2&amp;股债表现与四个维度!$3:$3,0))</f>
        <v>0.2</v>
      </c>
      <c r="Q90" s="93" cm="1">
        <f t="array" ref="Q90">INDEX(股债表现与四个维度!$A:$T,MATCH($A90,股债表现与四个维度!$A:$A,0),MATCH(Q$3&amp;Q$4,股债表现与四个维度!$2:$2&amp;股债表现与四个维度!$3:$3,0))</f>
        <v>0</v>
      </c>
      <c r="R90" s="93" cm="1">
        <f t="array" ref="R90">INDEX(股债表现与四个维度!$A:$T,MATCH($A90,股债表现与四个维度!$A:$A,0),MATCH(R$3&amp;R$4,股债表现与四个维度!$2:$2&amp;股债表现与四个维度!$3:$3,0))</f>
        <v>0.4</v>
      </c>
      <c r="S90" s="93" cm="1">
        <f t="array" ref="S90">INDEX(股债表现与四个维度!$A:$T,MATCH($A90,股债表现与四个维度!$A:$A,0),MATCH(S$3&amp;S$4,股债表现与四个维度!$2:$2&amp;股债表现与四个维度!$3:$3,0))</f>
        <v>0.2</v>
      </c>
      <c r="T90">
        <f t="shared" si="95"/>
        <v>0.75476190476190474</v>
      </c>
      <c r="U90">
        <f t="shared" si="95"/>
        <v>0.2</v>
      </c>
      <c r="V90">
        <f t="shared" si="75"/>
        <v>0.55476190476190479</v>
      </c>
      <c r="W90">
        <f t="shared" si="76"/>
        <v>-11.50298206299038</v>
      </c>
      <c r="X90" t="e">
        <f t="shared" si="77"/>
        <v>#N/A</v>
      </c>
      <c r="Y90" s="92">
        <f t="shared" ref="Y90:Z90" si="102">AVERAGE(V90:V95)</f>
        <v>6.6965490649701198E-2</v>
      </c>
      <c r="Z90" s="92">
        <f t="shared" si="102"/>
        <v>-7.2405978884714051</v>
      </c>
      <c r="AA90">
        <f t="shared" si="97"/>
        <v>2.6181404889000897</v>
      </c>
      <c r="AB90">
        <v>2.6181404889000901</v>
      </c>
      <c r="AC90">
        <v>2.4958539156553621</v>
      </c>
    </row>
    <row r="91" spans="1:29" x14ac:dyDescent="0.35">
      <c r="A91" s="91">
        <f t="shared" si="80"/>
        <v>43404</v>
      </c>
      <c r="B91" s="93" cm="1">
        <f t="array" ref="B91">INDEX(股债表现与四个维度!$A:$T,MATCH($A91,股债表现与四个维度!$A:$A,0),MATCH(B$4,股债表现与四个维度!$2:$2,0))</f>
        <v>-9.1413403552184267</v>
      </c>
      <c r="C91" s="93" cm="1">
        <f t="array" ref="C91">INDEX(股债表现与四个维度!$A:$T,MATCH($A91,股债表现与四个维度!$A:$A,0),MATCH(C$4,股债表现与四个维度!$2:$2,0))</f>
        <v>-7.3987301587300998</v>
      </c>
      <c r="D91" s="93" t="e" cm="1">
        <f t="array" ref="D91">INDEX(股债表现与四个维度!$A:$T,MATCH($A91,股债表现与四个维度!$A:$A,0),MATCH(D$4,股债表现与四个维度!$2:$2,0))</f>
        <v>#N/A</v>
      </c>
      <c r="E91" s="93" t="str" cm="1">
        <f t="array" ref="E91">INDEX(股债表现与四个维度!$A:$T,MATCH($A91,股债表现与四个维度!$A:$A,0),MATCH(E$4,股债表现与四个维度!$2:$2,0))</f>
        <v>复苏</v>
      </c>
      <c r="F91" s="93" t="str" cm="1">
        <f t="array" ref="F91">INDEX(股债表现与四个维度!$A:$T,MATCH($A91,股债表现与四个维度!$A:$A,0),MATCH(F$4,股债表现与四个维度!$2:$2,0))</f>
        <v>紧货币紧信用</v>
      </c>
      <c r="G91" s="93" t="str" cm="1">
        <f t="array" ref="G91">INDEX(股债表现与四个维度!$A:$T,MATCH($A91,股债表现与四个维度!$A:$A,0),MATCH(G$4,股债表现与四个维度!$2:$2,0))</f>
        <v>双宽</v>
      </c>
      <c r="H91" s="93" t="str" cm="1">
        <f t="array" ref="H91">INDEX(股债表现与四个维度!$A:$T,MATCH($A91,股债表现与四个维度!$A:$A,0),MATCH(H$4,股债表现与四个维度!$2:$2,0))</f>
        <v>被动补库存</v>
      </c>
      <c r="I91" s="93" t="str" cm="1">
        <f t="array" ref="I91">INDEX(股债表现与四个维度!$A:$T,MATCH($A91,股债表现与四个维度!$A:$A,0),MATCH(I$4,股债表现与四个维度!$2:$2,0))</f>
        <v>产能周期下行,主动补库存</v>
      </c>
      <c r="J91" s="93" cm="1">
        <f t="array" ref="J91">INDEX(股债表现与四个维度!$A:$T,MATCH($A91,股债表现与四个维度!$A:$A,0),MATCH(J$3&amp;J$4,股债表现与四个维度!$2:$2&amp;股债表现与四个维度!$3:$3,0))</f>
        <v>8.3333333333333329E-2</v>
      </c>
      <c r="K91" s="93" cm="1">
        <f t="array" ref="K91">INDEX(股债表现与四个维度!$A:$T,MATCH($A91,股债表现与四个维度!$A:$A,0),MATCH(K$3&amp;K$4,股债表现与四个维度!$2:$2&amp;股债表现与四个维度!$3:$3,0))</f>
        <v>0</v>
      </c>
      <c r="L91" s="93" cm="1">
        <f t="array" ref="L91">INDEX(股债表现与四个维度!$A:$T,MATCH($A91,股债表现与四个维度!$A:$A,0),MATCH(L$3&amp;L$4,股债表现与四个维度!$2:$2&amp;股债表现与四个维度!$3:$3,0))</f>
        <v>0.13333333333333333</v>
      </c>
      <c r="M91" s="93" cm="1">
        <f t="array" ref="M91">INDEX(股债表现与四个维度!$A:$T,MATCH($A91,股债表现与四个维度!$A:$A,0),MATCH(M$3&amp;M$4,股债表现与四个维度!$2:$2&amp;股债表现与四个维度!$3:$3,0))</f>
        <v>-6.6666666666666666E-2</v>
      </c>
      <c r="N91" s="93"/>
      <c r="O91" s="93"/>
      <c r="P91" s="93" cm="1">
        <f t="array" ref="P91">INDEX(股债表现与四个维度!$A:$T,MATCH($A91,股债表现与四个维度!$A:$A,0),MATCH(P$3&amp;P$4,股债表现与四个维度!$2:$2&amp;股债表现与四个维度!$3:$3,0))</f>
        <v>0.2</v>
      </c>
      <c r="Q91" s="93" cm="1">
        <f t="array" ref="Q91">INDEX(股债表现与四个维度!$A:$T,MATCH($A91,股债表现与四个维度!$A:$A,0),MATCH(Q$3&amp;Q$4,股债表现与四个维度!$2:$2&amp;股债表现与四个维度!$3:$3,0))</f>
        <v>0</v>
      </c>
      <c r="R91" s="93" cm="1">
        <f t="array" ref="R91">INDEX(股债表现与四个维度!$A:$T,MATCH($A91,股债表现与四个维度!$A:$A,0),MATCH(R$3&amp;R$4,股债表现与四个维度!$2:$2&amp;股债表现与四个维度!$3:$3,0))</f>
        <v>0.45454545454545453</v>
      </c>
      <c r="S91" s="93" cm="1">
        <f t="array" ref="S91">INDEX(股债表现与四个维度!$A:$T,MATCH($A91,股债表现与四个维度!$A:$A,0),MATCH(S$3&amp;S$4,股债表现与四个维度!$2:$2&amp;股债表现与四个维度!$3:$3,0))</f>
        <v>0.36363636363636365</v>
      </c>
      <c r="T91">
        <f t="shared" si="95"/>
        <v>0.87121212121212122</v>
      </c>
      <c r="U91">
        <f t="shared" si="95"/>
        <v>0.29696969696969699</v>
      </c>
      <c r="V91">
        <f t="shared" si="75"/>
        <v>0.57424242424242422</v>
      </c>
      <c r="W91">
        <f t="shared" si="76"/>
        <v>-16.540070513948528</v>
      </c>
      <c r="X91" t="e">
        <f t="shared" si="77"/>
        <v>#N/A</v>
      </c>
      <c r="Y91" s="92">
        <f t="shared" ref="Y91:Z91" si="103">AVERAGE(V91:V96)</f>
        <v>4.5311273407248644E-2</v>
      </c>
      <c r="Z91" s="92">
        <f t="shared" si="103"/>
        <v>-5.0860696958057403</v>
      </c>
      <c r="AA91">
        <f t="shared" si="97"/>
        <v>2.4849680332955049</v>
      </c>
      <c r="AB91">
        <v>2.4849680332955</v>
      </c>
      <c r="AC91">
        <v>1.1192080657247707</v>
      </c>
    </row>
    <row r="92" spans="1:29" x14ac:dyDescent="0.35">
      <c r="A92" s="91">
        <f t="shared" si="80"/>
        <v>43373</v>
      </c>
      <c r="B92" s="93" cm="1">
        <f t="array" ref="B92">INDEX(股债表现与四个维度!$A:$T,MATCH($A92,股债表现与四个维度!$A:$A,0),MATCH(B$4,股债表现与四个维度!$2:$2,0))</f>
        <v>1.347159041564137</v>
      </c>
      <c r="C92" s="93" cm="1">
        <f t="array" ref="C92">INDEX(股债表现与四个维度!$A:$T,MATCH($A92,股债表现与四个维度!$A:$A,0),MATCH(C$4,股债表现与四个维度!$2:$2,0))</f>
        <v>7.2419668737059997</v>
      </c>
      <c r="D92" s="93" t="e" cm="1">
        <f t="array" ref="D92">INDEX(股债表现与四个维度!$A:$T,MATCH($A92,股债表现与四个维度!$A:$A,0),MATCH(D$4,股债表现与四个维度!$2:$2,0))</f>
        <v>#N/A</v>
      </c>
      <c r="E92" s="93" t="str" cm="1">
        <f t="array" ref="E92">INDEX(股债表现与四个维度!$A:$T,MATCH($A92,股债表现与四个维度!$A:$A,0),MATCH(E$4,股债表现与四个维度!$2:$2,0))</f>
        <v>衰退</v>
      </c>
      <c r="F92" s="93" t="str" cm="1">
        <f t="array" ref="F92">INDEX(股债表现与四个维度!$A:$T,MATCH($A92,股债表现与四个维度!$A:$A,0),MATCH(F$4,股债表现与四个维度!$2:$2,0))</f>
        <v>宽货币紧信用</v>
      </c>
      <c r="G92" s="93" t="str" cm="1">
        <f t="array" ref="G92">INDEX(股债表现与四个维度!$A:$T,MATCH($A92,股债表现与四个维度!$A:$A,0),MATCH(G$4,股债表现与四个维度!$2:$2,0))</f>
        <v>双紧</v>
      </c>
      <c r="H92" s="93" t="str" cm="1">
        <f t="array" ref="H92">INDEX(股债表现与四个维度!$A:$T,MATCH($A92,股债表现与四个维度!$A:$A,0),MATCH(H$4,股债表现与四个维度!$2:$2,0))</f>
        <v>被动补库存</v>
      </c>
      <c r="I92" s="93" t="str" cm="1">
        <f t="array" ref="I92">INDEX(股债表现与四个维度!$A:$T,MATCH($A92,股债表现与四个维度!$A:$A,0),MATCH(I$4,股债表现与四个维度!$2:$2,0))</f>
        <v>产能周期下行,主动补库存</v>
      </c>
      <c r="J92" s="93" cm="1">
        <f t="array" ref="J92">INDEX(股债表现与四个维度!$A:$T,MATCH($A92,股债表现与四个维度!$A:$A,0),MATCH(J$3&amp;J$4,股债表现与四个维度!$2:$2&amp;股债表现与四个维度!$3:$3,0))</f>
        <v>-6.6666666666666666E-2</v>
      </c>
      <c r="K92" s="93" cm="1">
        <f t="array" ref="K92">INDEX(股债表现与四个维度!$A:$T,MATCH($A92,股债表现与四个维度!$A:$A,0),MATCH(K$3&amp;K$4,股债表现与四个维度!$2:$2&amp;股债表现与四个维度!$3:$3,0))</f>
        <v>0.2</v>
      </c>
      <c r="L92" s="93" cm="1">
        <f t="array" ref="L92">INDEX(股债表现与四个维度!$A:$T,MATCH($A92,股债表现与四个维度!$A:$A,0),MATCH(L$3&amp;L$4,股债表现与四个维度!$2:$2&amp;股债表现与四个维度!$3:$3,0))</f>
        <v>0.26315789473684209</v>
      </c>
      <c r="M92" s="93" cm="1">
        <f t="array" ref="M92">INDEX(股债表现与四个维度!$A:$T,MATCH($A92,股债表现与四个维度!$A:$A,0),MATCH(M$3&amp;M$4,股债表现与四个维度!$2:$2&amp;股债表现与四个维度!$3:$3,0))</f>
        <v>0</v>
      </c>
      <c r="N92" s="93"/>
      <c r="O92" s="93"/>
      <c r="P92" s="93" cm="1">
        <f t="array" ref="P92">INDEX(股债表现与四个维度!$A:$T,MATCH($A92,股债表现与四个维度!$A:$A,0),MATCH(P$3&amp;P$4,股债表现与四个维度!$2:$2&amp;股债表现与四个维度!$3:$3,0))</f>
        <v>0.2</v>
      </c>
      <c r="Q92" s="93" cm="1">
        <f t="array" ref="Q92">INDEX(股债表现与四个维度!$A:$T,MATCH($A92,股债表现与四个维度!$A:$A,0),MATCH(Q$3&amp;Q$4,股债表现与四个维度!$2:$2&amp;股债表现与四个维度!$3:$3,0))</f>
        <v>0</v>
      </c>
      <c r="R92" s="93" cm="1">
        <f t="array" ref="R92">INDEX(股债表现与四个维度!$A:$T,MATCH($A92,股债表现与四个维度!$A:$A,0),MATCH(R$3&amp;R$4,股债表现与四个维度!$2:$2&amp;股债表现与四个维度!$3:$3,0))</f>
        <v>0.45454545454545453</v>
      </c>
      <c r="S92" s="93" cm="1">
        <f t="array" ref="S92">INDEX(股债表现与四个维度!$A:$T,MATCH($A92,股债表现与四个维度!$A:$A,0),MATCH(S$3&amp;S$4,股债表现与四个维度!$2:$2&amp;股债表现与四个维度!$3:$3,0))</f>
        <v>0.36363636363636365</v>
      </c>
      <c r="T92">
        <f t="shared" si="95"/>
        <v>0.85103668261562992</v>
      </c>
      <c r="U92">
        <f t="shared" si="95"/>
        <v>0.56363636363636371</v>
      </c>
      <c r="V92">
        <f t="shared" si="75"/>
        <v>0.28740031897926621</v>
      </c>
      <c r="W92">
        <f t="shared" si="76"/>
        <v>8.5891259152701362</v>
      </c>
      <c r="X92" t="e">
        <f t="shared" si="77"/>
        <v>#N/A</v>
      </c>
      <c r="Y92" s="92">
        <f t="shared" ref="Y92:Z92" si="104">AVERAGE(V92:V97)</f>
        <v>0.17304742614340141</v>
      </c>
      <c r="Z92" s="92">
        <f t="shared" si="104"/>
        <v>-4.3989193588266504</v>
      </c>
      <c r="AA92">
        <f t="shared" si="97"/>
        <v>2.0348609201570587</v>
      </c>
      <c r="AB92">
        <v>2.0348609201570498</v>
      </c>
      <c r="AC92">
        <v>2.8888951376653615</v>
      </c>
    </row>
    <row r="93" spans="1:29" x14ac:dyDescent="0.35">
      <c r="A93" s="91">
        <f t="shared" si="80"/>
        <v>43343</v>
      </c>
      <c r="B93" s="93" cm="1">
        <f t="array" ref="B93">INDEX(股债表现与四个维度!$A:$T,MATCH($A93,股债表现与四个维度!$A:$A,0),MATCH(B$4,股债表现与四个维度!$2:$2,0))</f>
        <v>-6.3558640589851523</v>
      </c>
      <c r="C93" s="93" cm="1">
        <f t="array" ref="C93">INDEX(股债表现与四个维度!$A:$T,MATCH($A93,股债表现与四个维度!$A:$A,0),MATCH(C$4,股债表现与四个维度!$2:$2,0))</f>
        <v>5.9197430830039002</v>
      </c>
      <c r="D93" s="93" t="e" cm="1">
        <f t="array" ref="D93">INDEX(股债表现与四个维度!$A:$T,MATCH($A93,股债表现与四个维度!$A:$A,0),MATCH(D$4,股债表现与四个维度!$2:$2,0))</f>
        <v>#N/A</v>
      </c>
      <c r="E93" s="93" t="str" cm="1">
        <f t="array" ref="E93">INDEX(股债表现与四个维度!$A:$T,MATCH($A93,股债表现与四个维度!$A:$A,0),MATCH(E$4,股债表现与四个维度!$2:$2,0))</f>
        <v>衰退</v>
      </c>
      <c r="F93" s="93" t="str" cm="1">
        <f t="array" ref="F93">INDEX(股债表现与四个维度!$A:$T,MATCH($A93,股债表现与四个维度!$A:$A,0),MATCH(F$4,股债表现与四个维度!$2:$2,0))</f>
        <v>宽货币宽信用</v>
      </c>
      <c r="G93" s="93" t="str" cm="1">
        <f t="array" ref="G93">INDEX(股债表现与四个维度!$A:$T,MATCH($A93,股债表现与四个维度!$A:$A,0),MATCH(G$4,股债表现与四个维度!$2:$2,0))</f>
        <v>双宽</v>
      </c>
      <c r="H93" s="93" t="str" cm="1">
        <f t="array" ref="H93">INDEX(股债表现与四个维度!$A:$T,MATCH($A93,股债表现与四个维度!$A:$A,0),MATCH(H$4,股债表现与四个维度!$2:$2,0))</f>
        <v>主动补库存</v>
      </c>
      <c r="I93" s="93" t="str" cm="1">
        <f t="array" ref="I93">INDEX(股债表现与四个维度!$A:$T,MATCH($A93,股债表现与四个维度!$A:$A,0),MATCH(I$4,股债表现与四个维度!$2:$2,0))</f>
        <v>产能周期上行,主动补库存</v>
      </c>
      <c r="J93" s="93" cm="1">
        <f t="array" ref="J93">INDEX(股债表现与四个维度!$A:$T,MATCH($A93,股债表现与四个维度!$A:$A,0),MATCH(J$3&amp;J$4,股债表现与四个维度!$2:$2&amp;股债表现与四个维度!$3:$3,0))</f>
        <v>-6.6666666666666666E-2</v>
      </c>
      <c r="K93" s="93" cm="1">
        <f t="array" ref="K93">INDEX(股债表现与四个维度!$A:$T,MATCH($A93,股债表现与四个维度!$A:$A,0),MATCH(K$3&amp;K$4,股债表现与四个维度!$2:$2&amp;股债表现与四个维度!$3:$3,0))</f>
        <v>0.2</v>
      </c>
      <c r="L93" s="93" cm="1">
        <f t="array" ref="L93">INDEX(股债表现与四个维度!$A:$T,MATCH($A93,股债表现与四个维度!$A:$A,0),MATCH(L$3&amp;L$4,股债表现与四个维度!$2:$2&amp;股债表现与四个维度!$3:$3,0))</f>
        <v>0.38461538461538464</v>
      </c>
      <c r="M93" s="93" cm="1">
        <f t="array" ref="M93">INDEX(股债表现与四个维度!$A:$T,MATCH($A93,股债表现与四个维度!$A:$A,0),MATCH(M$3&amp;M$4,股债表现与四个维度!$2:$2&amp;股债表现与四个维度!$3:$3,0))</f>
        <v>0.23076923076923078</v>
      </c>
      <c r="N93" s="93"/>
      <c r="O93" s="93"/>
      <c r="P93" s="93" cm="1">
        <f t="array" ref="P93">INDEX(股债表现与四个维度!$A:$T,MATCH($A93,股债表现与四个维度!$A:$A,0),MATCH(P$3&amp;P$4,股债表现与四个维度!$2:$2&amp;股债表现与四个维度!$3:$3,0))</f>
        <v>0.18181818181818182</v>
      </c>
      <c r="Q93" s="93" cm="1">
        <f t="array" ref="Q93">INDEX(股债表现与四个维度!$A:$T,MATCH($A93,股债表现与四个维度!$A:$A,0),MATCH(Q$3&amp;Q$4,股债表现与四个维度!$2:$2&amp;股债表现与四个维度!$3:$3,0))</f>
        <v>0.36363636363636365</v>
      </c>
      <c r="R93" s="93" cm="1">
        <f t="array" ref="R93">INDEX(股债表现与四个维度!$A:$T,MATCH($A93,股债表现与四个维度!$A:$A,0),MATCH(R$3&amp;R$4,股债表现与四个维度!$2:$2&amp;股债表现与四个维度!$3:$3,0))</f>
        <v>-0.5714285714285714</v>
      </c>
      <c r="S93" s="93" cm="1">
        <f t="array" ref="S93">INDEX(股债表现与四个维度!$A:$T,MATCH($A93,股债表现与四个维度!$A:$A,0),MATCH(S$3&amp;S$4,股债表现与四个维度!$2:$2&amp;股债表现与四个维度!$3:$3,0))</f>
        <v>0.42857142857142855</v>
      </c>
      <c r="T93">
        <f t="shared" si="95"/>
        <v>-7.1661671661671589E-2</v>
      </c>
      <c r="U93">
        <f t="shared" si="95"/>
        <v>1.2229770229770229</v>
      </c>
      <c r="V93">
        <f t="shared" si="75"/>
        <v>-1.2946386946386945</v>
      </c>
      <c r="W93">
        <f t="shared" si="76"/>
        <v>-0.4361209759812521</v>
      </c>
      <c r="X93" t="e">
        <f t="shared" si="77"/>
        <v>#N/A</v>
      </c>
      <c r="Y93" s="92">
        <f t="shared" ref="Y93:Z93" si="105">AVERAGE(V93:V98)</f>
        <v>0.39135107668389407</v>
      </c>
      <c r="Z93" s="92">
        <f t="shared" si="105"/>
        <v>-4.232467071664642</v>
      </c>
      <c r="AA93">
        <f t="shared" si="97"/>
        <v>1.2840219987530885</v>
      </c>
      <c r="AB93">
        <v>1.2840219987530801</v>
      </c>
      <c r="AC93">
        <v>3.0298968440010432</v>
      </c>
    </row>
    <row r="94" spans="1:29" x14ac:dyDescent="0.35">
      <c r="A94" s="91">
        <f t="shared" si="80"/>
        <v>43312</v>
      </c>
      <c r="B94" s="93" cm="1">
        <f t="array" ref="B94">INDEX(股债表现与四个维度!$A:$T,MATCH($A94,股债表现与四个维度!$A:$A,0),MATCH(B$4,股债表现与四个维度!$2:$2,0))</f>
        <v>0.30242176771500701</v>
      </c>
      <c r="C94" s="93" cm="1">
        <f t="array" ref="C94">INDEX(股债表现与四个维度!$A:$T,MATCH($A94,股债表现与四个维度!$A:$A,0),MATCH(C$4,股债表现与四个维度!$2:$2,0))</f>
        <v>-9.9240909090909</v>
      </c>
      <c r="D94" s="93" t="e" cm="1">
        <f t="array" ref="D94">INDEX(股债表现与四个维度!$A:$T,MATCH($A94,股债表现与四个维度!$A:$A,0),MATCH(D$4,股债表现与四个维度!$2:$2,0))</f>
        <v>#N/A</v>
      </c>
      <c r="E94" s="93" t="str" cm="1">
        <f t="array" ref="E94">INDEX(股债表现与四个维度!$A:$T,MATCH($A94,股债表现与四个维度!$A:$A,0),MATCH(E$4,股债表现与四个维度!$2:$2,0))</f>
        <v>过热</v>
      </c>
      <c r="F94" s="93" t="str" cm="1">
        <f t="array" ref="F94">INDEX(股债表现与四个维度!$A:$T,MATCH($A94,股债表现与四个维度!$A:$A,0),MATCH(F$4,股债表现与四个维度!$2:$2,0))</f>
        <v>宽货币紧信用</v>
      </c>
      <c r="G94" s="93" t="str" cm="1">
        <f t="array" ref="G94">INDEX(股债表现与四个维度!$A:$T,MATCH($A94,股债表现与四个维度!$A:$A,0),MATCH(G$4,股债表现与四个维度!$2:$2,0))</f>
        <v>双宽</v>
      </c>
      <c r="H94" s="93" t="str" cm="1">
        <f t="array" ref="H94">INDEX(股债表现与四个维度!$A:$T,MATCH($A94,股债表现与四个维度!$A:$A,0),MATCH(H$4,股债表现与四个维度!$2:$2,0))</f>
        <v>主动补库存</v>
      </c>
      <c r="I94" s="93" t="str" cm="1">
        <f t="array" ref="I94">INDEX(股债表现与四个维度!$A:$T,MATCH($A94,股债表现与四个维度!$A:$A,0),MATCH(I$4,股债表现与四个维度!$2:$2,0))</f>
        <v>产能周期上行,主动补库存</v>
      </c>
      <c r="J94" s="93" cm="1">
        <f t="array" ref="J94">INDEX(股债表现与四个维度!$A:$T,MATCH($A94,股债表现与四个维度!$A:$A,0),MATCH(J$3&amp;J$4,股债表现与四个维度!$2:$2&amp;股债表现与四个维度!$3:$3,0))</f>
        <v>0.38461538461538464</v>
      </c>
      <c r="K94" s="93" cm="1">
        <f t="array" ref="K94">INDEX(股债表现与四个维度!$A:$T,MATCH($A94,股债表现与四个维度!$A:$A,0),MATCH(K$3&amp;K$4,股债表现与四个维度!$2:$2&amp;股债表现与四个维度!$3:$3,0))</f>
        <v>-0.30769230769230771</v>
      </c>
      <c r="L94" s="93" cm="1">
        <f t="array" ref="L94">INDEX(股债表现与四个维度!$A:$T,MATCH($A94,股债表现与四个维度!$A:$A,0),MATCH(L$3&amp;L$4,股债表现与四个维度!$2:$2&amp;股债表现与四个维度!$3:$3,0))</f>
        <v>0.31578947368421051</v>
      </c>
      <c r="M94" s="93" cm="1">
        <f t="array" ref="M94">INDEX(股债表现与四个维度!$A:$T,MATCH($A94,股债表现与四个维度!$A:$A,0),MATCH(M$3&amp;M$4,股债表现与四个维度!$2:$2&amp;股债表现与四个维度!$3:$3,0))</f>
        <v>-0.10526315789473684</v>
      </c>
      <c r="N94" s="93"/>
      <c r="O94" s="93"/>
      <c r="P94" s="93" cm="1">
        <f t="array" ref="P94">INDEX(股债表现与四个维度!$A:$T,MATCH($A94,股债表现与四个维度!$A:$A,0),MATCH(P$3&amp;P$4,股债表现与四个维度!$2:$2&amp;股债表现与四个维度!$3:$3,0))</f>
        <v>0.3</v>
      </c>
      <c r="Q94" s="93" cm="1">
        <f t="array" ref="Q94">INDEX(股债表现与四个维度!$A:$T,MATCH($A94,股债表现与四个维度!$A:$A,0),MATCH(Q$3&amp;Q$4,股债表现与四个维度!$2:$2&amp;股债表现与四个维度!$3:$3,0))</f>
        <v>0.3</v>
      </c>
      <c r="R94" s="93" cm="1">
        <f t="array" ref="R94">INDEX(股债表现与四个维度!$A:$T,MATCH($A94,股债表现与四个维度!$A:$A,0),MATCH(R$3&amp;R$4,股债表现与四个维度!$2:$2&amp;股债表现与四个维度!$3:$3,0))</f>
        <v>-0.5</v>
      </c>
      <c r="S94" s="93" cm="1">
        <f t="array" ref="S94">INDEX(股债表现与四个维度!$A:$T,MATCH($A94,股债表现与四个维度!$A:$A,0),MATCH(S$3&amp;S$4,股债表现与四个维度!$2:$2&amp;股债表现与四个维度!$3:$3,0))</f>
        <v>0.33333333333333331</v>
      </c>
      <c r="T94">
        <f t="shared" si="95"/>
        <v>0.50040485829959525</v>
      </c>
      <c r="U94">
        <f t="shared" si="95"/>
        <v>0.22037786774628876</v>
      </c>
      <c r="V94">
        <f t="shared" si="75"/>
        <v>0.28002699055330649</v>
      </c>
      <c r="W94">
        <f t="shared" si="76"/>
        <v>-9.621669141375893</v>
      </c>
      <c r="X94" t="e">
        <f t="shared" si="77"/>
        <v>#N/A</v>
      </c>
      <c r="Y94" s="92">
        <f t="shared" ref="Y94:Z94" si="106">AVERAGE(V94:V99)</f>
        <v>0.54859244642526372</v>
      </c>
      <c r="Z94" s="92">
        <f t="shared" si="106"/>
        <v>-5.184877192753599</v>
      </c>
      <c r="AA94">
        <f t="shared" si="97"/>
        <v>0.52744422475405017</v>
      </c>
      <c r="AB94">
        <v>0.52744422475404995</v>
      </c>
      <c r="AC94">
        <v>3.1771091778169942</v>
      </c>
    </row>
    <row r="95" spans="1:29" x14ac:dyDescent="0.35">
      <c r="A95" s="91">
        <f t="shared" si="80"/>
        <v>43281</v>
      </c>
      <c r="B95" s="93" cm="1">
        <f t="array" ref="B95">INDEX(股债表现与四个维度!$A:$T,MATCH($A95,股债表现与四个维度!$A:$A,0),MATCH(B$4,股债表现与四个维度!$2:$2,0))</f>
        <v>-8.3259614608934065</v>
      </c>
      <c r="C95" s="93" cm="1">
        <f t="array" ref="C95">INDEX(股债表现与四个维度!$A:$T,MATCH($A95,股债表现与四个维度!$A:$A,0),MATCH(C$4,股债表现与四个维度!$2:$2,0))</f>
        <v>-5.6059090909091003</v>
      </c>
      <c r="D95" s="93" t="e" cm="1">
        <f t="array" ref="D95">INDEX(股债表现与四个维度!$A:$T,MATCH($A95,股债表现与四个维度!$A:$A,0),MATCH(D$4,股债表现与四个维度!$2:$2,0))</f>
        <v>#N/A</v>
      </c>
      <c r="E95" s="93" t="str" cm="1">
        <f t="array" ref="E95">INDEX(股债表现与四个维度!$A:$T,MATCH($A95,股债表现与四个维度!$A:$A,0),MATCH(E$4,股债表现与四个维度!$2:$2,0))</f>
        <v>滞涨</v>
      </c>
      <c r="F95" s="93" t="str" cm="1">
        <f t="array" ref="F95">INDEX(股债表现与四个维度!$A:$T,MATCH($A95,股债表现与四个维度!$A:$A,0),MATCH(F$4,股债表现与四个维度!$2:$2,0))</f>
        <v>紧货币紧信用</v>
      </c>
      <c r="G95" s="93" t="str" cm="1">
        <f t="array" ref="G95">INDEX(股债表现与四个维度!$A:$T,MATCH($A95,股债表现与四个维度!$A:$A,0),MATCH(G$4,股债表现与四个维度!$2:$2,0))</f>
        <v>双紧</v>
      </c>
      <c r="H95" s="93" t="str" cm="1">
        <f t="array" ref="H95">INDEX(股债表现与四个维度!$A:$T,MATCH($A95,股债表现与四个维度!$A:$A,0),MATCH(H$4,股债表现与四个维度!$2:$2,0))</f>
        <v>主动补库存</v>
      </c>
      <c r="I95" s="93" t="str" cm="1">
        <f t="array" ref="I95">INDEX(股债表现与四个维度!$A:$T,MATCH($A95,股债表现与四个维度!$A:$A,0),MATCH(I$4,股债表现与四个维度!$2:$2,0))</f>
        <v>产能周期上行,主动补库存</v>
      </c>
      <c r="J95" s="93" cm="1">
        <f t="array" ref="J95">INDEX(股债表现与四个维度!$A:$T,MATCH($A95,股债表现与四个维度!$A:$A,0),MATCH(J$3&amp;J$4,股债表现与四个维度!$2:$2&amp;股债表现与四个维度!$3:$3,0))</f>
        <v>0.44444444444444442</v>
      </c>
      <c r="K95" s="93" cm="1">
        <f t="array" ref="K95">INDEX(股债表现与四个维度!$A:$T,MATCH($A95,股债表现与四个维度!$A:$A,0),MATCH(K$3&amp;K$4,股债表现与四个维度!$2:$2&amp;股债表现与四个维度!$3:$3,0))</f>
        <v>-5.5555555555555552E-2</v>
      </c>
      <c r="L95" s="93" cm="1">
        <f t="array" ref="L95">INDEX(股债表现与四个维度!$A:$T,MATCH($A95,股债表现与四个维度!$A:$A,0),MATCH(L$3&amp;L$4,股债表现与四个维度!$2:$2&amp;股债表现与四个维度!$3:$3,0))</f>
        <v>0.13333333333333333</v>
      </c>
      <c r="M95" s="93" cm="1">
        <f t="array" ref="M95">INDEX(股债表现与四个维度!$A:$T,MATCH($A95,股债表现与四个维度!$A:$A,0),MATCH(M$3&amp;M$4,股债表现与四个维度!$2:$2&amp;股债表现与四个维度!$3:$3,0))</f>
        <v>-0.2</v>
      </c>
      <c r="N95" s="93"/>
      <c r="O95" s="93"/>
      <c r="P95" s="93" cm="1">
        <f t="array" ref="P95">INDEX(股债表现与四个维度!$A:$T,MATCH($A95,股债表现与四个维度!$A:$A,0),MATCH(P$3&amp;P$4,股债表现与四个维度!$2:$2&amp;股债表现与四个维度!$3:$3,0))</f>
        <v>0.33333333333333331</v>
      </c>
      <c r="Q95" s="93" cm="1">
        <f t="array" ref="Q95">INDEX(股债表现与四个维度!$A:$T,MATCH($A95,股债表现与四个维度!$A:$A,0),MATCH(Q$3&amp;Q$4,股债表现与四个维度!$2:$2&amp;股债表现与四个维度!$3:$3,0))</f>
        <v>0.33333333333333331</v>
      </c>
      <c r="R95" s="93" cm="1">
        <f t="array" ref="R95">INDEX(股债表现与四个维度!$A:$T,MATCH($A95,股债表现与四个维度!$A:$A,0),MATCH(R$3&amp;R$4,股债表现与四个维度!$2:$2&amp;股债表现与四个维度!$3:$3,0))</f>
        <v>-0.5</v>
      </c>
      <c r="S95" s="93" cm="1">
        <f t="array" ref="S95">INDEX(股债表现与四个维度!$A:$T,MATCH($A95,股债表现与四个维度!$A:$A,0),MATCH(S$3&amp;S$4,股债表现与四个维度!$2:$2&amp;股债表现与四个维度!$3:$3,0))</f>
        <v>0.33333333333333331</v>
      </c>
      <c r="T95">
        <f t="shared" si="95"/>
        <v>0.41111111111111098</v>
      </c>
      <c r="U95">
        <f t="shared" si="95"/>
        <v>0.41111111111111109</v>
      </c>
      <c r="V95">
        <f t="shared" si="75"/>
        <v>0</v>
      </c>
      <c r="W95">
        <f t="shared" si="76"/>
        <v>-13.931870551802508</v>
      </c>
      <c r="X95" t="e">
        <f t="shared" si="77"/>
        <v>#N/A</v>
      </c>
      <c r="Y95" s="92">
        <f t="shared" ref="Y95:Z95" si="107">AVERAGE(V95:V100)</f>
        <v>0.35492530345471524</v>
      </c>
      <c r="Z95" s="92">
        <f t="shared" si="107"/>
        <v>-7.168304055048992</v>
      </c>
      <c r="AA95">
        <f t="shared" si="97"/>
        <v>-0.23567909581303484</v>
      </c>
      <c r="AB95">
        <v>-0.23567909581303501</v>
      </c>
      <c r="AC95">
        <v>2.9978797925370064</v>
      </c>
    </row>
    <row r="96" spans="1:29" x14ac:dyDescent="0.35">
      <c r="A96" s="91">
        <f t="shared" si="80"/>
        <v>43251</v>
      </c>
      <c r="B96" s="93" cm="1">
        <f t="array" ref="B96">INDEX(股债表现与四个维度!$A:$T,MATCH($A96,股债表现与四个维度!$A:$A,0),MATCH(B$4,股债表现与四个维度!$2:$2,0))</f>
        <v>-5.8721997905498001E-2</v>
      </c>
      <c r="C96" s="93" cm="1">
        <f t="array" ref="C96">INDEX(股债表现与四个维度!$A:$T,MATCH($A96,股债表现与四个维度!$A:$A,0),MATCH(C$4,股债表现与四个维度!$2:$2,0))</f>
        <v>1.4829090909091001</v>
      </c>
      <c r="D96" s="93" t="e" cm="1">
        <f t="array" ref="D96">INDEX(股债表现与四个维度!$A:$T,MATCH($A96,股债表现与四个维度!$A:$A,0),MATCH(D$4,股债表现与四个维度!$2:$2,0))</f>
        <v>#N/A</v>
      </c>
      <c r="E96" s="93" t="str" cm="1">
        <f t="array" ref="E96">INDEX(股债表现与四个维度!$A:$T,MATCH($A96,股债表现与四个维度!$A:$A,0),MATCH(E$4,股债表现与四个维度!$2:$2,0))</f>
        <v>衰退</v>
      </c>
      <c r="F96" s="93" t="str" cm="1">
        <f t="array" ref="F96">INDEX(股债表现与四个维度!$A:$T,MATCH($A96,股债表现与四个维度!$A:$A,0),MATCH(F$4,股债表现与四个维度!$2:$2,0))</f>
        <v>宽货币紧信用</v>
      </c>
      <c r="G96" s="93" t="str" cm="1">
        <f t="array" ref="G96">INDEX(股债表现与四个维度!$A:$T,MATCH($A96,股债表现与四个维度!$A:$A,0),MATCH(G$4,股债表现与四个维度!$2:$2,0))</f>
        <v>双宽</v>
      </c>
      <c r="H96" s="93" t="str" cm="1">
        <f t="array" ref="H96">INDEX(股债表现与四个维度!$A:$T,MATCH($A96,股债表现与四个维度!$A:$A,0),MATCH(H$4,股债表现与四个维度!$2:$2,0))</f>
        <v>主动补库存</v>
      </c>
      <c r="I96" s="93" t="str" cm="1">
        <f t="array" ref="I96">INDEX(股债表现与四个维度!$A:$T,MATCH($A96,股债表现与四个维度!$A:$A,0),MATCH(I$4,股债表现与四个维度!$2:$2,0))</f>
        <v>产能周期下行,主动补库存</v>
      </c>
      <c r="J96" s="93" cm="1">
        <f t="array" ref="J96">INDEX(股债表现与四个维度!$A:$T,MATCH($A96,股债表现与四个维度!$A:$A,0),MATCH(J$3&amp;J$4,股债表现与四个维度!$2:$2&amp;股债表现与四个维度!$3:$3,0))</f>
        <v>-0.11764705882352941</v>
      </c>
      <c r="K96" s="93" cm="1">
        <f t="array" ref="K96">INDEX(股债表现与四个维度!$A:$T,MATCH($A96,股债表现与四个维度!$A:$A,0),MATCH(K$3&amp;K$4,股债表现与四个维度!$2:$2&amp;股债表现与四个维度!$3:$3,0))</f>
        <v>0.23529411764705882</v>
      </c>
      <c r="L96" s="93" cm="1">
        <f t="array" ref="L96">INDEX(股债表现与四个维度!$A:$T,MATCH($A96,股债表现与四个维度!$A:$A,0),MATCH(L$3&amp;L$4,股债表现与四个维度!$2:$2&amp;股债表现与四个维度!$3:$3,0))</f>
        <v>0.33333333333333331</v>
      </c>
      <c r="M96" s="93" cm="1">
        <f t="array" ref="M96">INDEX(股债表现与四个维度!$A:$T,MATCH($A96,股债表现与四个维度!$A:$A,0),MATCH(M$3&amp;M$4,股债表现与四个维度!$2:$2&amp;股债表现与四个维度!$3:$3,0))</f>
        <v>-0.1111111111111111</v>
      </c>
      <c r="N96" s="93"/>
      <c r="O96" s="93"/>
      <c r="P96" s="93" cm="1">
        <f t="array" ref="P96">INDEX(股债表现与四个维度!$A:$T,MATCH($A96,股债表现与四个维度!$A:$A,0),MATCH(P$3&amp;P$4,股债表现与四个维度!$2:$2&amp;股债表现与四个维度!$3:$3,0))</f>
        <v>0.33333333333333331</v>
      </c>
      <c r="Q96" s="93" cm="1">
        <f t="array" ref="Q96">INDEX(股债表现与四个维度!$A:$T,MATCH($A96,股债表现与四个维度!$A:$A,0),MATCH(Q$3&amp;Q$4,股债表现与四个维度!$2:$2&amp;股债表现与四个维度!$3:$3,0))</f>
        <v>0.33333333333333331</v>
      </c>
      <c r="R96" s="93" cm="1">
        <f t="array" ref="R96">INDEX(股债表现与四个维度!$A:$T,MATCH($A96,股债表现与四个维度!$A:$A,0),MATCH(R$3&amp;R$4,股债表现与四个维度!$2:$2&amp;股债表现与四个维度!$3:$3,0))</f>
        <v>0.66666666666666663</v>
      </c>
      <c r="S96" s="93" cm="1">
        <f t="array" ref="S96">INDEX(股债表现与四个维度!$A:$T,MATCH($A96,股债表现与四个维度!$A:$A,0),MATCH(S$3&amp;S$4,股债表现与四个维度!$2:$2&amp;股债表现与四个维度!$3:$3,0))</f>
        <v>0.33333333333333331</v>
      </c>
      <c r="T96">
        <f t="shared" si="95"/>
        <v>1.2156862745098038</v>
      </c>
      <c r="U96">
        <f t="shared" si="95"/>
        <v>0.79084967320261434</v>
      </c>
      <c r="V96">
        <f t="shared" si="75"/>
        <v>0.42483660130718948</v>
      </c>
      <c r="W96">
        <f t="shared" si="76"/>
        <v>1.424187093003602</v>
      </c>
      <c r="X96" t="e">
        <f t="shared" si="77"/>
        <v>#N/A</v>
      </c>
      <c r="Y96" s="92">
        <f t="shared" ref="Y96:Z96" si="108">AVERAGE(V96:V101)</f>
        <v>0.51581996434937605</v>
      </c>
      <c r="Z96" s="92">
        <f t="shared" si="108"/>
        <v>-7.8342671933551573</v>
      </c>
      <c r="AA96">
        <f t="shared" si="97"/>
        <v>-0.72088231374809686</v>
      </c>
      <c r="AB96">
        <v>-0.72088231374809797</v>
      </c>
      <c r="AC96">
        <v>1.696819182027852</v>
      </c>
    </row>
    <row r="97" spans="1:29" x14ac:dyDescent="0.35">
      <c r="A97" s="91">
        <f t="shared" si="80"/>
        <v>43220</v>
      </c>
      <c r="B97" s="1">
        <v>5.3346948619640102</v>
      </c>
      <c r="C97" s="1">
        <v>-17.751863354038001</v>
      </c>
      <c r="D97">
        <v>1.01</v>
      </c>
      <c r="E97" t="s">
        <v>47</v>
      </c>
      <c r="F97" t="s">
        <v>48</v>
      </c>
      <c r="H97" t="s">
        <v>49</v>
      </c>
      <c r="I97" t="s">
        <v>50</v>
      </c>
      <c r="J97" s="93" cm="1">
        <f t="array" ref="J97">INDEX(股债表现与四个维度!$A:$T,MATCH($A97,股债表现与四个维度!$A:$A,0),MATCH(J$3&amp;J$4,股债表现与四个维度!$2:$2&amp;股债表现与四个维度!$3:$3,0))</f>
        <v>0.15384615384615385</v>
      </c>
      <c r="K97" s="93" cm="1">
        <f t="array" ref="K97">INDEX(股债表现与四个维度!$A:$T,MATCH($A97,股债表现与四个维度!$A:$A,0),MATCH(K$3&amp;K$4,股债表现与四个维度!$2:$2&amp;股债表现与四个维度!$3:$3,0))</f>
        <v>-0.15384615384615385</v>
      </c>
      <c r="L97" s="93" cm="1">
        <f t="array" ref="L97">INDEX(股债表现与四个维度!$A:$T,MATCH($A97,股债表现与四个维度!$A:$A,0),MATCH(L$3&amp;L$4,股债表现与四个维度!$2:$2&amp;股债表现与四个维度!$3:$3,0))</f>
        <v>0.2857142857142857</v>
      </c>
      <c r="M97" s="93" cm="1">
        <f t="array" ref="M97">INDEX(股债表现与四个维度!$A:$T,MATCH($A97,股债表现与四个维度!$A:$A,0),MATCH(M$3&amp;M$4,股债表现与四个维度!$2:$2&amp;股债表现与四个维度!$3:$3,0))</f>
        <v>0.21428571428571427</v>
      </c>
      <c r="N97" s="93"/>
      <c r="O97" s="93"/>
      <c r="P97" s="93" cm="1">
        <f t="array" ref="P97">INDEX(股债表现与四个维度!$A:$T,MATCH($A97,股债表现与四个维度!$A:$A,0),MATCH(P$3&amp;P$4,股债表现与四个维度!$2:$2&amp;股债表现与四个维度!$3:$3,0))</f>
        <v>0.30769230769230771</v>
      </c>
      <c r="Q97" s="93" cm="1">
        <f t="array" ref="Q97">INDEX(股债表现与四个维度!$A:$T,MATCH($A97,股债表现与四个维度!$A:$A,0),MATCH(Q$3&amp;Q$4,股债表现与四个维度!$2:$2&amp;股债表现与四个维度!$3:$3,0))</f>
        <v>-0.15384615384615385</v>
      </c>
      <c r="R97" s="93" cm="1">
        <f t="array" ref="R97">INDEX(股债表现与四个维度!$A:$T,MATCH($A97,股债表现与四个维度!$A:$A,0),MATCH(R$3&amp;R$4,股债表现与四个维度!$2:$2&amp;股债表现与四个维度!$3:$3,0))</f>
        <v>0.75</v>
      </c>
      <c r="S97" s="93" cm="1">
        <f t="array" ref="S97">INDEX(股债表现与四个维度!$A:$T,MATCH($A97,股债表现与四个维度!$A:$A,0),MATCH(S$3&amp;S$4,股债表现与四个维度!$2:$2&amp;股债表现与四个维度!$3:$3,0))</f>
        <v>0.25</v>
      </c>
      <c r="T97">
        <f t="shared" si="95"/>
        <v>1.4972527472527473</v>
      </c>
      <c r="U97">
        <f t="shared" si="95"/>
        <v>0.15659340659340656</v>
      </c>
      <c r="V97">
        <f t="shared" si="75"/>
        <v>1.3406593406593408</v>
      </c>
      <c r="W97">
        <f t="shared" si="76"/>
        <v>-12.417168492073991</v>
      </c>
      <c r="X97">
        <f t="shared" si="77"/>
        <v>4.3246948619640104</v>
      </c>
      <c r="Y97" s="92">
        <f t="shared" ref="Y97:Z97" si="109">AVERAGE(V97:V102)</f>
        <v>0.78998139659904376</v>
      </c>
      <c r="Z97" s="92">
        <f t="shared" si="109"/>
        <v>-12.441980564698357</v>
      </c>
      <c r="AA97">
        <f t="shared" si="97"/>
        <v>-1.0571794215751142</v>
      </c>
      <c r="AB97">
        <v>-1.05717942157511</v>
      </c>
      <c r="AC97">
        <v>-1.5814346131059054</v>
      </c>
    </row>
    <row r="98" spans="1:29" x14ac:dyDescent="0.35">
      <c r="A98" s="91">
        <f t="shared" si="80"/>
        <v>43190</v>
      </c>
      <c r="B98" s="1">
        <v>6.2075221779242202</v>
      </c>
      <c r="C98" s="1">
        <v>3.3803174603179702</v>
      </c>
      <c r="D98">
        <v>0.16</v>
      </c>
      <c r="E98" t="s">
        <v>47</v>
      </c>
      <c r="F98" t="s">
        <v>48</v>
      </c>
      <c r="H98" t="s">
        <v>49</v>
      </c>
      <c r="I98" t="s">
        <v>50</v>
      </c>
      <c r="J98" s="93" cm="1">
        <f t="array" ref="J98">INDEX(股债表现与四个维度!$A:$T,MATCH($A98,股债表现与四个维度!$A:$A,0),MATCH(J$3&amp;J$4,股债表现与四个维度!$2:$2&amp;股债表现与四个维度!$3:$3,0))</f>
        <v>0</v>
      </c>
      <c r="K98" s="93" cm="1">
        <f t="array" ref="K98">INDEX(股债表现与四个维度!$A:$T,MATCH($A98,股债表现与四个维度!$A:$A,0),MATCH(K$3&amp;K$4,股债表现与四个维度!$2:$2&amp;股债表现与四个维度!$3:$3,0))</f>
        <v>0.125</v>
      </c>
      <c r="L98" s="93" cm="1">
        <f t="array" ref="L98">INDEX(股债表现与四个维度!$A:$T,MATCH($A98,股债表现与四个维度!$A:$A,0),MATCH(L$3&amp;L$4,股债表现与四个维度!$2:$2&amp;股债表现与四个维度!$3:$3,0))</f>
        <v>0.3888888888888889</v>
      </c>
      <c r="M98" s="93" cm="1">
        <f t="array" ref="M98">INDEX(股债表现与四个维度!$A:$T,MATCH($A98,股债表现与四个维度!$A:$A,0),MATCH(M$3&amp;M$4,股债表现与四个维度!$2:$2&amp;股债表现与四个维度!$3:$3,0))</f>
        <v>-0.16666666666666666</v>
      </c>
      <c r="N98" s="93"/>
      <c r="O98" s="93"/>
      <c r="P98" s="93" cm="1">
        <f t="array" ref="P98">INDEX(股债表现与四个维度!$A:$T,MATCH($A98,股债表现与四个维度!$A:$A,0),MATCH(P$3&amp;P$4,股债表现与四个维度!$2:$2&amp;股债表现与四个维度!$3:$3,0))</f>
        <v>0.41666666666666669</v>
      </c>
      <c r="Q98" s="93" cm="1">
        <f t="array" ref="Q98">INDEX(股债表现与四个维度!$A:$T,MATCH($A98,股债表现与四个维度!$A:$A,0),MATCH(Q$3&amp;Q$4,股债表现与四个维度!$2:$2&amp;股债表现与四个维度!$3:$3,0))</f>
        <v>-0.25</v>
      </c>
      <c r="R98" s="93" cm="1">
        <f t="array" ref="R98">INDEX(股债表现与四个维度!$A:$T,MATCH($A98,股债表现与四个维度!$A:$A,0),MATCH(R$3&amp;R$4,股债表现与四个维度!$2:$2&amp;股债表现与四个维度!$3:$3,0))</f>
        <v>0.75</v>
      </c>
      <c r="S98" s="93" cm="1">
        <f t="array" ref="S98">INDEX(股债表现与四个维度!$A:$T,MATCH($A98,股债表现与四个维度!$A:$A,0),MATCH(S$3&amp;S$4,股债表现与四个维度!$2:$2&amp;股债表现与四个维度!$3:$3,0))</f>
        <v>0.25</v>
      </c>
      <c r="T98">
        <f t="shared" si="95"/>
        <v>1.5555555555555556</v>
      </c>
      <c r="U98">
        <f t="shared" si="95"/>
        <v>-4.166666666666663E-2</v>
      </c>
      <c r="V98">
        <f t="shared" si="75"/>
        <v>1.5972222222222223</v>
      </c>
      <c r="W98">
        <f t="shared" si="76"/>
        <v>9.5878396382421904</v>
      </c>
      <c r="X98">
        <f t="shared" si="77"/>
        <v>6.0475221779242201</v>
      </c>
      <c r="Y98" s="92">
        <f t="shared" ref="Y98:Z98" si="110">AVERAGE(V98:V103)</f>
        <v>0.82289456186515009</v>
      </c>
      <c r="Z98" s="92">
        <f t="shared" si="110"/>
        <v>-9.3750019892309098</v>
      </c>
      <c r="AA98">
        <f t="shared" si="97"/>
        <v>-0.83427270866949144</v>
      </c>
      <c r="AB98">
        <v>-0.83427270866949199</v>
      </c>
      <c r="AC98">
        <v>-1.6161383907584588</v>
      </c>
    </row>
    <row r="99" spans="1:29" x14ac:dyDescent="0.35">
      <c r="A99" s="91">
        <f t="shared" si="80"/>
        <v>43159</v>
      </c>
      <c r="B99" s="1">
        <v>17.101640519707001</v>
      </c>
      <c r="C99" s="1">
        <v>-23.252222222221999</v>
      </c>
      <c r="D99">
        <v>1.77</v>
      </c>
      <c r="E99" t="s">
        <v>47</v>
      </c>
      <c r="F99" t="s">
        <v>48</v>
      </c>
      <c r="H99" t="s">
        <v>49</v>
      </c>
      <c r="I99" t="s">
        <v>50</v>
      </c>
      <c r="J99" s="93" cm="1">
        <f t="array" ref="J99">INDEX(股债表现与四个维度!$A:$T,MATCH($A99,股债表现与四个维度!$A:$A,0),MATCH(J$3&amp;J$4,股债表现与四个维度!$2:$2&amp;股债表现与四个维度!$3:$3,0))</f>
        <v>0</v>
      </c>
      <c r="K99" s="93" cm="1">
        <f t="array" ref="K99">INDEX(股债表现与四个维度!$A:$T,MATCH($A99,股债表现与四个维度!$A:$A,0),MATCH(K$3&amp;K$4,股债表现与四个维度!$2:$2&amp;股债表现与四个维度!$3:$3,0))</f>
        <v>0.125</v>
      </c>
      <c r="L99" s="93" cm="1">
        <f t="array" ref="L99">INDEX(股债表现与四个维度!$A:$T,MATCH($A99,股债表现与四个维度!$A:$A,0),MATCH(L$3&amp;L$4,股债表现与四个维度!$2:$2&amp;股债表现与四个维度!$3:$3,0))</f>
        <v>0.21428571428571427</v>
      </c>
      <c r="M99" s="93" cm="1">
        <f t="array" ref="M99">INDEX(股债表现与四个维度!$A:$T,MATCH($A99,股债表现与四个维度!$A:$A,0),MATCH(M$3&amp;M$4,股债表现与四个维度!$2:$2&amp;股债表现与四个维度!$3:$3,0))</f>
        <v>-0.14285714285714285</v>
      </c>
      <c r="N99" s="93"/>
      <c r="O99" s="93"/>
      <c r="P99" s="93" cm="1">
        <f t="array" ref="P99">INDEX(股债表现与四个维度!$A:$T,MATCH($A99,股债表现与四个维度!$A:$A,0),MATCH(P$3&amp;P$4,股债表现与四个维度!$2:$2&amp;股债表现与四个维度!$3:$3,0))</f>
        <v>0.41666666666666669</v>
      </c>
      <c r="Q99" s="93" cm="1">
        <f t="array" ref="Q99">INDEX(股债表现与四个维度!$A:$T,MATCH($A99,股债表现与四个维度!$A:$A,0),MATCH(Q$3&amp;Q$4,股债表现与四个维度!$2:$2&amp;股债表现与四个维度!$3:$3,0))</f>
        <v>-0.25</v>
      </c>
      <c r="R99" s="93" cm="1">
        <f t="array" ref="R99">INDEX(股债表现与四个维度!$A:$T,MATCH($A99,股债表现与四个维度!$A:$A,0),MATCH(R$3&amp;R$4,股债表现与四个维度!$2:$2&amp;股债表现与四个维度!$3:$3,0))</f>
        <v>-0.75</v>
      </c>
      <c r="S99" s="93" cm="1">
        <f t="array" ref="S99">INDEX(股债表现与四个维度!$A:$T,MATCH($A99,股债表现与四个维度!$A:$A,0),MATCH(S$3&amp;S$4,股债表现与四个维度!$2:$2&amp;股债表现与四个维度!$3:$3,0))</f>
        <v>0.5</v>
      </c>
      <c r="T99">
        <f t="shared" si="95"/>
        <v>-0.11904761904761907</v>
      </c>
      <c r="U99">
        <f t="shared" si="95"/>
        <v>0.23214285714285715</v>
      </c>
      <c r="V99">
        <f t="shared" si="75"/>
        <v>-0.35119047619047622</v>
      </c>
      <c r="W99">
        <f t="shared" si="76"/>
        <v>-6.150581702514998</v>
      </c>
      <c r="X99">
        <f t="shared" si="77"/>
        <v>15.331640519707001</v>
      </c>
      <c r="Y99" s="92">
        <f t="shared" ref="Y99:Z99" si="111">AVERAGE(V99:V104)</f>
        <v>0.93391308038366849</v>
      </c>
      <c r="Z99" s="92">
        <f t="shared" si="111"/>
        <v>-9.9784062364503381</v>
      </c>
      <c r="AA99">
        <f t="shared" si="97"/>
        <v>-0.44412477301122305</v>
      </c>
      <c r="AB99">
        <v>-0.444124773011223</v>
      </c>
      <c r="AC99">
        <v>-1.509569799993187</v>
      </c>
    </row>
    <row r="100" spans="1:29" x14ac:dyDescent="0.35">
      <c r="A100" s="91">
        <f t="shared" si="80"/>
        <v>43131</v>
      </c>
      <c r="B100" s="1">
        <v>-5.9193731722912499</v>
      </c>
      <c r="C100" s="1">
        <v>-15.602857142856999</v>
      </c>
      <c r="D100">
        <v>0.44</v>
      </c>
      <c r="E100" t="s">
        <v>47</v>
      </c>
      <c r="F100" t="s">
        <v>48</v>
      </c>
      <c r="H100" t="s">
        <v>49</v>
      </c>
      <c r="I100" t="s">
        <v>50</v>
      </c>
      <c r="J100" s="93" cm="1">
        <f t="array" ref="J100">INDEX(股债表现与四个维度!$A:$T,MATCH($A100,股债表现与四个维度!$A:$A,0),MATCH(J$3&amp;J$4,股债表现与四个维度!$2:$2&amp;股债表现与四个维度!$3:$3,0))</f>
        <v>0.15384615384615385</v>
      </c>
      <c r="K100" s="93" cm="1">
        <f t="array" ref="K100">INDEX(股债表现与四个维度!$A:$T,MATCH($A100,股债表现与四个维度!$A:$A,0),MATCH(K$3&amp;K$4,股债表现与四个维度!$2:$2&amp;股债表现与四个维度!$3:$3,0))</f>
        <v>-7.6923076923076927E-2</v>
      </c>
      <c r="L100" s="93" cm="1">
        <f t="array" ref="L100">INDEX(股债表现与四个维度!$A:$T,MATCH($A100,股债表现与四个维度!$A:$A,0),MATCH(L$3&amp;L$4,股债表现与四个维度!$2:$2&amp;股债表现与四个维度!$3:$3,0))</f>
        <v>0.35294117647058826</v>
      </c>
      <c r="M100" s="93" cm="1">
        <f t="array" ref="M100">INDEX(股债表现与四个维度!$A:$T,MATCH($A100,股债表现与四个维度!$A:$A,0),MATCH(M$3&amp;M$4,股债表现与四个维度!$2:$2&amp;股债表现与四个维度!$3:$3,0))</f>
        <v>-0.11764705882352941</v>
      </c>
      <c r="N100" s="93"/>
      <c r="O100" s="93"/>
      <c r="P100" s="93" cm="1">
        <f t="array" ref="P100">INDEX(股债表现与四个维度!$A:$T,MATCH($A100,股债表现与四个维度!$A:$A,0),MATCH(P$3&amp;P$4,股债表现与四个维度!$2:$2&amp;股债表现与四个维度!$3:$3,0))</f>
        <v>0.25</v>
      </c>
      <c r="Q100" s="93" cm="1">
        <f t="array" ref="Q100">INDEX(股债表现与四个维度!$A:$T,MATCH($A100,股债表现与四个维度!$A:$A,0),MATCH(Q$3&amp;Q$4,股债表现与四个维度!$2:$2&amp;股债表现与四个维度!$3:$3,0))</f>
        <v>0.5</v>
      </c>
      <c r="R100" s="93" cm="1">
        <f t="array" ref="R100">INDEX(股债表现与四个维度!$A:$T,MATCH($A100,股债表现与四个维度!$A:$A,0),MATCH(R$3&amp;R$4,股债表现与四个维度!$2:$2&amp;股债表现与四个维度!$3:$3,0))</f>
        <v>-1</v>
      </c>
      <c r="S100" s="93" cm="1">
        <f t="array" ref="S100">INDEX(股债表现与四个维度!$A:$T,MATCH($A100,股债表现与四个维度!$A:$A,0),MATCH(S$3&amp;S$4,股债表现与四个维度!$2:$2&amp;股债表现与四个维度!$3:$3,0))</f>
        <v>0.33333333333333331</v>
      </c>
      <c r="T100">
        <f t="shared" si="95"/>
        <v>-0.24321266968325794</v>
      </c>
      <c r="U100">
        <f t="shared" si="95"/>
        <v>0.63876319758672695</v>
      </c>
      <c r="V100">
        <f t="shared" si="75"/>
        <v>-0.88197586726998489</v>
      </c>
      <c r="W100">
        <f t="shared" si="76"/>
        <v>-21.522230315148249</v>
      </c>
      <c r="X100">
        <f t="shared" si="77"/>
        <v>-6.3593731722912503</v>
      </c>
      <c r="Y100" s="92">
        <f t="shared" ref="Y100:Z100" si="112">AVERAGE(V100:V105)</f>
        <v>1.2641114930820812</v>
      </c>
      <c r="Z100" s="92">
        <f t="shared" si="112"/>
        <v>-5.313824762916826</v>
      </c>
      <c r="AA100">
        <f t="shared" si="97"/>
        <v>-6.0939296197636272E-2</v>
      </c>
      <c r="AB100">
        <v>-6.0939296197636099E-2</v>
      </c>
      <c r="AC100">
        <v>-1.4016307455855159</v>
      </c>
    </row>
    <row r="101" spans="1:29" x14ac:dyDescent="0.35">
      <c r="A101" s="91">
        <f t="shared" si="80"/>
        <v>43100</v>
      </c>
      <c r="B101" s="1">
        <v>-15.346448553481499</v>
      </c>
      <c r="C101" s="1">
        <v>-2.5812008281579999</v>
      </c>
      <c r="D101">
        <v>-0.25</v>
      </c>
      <c r="E101" t="s">
        <v>51</v>
      </c>
      <c r="F101" t="s">
        <v>48</v>
      </c>
      <c r="H101" t="s">
        <v>49</v>
      </c>
      <c r="I101" t="s">
        <v>50</v>
      </c>
      <c r="J101" s="93" cm="1">
        <f t="array" ref="J101">INDEX(股债表现与四个维度!$A:$T,MATCH($A101,股债表现与四个维度!$A:$A,0),MATCH(J$3&amp;J$4,股债表现与四个维度!$2:$2&amp;股债表现与四个维度!$3:$3,0))</f>
        <v>0.54545454545454541</v>
      </c>
      <c r="K101" s="93" cm="1">
        <f t="array" ref="K101">INDEX(股债表现与四个维度!$A:$T,MATCH($A101,股债表现与四个维度!$A:$A,0),MATCH(K$3&amp;K$4,股债表现与四个维度!$2:$2&amp;股债表现与四个维度!$3:$3,0))</f>
        <v>-0.36363636363636365</v>
      </c>
      <c r="L101" s="93" cm="1">
        <f t="array" ref="L101">INDEX(股债表现与四个维度!$A:$T,MATCH($A101,股债表现与四个维度!$A:$A,0),MATCH(L$3&amp;L$4,股债表现与四个维度!$2:$2&amp;股债表现与四个维度!$3:$3,0))</f>
        <v>0.2857142857142857</v>
      </c>
      <c r="M101" s="93" cm="1">
        <f t="array" ref="M101">INDEX(股债表现与四个维度!$A:$T,MATCH($A101,股债表现与四个维度!$A:$A,0),MATCH(M$3&amp;M$4,股债表现与四个维度!$2:$2&amp;股债表现与四个维度!$3:$3,0))</f>
        <v>-0.2857142857142857</v>
      </c>
      <c r="N101" s="93"/>
      <c r="O101" s="93"/>
      <c r="P101" s="93" cm="1">
        <f t="array" ref="P101">INDEX(股债表现与四个维度!$A:$T,MATCH($A101,股债表现与四个维度!$A:$A,0),MATCH(P$3&amp;P$4,股债表现与四个维度!$2:$2&amp;股债表现与四个维度!$3:$3,0))</f>
        <v>0.45454545454545453</v>
      </c>
      <c r="Q101" s="93" cm="1">
        <f t="array" ref="Q101">INDEX(股债表现与四个维度!$A:$T,MATCH($A101,股债表现与四个维度!$A:$A,0),MATCH(Q$3&amp;Q$4,股债表现与四个维度!$2:$2&amp;股债表现与四个维度!$3:$3,0))</f>
        <v>-0.36363636363636365</v>
      </c>
      <c r="R101" s="93" cm="1">
        <f t="array" ref="R101">INDEX(股债表现与四个维度!$A:$T,MATCH($A101,股债表现与四个维度!$A:$A,0),MATCH(R$3&amp;R$4,股债表现与四个维度!$2:$2&amp;股债表现与四个维度!$3:$3,0))</f>
        <v>-1</v>
      </c>
      <c r="S101" s="93" cm="1">
        <f t="array" ref="S101">INDEX(股债表现与四个维度!$A:$T,MATCH($A101,股债表现与四个维度!$A:$A,0),MATCH(S$3&amp;S$4,股债表现与四个维度!$2:$2&amp;股债表现与四个维度!$3:$3,0))</f>
        <v>0.33333333333333331</v>
      </c>
      <c r="T101">
        <f t="shared" si="95"/>
        <v>0.28571428571428559</v>
      </c>
      <c r="U101">
        <f t="shared" si="95"/>
        <v>-0.67965367965367984</v>
      </c>
      <c r="V101">
        <f t="shared" si="75"/>
        <v>0.96536796536796543</v>
      </c>
      <c r="W101">
        <f t="shared" si="76"/>
        <v>-17.927649381639498</v>
      </c>
      <c r="X101">
        <f t="shared" si="77"/>
        <v>-15.096448553481499</v>
      </c>
      <c r="Y101" s="92">
        <f t="shared" ref="Y101:Z101" si="113">AVERAGE(V101:V106)</f>
        <v>1.487496359849301</v>
      </c>
      <c r="Z101" s="92">
        <f t="shared" si="113"/>
        <v>1.9546366339627983</v>
      </c>
      <c r="AA101">
        <f t="shared" si="97"/>
        <v>0.64190182137303353</v>
      </c>
      <c r="AB101">
        <v>0.64190182137303597</v>
      </c>
      <c r="AC101">
        <v>8.6660484926633918E-2</v>
      </c>
    </row>
    <row r="102" spans="1:29" x14ac:dyDescent="0.35">
      <c r="A102" s="91">
        <f t="shared" si="80"/>
        <v>43069</v>
      </c>
      <c r="B102" s="1">
        <v>-15.771865391784599</v>
      </c>
      <c r="C102" s="1">
        <v>-10.450227743271</v>
      </c>
      <c r="D102">
        <v>-0.73</v>
      </c>
      <c r="E102" t="s">
        <v>51</v>
      </c>
      <c r="F102" t="s">
        <v>48</v>
      </c>
      <c r="H102" t="s">
        <v>49</v>
      </c>
      <c r="I102" t="s">
        <v>50</v>
      </c>
      <c r="J102" s="93" cm="1">
        <f t="array" ref="J102">INDEX(股债表现与四个维度!$A:$T,MATCH($A102,股债表现与四个维度!$A:$A,0),MATCH(J$3&amp;J$4,股债表现与四个维度!$2:$2&amp;股债表现与四个维度!$3:$3,0))</f>
        <v>0.54545454545454541</v>
      </c>
      <c r="K102" s="93" cm="1">
        <f t="array" ref="K102">INDEX(股债表现与四个维度!$A:$T,MATCH($A102,股债表现与四个维度!$A:$A,0),MATCH(K$3&amp;K$4,股债表现与四个维度!$2:$2&amp;股债表现与四个维度!$3:$3,0))</f>
        <v>-0.36363636363636365</v>
      </c>
      <c r="L102" s="93" cm="1">
        <f t="array" ref="L102">INDEX(股债表现与四个维度!$A:$T,MATCH($A102,股债表现与四个维度!$A:$A,0),MATCH(L$3&amp;L$4,股债表现与四个维度!$2:$2&amp;股债表现与四个维度!$3:$3,0))</f>
        <v>0.2857142857142857</v>
      </c>
      <c r="M102" s="93" cm="1">
        <f t="array" ref="M102">INDEX(股债表现与四个维度!$A:$T,MATCH($A102,股债表现与四个维度!$A:$A,0),MATCH(M$3&amp;M$4,股债表现与四个维度!$2:$2&amp;股债表现与四个维度!$3:$3,0))</f>
        <v>-0.2857142857142857</v>
      </c>
      <c r="N102" s="93"/>
      <c r="O102" s="93"/>
      <c r="P102" s="93" cm="1">
        <f t="array" ref="P102">INDEX(股债表现与四个维度!$A:$T,MATCH($A102,股债表现与四个维度!$A:$A,0),MATCH(P$3&amp;P$4,股债表现与四个维度!$2:$2&amp;股债表现与四个维度!$3:$3,0))</f>
        <v>0.42857142857142855</v>
      </c>
      <c r="Q102" s="93" cm="1">
        <f t="array" ref="Q102">INDEX(股债表现与四个维度!$A:$T,MATCH($A102,股债表现与四个维度!$A:$A,0),MATCH(Q$3&amp;Q$4,股债表现与四个维度!$2:$2&amp;股债表现与四个维度!$3:$3,0))</f>
        <v>0.7142857142857143</v>
      </c>
      <c r="R102" s="93" cm="1">
        <f t="array" ref="R102">INDEX(股债表现与四个维度!$A:$T,MATCH($A102,股债表现与四个维度!$A:$A,0),MATCH(R$3&amp;R$4,股债表现与四个维度!$2:$2&amp;股债表现与四个维度!$3:$3,0))</f>
        <v>1</v>
      </c>
      <c r="S102" s="93" cm="1">
        <f t="array" ref="S102">INDEX(股债表现与四个维度!$A:$T,MATCH($A102,股债表现与四个维度!$A:$A,0),MATCH(S$3&amp;S$4,股债表现与四个维度!$2:$2&amp;股债表现与四个维度!$3:$3,0))</f>
        <v>0.125</v>
      </c>
      <c r="T102">
        <f t="shared" si="95"/>
        <v>2.2597402597402594</v>
      </c>
      <c r="U102">
        <f t="shared" si="95"/>
        <v>0.18993506493506496</v>
      </c>
      <c r="V102">
        <f t="shared" si="75"/>
        <v>2.0698051948051943</v>
      </c>
      <c r="W102">
        <f t="shared" si="76"/>
        <v>-26.222093135055601</v>
      </c>
      <c r="X102">
        <f t="shared" si="77"/>
        <v>-15.041865391784599</v>
      </c>
      <c r="Y102" s="92">
        <f t="shared" ref="Y102:Z102" si="114">AVERAGE(V102:V107)</f>
        <v>1.6975283568378197</v>
      </c>
      <c r="Z102" s="92">
        <f t="shared" si="114"/>
        <v>3.8253990098695412</v>
      </c>
      <c r="AA102">
        <f t="shared" si="97"/>
        <v>0.94492748874956289</v>
      </c>
      <c r="AB102">
        <v>0.944927488749565</v>
      </c>
      <c r="AC102">
        <v>-0.32096346493425304</v>
      </c>
    </row>
    <row r="103" spans="1:29" x14ac:dyDescent="0.35">
      <c r="A103" s="91">
        <f t="shared" ref="A103:A134" si="115">EOMONTH(A102,-1)</f>
        <v>43039</v>
      </c>
      <c r="B103" s="1">
        <v>-10.520916086888301</v>
      </c>
      <c r="C103" s="1">
        <v>16.505619047619</v>
      </c>
      <c r="D103">
        <v>-2.31</v>
      </c>
      <c r="E103" t="s">
        <v>52</v>
      </c>
      <c r="F103" t="s">
        <v>48</v>
      </c>
      <c r="H103" t="s">
        <v>53</v>
      </c>
      <c r="I103" t="s">
        <v>50</v>
      </c>
      <c r="J103" s="93" cm="1">
        <f t="array" ref="J103">INDEX(股债表现与四个维度!$A:$T,MATCH($A103,股债表现与四个维度!$A:$A,0),MATCH(J$3&amp;J$4,股债表现与四个维度!$2:$2&amp;股债表现与四个维度!$3:$3,0))</f>
        <v>0.41176470588235292</v>
      </c>
      <c r="K103" s="93" cm="1">
        <f t="array" ref="K103">INDEX(股债表现与四个维度!$A:$T,MATCH($A103,股债表现与四个维度!$A:$A,0),MATCH(K$3&amp;K$4,股债表现与四个维度!$2:$2&amp;股债表现与四个维度!$3:$3,0))</f>
        <v>0</v>
      </c>
      <c r="L103" s="93" cm="1">
        <f t="array" ref="L103">INDEX(股债表现与四个维度!$A:$T,MATCH($A103,股债表现与四个维度!$A:$A,0),MATCH(L$3&amp;L$4,股债表现与四个维度!$2:$2&amp;股债表现与四个维度!$3:$3,0))</f>
        <v>0.23076923076923078</v>
      </c>
      <c r="M103" s="93" cm="1">
        <f t="array" ref="M103">INDEX(股债表现与四个维度!$A:$T,MATCH($A103,股债表现与四个维度!$A:$A,0),MATCH(M$3&amp;M$4,股债表现与四个维度!$2:$2&amp;股债表现与四个维度!$3:$3,0))</f>
        <v>0.30769230769230771</v>
      </c>
      <c r="N103" s="93"/>
      <c r="O103" s="93"/>
      <c r="P103" s="93" cm="1">
        <f t="array" ref="P103">INDEX(股债表现与四个维度!$A:$T,MATCH($A103,股债表现与四个维度!$A:$A,0),MATCH(P$3&amp;P$4,股债表现与四个维度!$2:$2&amp;股债表现与四个维度!$3:$3,0))</f>
        <v>0.15384615384615385</v>
      </c>
      <c r="Q103" s="93" cm="1">
        <f t="array" ref="Q103">INDEX(股债表现与四个维度!$A:$T,MATCH($A103,股债表现与四个维度!$A:$A,0),MATCH(Q$3&amp;Q$4,股债表现与四个维度!$2:$2&amp;股债表现与四个维度!$3:$3,0))</f>
        <v>-0.19230769230769232</v>
      </c>
      <c r="R103" s="93" cm="1">
        <f t="array" ref="R103">INDEX(股债表现与四个维度!$A:$T,MATCH($A103,股债表现与四个维度!$A:$A,0),MATCH(R$3&amp;R$4,股债表现与四个维度!$2:$2&amp;股债表现与四个维度!$3:$3,0))</f>
        <v>1</v>
      </c>
      <c r="S103" s="93" cm="1">
        <f t="array" ref="S103">INDEX(股债表现与四个维度!$A:$T,MATCH($A103,股债表现与四个维度!$A:$A,0),MATCH(S$3&amp;S$4,股债表现与四个维度!$2:$2&amp;股债表现与四个维度!$3:$3,0))</f>
        <v>0.14285714285714285</v>
      </c>
      <c r="T103">
        <f t="shared" si="95"/>
        <v>1.7963800904977374</v>
      </c>
      <c r="U103">
        <f t="shared" si="95"/>
        <v>0.25824175824175821</v>
      </c>
      <c r="V103">
        <f t="shared" si="75"/>
        <v>1.5381383322559792</v>
      </c>
      <c r="W103">
        <f t="shared" si="76"/>
        <v>5.984702960730699</v>
      </c>
      <c r="X103">
        <f t="shared" si="77"/>
        <v>-8.2109160868883002</v>
      </c>
      <c r="Z103" s="92">
        <f t="shared" ref="Z103" si="116">AVERAGE(W103:W108)</f>
        <v>11.694677182963309</v>
      </c>
      <c r="AA103">
        <f t="shared" si="97"/>
        <v>1.1981056794863261</v>
      </c>
      <c r="AB103">
        <v>1.6650880662386001</v>
      </c>
      <c r="AC103">
        <v>-0.24399433567216838</v>
      </c>
    </row>
    <row r="104" spans="1:29" x14ac:dyDescent="0.35">
      <c r="A104" s="91">
        <f t="shared" si="115"/>
        <v>43008</v>
      </c>
      <c r="B104" s="1">
        <v>15.0449379644496</v>
      </c>
      <c r="C104" s="1">
        <v>-9.0775238095239796</v>
      </c>
      <c r="D104">
        <v>3.45</v>
      </c>
      <c r="E104" t="s">
        <v>52</v>
      </c>
      <c r="F104" t="s">
        <v>54</v>
      </c>
      <c r="H104" t="s">
        <v>53</v>
      </c>
      <c r="I104" t="s">
        <v>50</v>
      </c>
      <c r="J104" s="93" cm="1">
        <f t="array" ref="J104">INDEX(股债表现与四个维度!$A:$T,MATCH($A104,股债表现与四个维度!$A:$A,0),MATCH(J$3&amp;J$4,股债表现与四个维度!$2:$2&amp;股债表现与四个维度!$3:$3,0))</f>
        <v>0.5</v>
      </c>
      <c r="K104" s="93" cm="1">
        <f t="array" ref="K104">INDEX(股债表现与四个维度!$A:$T,MATCH($A104,股债表现与四个维度!$A:$A,0),MATCH(K$3&amp;K$4,股债表现与四个维度!$2:$2&amp;股债表现与四个维度!$3:$3,0))</f>
        <v>-0.4</v>
      </c>
      <c r="L104" s="93" cm="1">
        <f t="array" ref="L104">INDEX(股债表现与四个维度!$A:$T,MATCH($A104,股债表现与四个维度!$A:$A,0),MATCH(L$3&amp;L$4,股债表现与四个维度!$2:$2&amp;股债表现与四个维度!$3:$3,0))</f>
        <v>0.16666666666666666</v>
      </c>
      <c r="M104" s="93" cm="1">
        <f t="array" ref="M104">INDEX(股债表现与四个维度!$A:$T,MATCH($A104,股债表现与四个维度!$A:$A,0),MATCH(M$3&amp;M$4,股债表现与四个维度!$2:$2&amp;股债表现与四个维度!$3:$3,0))</f>
        <v>-0.25</v>
      </c>
      <c r="N104" s="93"/>
      <c r="O104" s="93"/>
      <c r="P104" s="93" cm="1">
        <f t="array" ref="P104">INDEX(股债表现与四个维度!$A:$T,MATCH($A104,股债表现与四个维度!$A:$A,0),MATCH(P$3&amp;P$4,股债表现与四个维度!$2:$2&amp;股债表现与四个维度!$3:$3,0))</f>
        <v>0.12</v>
      </c>
      <c r="Q104" s="93" cm="1">
        <f t="array" ref="Q104">INDEX(股债表现与四个维度!$A:$T,MATCH($A104,股债表现与四个维度!$A:$A,0),MATCH(Q$3&amp;Q$4,股债表现与四个维度!$2:$2&amp;股债表现与四个维度!$3:$3,0))</f>
        <v>-0.16</v>
      </c>
      <c r="R104" s="93" cm="1">
        <f t="array" ref="R104">INDEX(股债表现与四个维度!$A:$T,MATCH($A104,股债表现与四个维度!$A:$A,0),MATCH(R$3&amp;R$4,股债表现与四个维度!$2:$2&amp;股债表现与四个维度!$3:$3,0))</f>
        <v>1</v>
      </c>
      <c r="S104" s="93" cm="1">
        <f t="array" ref="S104">INDEX(股债表现与四个维度!$A:$T,MATCH($A104,股债表现与四个维度!$A:$A,0),MATCH(S$3&amp;S$4,股债表现与四个维度!$2:$2&amp;股债表现与四个维度!$3:$3,0))</f>
        <v>0.33333333333333331</v>
      </c>
      <c r="T104">
        <f t="shared" si="95"/>
        <v>1.7866666666666666</v>
      </c>
      <c r="U104">
        <f t="shared" si="95"/>
        <v>-0.47666666666666674</v>
      </c>
      <c r="V104">
        <f t="shared" si="75"/>
        <v>2.2633333333333332</v>
      </c>
      <c r="W104">
        <f t="shared" si="76"/>
        <v>5.9674141549256206</v>
      </c>
      <c r="X104">
        <f t="shared" si="77"/>
        <v>11.594937964449599</v>
      </c>
      <c r="Z104" s="92">
        <f t="shared" ref="Z104" si="117">AVERAGE(W104:W109)</f>
        <v>7.9285121595820582</v>
      </c>
      <c r="AA104">
        <f t="shared" si="97"/>
        <v>1.5586306832759498</v>
      </c>
      <c r="AB104">
        <v>3.0390871221839602</v>
      </c>
      <c r="AC104">
        <v>0.72474922319115231</v>
      </c>
    </row>
    <row r="105" spans="1:29" x14ac:dyDescent="0.35">
      <c r="A105" s="91">
        <f t="shared" si="115"/>
        <v>42978</v>
      </c>
      <c r="B105" s="1">
        <v>18.963746965526099</v>
      </c>
      <c r="C105" s="1">
        <v>2.8731601731599699</v>
      </c>
      <c r="D105">
        <v>3.12</v>
      </c>
      <c r="E105" t="s">
        <v>52</v>
      </c>
      <c r="F105" t="s">
        <v>54</v>
      </c>
      <c r="H105" t="s">
        <v>53</v>
      </c>
      <c r="I105" t="s">
        <v>50</v>
      </c>
      <c r="J105" s="93" cm="1">
        <f t="array" ref="J105">INDEX(股债表现与四个维度!$A:$T,MATCH($A105,股债表现与四个维度!$A:$A,0),MATCH(J$3&amp;J$4,股债表现与四个维度!$2:$2&amp;股债表现与四个维度!$3:$3,0))</f>
        <v>0.33333333333333331</v>
      </c>
      <c r="K105" s="93" cm="1">
        <f t="array" ref="K105">INDEX(股债表现与四个维度!$A:$T,MATCH($A105,股债表现与四个维度!$A:$A,0),MATCH(K$3&amp;K$4,股债表现与四个维度!$2:$2&amp;股债表现与四个维度!$3:$3,0))</f>
        <v>6.6666666666666666E-2</v>
      </c>
      <c r="L105" s="93" cm="1">
        <f t="array" ref="L105">INDEX(股债表现与四个维度!$A:$T,MATCH($A105,股债表现与四个维度!$A:$A,0),MATCH(L$3&amp;L$4,股债表现与四个维度!$2:$2&amp;股债表现与四个维度!$3:$3,0))</f>
        <v>0.16666666666666666</v>
      </c>
      <c r="M105" s="93" cm="1">
        <f t="array" ref="M105">INDEX(股债表现与四个维度!$A:$T,MATCH($A105,股债表现与四个维度!$A:$A,0),MATCH(M$3&amp;M$4,股债表现与四个维度!$2:$2&amp;股债表现与四个维度!$3:$3,0))</f>
        <v>-0.25</v>
      </c>
      <c r="N105" s="93"/>
      <c r="O105" s="93"/>
      <c r="P105" s="93" cm="1">
        <f t="array" ref="P105">INDEX(股债表现与四个维度!$A:$T,MATCH($A105,股债表现与四个维度!$A:$A,0),MATCH(P$3&amp;P$4,股债表现与四个维度!$2:$2&amp;股债表现与四个维度!$3:$3,0))</f>
        <v>0.12</v>
      </c>
      <c r="Q105" s="93" cm="1">
        <f t="array" ref="Q105">INDEX(股债表现与四个维度!$A:$T,MATCH($A105,股债表现与四个维度!$A:$A,0),MATCH(Q$3&amp;Q$4,股债表现与四个维度!$2:$2&amp;股债表现与四个维度!$3:$3,0))</f>
        <v>-0.16</v>
      </c>
      <c r="R105" s="93" cm="1">
        <f t="array" ref="R105">INDEX(股债表现与四个维度!$A:$T,MATCH($A105,股债表现与四个维度!$A:$A,0),MATCH(R$3&amp;R$4,股债表现与四个维度!$2:$2&amp;股债表现与四个维度!$3:$3,0))</f>
        <v>1</v>
      </c>
      <c r="S105" s="93" cm="1">
        <f t="array" ref="S105">INDEX(股债表现与四个维度!$A:$T,MATCH($A105,股债表现与四个维度!$A:$A,0),MATCH(S$3&amp;S$4,股债表现与四个维度!$2:$2&amp;股债表现与四个维度!$3:$3,0))</f>
        <v>0.33333333333333331</v>
      </c>
      <c r="T105">
        <f t="shared" si="95"/>
        <v>1.62</v>
      </c>
      <c r="U105">
        <f t="shared" si="95"/>
        <v>-1.0000000000000064E-2</v>
      </c>
      <c r="V105">
        <f t="shared" si="75"/>
        <v>1.6300000000000001</v>
      </c>
      <c r="W105">
        <f t="shared" si="76"/>
        <v>21.836907138686069</v>
      </c>
      <c r="X105">
        <f t="shared" si="77"/>
        <v>15.843746965526098</v>
      </c>
      <c r="Z105" s="92">
        <f t="shared" ref="Z105" si="118">AVERAGE(W105:W110)</f>
        <v>2.0351384695385479</v>
      </c>
      <c r="AA105">
        <f t="shared" si="97"/>
        <v>1.8365911699708821</v>
      </c>
      <c r="AB105">
        <f t="shared" ref="AB105:AB107" si="119">AVERAGE(AA105:AA110)</f>
        <v>2.033840294556283</v>
      </c>
      <c r="AC105">
        <v>0.78954306088833337</v>
      </c>
    </row>
    <row r="106" spans="1:29" x14ac:dyDescent="0.35">
      <c r="A106" s="91">
        <f t="shared" si="115"/>
        <v>42947</v>
      </c>
      <c r="B106" s="1">
        <v>18.781488155255499</v>
      </c>
      <c r="C106" s="1">
        <v>3.3070499108739999</v>
      </c>
      <c r="D106">
        <v>1.2</v>
      </c>
      <c r="E106" t="s">
        <v>51</v>
      </c>
      <c r="F106" t="s">
        <v>54</v>
      </c>
      <c r="H106" t="s">
        <v>53</v>
      </c>
      <c r="I106" t="s">
        <v>50</v>
      </c>
      <c r="J106" s="93" cm="1">
        <f t="array" ref="J106">INDEX(股债表现与四个维度!$A:$T,MATCH($A106,股债表现与四个维度!$A:$A,0),MATCH(J$3&amp;J$4,股债表现与四个维度!$2:$2&amp;股债表现与四个维度!$3:$3,0))</f>
        <v>0.33333333333333331</v>
      </c>
      <c r="K106" s="93" cm="1">
        <f t="array" ref="K106">INDEX(股债表现与四个维度!$A:$T,MATCH($A106,股债表现与四个维度!$A:$A,0),MATCH(K$3&amp;K$4,股债表现与四个维度!$2:$2&amp;股债表现与四个维度!$3:$3,0))</f>
        <v>6.6666666666666666E-2</v>
      </c>
      <c r="L106" s="93" cm="1">
        <f t="array" ref="L106">INDEX(股债表现与四个维度!$A:$T,MATCH($A106,股债表现与四个维度!$A:$A,0),MATCH(L$3&amp;L$4,股债表现与四个维度!$2:$2&amp;股债表现与四个维度!$3:$3,0))</f>
        <v>-6.6666666666666666E-2</v>
      </c>
      <c r="M106" s="93" cm="1">
        <f t="array" ref="M106">INDEX(股债表现与四个维度!$A:$T,MATCH($A106,股债表现与四个维度!$A:$A,0),MATCH(M$3&amp;M$4,股债表现与四个维度!$2:$2&amp;股债表现与四个维度!$3:$3,0))</f>
        <v>0.33333333333333331</v>
      </c>
      <c r="N106" s="93"/>
      <c r="O106" s="93"/>
      <c r="P106" s="93" cm="1">
        <f t="array" ref="P106">INDEX(股债表现与四个维度!$A:$T,MATCH($A106,股债表现与四个维度!$A:$A,0),MATCH(P$3&amp;P$4,股债表现与四个维度!$2:$2&amp;股债表现与四个维度!$3:$3,0))</f>
        <v>0</v>
      </c>
      <c r="Q106" s="93" cm="1">
        <f t="array" ref="Q106">INDEX(股债表现与四个维度!$A:$T,MATCH($A106,股债表现与四个维度!$A:$A,0),MATCH(Q$3&amp;Q$4,股债表现与四个维度!$2:$2&amp;股债表现与四个维度!$3:$3,0))</f>
        <v>-0.125</v>
      </c>
      <c r="R106" s="93" cm="1">
        <f t="array" ref="R106">INDEX(股债表现与四个维度!$A:$T,MATCH($A106,股债表现与四个维度!$A:$A,0),MATCH(R$3&amp;R$4,股债表现与四个维度!$2:$2&amp;股债表现与四个维度!$3:$3,0))</f>
        <v>0.13333333333333333</v>
      </c>
      <c r="S106" s="93" cm="1">
        <f t="array" ref="S106">INDEX(股债表现与四个维度!$A:$T,MATCH($A106,股债表现与四个维度!$A:$A,0),MATCH(S$3&amp;S$4,股债表现与四个维度!$2:$2&amp;股债表现与四个维度!$3:$3,0))</f>
        <v>-0.33333333333333331</v>
      </c>
      <c r="T106">
        <f t="shared" si="95"/>
        <v>0.4</v>
      </c>
      <c r="U106">
        <f t="shared" si="95"/>
        <v>-5.8333333333333348E-2</v>
      </c>
      <c r="V106">
        <f t="shared" si="75"/>
        <v>0.45833333333333337</v>
      </c>
      <c r="W106">
        <f t="shared" si="76"/>
        <v>22.088538066129498</v>
      </c>
      <c r="X106">
        <f t="shared" si="77"/>
        <v>17.581488155255499</v>
      </c>
      <c r="Z106" s="92">
        <f t="shared" ref="Z106" si="120">AVERAGE(W106:W111)</f>
        <v>-1.4993378074378294</v>
      </c>
      <c r="AA106">
        <f t="shared" si="97"/>
        <v>2.3601152245121568</v>
      </c>
      <c r="AB106">
        <f t="shared" si="119"/>
        <v>2.1324648568489835</v>
      </c>
      <c r="AC106">
        <v>2.8154159598385031</v>
      </c>
    </row>
    <row r="107" spans="1:29" x14ac:dyDescent="0.35">
      <c r="A107" s="91">
        <f t="shared" si="115"/>
        <v>42916</v>
      </c>
      <c r="B107" s="1">
        <v>4.1711810545339603</v>
      </c>
      <c r="C107" s="1">
        <v>-10.874256180732999</v>
      </c>
      <c r="D107">
        <v>0.97</v>
      </c>
      <c r="E107" t="s">
        <v>51</v>
      </c>
      <c r="F107" t="s">
        <v>54</v>
      </c>
      <c r="H107" t="s">
        <v>53</v>
      </c>
      <c r="I107" t="s">
        <v>50</v>
      </c>
      <c r="J107" s="93" cm="1">
        <f t="array" ref="J107">INDEX(股债表现与四个维度!$A:$T,MATCH($A107,股债表现与四个维度!$A:$A,0),MATCH(J$3&amp;J$4,股债表现与四个维度!$2:$2&amp;股债表现与四个维度!$3:$3,0))</f>
        <v>0.44444444444444442</v>
      </c>
      <c r="K107" s="93" cm="1">
        <f t="array" ref="K107">INDEX(股债表现与四个维度!$A:$T,MATCH($A107,股债表现与四个维度!$A:$A,0),MATCH(K$3&amp;K$4,股债表现与四个维度!$2:$2&amp;股债表现与四个维度!$3:$3,0))</f>
        <v>-0.55555555555555558</v>
      </c>
      <c r="L107" s="93" cm="1">
        <f t="array" ref="L107">INDEX(股债表现与四个维度!$A:$T,MATCH($A107,股债表现与四个维度!$A:$A,0),MATCH(L$3&amp;L$4,股债表现与四个维度!$2:$2&amp;股债表现与四个维度!$3:$3,0))</f>
        <v>9.0909090909090912E-2</v>
      </c>
      <c r="M107" s="93" cm="1">
        <f t="array" ref="M107">INDEX(股债表现与四个维度!$A:$T,MATCH($A107,股债表现与四个维度!$A:$A,0),MATCH(M$3&amp;M$4,股债表现与四个维度!$2:$2&amp;股债表现与四个维度!$3:$3,0))</f>
        <v>-0.36363636363636365</v>
      </c>
      <c r="N107" s="93"/>
      <c r="O107" s="93"/>
      <c r="P107" s="93" cm="1">
        <f t="array" ref="P107">INDEX(股债表现与四个维度!$A:$T,MATCH($A107,股债表现与四个维度!$A:$A,0),MATCH(P$3&amp;P$4,股债表现与四个维度!$2:$2&amp;股债表现与四个维度!$3:$3,0))</f>
        <v>0.13043478260869565</v>
      </c>
      <c r="Q107" s="93" cm="1">
        <f t="array" ref="Q107">INDEX(股债表现与四个维度!$A:$T,MATCH($A107,股债表现与四个维度!$A:$A,0),MATCH(Q$3&amp;Q$4,股债表现与四个维度!$2:$2&amp;股债表现与四个维度!$3:$3,0))</f>
        <v>-0.17391304347826086</v>
      </c>
      <c r="R107" s="93" cm="1">
        <f t="array" ref="R107">INDEX(股债表现与四个维度!$A:$T,MATCH($A107,股债表现与四个维度!$A:$A,0),MATCH(R$3&amp;R$4,股债表现与四个维度!$2:$2&amp;股债表现与四个维度!$3:$3,0))</f>
        <v>0.13333333333333333</v>
      </c>
      <c r="S107" s="93" cm="1">
        <f t="array" ref="S107">INDEX(股债表现与四个维度!$A:$T,MATCH($A107,股债表现与四个维度!$A:$A,0),MATCH(S$3&amp;S$4,股债表现与四个维度!$2:$2&amp;股债表现与四个维度!$3:$3,0))</f>
        <v>-0.33333333333333331</v>
      </c>
      <c r="T107">
        <f t="shared" si="95"/>
        <v>0.79912165129556434</v>
      </c>
      <c r="U107">
        <f t="shared" si="95"/>
        <v>-1.4264382960035134</v>
      </c>
      <c r="V107">
        <f t="shared" si="75"/>
        <v>2.2255599472990779</v>
      </c>
      <c r="W107">
        <f t="shared" si="76"/>
        <v>-6.7030751261990389</v>
      </c>
      <c r="X107">
        <f t="shared" si="77"/>
        <v>3.2011810545339605</v>
      </c>
      <c r="Z107" s="92">
        <f t="shared" ref="Z107" si="121">AVERAGE(W107:W112)</f>
        <v>-4.0495486015225346</v>
      </c>
      <c r="AA107">
        <f t="shared" si="97"/>
        <v>1.9048144891858101</v>
      </c>
      <c r="AB107">
        <f t="shared" si="119"/>
        <v>1.9048144891858101</v>
      </c>
      <c r="AC107">
        <v>1.9048144891858101</v>
      </c>
    </row>
    <row r="108" spans="1:29" x14ac:dyDescent="0.35">
      <c r="A108" s="91">
        <f t="shared" si="115"/>
        <v>42886</v>
      </c>
      <c r="B108" s="1">
        <v>11.237749816551</v>
      </c>
      <c r="C108" s="1">
        <v>9.7558260869560005</v>
      </c>
      <c r="D108">
        <v>3</v>
      </c>
      <c r="E108" t="s">
        <v>51</v>
      </c>
      <c r="F108" t="s">
        <v>54</v>
      </c>
      <c r="H108" t="s">
        <v>53</v>
      </c>
      <c r="I108" t="s">
        <v>50</v>
      </c>
      <c r="J108" s="93"/>
      <c r="K108" s="93"/>
      <c r="L108" s="93"/>
      <c r="M108" s="93"/>
      <c r="N108" s="93"/>
      <c r="O108" s="93"/>
      <c r="P108" s="93"/>
      <c r="Q108" s="93"/>
      <c r="R108" s="93"/>
      <c r="S108" s="93"/>
      <c r="W108">
        <f t="shared" si="76"/>
        <v>20.993575903507001</v>
      </c>
      <c r="X108">
        <f t="shared" si="77"/>
        <v>8.2377498165510001</v>
      </c>
      <c r="Z108" s="92">
        <f t="shared" ref="Z108" si="122">AVERAGE(W108:W113)</f>
        <v>1.0728442978515769</v>
      </c>
    </row>
    <row r="109" spans="1:29" x14ac:dyDescent="0.35">
      <c r="A109" s="91">
        <f t="shared" si="115"/>
        <v>42855</v>
      </c>
      <c r="B109" s="1">
        <v>9.0157128204432002</v>
      </c>
      <c r="C109" s="1">
        <v>-25.628</v>
      </c>
      <c r="D109">
        <v>2.86</v>
      </c>
      <c r="E109" t="s">
        <v>51</v>
      </c>
      <c r="F109" t="s">
        <v>54</v>
      </c>
      <c r="H109" t="s">
        <v>53</v>
      </c>
      <c r="I109" t="s">
        <v>50</v>
      </c>
      <c r="J109" s="93"/>
      <c r="K109" s="93"/>
      <c r="L109" s="93"/>
      <c r="M109" s="93"/>
      <c r="N109" s="93"/>
      <c r="O109" s="93"/>
      <c r="P109" s="93"/>
      <c r="Q109" s="93"/>
      <c r="R109" s="93"/>
      <c r="S109" s="93"/>
      <c r="W109">
        <f t="shared" si="76"/>
        <v>-16.612287179556802</v>
      </c>
      <c r="X109">
        <f t="shared" si="77"/>
        <v>6.1557128204432008</v>
      </c>
      <c r="Z109" s="92">
        <f t="shared" ref="Z109" si="123">AVERAGE(W109:W114)</f>
        <v>-4.0901924457977543</v>
      </c>
    </row>
    <row r="110" spans="1:29" x14ac:dyDescent="0.35">
      <c r="A110" s="91">
        <f t="shared" si="115"/>
        <v>42825</v>
      </c>
      <c r="B110" s="1">
        <v>2.0739901964825598</v>
      </c>
      <c r="C110" s="1">
        <v>-31.466818181817999</v>
      </c>
      <c r="D110">
        <v>2.59</v>
      </c>
      <c r="E110" t="s">
        <v>51</v>
      </c>
      <c r="F110" t="s">
        <v>54</v>
      </c>
      <c r="H110" t="s">
        <v>55</v>
      </c>
      <c r="I110" t="s">
        <v>50</v>
      </c>
      <c r="J110" s="93"/>
      <c r="K110" s="93"/>
      <c r="L110" s="93"/>
      <c r="M110" s="93"/>
      <c r="N110" s="93"/>
      <c r="O110" s="93"/>
      <c r="P110" s="93"/>
      <c r="Q110" s="93"/>
      <c r="R110" s="93"/>
      <c r="S110" s="93"/>
      <c r="W110">
        <f t="shared" si="76"/>
        <v>-29.39282798533544</v>
      </c>
      <c r="X110">
        <f t="shared" si="77"/>
        <v>-0.51600980351744008</v>
      </c>
      <c r="Z110" s="92">
        <f t="shared" ref="Z110" si="124">AVERAGE(W110:W115)</f>
        <v>-4.4593624896838087</v>
      </c>
    </row>
    <row r="111" spans="1:29" x14ac:dyDescent="0.35">
      <c r="A111" s="91">
        <f t="shared" si="115"/>
        <v>42794</v>
      </c>
      <c r="B111" s="1">
        <v>9.6784693902477894</v>
      </c>
      <c r="C111" s="1">
        <v>-9.0484199134199805</v>
      </c>
      <c r="D111">
        <v>1.79</v>
      </c>
      <c r="E111" t="s">
        <v>51</v>
      </c>
      <c r="F111" t="s">
        <v>54</v>
      </c>
      <c r="H111" t="s">
        <v>55</v>
      </c>
      <c r="I111" t="s">
        <v>50</v>
      </c>
      <c r="J111" s="93"/>
      <c r="K111" s="93"/>
      <c r="L111" s="93"/>
      <c r="M111" s="93"/>
      <c r="N111" s="93"/>
      <c r="O111" s="93"/>
      <c r="P111" s="93"/>
      <c r="Q111" s="93"/>
      <c r="R111" s="93"/>
      <c r="S111" s="93"/>
      <c r="W111">
        <f t="shared" si="76"/>
        <v>0.63004947682780887</v>
      </c>
      <c r="X111">
        <f t="shared" si="77"/>
        <v>7.8884693902477894</v>
      </c>
      <c r="Z111" s="92">
        <f t="shared" ref="Z111" si="125">AVERAGE(W111:W116)</f>
        <v>-1.664292645451307</v>
      </c>
    </row>
    <row r="112" spans="1:29" x14ac:dyDescent="0.35">
      <c r="A112" s="91">
        <f t="shared" si="115"/>
        <v>42766</v>
      </c>
      <c r="B112" s="1">
        <v>2.83029607594827</v>
      </c>
      <c r="C112" s="1">
        <v>3.9569772256729898</v>
      </c>
      <c r="D112">
        <v>1.2</v>
      </c>
      <c r="E112" t="s">
        <v>51</v>
      </c>
      <c r="F112" t="s">
        <v>54</v>
      </c>
      <c r="H112" t="s">
        <v>55</v>
      </c>
      <c r="I112" t="s">
        <v>50</v>
      </c>
      <c r="J112" s="93"/>
      <c r="K112" s="93"/>
      <c r="L112" s="93"/>
      <c r="M112" s="93"/>
      <c r="N112" s="93"/>
      <c r="O112" s="93"/>
      <c r="P112" s="93"/>
      <c r="Q112" s="93"/>
      <c r="R112" s="93"/>
      <c r="S112" s="93"/>
      <c r="W112">
        <f t="shared" si="76"/>
        <v>6.7872733016212603</v>
      </c>
      <c r="X112">
        <f t="shared" si="77"/>
        <v>1.6302960759482701</v>
      </c>
      <c r="Z112" s="92">
        <f t="shared" ref="Z112" si="126">AVERAGE(W112:W117)</f>
        <v>-2.5270043164698195</v>
      </c>
    </row>
    <row r="113" spans="1:26" x14ac:dyDescent="0.35">
      <c r="A113" s="91">
        <f t="shared" si="115"/>
        <v>42735</v>
      </c>
      <c r="B113" s="1">
        <v>8.5715214004806306</v>
      </c>
      <c r="C113" s="1">
        <v>15.459760869565001</v>
      </c>
      <c r="D113">
        <v>0.83</v>
      </c>
      <c r="E113" t="s">
        <v>47</v>
      </c>
      <c r="F113" t="s">
        <v>54</v>
      </c>
      <c r="H113" t="s">
        <v>55</v>
      </c>
      <c r="I113" t="s">
        <v>56</v>
      </c>
      <c r="J113" s="93"/>
      <c r="K113" s="93"/>
      <c r="L113" s="93"/>
      <c r="M113" s="93"/>
      <c r="N113" s="93"/>
      <c r="O113" s="93"/>
      <c r="P113" s="93"/>
      <c r="Q113" s="93"/>
      <c r="R113" s="93"/>
      <c r="S113" s="93"/>
      <c r="W113">
        <f t="shared" si="76"/>
        <v>24.031282270045629</v>
      </c>
      <c r="X113">
        <f t="shared" si="77"/>
        <v>7.7415214004806305</v>
      </c>
      <c r="Z113" s="92">
        <f t="shared" ref="Z113" si="127">AVERAGE(W113:W118)</f>
        <v>-3.9102884678735599</v>
      </c>
    </row>
    <row r="114" spans="1:26" x14ac:dyDescent="0.35">
      <c r="A114" s="91">
        <f t="shared" si="115"/>
        <v>42704</v>
      </c>
      <c r="B114" s="1">
        <v>3.07971258446802</v>
      </c>
      <c r="C114" s="1">
        <v>-13.064357142857</v>
      </c>
      <c r="D114">
        <v>1.36</v>
      </c>
      <c r="E114" t="s">
        <v>57</v>
      </c>
      <c r="F114" t="s">
        <v>54</v>
      </c>
      <c r="H114" t="s">
        <v>55</v>
      </c>
      <c r="I114" t="s">
        <v>58</v>
      </c>
      <c r="J114" s="93"/>
      <c r="K114" s="93"/>
      <c r="L114" s="93"/>
      <c r="M114" s="93"/>
      <c r="N114" s="93"/>
      <c r="O114" s="93"/>
      <c r="P114" s="93"/>
      <c r="Q114" s="93"/>
      <c r="R114" s="93"/>
      <c r="S114" s="93"/>
      <c r="W114">
        <f t="shared" si="76"/>
        <v>-9.9846445583889807</v>
      </c>
      <c r="X114">
        <f t="shared" si="77"/>
        <v>1.7197125844680199</v>
      </c>
      <c r="Z114" s="92">
        <f t="shared" ref="Z114" si="128">AVERAGE(W114:W119)</f>
        <v>-7.1414753250919558</v>
      </c>
    </row>
    <row r="115" spans="1:26" x14ac:dyDescent="0.35">
      <c r="A115" s="91">
        <f t="shared" si="115"/>
        <v>42674</v>
      </c>
      <c r="B115" s="1">
        <v>1.4926925571268701</v>
      </c>
      <c r="C115" s="1">
        <v>-20.32</v>
      </c>
      <c r="D115">
        <v>1.36</v>
      </c>
      <c r="E115" t="s">
        <v>57</v>
      </c>
      <c r="F115" t="s">
        <v>54</v>
      </c>
      <c r="H115" t="s">
        <v>55</v>
      </c>
      <c r="I115" t="s">
        <v>58</v>
      </c>
      <c r="J115" s="93"/>
      <c r="K115" s="93"/>
      <c r="L115" s="93"/>
      <c r="M115" s="93"/>
      <c r="N115" s="93"/>
      <c r="O115" s="93"/>
      <c r="P115" s="93"/>
      <c r="Q115" s="93"/>
      <c r="R115" s="93"/>
      <c r="S115" s="93"/>
      <c r="W115">
        <f t="shared" si="76"/>
        <v>-18.827307442873131</v>
      </c>
      <c r="X115">
        <f t="shared" si="77"/>
        <v>0.13269255712687</v>
      </c>
      <c r="Z115" s="92">
        <f t="shared" ref="Z115" si="129">AVERAGE(W115:W120)</f>
        <v>1.2295027468432866</v>
      </c>
    </row>
    <row r="116" spans="1:26" x14ac:dyDescent="0.35">
      <c r="A116" s="91">
        <f t="shared" si="115"/>
        <v>42643</v>
      </c>
      <c r="B116" s="1">
        <v>-0.76764701517843004</v>
      </c>
      <c r="C116" s="1">
        <v>-11.854761904762</v>
      </c>
      <c r="D116">
        <v>1.02</v>
      </c>
      <c r="E116" t="s">
        <v>57</v>
      </c>
      <c r="F116" t="s">
        <v>54</v>
      </c>
      <c r="H116" t="s">
        <v>55</v>
      </c>
      <c r="I116" t="s">
        <v>58</v>
      </c>
      <c r="J116" s="93"/>
      <c r="K116" s="93"/>
      <c r="L116" s="93"/>
      <c r="M116" s="93"/>
      <c r="N116" s="93"/>
      <c r="O116" s="93"/>
      <c r="P116" s="93"/>
      <c r="Q116" s="93"/>
      <c r="R116" s="93"/>
      <c r="S116" s="93"/>
      <c r="W116">
        <f t="shared" si="76"/>
        <v>-12.62240891994043</v>
      </c>
      <c r="X116">
        <f t="shared" si="77"/>
        <v>-1.7876470151784301</v>
      </c>
      <c r="Z116" s="92">
        <f t="shared" ref="Z116" si="130">AVERAGE(W116:W121)</f>
        <v>4.9800153573818013</v>
      </c>
    </row>
    <row r="117" spans="1:26" x14ac:dyDescent="0.35">
      <c r="A117" s="91">
        <f t="shared" si="115"/>
        <v>42613</v>
      </c>
      <c r="B117" s="1">
        <v>-2.7917406664213398</v>
      </c>
      <c r="C117" s="1">
        <v>-1.7544798828619299</v>
      </c>
      <c r="D117">
        <v>-0.35</v>
      </c>
      <c r="E117" t="s">
        <v>52</v>
      </c>
      <c r="F117" t="s">
        <v>59</v>
      </c>
      <c r="H117" t="s">
        <v>49</v>
      </c>
      <c r="I117" t="s">
        <v>58</v>
      </c>
      <c r="J117" s="93"/>
      <c r="K117" s="93"/>
      <c r="L117" s="93"/>
      <c r="M117" s="93"/>
      <c r="N117" s="93"/>
      <c r="O117" s="93"/>
      <c r="P117" s="93"/>
      <c r="Q117" s="93"/>
      <c r="R117" s="93"/>
      <c r="S117" s="93"/>
      <c r="W117">
        <f t="shared" si="76"/>
        <v>-4.5462205492832695</v>
      </c>
      <c r="X117">
        <f t="shared" si="77"/>
        <v>-2.4417406664213397</v>
      </c>
      <c r="Z117" s="92">
        <f t="shared" ref="Z117" si="131">AVERAGE(W117:W122)</f>
        <v>10.242738147154766</v>
      </c>
    </row>
    <row r="118" spans="1:26" x14ac:dyDescent="0.35">
      <c r="A118" s="91">
        <f t="shared" si="115"/>
        <v>42582</v>
      </c>
      <c r="B118" s="1">
        <v>-0.17029925385964001</v>
      </c>
      <c r="C118" s="1">
        <v>-1.3421323529415401</v>
      </c>
      <c r="D118">
        <v>1.54</v>
      </c>
      <c r="E118" t="s">
        <v>51</v>
      </c>
      <c r="F118" t="s">
        <v>59</v>
      </c>
      <c r="H118" t="s">
        <v>49</v>
      </c>
      <c r="I118" t="s">
        <v>58</v>
      </c>
      <c r="J118" s="93"/>
      <c r="K118" s="93"/>
      <c r="L118" s="93"/>
      <c r="M118" s="93"/>
      <c r="N118" s="93"/>
      <c r="O118" s="93"/>
      <c r="P118" s="93"/>
      <c r="Q118" s="93"/>
      <c r="R118" s="93"/>
      <c r="S118" s="93"/>
      <c r="W118">
        <f t="shared" si="76"/>
        <v>-1.5124316068011801</v>
      </c>
      <c r="X118">
        <f t="shared" si="77"/>
        <v>-1.71029925385964</v>
      </c>
      <c r="Z118" s="92">
        <f t="shared" ref="Z118" si="132">AVERAGE(W118:W123)</f>
        <v>16.74391048542185</v>
      </c>
    </row>
    <row r="119" spans="1:26" x14ac:dyDescent="0.35">
      <c r="A119" s="91">
        <f t="shared" si="115"/>
        <v>42551</v>
      </c>
      <c r="B119" s="1">
        <v>-3.9460120334387301</v>
      </c>
      <c r="C119" s="1">
        <v>8.5901731601739897</v>
      </c>
      <c r="D119">
        <v>-1.18</v>
      </c>
      <c r="E119" t="s">
        <v>51</v>
      </c>
      <c r="F119" t="s">
        <v>59</v>
      </c>
      <c r="H119" t="s">
        <v>49</v>
      </c>
      <c r="I119" t="s">
        <v>58</v>
      </c>
      <c r="J119" s="93"/>
      <c r="K119" s="93"/>
      <c r="L119" s="93"/>
      <c r="M119" s="93"/>
      <c r="N119" s="93"/>
      <c r="O119" s="93"/>
      <c r="P119" s="93"/>
      <c r="Q119" s="93"/>
      <c r="R119" s="93"/>
      <c r="S119" s="93"/>
      <c r="W119">
        <f t="shared" si="76"/>
        <v>4.6441611267352592</v>
      </c>
      <c r="X119">
        <f t="shared" si="77"/>
        <v>-2.7660120334387299</v>
      </c>
      <c r="Z119" s="92">
        <f t="shared" ref="Z119" si="133">AVERAGE(W119:W124)</f>
        <v>19.620929533391784</v>
      </c>
    </row>
    <row r="120" spans="1:26" x14ac:dyDescent="0.35">
      <c r="A120" s="91">
        <f t="shared" si="115"/>
        <v>42521</v>
      </c>
      <c r="B120" s="1">
        <v>5.2450333970323699</v>
      </c>
      <c r="C120" s="1">
        <v>34.996190476190101</v>
      </c>
      <c r="D120">
        <v>-1.06</v>
      </c>
      <c r="E120" t="s">
        <v>51</v>
      </c>
      <c r="F120" t="s">
        <v>59</v>
      </c>
      <c r="H120" t="s">
        <v>49</v>
      </c>
      <c r="I120" t="s">
        <v>58</v>
      </c>
      <c r="J120" s="93"/>
      <c r="K120" s="93"/>
      <c r="L120" s="93"/>
      <c r="M120" s="93"/>
      <c r="N120" s="93"/>
      <c r="O120" s="93"/>
      <c r="P120" s="93"/>
      <c r="Q120" s="93"/>
      <c r="R120" s="93"/>
      <c r="S120" s="93"/>
      <c r="W120">
        <f t="shared" si="76"/>
        <v>40.241223873222474</v>
      </c>
      <c r="X120">
        <f t="shared" si="77"/>
        <v>6.3050333970323695</v>
      </c>
      <c r="Z120" s="92">
        <f t="shared" ref="Z120" si="134">AVERAGE(W120:W125)</f>
        <v>17.849141697664564</v>
      </c>
    </row>
    <row r="121" spans="1:26" x14ac:dyDescent="0.35">
      <c r="A121" s="91">
        <f t="shared" si="115"/>
        <v>42490</v>
      </c>
      <c r="B121" s="1">
        <v>-2.8042317796420502</v>
      </c>
      <c r="C121" s="1">
        <v>6.48</v>
      </c>
      <c r="D121">
        <v>-0.63</v>
      </c>
      <c r="E121" t="s">
        <v>51</v>
      </c>
      <c r="F121" t="s">
        <v>59</v>
      </c>
      <c r="H121" t="s">
        <v>49</v>
      </c>
      <c r="I121" t="s">
        <v>58</v>
      </c>
      <c r="J121" s="93"/>
      <c r="K121" s="93"/>
      <c r="L121" s="93"/>
      <c r="M121" s="93"/>
      <c r="N121" s="93"/>
      <c r="O121" s="93"/>
      <c r="P121" s="93"/>
      <c r="Q121" s="93"/>
      <c r="R121" s="93"/>
      <c r="S121" s="93"/>
      <c r="W121">
        <f t="shared" si="76"/>
        <v>3.6757682203579503</v>
      </c>
      <c r="X121">
        <f t="shared" si="77"/>
        <v>-2.1742317796420503</v>
      </c>
      <c r="Z121" s="92">
        <f t="shared" ref="Z121" si="135">AVERAGE(W121:W126)</f>
        <v>12.179760830795432</v>
      </c>
    </row>
    <row r="122" spans="1:26" x14ac:dyDescent="0.35">
      <c r="A122" s="91">
        <f t="shared" si="115"/>
        <v>42460</v>
      </c>
      <c r="B122" s="1">
        <v>5.4048369096063604</v>
      </c>
      <c r="C122" s="1">
        <v>13.549090909090999</v>
      </c>
      <c r="D122">
        <v>0.74</v>
      </c>
      <c r="E122" t="s">
        <v>47</v>
      </c>
      <c r="F122" t="s">
        <v>59</v>
      </c>
      <c r="H122" t="s">
        <v>49</v>
      </c>
      <c r="I122" t="s">
        <v>58</v>
      </c>
      <c r="J122" s="93"/>
      <c r="K122" s="93"/>
      <c r="L122" s="93"/>
      <c r="M122" s="93"/>
      <c r="N122" s="93"/>
      <c r="O122" s="93"/>
      <c r="P122" s="93"/>
      <c r="Q122" s="93"/>
      <c r="R122" s="93"/>
      <c r="S122" s="93"/>
      <c r="W122">
        <f t="shared" si="76"/>
        <v>18.953927818697359</v>
      </c>
      <c r="X122">
        <f t="shared" si="77"/>
        <v>4.6648369096063602</v>
      </c>
      <c r="Z122" s="92">
        <f t="shared" ref="Z122" si="136">AVERAGE(W122:W127)</f>
        <v>9.2407103919174123</v>
      </c>
    </row>
    <row r="123" spans="1:26" x14ac:dyDescent="0.35">
      <c r="A123" s="91">
        <f t="shared" si="115"/>
        <v>42429</v>
      </c>
      <c r="B123" s="1">
        <v>6.6020783024532497</v>
      </c>
      <c r="C123" s="1">
        <v>27.858735177865999</v>
      </c>
      <c r="D123">
        <v>0.12</v>
      </c>
      <c r="E123" t="s">
        <v>57</v>
      </c>
      <c r="F123" t="s">
        <v>59</v>
      </c>
      <c r="H123" t="s">
        <v>49</v>
      </c>
      <c r="I123" t="s">
        <v>58</v>
      </c>
      <c r="J123" s="93"/>
      <c r="K123" s="93"/>
      <c r="L123" s="93"/>
      <c r="M123" s="93"/>
      <c r="N123" s="93"/>
      <c r="O123" s="93"/>
      <c r="P123" s="93"/>
      <c r="Q123" s="93"/>
      <c r="R123" s="93"/>
      <c r="S123" s="93"/>
      <c r="W123">
        <f t="shared" si="76"/>
        <v>34.460813480319246</v>
      </c>
      <c r="X123">
        <f t="shared" si="77"/>
        <v>6.4820783024532496</v>
      </c>
      <c r="Z123" s="92">
        <f t="shared" ref="Z123" si="137">AVERAGE(W123:W128)</f>
        <v>4.9954030507772282</v>
      </c>
    </row>
    <row r="124" spans="1:26" x14ac:dyDescent="0.35">
      <c r="A124" s="91">
        <f t="shared" si="115"/>
        <v>42400</v>
      </c>
      <c r="B124" s="1">
        <v>3.7627719258704202</v>
      </c>
      <c r="C124" s="1">
        <v>11.986910755147999</v>
      </c>
      <c r="D124">
        <v>-0.3</v>
      </c>
      <c r="E124" t="s">
        <v>57</v>
      </c>
      <c r="F124" t="s">
        <v>59</v>
      </c>
      <c r="H124" t="s">
        <v>49</v>
      </c>
      <c r="I124" t="s">
        <v>60</v>
      </c>
      <c r="J124" s="93"/>
      <c r="K124" s="93"/>
      <c r="L124" s="93"/>
      <c r="M124" s="93"/>
      <c r="N124" s="93"/>
      <c r="O124" s="93"/>
      <c r="P124" s="93"/>
      <c r="Q124" s="93"/>
      <c r="R124" s="93"/>
      <c r="S124" s="93"/>
      <c r="W124">
        <f t="shared" si="76"/>
        <v>15.74968268101842</v>
      </c>
      <c r="X124">
        <f t="shared" si="77"/>
        <v>4.06277192587042</v>
      </c>
      <c r="Z124" s="92">
        <f t="shared" ref="Z124" si="138">AVERAGE(W124:W129)</f>
        <v>-0.100749551884925</v>
      </c>
    </row>
    <row r="125" spans="1:26" x14ac:dyDescent="0.35">
      <c r="A125" s="91">
        <f t="shared" si="115"/>
        <v>42369</v>
      </c>
      <c r="B125" s="1">
        <v>-14.997738136432099</v>
      </c>
      <c r="C125" s="1">
        <v>9.01117224880403</v>
      </c>
      <c r="D125">
        <v>-2.06</v>
      </c>
      <c r="E125" t="s">
        <v>57</v>
      </c>
      <c r="F125" t="s">
        <v>59</v>
      </c>
      <c r="H125" t="s">
        <v>49</v>
      </c>
      <c r="I125" t="s">
        <v>60</v>
      </c>
      <c r="J125" s="93"/>
      <c r="K125" s="93"/>
      <c r="L125" s="93"/>
      <c r="M125" s="93"/>
      <c r="N125" s="93"/>
      <c r="O125" s="93"/>
      <c r="P125" s="93"/>
      <c r="Q125" s="93"/>
      <c r="R125" s="93"/>
      <c r="S125" s="93"/>
      <c r="W125">
        <f t="shared" si="76"/>
        <v>-5.9865658876280694</v>
      </c>
      <c r="X125">
        <f t="shared" si="77"/>
        <v>-12.937738136432099</v>
      </c>
      <c r="Z125" s="92">
        <f t="shared" ref="Z125" si="139">AVERAGE(W125:W130)</f>
        <v>0.26812343206173672</v>
      </c>
    </row>
    <row r="126" spans="1:26" x14ac:dyDescent="0.35">
      <c r="A126" s="91">
        <f t="shared" si="115"/>
        <v>42338</v>
      </c>
      <c r="B126" s="1">
        <v>9.7979906200597</v>
      </c>
      <c r="C126" s="1">
        <v>-3.573051948052</v>
      </c>
      <c r="D126">
        <v>1.87</v>
      </c>
      <c r="E126" t="s">
        <v>52</v>
      </c>
      <c r="F126" t="s">
        <v>61</v>
      </c>
      <c r="H126" t="s">
        <v>49</v>
      </c>
      <c r="I126" t="s">
        <v>60</v>
      </c>
      <c r="J126" s="93"/>
      <c r="K126" s="93"/>
      <c r="L126" s="93"/>
      <c r="M126" s="93"/>
      <c r="N126" s="93"/>
      <c r="O126" s="93"/>
      <c r="P126" s="93"/>
      <c r="Q126" s="93"/>
      <c r="R126" s="93"/>
      <c r="S126" s="93"/>
      <c r="W126">
        <f t="shared" si="76"/>
        <v>6.2249386720077</v>
      </c>
      <c r="X126">
        <f t="shared" si="77"/>
        <v>7.9279906200596999</v>
      </c>
      <c r="Z126" s="92">
        <f t="shared" ref="Z126" si="140">AVERAGE(W126:W131)</f>
        <v>0.65684587374239334</v>
      </c>
    </row>
    <row r="127" spans="1:26" x14ac:dyDescent="0.35">
      <c r="A127" s="91">
        <f t="shared" si="115"/>
        <v>42308</v>
      </c>
      <c r="B127" s="1">
        <v>-2.0890106033861802</v>
      </c>
      <c r="C127" s="1">
        <v>-11.869523809524001</v>
      </c>
      <c r="D127">
        <v>-0.11</v>
      </c>
      <c r="E127" t="s">
        <v>52</v>
      </c>
      <c r="F127" t="s">
        <v>61</v>
      </c>
      <c r="H127" t="s">
        <v>49</v>
      </c>
      <c r="I127" t="s">
        <v>60</v>
      </c>
      <c r="J127" s="93"/>
      <c r="K127" s="93"/>
      <c r="L127" s="93"/>
      <c r="M127" s="93"/>
      <c r="N127" s="93"/>
      <c r="O127" s="93"/>
      <c r="P127" s="93"/>
      <c r="Q127" s="93"/>
      <c r="R127" s="93"/>
      <c r="S127" s="93"/>
      <c r="W127">
        <f t="shared" si="76"/>
        <v>-13.958534412910181</v>
      </c>
      <c r="X127">
        <f t="shared" si="77"/>
        <v>-1.9790106033861801</v>
      </c>
      <c r="Z127" s="92">
        <f t="shared" ref="Z127" si="141">AVERAGE(W127:W132)</f>
        <v>0.40180685623398649</v>
      </c>
    </row>
    <row r="128" spans="1:26" x14ac:dyDescent="0.35">
      <c r="A128" s="91">
        <f t="shared" si="115"/>
        <v>42277</v>
      </c>
      <c r="B128" s="1">
        <v>-5.35915508732423</v>
      </c>
      <c r="C128" s="1">
        <v>-1.15876114081952</v>
      </c>
      <c r="D128">
        <v>0.08</v>
      </c>
      <c r="E128" t="s">
        <v>52</v>
      </c>
      <c r="F128" t="s">
        <v>61</v>
      </c>
      <c r="H128" t="s">
        <v>49</v>
      </c>
      <c r="I128" t="s">
        <v>60</v>
      </c>
      <c r="J128" s="93"/>
      <c r="K128" s="93"/>
      <c r="L128" s="93"/>
      <c r="M128" s="93"/>
      <c r="N128" s="93"/>
      <c r="O128" s="93"/>
      <c r="P128" s="93"/>
      <c r="Q128" s="93"/>
      <c r="R128" s="93"/>
      <c r="S128" s="93"/>
      <c r="W128">
        <f t="shared" si="76"/>
        <v>-6.5179162281437497</v>
      </c>
      <c r="X128">
        <f t="shared" si="77"/>
        <v>-5.43915508732423</v>
      </c>
      <c r="Z128" s="92">
        <f t="shared" ref="Z128" si="142">AVERAGE(W128:W133)</f>
        <v>5.2948248856034779</v>
      </c>
    </row>
    <row r="129" spans="1:26" x14ac:dyDescent="0.35">
      <c r="A129" s="91">
        <f t="shared" si="115"/>
        <v>42247</v>
      </c>
      <c r="B129" s="1">
        <v>3.2121363415555702</v>
      </c>
      <c r="C129" s="1">
        <v>0.67176152279075896</v>
      </c>
      <c r="D129">
        <v>0.78</v>
      </c>
      <c r="E129" t="s">
        <v>57</v>
      </c>
      <c r="F129" t="s">
        <v>61</v>
      </c>
      <c r="H129" t="s">
        <v>49</v>
      </c>
      <c r="I129" t="s">
        <v>60</v>
      </c>
      <c r="J129" s="93"/>
      <c r="K129" s="93"/>
      <c r="L129" s="93"/>
      <c r="M129" s="93"/>
      <c r="N129" s="93"/>
      <c r="O129" s="93"/>
      <c r="P129" s="93"/>
      <c r="Q129" s="93"/>
      <c r="R129" s="93"/>
      <c r="S129" s="93"/>
      <c r="W129">
        <f t="shared" si="76"/>
        <v>3.8838978643463289</v>
      </c>
      <c r="X129">
        <f t="shared" si="77"/>
        <v>2.4321363415555703</v>
      </c>
      <c r="Z129" s="92">
        <f t="shared" ref="Z129" si="143">AVERAGE(W129:W134)</f>
        <v>6.9044211915844569</v>
      </c>
    </row>
    <row r="130" spans="1:26" x14ac:dyDescent="0.35">
      <c r="A130" s="91">
        <f t="shared" si="115"/>
        <v>42216</v>
      </c>
      <c r="B130" s="1">
        <v>15.0423794591574</v>
      </c>
      <c r="C130" s="1">
        <v>2.9205411255409901</v>
      </c>
      <c r="D130">
        <v>1.71</v>
      </c>
      <c r="E130" t="s">
        <v>57</v>
      </c>
      <c r="F130" t="s">
        <v>61</v>
      </c>
      <c r="H130" t="s">
        <v>49</v>
      </c>
      <c r="I130" t="s">
        <v>60</v>
      </c>
      <c r="J130" s="93"/>
      <c r="K130" s="93"/>
      <c r="L130" s="93"/>
      <c r="M130" s="93"/>
      <c r="N130" s="93"/>
      <c r="O130" s="93"/>
      <c r="P130" s="93"/>
      <c r="Q130" s="93"/>
      <c r="R130" s="93"/>
      <c r="S130" s="93"/>
      <c r="W130">
        <f t="shared" si="76"/>
        <v>17.962920584698391</v>
      </c>
      <c r="X130">
        <f t="shared" si="77"/>
        <v>13.332379459157401</v>
      </c>
      <c r="Z130" s="92">
        <f t="shared" ref="Z130" si="144">AVERAGE(W130:W135)</f>
        <v>3.9352995674815179</v>
      </c>
    </row>
    <row r="131" spans="1:26" x14ac:dyDescent="0.35">
      <c r="A131" s="91">
        <f t="shared" si="115"/>
        <v>42185</v>
      </c>
      <c r="B131" s="1">
        <v>-5.9600393183521296</v>
      </c>
      <c r="C131" s="1">
        <v>2.3058080808080001</v>
      </c>
      <c r="D131">
        <v>0.11</v>
      </c>
      <c r="E131" t="s">
        <v>57</v>
      </c>
      <c r="F131" t="s">
        <v>61</v>
      </c>
      <c r="H131" t="s">
        <v>49</v>
      </c>
      <c r="I131" t="s">
        <v>60</v>
      </c>
      <c r="J131" s="93"/>
      <c r="K131" s="93"/>
      <c r="L131" s="93"/>
      <c r="M131" s="93"/>
      <c r="N131" s="93"/>
      <c r="O131" s="93"/>
      <c r="P131" s="93"/>
      <c r="Q131" s="93"/>
      <c r="R131" s="93"/>
      <c r="S131" s="93"/>
      <c r="W131">
        <f t="shared" si="76"/>
        <v>-3.6542312375441295</v>
      </c>
      <c r="X131">
        <f t="shared" si="77"/>
        <v>-6.07003931835213</v>
      </c>
      <c r="Z131" s="92">
        <f t="shared" ref="Z131" si="145">AVERAGE(W131:W136)</f>
        <v>-1.0277612029236953</v>
      </c>
    </row>
    <row r="132" spans="1:26" x14ac:dyDescent="0.35">
      <c r="A132" s="91">
        <f t="shared" si="115"/>
        <v>42155</v>
      </c>
      <c r="B132" s="1">
        <v>-0.91418432193174404</v>
      </c>
      <c r="C132" s="1">
        <v>5.6088888888890001</v>
      </c>
      <c r="D132">
        <v>0.41</v>
      </c>
      <c r="E132" t="s">
        <v>57</v>
      </c>
      <c r="F132" t="s">
        <v>61</v>
      </c>
      <c r="H132" t="s">
        <v>49</v>
      </c>
      <c r="I132" t="s">
        <v>60</v>
      </c>
      <c r="J132" s="93"/>
      <c r="K132" s="93"/>
      <c r="L132" s="93"/>
      <c r="M132" s="93"/>
      <c r="N132" s="93"/>
      <c r="O132" s="93"/>
      <c r="P132" s="93"/>
      <c r="Q132" s="93"/>
      <c r="R132" s="93"/>
      <c r="S132" s="93"/>
      <c r="W132">
        <f t="shared" si="76"/>
        <v>4.694704566957256</v>
      </c>
      <c r="X132">
        <f t="shared" si="77"/>
        <v>-1.324184321931744</v>
      </c>
      <c r="Z132" s="92">
        <f t="shared" ref="Z132" si="146">AVERAGE(W132:W137)</f>
        <v>-2.0851181134894956</v>
      </c>
    </row>
    <row r="133" spans="1:26" x14ac:dyDescent="0.35">
      <c r="A133" s="91">
        <f t="shared" si="115"/>
        <v>42124</v>
      </c>
      <c r="B133" s="1">
        <v>2.3902984009877701</v>
      </c>
      <c r="C133" s="1">
        <v>13.009275362319</v>
      </c>
      <c r="D133">
        <v>-0.13</v>
      </c>
      <c r="E133" t="s">
        <v>52</v>
      </c>
      <c r="F133" t="s">
        <v>61</v>
      </c>
      <c r="H133" t="s">
        <v>49</v>
      </c>
      <c r="I133" t="s">
        <v>60</v>
      </c>
      <c r="J133" s="93"/>
      <c r="K133" s="93"/>
      <c r="L133" s="93"/>
      <c r="M133" s="93"/>
      <c r="N133" s="93"/>
      <c r="O133" s="93"/>
      <c r="P133" s="93"/>
      <c r="Q133" s="93"/>
      <c r="R133" s="93"/>
      <c r="S133" s="93"/>
      <c r="W133">
        <f t="shared" ref="W133:W162" si="147">B133+C133</f>
        <v>15.399573763306771</v>
      </c>
      <c r="X133">
        <f t="shared" ref="X133:X162" si="148">B133-D133</f>
        <v>2.52029840098777</v>
      </c>
      <c r="Z133" s="92">
        <f t="shared" ref="Z133" si="149">AVERAGE(W133:W138)</f>
        <v>-1.9709324141292346</v>
      </c>
    </row>
    <row r="134" spans="1:26" x14ac:dyDescent="0.35">
      <c r="A134" s="91">
        <f t="shared" si="115"/>
        <v>42094</v>
      </c>
      <c r="B134" s="1">
        <v>-2.4177296966058899</v>
      </c>
      <c r="C134" s="1">
        <v>5.5573913043480196</v>
      </c>
      <c r="D134">
        <v>-0.65</v>
      </c>
      <c r="E134" t="s">
        <v>51</v>
      </c>
      <c r="F134" t="s">
        <v>61</v>
      </c>
      <c r="H134" t="s">
        <v>53</v>
      </c>
      <c r="I134" t="s">
        <v>50</v>
      </c>
      <c r="J134" s="93"/>
      <c r="K134" s="93"/>
      <c r="L134" s="93"/>
      <c r="M134" s="93"/>
      <c r="N134" s="93"/>
      <c r="O134" s="93"/>
      <c r="P134" s="93"/>
      <c r="Q134" s="93"/>
      <c r="R134" s="93"/>
      <c r="S134" s="93"/>
      <c r="W134">
        <f t="shared" si="147"/>
        <v>3.1396616077421298</v>
      </c>
      <c r="X134">
        <f t="shared" si="148"/>
        <v>-1.76772969660589</v>
      </c>
      <c r="Z134" s="92">
        <f t="shared" ref="Z134" si="150">AVERAGE(W134:W139)</f>
        <v>-4.2973722428035535</v>
      </c>
    </row>
    <row r="135" spans="1:26" x14ac:dyDescent="0.35">
      <c r="A135" s="91">
        <f t="shared" ref="A135:A162" si="151">EOMONTH(A134,-1)</f>
        <v>42063</v>
      </c>
      <c r="B135" s="1">
        <v>-5.5393318802712903</v>
      </c>
      <c r="C135" s="1">
        <v>-8.3915000000000202</v>
      </c>
      <c r="D135">
        <v>-0.17</v>
      </c>
      <c r="E135" t="s">
        <v>51</v>
      </c>
      <c r="F135" t="s">
        <v>61</v>
      </c>
      <c r="H135" t="s">
        <v>53</v>
      </c>
      <c r="I135" t="s">
        <v>50</v>
      </c>
      <c r="J135" s="93"/>
      <c r="K135" s="93"/>
      <c r="L135" s="93"/>
      <c r="M135" s="93"/>
      <c r="N135" s="93"/>
      <c r="O135" s="93"/>
      <c r="P135" s="93"/>
      <c r="Q135" s="93"/>
      <c r="R135" s="93"/>
      <c r="S135" s="93"/>
      <c r="W135">
        <f t="shared" si="147"/>
        <v>-13.93083188027131</v>
      </c>
      <c r="X135">
        <f t="shared" si="148"/>
        <v>-5.3693318802712904</v>
      </c>
      <c r="Z135" s="92">
        <f t="shared" ref="Z135" si="152">AVERAGE(W135:W140)</f>
        <v>-4.063546083436882</v>
      </c>
    </row>
    <row r="136" spans="1:26" x14ac:dyDescent="0.35">
      <c r="A136" s="91">
        <f t="shared" si="151"/>
        <v>42035</v>
      </c>
      <c r="B136" s="1">
        <v>-5.0787622195509003</v>
      </c>
      <c r="C136" s="1">
        <v>-6.7366818181819896</v>
      </c>
      <c r="D136">
        <v>0.18</v>
      </c>
      <c r="E136" t="s">
        <v>51</v>
      </c>
      <c r="F136" t="s">
        <v>48</v>
      </c>
      <c r="H136" t="s">
        <v>53</v>
      </c>
      <c r="I136" t="s">
        <v>50</v>
      </c>
      <c r="J136" s="93"/>
      <c r="K136" s="93"/>
      <c r="L136" s="93"/>
      <c r="M136" s="93"/>
      <c r="N136" s="93"/>
      <c r="O136" s="93"/>
      <c r="P136" s="93"/>
      <c r="Q136" s="93"/>
      <c r="R136" s="93"/>
      <c r="S136" s="93"/>
      <c r="W136">
        <f t="shared" si="147"/>
        <v>-11.81544403773289</v>
      </c>
      <c r="X136">
        <f t="shared" si="148"/>
        <v>-5.2587622195509001</v>
      </c>
      <c r="Z136" s="92">
        <f t="shared" ref="Z136" si="153">AVERAGE(W136:W141)</f>
        <v>-5.9070659894126507</v>
      </c>
    </row>
    <row r="137" spans="1:26" x14ac:dyDescent="0.35">
      <c r="A137" s="91">
        <f t="shared" si="151"/>
        <v>42004</v>
      </c>
      <c r="B137" s="1">
        <v>-4.2343992804938502E-2</v>
      </c>
      <c r="C137" s="1">
        <v>-9.9560287081339904</v>
      </c>
      <c r="D137">
        <v>1.62</v>
      </c>
      <c r="E137" t="s">
        <v>51</v>
      </c>
      <c r="F137" t="s">
        <v>54</v>
      </c>
      <c r="H137" t="s">
        <v>53</v>
      </c>
      <c r="I137" t="s">
        <v>50</v>
      </c>
      <c r="J137" s="93"/>
      <c r="K137" s="93"/>
      <c r="L137" s="93"/>
      <c r="M137" s="93"/>
      <c r="N137" s="93"/>
      <c r="O137" s="93"/>
      <c r="P137" s="93"/>
      <c r="Q137" s="93"/>
      <c r="R137" s="93"/>
      <c r="S137" s="93"/>
      <c r="W137">
        <f t="shared" si="147"/>
        <v>-9.9983727009389298</v>
      </c>
      <c r="X137">
        <f t="shared" si="148"/>
        <v>-1.6623439928049386</v>
      </c>
      <c r="Z137" s="92">
        <f t="shared" ref="Z137" si="154">AVERAGE(W137:W142)</f>
        <v>-6.9474952814608928</v>
      </c>
    </row>
    <row r="138" spans="1:26" x14ac:dyDescent="0.35">
      <c r="A138" s="91">
        <f t="shared" si="151"/>
        <v>41973</v>
      </c>
      <c r="B138" s="1">
        <v>5.9095212802808197</v>
      </c>
      <c r="C138" s="1">
        <v>-0.52970251716200101</v>
      </c>
      <c r="D138">
        <v>1.46</v>
      </c>
      <c r="E138" t="s">
        <v>51</v>
      </c>
      <c r="F138" t="s">
        <v>54</v>
      </c>
      <c r="H138" t="s">
        <v>53</v>
      </c>
      <c r="I138" t="s">
        <v>50</v>
      </c>
      <c r="J138" s="93"/>
      <c r="K138" s="93"/>
      <c r="L138" s="93"/>
      <c r="M138" s="93"/>
      <c r="N138" s="93"/>
      <c r="O138" s="93"/>
      <c r="P138" s="93"/>
      <c r="Q138" s="93"/>
      <c r="R138" s="93"/>
      <c r="S138" s="93"/>
      <c r="W138">
        <f t="shared" si="147"/>
        <v>5.379818763118819</v>
      </c>
      <c r="X138">
        <f t="shared" si="148"/>
        <v>4.4495212802808197</v>
      </c>
      <c r="Z138" s="92">
        <f t="shared" ref="Z138" si="155">AVERAGE(W138:W143)</f>
        <v>-8.482604770772646</v>
      </c>
    </row>
    <row r="139" spans="1:26" x14ac:dyDescent="0.35">
      <c r="A139" s="91">
        <f t="shared" si="151"/>
        <v>41943</v>
      </c>
      <c r="B139" s="1">
        <v>-6.8880762914331299</v>
      </c>
      <c r="C139" s="1">
        <v>8.3290110826939898</v>
      </c>
      <c r="D139">
        <v>0.22</v>
      </c>
      <c r="E139" t="s">
        <v>51</v>
      </c>
      <c r="F139" t="s">
        <v>54</v>
      </c>
      <c r="H139" t="s">
        <v>53</v>
      </c>
      <c r="I139" t="s">
        <v>50</v>
      </c>
      <c r="J139" s="93"/>
      <c r="K139" s="93"/>
      <c r="L139" s="93"/>
      <c r="M139" s="93"/>
      <c r="N139" s="93"/>
      <c r="O139" s="93"/>
      <c r="P139" s="93"/>
      <c r="Q139" s="93"/>
      <c r="R139" s="93"/>
      <c r="S139" s="93"/>
      <c r="W139">
        <f t="shared" si="147"/>
        <v>1.4409347912608599</v>
      </c>
      <c r="X139">
        <f t="shared" si="148"/>
        <v>-7.1080762914331297</v>
      </c>
      <c r="Z139" s="92">
        <f t="shared" ref="Z139" si="156">AVERAGE(W139:W144)</f>
        <v>-10.608279802897956</v>
      </c>
    </row>
    <row r="140" spans="1:26" x14ac:dyDescent="0.35">
      <c r="A140" s="91">
        <f t="shared" si="151"/>
        <v>41912</v>
      </c>
      <c r="B140" s="1">
        <v>5.2903849748546596</v>
      </c>
      <c r="C140" s="1">
        <v>-0.74776641091249796</v>
      </c>
      <c r="D140">
        <v>0.5</v>
      </c>
      <c r="E140" t="s">
        <v>51</v>
      </c>
      <c r="F140" t="s">
        <v>54</v>
      </c>
      <c r="H140" t="s">
        <v>53</v>
      </c>
      <c r="I140" t="s">
        <v>50</v>
      </c>
      <c r="J140" s="93"/>
      <c r="K140" s="93"/>
      <c r="L140" s="93"/>
      <c r="M140" s="93"/>
      <c r="N140" s="93"/>
      <c r="O140" s="93"/>
      <c r="P140" s="93"/>
      <c r="Q140" s="93"/>
      <c r="R140" s="93"/>
      <c r="S140" s="93"/>
      <c r="W140">
        <f t="shared" si="147"/>
        <v>4.5426185639421615</v>
      </c>
      <c r="X140">
        <f t="shared" si="148"/>
        <v>4.7903849748546596</v>
      </c>
      <c r="Z140" s="92">
        <f t="shared" ref="Z140" si="157">AVERAGE(W140:W145)</f>
        <v>-11.169247222713983</v>
      </c>
    </row>
    <row r="141" spans="1:26" x14ac:dyDescent="0.35">
      <c r="A141" s="91">
        <f t="shared" si="151"/>
        <v>41882</v>
      </c>
      <c r="B141" s="1">
        <v>-7.2623860987349298</v>
      </c>
      <c r="C141" s="1">
        <v>-17.729565217390999</v>
      </c>
      <c r="D141">
        <v>-0.04</v>
      </c>
      <c r="E141" t="s">
        <v>51</v>
      </c>
      <c r="F141" t="s">
        <v>54</v>
      </c>
      <c r="H141" t="s">
        <v>55</v>
      </c>
      <c r="I141" t="s">
        <v>50</v>
      </c>
      <c r="J141" s="93"/>
      <c r="K141" s="93"/>
      <c r="L141" s="93"/>
      <c r="M141" s="93"/>
      <c r="N141" s="93"/>
      <c r="O141" s="93"/>
      <c r="P141" s="93"/>
      <c r="Q141" s="93"/>
      <c r="R141" s="93"/>
      <c r="S141" s="93"/>
      <c r="W141">
        <f t="shared" si="147"/>
        <v>-24.991951316125927</v>
      </c>
      <c r="X141">
        <f t="shared" si="148"/>
        <v>-7.2223860987349298</v>
      </c>
      <c r="Z141" s="92">
        <f t="shared" ref="Z141" si="158">AVERAGE(W141:W146)</f>
        <v>-10.93765465067642</v>
      </c>
    </row>
    <row r="142" spans="1:26" x14ac:dyDescent="0.35">
      <c r="A142" s="91">
        <f t="shared" si="151"/>
        <v>41851</v>
      </c>
      <c r="B142" s="1">
        <v>-5.0502420122443397</v>
      </c>
      <c r="C142" s="1">
        <v>-13.007777777777999</v>
      </c>
      <c r="D142">
        <v>0.19</v>
      </c>
      <c r="E142" t="s">
        <v>51</v>
      </c>
      <c r="F142" t="s">
        <v>54</v>
      </c>
      <c r="H142" t="s">
        <v>55</v>
      </c>
      <c r="I142" t="s">
        <v>50</v>
      </c>
      <c r="J142" s="93"/>
      <c r="K142" s="93"/>
      <c r="L142" s="93"/>
      <c r="M142" s="93"/>
      <c r="N142" s="93"/>
      <c r="O142" s="93"/>
      <c r="P142" s="93"/>
      <c r="Q142" s="93"/>
      <c r="R142" s="93"/>
      <c r="S142" s="93"/>
      <c r="W142">
        <f t="shared" si="147"/>
        <v>-18.058019790022339</v>
      </c>
      <c r="X142">
        <f t="shared" si="148"/>
        <v>-5.2402420122443401</v>
      </c>
      <c r="Z142" s="92">
        <f t="shared" ref="Z142" si="159">AVERAGE(W142:W147)</f>
        <v>-5.3292386018052813</v>
      </c>
    </row>
    <row r="143" spans="1:26" x14ac:dyDescent="0.35">
      <c r="A143" s="91">
        <f t="shared" si="151"/>
        <v>41820</v>
      </c>
      <c r="B143" s="1">
        <v>4.3136687758885497</v>
      </c>
      <c r="C143" s="1">
        <v>-23.522698412697999</v>
      </c>
      <c r="D143">
        <v>2.78</v>
      </c>
      <c r="E143" t="s">
        <v>51</v>
      </c>
      <c r="F143" t="s">
        <v>59</v>
      </c>
      <c r="H143" t="s">
        <v>55</v>
      </c>
      <c r="I143" t="s">
        <v>50</v>
      </c>
      <c r="J143" s="93"/>
      <c r="K143" s="93"/>
      <c r="L143" s="93"/>
      <c r="M143" s="93"/>
      <c r="N143" s="93"/>
      <c r="O143" s="93"/>
      <c r="P143" s="93"/>
      <c r="Q143" s="93"/>
      <c r="R143" s="93"/>
      <c r="S143" s="93"/>
      <c r="W143">
        <f t="shared" si="147"/>
        <v>-19.209029636809447</v>
      </c>
      <c r="X143">
        <f t="shared" si="148"/>
        <v>1.5336687758885499</v>
      </c>
      <c r="Z143" s="92">
        <f t="shared" ref="Z143" si="160">AVERAGE(W143:W148)</f>
        <v>-4.1746914808262199</v>
      </c>
    </row>
    <row r="144" spans="1:26" x14ac:dyDescent="0.35">
      <c r="A144" s="91">
        <f t="shared" si="151"/>
        <v>41790</v>
      </c>
      <c r="B144" s="1">
        <v>-8.8790554461960607</v>
      </c>
      <c r="C144" s="1">
        <v>1.50482401656302</v>
      </c>
      <c r="D144">
        <v>-2.75</v>
      </c>
      <c r="E144" t="s">
        <v>51</v>
      </c>
      <c r="F144" t="s">
        <v>59</v>
      </c>
      <c r="H144" t="s">
        <v>55</v>
      </c>
      <c r="I144" t="s">
        <v>50</v>
      </c>
      <c r="J144" s="93"/>
      <c r="K144" s="93"/>
      <c r="L144" s="93"/>
      <c r="M144" s="93"/>
      <c r="N144" s="93"/>
      <c r="O144" s="93"/>
      <c r="P144" s="93"/>
      <c r="Q144" s="93"/>
      <c r="R144" s="93"/>
      <c r="S144" s="93"/>
      <c r="W144">
        <f t="shared" si="147"/>
        <v>-7.3742314296330402</v>
      </c>
      <c r="X144">
        <f t="shared" si="148"/>
        <v>-6.1290554461960607</v>
      </c>
      <c r="Z144" s="92">
        <f t="shared" ref="Z144" si="161">AVERAGE(W144:W149)</f>
        <v>-1.3191394559141398</v>
      </c>
    </row>
    <row r="145" spans="1:26" x14ac:dyDescent="0.35">
      <c r="A145" s="91">
        <f t="shared" si="151"/>
        <v>41759</v>
      </c>
      <c r="B145" s="1">
        <v>-4.5905219015483096</v>
      </c>
      <c r="C145" s="1">
        <v>2.6656521739130099</v>
      </c>
      <c r="D145">
        <v>-1.1000000000000001</v>
      </c>
      <c r="E145" t="s">
        <v>51</v>
      </c>
      <c r="F145" t="s">
        <v>59</v>
      </c>
      <c r="H145" t="s">
        <v>55</v>
      </c>
      <c r="I145" t="s">
        <v>56</v>
      </c>
      <c r="J145" s="93"/>
      <c r="K145" s="93"/>
      <c r="L145" s="93"/>
      <c r="M145" s="93"/>
      <c r="N145" s="93"/>
      <c r="O145" s="93"/>
      <c r="P145" s="93"/>
      <c r="Q145" s="93"/>
      <c r="R145" s="93"/>
      <c r="S145" s="93"/>
      <c r="W145">
        <f t="shared" si="147"/>
        <v>-1.9248697276352997</v>
      </c>
      <c r="X145">
        <f t="shared" si="148"/>
        <v>-3.4905219015483095</v>
      </c>
      <c r="Z145" s="92">
        <f t="shared" ref="Z145" si="162">AVERAGE(W145:W150)</f>
        <v>-1.5258952541577484</v>
      </c>
    </row>
    <row r="146" spans="1:26" x14ac:dyDescent="0.35">
      <c r="A146" s="91">
        <f t="shared" si="151"/>
        <v>41729</v>
      </c>
      <c r="B146" s="1">
        <v>-1.02258790859445</v>
      </c>
      <c r="C146" s="1">
        <v>6.9547619047619902</v>
      </c>
      <c r="D146">
        <v>-1.06</v>
      </c>
      <c r="E146" t="s">
        <v>47</v>
      </c>
      <c r="F146" t="s">
        <v>59</v>
      </c>
      <c r="H146" t="s">
        <v>55</v>
      </c>
      <c r="I146" t="s">
        <v>56</v>
      </c>
      <c r="J146" s="93"/>
      <c r="K146" s="93"/>
      <c r="L146" s="93"/>
      <c r="M146" s="93"/>
      <c r="N146" s="93"/>
      <c r="O146" s="93"/>
      <c r="P146" s="93"/>
      <c r="Q146" s="93"/>
      <c r="R146" s="93"/>
      <c r="S146" s="93"/>
      <c r="W146">
        <f t="shared" si="147"/>
        <v>5.9321739961675402</v>
      </c>
      <c r="X146">
        <f t="shared" si="148"/>
        <v>3.7412091405550019E-2</v>
      </c>
      <c r="Z146" s="92">
        <f t="shared" ref="Z146" si="163">AVERAGE(W146:W151)</f>
        <v>0.18109066790463491</v>
      </c>
    </row>
    <row r="147" spans="1:26" x14ac:dyDescent="0.35">
      <c r="A147" s="91">
        <f t="shared" si="151"/>
        <v>41698</v>
      </c>
      <c r="B147" s="1">
        <v>2.4037830723389302</v>
      </c>
      <c r="C147" s="1">
        <v>6.2547619047619696</v>
      </c>
      <c r="D147">
        <v>-0.44</v>
      </c>
      <c r="E147" t="s">
        <v>57</v>
      </c>
      <c r="F147" t="s">
        <v>59</v>
      </c>
      <c r="H147" t="s">
        <v>55</v>
      </c>
      <c r="I147" t="s">
        <v>56</v>
      </c>
      <c r="J147" s="93"/>
      <c r="K147" s="93"/>
      <c r="L147" s="93"/>
      <c r="M147" s="93"/>
      <c r="N147" s="93"/>
      <c r="O147" s="93"/>
      <c r="P147" s="93"/>
      <c r="Q147" s="93"/>
      <c r="R147" s="93"/>
      <c r="S147" s="93"/>
      <c r="W147">
        <f t="shared" si="147"/>
        <v>8.6585449771008989</v>
      </c>
      <c r="X147">
        <f t="shared" si="148"/>
        <v>2.8437830723389301</v>
      </c>
      <c r="Z147" s="92">
        <f t="shared" ref="Z147" si="164">AVERAGE(W147:W152)</f>
        <v>-1.6247026685584753</v>
      </c>
    </row>
    <row r="148" spans="1:26" x14ac:dyDescent="0.35">
      <c r="A148" s="91">
        <f t="shared" si="151"/>
        <v>41670</v>
      </c>
      <c r="B148" s="1">
        <v>-5.9862132546240003</v>
      </c>
      <c r="C148" s="1">
        <v>-5.14452380952397</v>
      </c>
      <c r="D148">
        <v>-0.44</v>
      </c>
      <c r="E148" t="s">
        <v>57</v>
      </c>
      <c r="F148" t="s">
        <v>59</v>
      </c>
      <c r="H148" t="s">
        <v>55</v>
      </c>
      <c r="I148" t="s">
        <v>56</v>
      </c>
      <c r="J148" s="93"/>
      <c r="K148" s="93"/>
      <c r="L148" s="93"/>
      <c r="M148" s="93"/>
      <c r="N148" s="93"/>
      <c r="O148" s="93"/>
      <c r="P148" s="93"/>
      <c r="Q148" s="93"/>
      <c r="R148" s="93"/>
      <c r="S148" s="93"/>
      <c r="W148">
        <f t="shared" si="147"/>
        <v>-11.13073706414797</v>
      </c>
      <c r="X148">
        <f t="shared" si="148"/>
        <v>-5.5462132546239999</v>
      </c>
      <c r="Z148" s="92">
        <f t="shared" ref="Z148" si="165">AVERAGE(W148:W153)</f>
        <v>2.3350419815352397</v>
      </c>
    </row>
    <row r="149" spans="1:26" x14ac:dyDescent="0.35">
      <c r="A149" s="91">
        <f t="shared" si="151"/>
        <v>41639</v>
      </c>
      <c r="B149" s="1">
        <v>-1.36419574820694</v>
      </c>
      <c r="C149" s="1">
        <v>-0.71152173913002803</v>
      </c>
      <c r="D149">
        <v>0.3</v>
      </c>
      <c r="E149" t="s">
        <v>57</v>
      </c>
      <c r="F149" t="s">
        <v>59</v>
      </c>
      <c r="H149" t="s">
        <v>55</v>
      </c>
      <c r="I149" t="s">
        <v>56</v>
      </c>
      <c r="J149" s="93"/>
      <c r="K149" s="93"/>
      <c r="L149" s="93"/>
      <c r="M149" s="93"/>
      <c r="N149" s="93"/>
      <c r="O149" s="93"/>
      <c r="P149" s="93"/>
      <c r="Q149" s="93"/>
      <c r="R149" s="93"/>
      <c r="S149" s="93"/>
      <c r="W149">
        <f t="shared" si="147"/>
        <v>-2.0757174873369681</v>
      </c>
      <c r="X149">
        <f t="shared" si="148"/>
        <v>-1.6641957482069401</v>
      </c>
      <c r="Z149" s="92">
        <f t="shared" ref="Z149" si="166">AVERAGE(W149:W154)</f>
        <v>9.795876258939936</v>
      </c>
    </row>
    <row r="150" spans="1:26" x14ac:dyDescent="0.35">
      <c r="A150" s="91">
        <f t="shared" si="151"/>
        <v>41608</v>
      </c>
      <c r="B150" s="1">
        <v>0.19017037510877799</v>
      </c>
      <c r="C150" s="1">
        <v>-8.8049365942034701</v>
      </c>
      <c r="D150">
        <v>0.21</v>
      </c>
      <c r="E150" t="s">
        <v>57</v>
      </c>
      <c r="F150" t="s">
        <v>59</v>
      </c>
      <c r="H150" t="s">
        <v>55</v>
      </c>
      <c r="I150" t="s">
        <v>56</v>
      </c>
      <c r="J150" s="93"/>
      <c r="K150" s="93"/>
      <c r="L150" s="93"/>
      <c r="M150" s="93"/>
      <c r="N150" s="93"/>
      <c r="O150" s="93"/>
      <c r="P150" s="93"/>
      <c r="Q150" s="93"/>
      <c r="R150" s="93"/>
      <c r="S150" s="93"/>
      <c r="W150">
        <f t="shared" si="147"/>
        <v>-8.6147662190946921</v>
      </c>
      <c r="X150">
        <f t="shared" si="148"/>
        <v>-1.9829624891222003E-2</v>
      </c>
      <c r="Z150" s="92">
        <f t="shared" ref="Z150" si="167">AVERAGE(W150:W155)</f>
        <v>11.173180527865867</v>
      </c>
    </row>
    <row r="151" spans="1:26" x14ac:dyDescent="0.35">
      <c r="A151" s="91">
        <f t="shared" si="151"/>
        <v>41578</v>
      </c>
      <c r="B151" s="1">
        <v>1.58522968155026</v>
      </c>
      <c r="C151" s="1">
        <v>6.7318161231887403</v>
      </c>
      <c r="D151">
        <v>0.59</v>
      </c>
      <c r="E151" t="s">
        <v>57</v>
      </c>
      <c r="F151" t="s">
        <v>59</v>
      </c>
      <c r="H151" t="s">
        <v>55</v>
      </c>
      <c r="I151" t="s">
        <v>56</v>
      </c>
      <c r="J151" s="93"/>
      <c r="K151" s="93"/>
      <c r="L151" s="93"/>
      <c r="M151" s="93"/>
      <c r="N151" s="93"/>
      <c r="O151" s="93"/>
      <c r="P151" s="93"/>
      <c r="Q151" s="93"/>
      <c r="R151" s="93"/>
      <c r="S151" s="93"/>
      <c r="W151">
        <f t="shared" si="147"/>
        <v>8.317045804739001</v>
      </c>
      <c r="X151">
        <f t="shared" si="148"/>
        <v>0.99522968155026004</v>
      </c>
      <c r="Z151" s="92">
        <f t="shared" ref="Z151" si="168">AVERAGE(W151:W156)</f>
        <v>13.38410772871736</v>
      </c>
    </row>
    <row r="152" spans="1:26" x14ac:dyDescent="0.35">
      <c r="A152" s="91">
        <f t="shared" si="151"/>
        <v>41547</v>
      </c>
      <c r="B152" s="1">
        <v>-0.88950301865812198</v>
      </c>
      <c r="C152" s="1">
        <v>-4.0130830039529997</v>
      </c>
      <c r="D152">
        <v>0.56999999999999995</v>
      </c>
      <c r="E152" t="s">
        <v>57</v>
      </c>
      <c r="F152" t="s">
        <v>59</v>
      </c>
      <c r="H152" t="s">
        <v>53</v>
      </c>
      <c r="I152" t="s">
        <v>56</v>
      </c>
      <c r="J152" s="93"/>
      <c r="K152" s="93"/>
      <c r="L152" s="93"/>
      <c r="M152" s="93"/>
      <c r="N152" s="93"/>
      <c r="O152" s="93"/>
      <c r="P152" s="93"/>
      <c r="Q152" s="93"/>
      <c r="R152" s="93"/>
      <c r="S152" s="93"/>
      <c r="W152">
        <f t="shared" si="147"/>
        <v>-4.9025860226111213</v>
      </c>
      <c r="X152">
        <f t="shared" si="148"/>
        <v>-1.4595030186581219</v>
      </c>
      <c r="Z152" s="92">
        <f t="shared" ref="Z152" si="169">AVERAGE(W152:W157)</f>
        <v>12.607489548162313</v>
      </c>
    </row>
    <row r="153" spans="1:26" x14ac:dyDescent="0.35">
      <c r="A153" s="91">
        <f t="shared" si="151"/>
        <v>41517</v>
      </c>
      <c r="B153" s="1">
        <v>-4.2456609191278103</v>
      </c>
      <c r="C153" s="1">
        <v>36.662673796790997</v>
      </c>
      <c r="D153">
        <v>-1.03</v>
      </c>
      <c r="E153" t="s">
        <v>57</v>
      </c>
      <c r="F153" t="s">
        <v>59</v>
      </c>
      <c r="H153" t="s">
        <v>53</v>
      </c>
      <c r="I153" t="s">
        <v>62</v>
      </c>
      <c r="J153" s="93"/>
      <c r="K153" s="93"/>
      <c r="L153" s="93"/>
      <c r="M153" s="93"/>
      <c r="N153" s="93"/>
      <c r="O153" s="93"/>
      <c r="P153" s="93"/>
      <c r="Q153" s="93"/>
      <c r="R153" s="93"/>
      <c r="S153" s="93"/>
      <c r="W153">
        <f t="shared" si="147"/>
        <v>32.41701287766319</v>
      </c>
      <c r="X153">
        <f t="shared" si="148"/>
        <v>-3.21566091912781</v>
      </c>
      <c r="Z153" s="92">
        <f t="shared" ref="Z153" si="170">AVERAGE(W153:W158)</f>
        <v>13.119659833262633</v>
      </c>
    </row>
    <row r="154" spans="1:26" x14ac:dyDescent="0.35">
      <c r="A154" s="91">
        <f t="shared" si="151"/>
        <v>41486</v>
      </c>
      <c r="B154" s="1">
        <v>12.0092151243442</v>
      </c>
      <c r="C154" s="1">
        <v>21.625053475935999</v>
      </c>
      <c r="D154">
        <v>1.77</v>
      </c>
      <c r="E154" t="s">
        <v>47</v>
      </c>
      <c r="F154" t="s">
        <v>59</v>
      </c>
      <c r="H154" t="s">
        <v>53</v>
      </c>
      <c r="I154" t="s">
        <v>62</v>
      </c>
      <c r="J154" s="93"/>
      <c r="K154" s="93"/>
      <c r="L154" s="93"/>
      <c r="M154" s="93"/>
      <c r="N154" s="93"/>
      <c r="O154" s="93"/>
      <c r="P154" s="93"/>
      <c r="Q154" s="93"/>
      <c r="R154" s="93"/>
      <c r="S154" s="93"/>
      <c r="W154">
        <f t="shared" si="147"/>
        <v>33.634268600280201</v>
      </c>
      <c r="X154">
        <f t="shared" si="148"/>
        <v>10.2392151243442</v>
      </c>
      <c r="Z154" s="92">
        <f t="shared" ref="Z154" si="171">AVERAGE(W154:W159)</f>
        <v>3.1385957173193617</v>
      </c>
    </row>
    <row r="155" spans="1:26" x14ac:dyDescent="0.35">
      <c r="A155" s="91">
        <f t="shared" si="151"/>
        <v>41455</v>
      </c>
      <c r="B155" s="1">
        <v>1.06492630803661</v>
      </c>
      <c r="C155" s="1">
        <v>5.1231818181820099</v>
      </c>
      <c r="D155">
        <v>0.3</v>
      </c>
      <c r="E155" t="s">
        <v>47</v>
      </c>
      <c r="F155" t="s">
        <v>59</v>
      </c>
      <c r="H155" t="s">
        <v>53</v>
      </c>
      <c r="I155" t="s">
        <v>62</v>
      </c>
      <c r="J155" s="93"/>
      <c r="K155" s="93"/>
      <c r="L155" s="93"/>
      <c r="M155" s="93"/>
      <c r="N155" s="93"/>
      <c r="O155" s="93"/>
      <c r="P155" s="93"/>
      <c r="Q155" s="93"/>
      <c r="R155" s="93"/>
      <c r="S155" s="93"/>
      <c r="W155">
        <f t="shared" si="147"/>
        <v>6.1881081262186202</v>
      </c>
      <c r="X155">
        <f t="shared" si="148"/>
        <v>0.76492630803660999</v>
      </c>
      <c r="Z155" s="92">
        <f t="shared" ref="Z155" si="172">AVERAGE(W155:W160)</f>
        <v>-2.9849627538827206</v>
      </c>
    </row>
    <row r="156" spans="1:26" x14ac:dyDescent="0.35">
      <c r="A156" s="91">
        <f t="shared" si="151"/>
        <v>41425</v>
      </c>
      <c r="B156" s="1">
        <v>2.5407969860142599</v>
      </c>
      <c r="C156" s="1">
        <v>2.1100000000000101</v>
      </c>
      <c r="D156">
        <v>2.08</v>
      </c>
      <c r="E156" t="s">
        <v>51</v>
      </c>
      <c r="F156" t="s">
        <v>59</v>
      </c>
      <c r="H156" t="s">
        <v>55</v>
      </c>
      <c r="I156" t="s">
        <v>62</v>
      </c>
      <c r="J156" s="93"/>
      <c r="K156" s="93"/>
      <c r="L156" s="93"/>
      <c r="M156" s="93"/>
      <c r="N156" s="93"/>
      <c r="O156" s="93"/>
      <c r="P156" s="93"/>
      <c r="Q156" s="93"/>
      <c r="R156" s="93"/>
      <c r="S156" s="93"/>
      <c r="W156">
        <f t="shared" si="147"/>
        <v>4.6507969860142699</v>
      </c>
      <c r="X156">
        <f t="shared" si="148"/>
        <v>0.46079698601425978</v>
      </c>
      <c r="Z156" s="92">
        <f t="shared" ref="Z156" si="173">AVERAGE(W156:W161)</f>
        <v>-6.1447612648114616</v>
      </c>
    </row>
    <row r="157" spans="1:26" x14ac:dyDescent="0.35">
      <c r="A157" s="91">
        <f t="shared" si="151"/>
        <v>41394</v>
      </c>
      <c r="B157" s="1">
        <v>11.866384340456699</v>
      </c>
      <c r="C157" s="1">
        <v>-8.2090476190479897</v>
      </c>
      <c r="D157">
        <v>1.54</v>
      </c>
      <c r="E157" t="s">
        <v>51</v>
      </c>
      <c r="F157" t="s">
        <v>59</v>
      </c>
      <c r="H157" t="s">
        <v>55</v>
      </c>
      <c r="I157" t="s">
        <v>62</v>
      </c>
      <c r="J157" s="93"/>
      <c r="K157" s="93"/>
      <c r="L157" s="93"/>
      <c r="M157" s="93"/>
      <c r="N157" s="93"/>
      <c r="O157" s="93"/>
      <c r="P157" s="93"/>
      <c r="Q157" s="93"/>
      <c r="R157" s="93"/>
      <c r="S157" s="93"/>
      <c r="W157">
        <f t="shared" si="147"/>
        <v>3.6573367214087096</v>
      </c>
      <c r="X157">
        <f t="shared" si="148"/>
        <v>10.326384340456698</v>
      </c>
      <c r="Z157" s="92">
        <f t="shared" ref="Z157" si="174">AVERAGE(W157:W162)</f>
        <v>-7.9847587344344104</v>
      </c>
    </row>
    <row r="158" spans="1:26" x14ac:dyDescent="0.35">
      <c r="A158" s="91">
        <f t="shared" si="151"/>
        <v>41364</v>
      </c>
      <c r="B158" s="1">
        <v>-7.6506119310571803</v>
      </c>
      <c r="C158" s="1">
        <v>5.8210476190479801</v>
      </c>
      <c r="D158">
        <v>-0.54</v>
      </c>
      <c r="E158" t="s">
        <v>51</v>
      </c>
      <c r="F158" t="s">
        <v>59</v>
      </c>
      <c r="H158" t="s">
        <v>55</v>
      </c>
      <c r="I158" t="s">
        <v>62</v>
      </c>
      <c r="J158" s="93"/>
      <c r="K158" s="93"/>
      <c r="L158" s="93"/>
      <c r="M158" s="93"/>
      <c r="N158" s="93"/>
      <c r="O158" s="93"/>
      <c r="P158" s="93"/>
      <c r="Q158" s="93"/>
      <c r="R158" s="93"/>
      <c r="S158" s="93"/>
      <c r="W158">
        <f t="shared" si="147"/>
        <v>-1.8295643120092002</v>
      </c>
      <c r="X158">
        <f t="shared" si="148"/>
        <v>-7.1106119310571803</v>
      </c>
      <c r="Z158" s="92">
        <f t="shared" ref="Z158" si="175">AVERAGE(W158:W163)</f>
        <v>-10.313177825603034</v>
      </c>
    </row>
    <row r="159" spans="1:26" x14ac:dyDescent="0.35">
      <c r="A159" s="91">
        <f t="shared" si="151"/>
        <v>41333</v>
      </c>
      <c r="B159" s="1">
        <v>-8.3030861037104309</v>
      </c>
      <c r="C159" s="1">
        <v>-19.166285714286001</v>
      </c>
      <c r="D159">
        <v>-0.19</v>
      </c>
      <c r="E159" t="s">
        <v>47</v>
      </c>
      <c r="F159" t="s">
        <v>59</v>
      </c>
      <c r="H159" t="s">
        <v>49</v>
      </c>
      <c r="I159" t="s">
        <v>62</v>
      </c>
      <c r="J159" s="93"/>
      <c r="K159" s="93"/>
      <c r="L159" s="93"/>
      <c r="M159" s="93"/>
      <c r="N159" s="93"/>
      <c r="O159" s="93"/>
      <c r="P159" s="93"/>
      <c r="Q159" s="93"/>
      <c r="R159" s="93"/>
      <c r="S159" s="93"/>
      <c r="W159">
        <f t="shared" si="147"/>
        <v>-27.469371817996432</v>
      </c>
      <c r="X159">
        <f t="shared" si="148"/>
        <v>-8.1130861037104314</v>
      </c>
      <c r="Z159" s="92">
        <f>AVERAGE(W159:W164)</f>
        <v>-12.434081204001494</v>
      </c>
    </row>
    <row r="160" spans="1:26" x14ac:dyDescent="0.35">
      <c r="A160" s="91">
        <f t="shared" si="151"/>
        <v>41305</v>
      </c>
      <c r="B160" s="1">
        <v>-7.69267228904428</v>
      </c>
      <c r="C160" s="1">
        <v>4.5855900621119901</v>
      </c>
      <c r="D160">
        <v>0.37</v>
      </c>
      <c r="E160" t="s">
        <v>47</v>
      </c>
      <c r="F160" t="s">
        <v>59</v>
      </c>
      <c r="H160" t="s">
        <v>49</v>
      </c>
      <c r="I160" t="s">
        <v>62</v>
      </c>
      <c r="J160" s="93"/>
      <c r="K160" s="93"/>
      <c r="L160" s="93"/>
      <c r="M160" s="93"/>
      <c r="N160" s="93"/>
      <c r="O160" s="93"/>
      <c r="P160" s="93"/>
      <c r="Q160" s="93"/>
      <c r="R160" s="93"/>
      <c r="S160" s="93"/>
      <c r="W160">
        <f t="shared" si="147"/>
        <v>-3.10708222693229</v>
      </c>
      <c r="X160">
        <f t="shared" si="148"/>
        <v>-8.0626722890442792</v>
      </c>
      <c r="Z160" s="92">
        <f>AVERAGE(W160:W165)</f>
        <v>-7.4223176660031802</v>
      </c>
    </row>
    <row r="161" spans="1:26" x14ac:dyDescent="0.35">
      <c r="A161" s="91">
        <f t="shared" si="151"/>
        <v>41274</v>
      </c>
      <c r="B161" s="1">
        <v>2.5550184672956702</v>
      </c>
      <c r="C161" s="1">
        <v>-15.3257014066495</v>
      </c>
      <c r="D161">
        <v>1.36</v>
      </c>
      <c r="E161" t="s">
        <v>47</v>
      </c>
      <c r="F161" t="s">
        <v>59</v>
      </c>
      <c r="H161" t="s">
        <v>49</v>
      </c>
      <c r="I161" t="s">
        <v>62</v>
      </c>
      <c r="J161" s="93"/>
      <c r="K161" s="93"/>
      <c r="L161" s="93"/>
      <c r="M161" s="93"/>
      <c r="N161" s="93"/>
      <c r="O161" s="93"/>
      <c r="P161" s="93"/>
      <c r="Q161" s="93"/>
      <c r="R161" s="93"/>
      <c r="S161" s="93"/>
      <c r="W161">
        <f t="shared" si="147"/>
        <v>-12.770682939353829</v>
      </c>
      <c r="X161">
        <f t="shared" si="148"/>
        <v>1.1950184672956701</v>
      </c>
      <c r="Z161" s="92">
        <f>AVERAGE(W161:W166)</f>
        <v>-9.5799353855386258</v>
      </c>
    </row>
    <row r="162" spans="1:26" x14ac:dyDescent="0.35">
      <c r="A162" s="91">
        <f t="shared" si="151"/>
        <v>41243</v>
      </c>
      <c r="B162" s="1">
        <v>-2.86877766548317</v>
      </c>
      <c r="C162" s="1">
        <v>-3.52041016624025</v>
      </c>
      <c r="D162">
        <v>0.79</v>
      </c>
      <c r="E162" t="s">
        <v>57</v>
      </c>
      <c r="F162" t="s">
        <v>59</v>
      </c>
      <c r="H162" t="s">
        <v>49</v>
      </c>
      <c r="I162" t="s">
        <v>62</v>
      </c>
      <c r="J162" s="93"/>
      <c r="K162" s="93"/>
      <c r="L162" s="93"/>
      <c r="M162" s="93"/>
      <c r="N162" s="93"/>
      <c r="O162" s="93"/>
      <c r="P162" s="93"/>
      <c r="Q162" s="93"/>
      <c r="R162" s="93"/>
      <c r="S162" s="93"/>
      <c r="W162">
        <f t="shared" si="147"/>
        <v>-6.3891878317234205</v>
      </c>
      <c r="X162">
        <f t="shared" si="148"/>
        <v>-3.6587776654831701</v>
      </c>
      <c r="Z162" s="92">
        <f>AVERAGE(W162:W167)</f>
        <v>-6.3891878317234205</v>
      </c>
    </row>
  </sheetData>
  <phoneticPr fontId="23" type="noConversion"/>
  <pageMargins left="0.75" right="0.75" top="1" bottom="1" header="0.5" footer="0.5"/>
  <pageSetup paperSize="9" orientation="portrait" r:id="rId1"/>
  <customProperties>
    <customPr name="SheetID" r:id="rId2"/>
  </customProperties>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B774A-1AF7-4349-BF32-CF26375106DD}">
  <dimension ref="A3:AG174"/>
  <sheetViews>
    <sheetView topLeftCell="C1" zoomScale="85" zoomScaleNormal="85" workbookViewId="0">
      <selection activeCell="B15" sqref="B15"/>
    </sheetView>
  </sheetViews>
  <sheetFormatPr defaultColWidth="9" defaultRowHeight="14.15" x14ac:dyDescent="0.35"/>
  <cols>
    <col min="1" max="1" width="11.640625" style="101" bestFit="1" customWidth="1"/>
    <col min="2" max="2" width="9" style="102"/>
    <col min="3" max="4" width="12.85546875" style="102" customWidth="1"/>
    <col min="5" max="5" width="9" style="102"/>
    <col min="6" max="19" width="12.85546875" style="102" customWidth="1"/>
    <col min="20" max="21" width="9" style="102"/>
    <col min="22" max="22" width="2" style="102" customWidth="1"/>
    <col min="23" max="23" width="2.5703125" style="104" customWidth="1"/>
    <col min="24" max="25" width="9" style="114"/>
    <col min="26" max="16384" width="9" style="102"/>
  </cols>
  <sheetData>
    <row r="3" spans="1:33" x14ac:dyDescent="0.35">
      <c r="J3" s="102" t="s">
        <v>33</v>
      </c>
      <c r="K3" s="102" t="s">
        <v>33</v>
      </c>
      <c r="L3" s="102" t="s">
        <v>34</v>
      </c>
      <c r="M3" s="102" t="s">
        <v>34</v>
      </c>
      <c r="N3" s="102" t="s">
        <v>35</v>
      </c>
      <c r="O3" s="102" t="s">
        <v>35</v>
      </c>
      <c r="P3" s="102" t="s">
        <v>36</v>
      </c>
      <c r="Q3" s="102" t="s">
        <v>36</v>
      </c>
      <c r="R3" s="102" t="s">
        <v>37</v>
      </c>
      <c r="S3" s="102" t="s">
        <v>37</v>
      </c>
      <c r="T3" s="102" t="s">
        <v>38</v>
      </c>
      <c r="V3" s="102" t="s">
        <v>140</v>
      </c>
      <c r="W3" s="102" t="s">
        <v>141</v>
      </c>
      <c r="X3" s="114" t="s">
        <v>142</v>
      </c>
      <c r="Y3" s="114" t="s">
        <v>143</v>
      </c>
      <c r="Z3" s="102" t="s">
        <v>141</v>
      </c>
      <c r="AA3" s="102" t="s">
        <v>142</v>
      </c>
    </row>
    <row r="4" spans="1:33" x14ac:dyDescent="0.35">
      <c r="B4" s="103" t="s">
        <v>144</v>
      </c>
      <c r="C4" s="103" t="s">
        <v>43</v>
      </c>
      <c r="D4" s="103" t="s">
        <v>145</v>
      </c>
      <c r="E4" s="102" t="s">
        <v>33</v>
      </c>
      <c r="F4" s="102" t="s">
        <v>34</v>
      </c>
      <c r="G4" s="102" t="s">
        <v>35</v>
      </c>
      <c r="H4" s="102" t="s">
        <v>36</v>
      </c>
      <c r="I4" s="102" t="s">
        <v>37</v>
      </c>
      <c r="J4" s="102" t="s">
        <v>45</v>
      </c>
      <c r="K4" s="102" t="s">
        <v>46</v>
      </c>
      <c r="L4" s="102" t="s">
        <v>45</v>
      </c>
      <c r="M4" s="102" t="s">
        <v>46</v>
      </c>
      <c r="N4" s="102" t="s">
        <v>45</v>
      </c>
      <c r="O4" s="102" t="s">
        <v>46</v>
      </c>
      <c r="P4" s="102" t="s">
        <v>45</v>
      </c>
      <c r="Q4" s="102" t="s">
        <v>46</v>
      </c>
      <c r="R4" s="102" t="s">
        <v>45</v>
      </c>
      <c r="S4" s="102" t="s">
        <v>46</v>
      </c>
      <c r="T4" s="102" t="s">
        <v>45</v>
      </c>
      <c r="U4" s="102" t="s">
        <v>46</v>
      </c>
      <c r="AB4" s="112" t="s">
        <v>150</v>
      </c>
      <c r="AC4" s="112" t="s">
        <v>33</v>
      </c>
      <c r="AD4" s="112" t="s">
        <v>146</v>
      </c>
      <c r="AE4" s="112" t="s">
        <v>147</v>
      </c>
      <c r="AF4" s="112" t="s">
        <v>148</v>
      </c>
      <c r="AG4" s="112" t="s">
        <v>149</v>
      </c>
    </row>
    <row r="5" spans="1:33" x14ac:dyDescent="0.35">
      <c r="A5" s="105">
        <v>46022</v>
      </c>
      <c r="E5" s="102" t="str">
        <f>VLOOKUP(A5,[1]美林时钟!A2:AB261,28,TRUE)</f>
        <v>过热</v>
      </c>
      <c r="F5" s="102" t="s">
        <v>54</v>
      </c>
      <c r="G5" s="102" t="s">
        <v>94</v>
      </c>
      <c r="H5" s="102" t="s">
        <v>88</v>
      </c>
      <c r="I5" s="102" t="s">
        <v>58</v>
      </c>
      <c r="J5">
        <v>0</v>
      </c>
      <c r="K5" s="106">
        <f t="array" ref="K5">INDEX([1]股债表现与四个维度!$A:$T,MATCH($A5,[1]股债表现与四个维度!$A:$A,0),MATCH(K$3&amp;K$4,[1]股债表现与四个维度!$2:$2&amp;[1]股债表现与四个维度!$3:$3,0))</f>
        <v>0.38095238095238093</v>
      </c>
      <c r="L5" s="106">
        <f t="array" ref="L5">INDEX([1]股债表现与四个维度!$A:$T,MATCH($A5,[1]股债表现与四个维度!$A:$A,0),MATCH(L$3&amp;L$4,[1]股债表现与四个维度!$2:$2&amp;[1]股债表现与四个维度!$3:$3,0))</f>
        <v>-5.0847457627118647E-2</v>
      </c>
      <c r="M5" s="106">
        <f t="array" ref="M5">INDEX([1]股债表现与四个维度!$A:$T,MATCH($A5,[1]股债表现与四个维度!$A:$A,0),MATCH(M$3&amp;M$4,[1]股债表现与四个维度!$2:$2&amp;[1]股债表现与四个维度!$3:$3,0))</f>
        <v>0.28813559322033899</v>
      </c>
      <c r="N5" s="106">
        <f t="array" ref="N5">INDEX([1]股债表现与四个维度!$A:$T,MATCH($A5,[1]股债表现与四个维度!$A:$A,0),MATCH(N$3&amp;N$4,[1]股债表现与四个维度!$2:$2&amp;[1]股债表现与四个维度!$3:$3,0))</f>
        <v>-8.3333333333333329E-2</v>
      </c>
      <c r="O5" s="106">
        <f t="array" ref="O5">INDEX([1]股债表现与四个维度!$A:$T,MATCH($A5,[1]股债表现与四个维度!$A:$A,0),MATCH(O$3&amp;O$4,[1]股债表现与四个维度!$2:$2&amp;[1]股债表现与四个维度!$3:$3,0))</f>
        <v>0.25</v>
      </c>
      <c r="P5" s="106">
        <f t="array" ref="P5">INDEX([1]股债表现与四个维度!$A:$T,MATCH($A5,[1]股债表现与四个维度!$A:$A,0),MATCH(P$3&amp;P$4,[1]股债表现与四个维度!$2:$2&amp;[1]股债表现与四个维度!$3:$3,0))</f>
        <v>-0.1111111111111111</v>
      </c>
      <c r="Q5" s="106">
        <f t="array" ref="Q5">INDEX([1]股债表现与四个维度!$A:$T,MATCH($A5,[1]股债表现与四个维度!$A:$A,0),MATCH(Q$3&amp;Q$4,[1]股债表现与四个维度!$2:$2&amp;[1]股债表现与四个维度!$3:$3,0))</f>
        <v>-5.5555555555555552E-2</v>
      </c>
      <c r="R5" s="106">
        <f t="array" ref="R5">INDEX([1]股债表现与四个维度!$A:$T,MATCH($A5,[1]股债表现与四个维度!$A:$A,0),MATCH(R$3&amp;R$4,[1]股债表现与四个维度!$2:$2&amp;[1]股债表现与四个维度!$3:$3,0))</f>
        <v>-7.6923076923076927E-2</v>
      </c>
      <c r="S5" s="106">
        <f t="array" ref="S5">INDEX([1]股债表现与四个维度!$A:$T,MATCH($A5,[1]股债表现与四个维度!$A:$A,0),MATCH(S$3&amp;S$4,[1]股债表现与四个维度!$2:$2&amp;[1]股债表现与四个维度!$3:$3,0))</f>
        <v>0.34615384615384615</v>
      </c>
      <c r="T5" s="102">
        <f t="shared" ref="T5:U16" si="0">SUMIFS($J5:$S5,$J5:$S5,"&lt;&gt;"&amp;"#N/A",$J$4:$S$4,T$4)</f>
        <v>-0.32221497899464002</v>
      </c>
      <c r="U5" s="102">
        <f t="shared" si="0"/>
        <v>1.2096862647710105</v>
      </c>
      <c r="V5" s="102">
        <f t="shared" ref="V5:V16" si="1">T5-U5</f>
        <v>-1.5319012437656505</v>
      </c>
      <c r="Y5" s="114">
        <f t="shared" ref="Y5:Y13" si="2">AVERAGE(Z5:Z10)</f>
        <v>-1.938070999112572</v>
      </c>
      <c r="Z5" s="102">
        <f>(AC5*(J5-K5)+AD5*(L5-M5)+AE5*(N5-O5)+AF5*(P5-Q5)+AG5*(R5-S5))*5</f>
        <v>-1.8080813724881519</v>
      </c>
      <c r="AB5" s="115">
        <v>45992</v>
      </c>
      <c r="AC5" s="113">
        <v>0.22</v>
      </c>
      <c r="AD5" s="113">
        <v>0.57999999999999996</v>
      </c>
      <c r="AE5" s="113">
        <v>0.1</v>
      </c>
      <c r="AF5" s="113">
        <v>0.1</v>
      </c>
      <c r="AG5" s="113">
        <v>0.1</v>
      </c>
    </row>
    <row r="6" spans="1:33" x14ac:dyDescent="0.35">
      <c r="A6" s="105">
        <v>45991</v>
      </c>
      <c r="E6" s="102" t="str">
        <f>VLOOKUP(A6,[1]美林时钟!A3:AB262,28,TRUE)</f>
        <v>过热</v>
      </c>
      <c r="F6" s="102" t="s">
        <v>54</v>
      </c>
      <c r="G6" s="102" t="s">
        <v>94</v>
      </c>
      <c r="H6" s="102" t="s">
        <v>88</v>
      </c>
      <c r="I6" s="102" t="s">
        <v>58</v>
      </c>
      <c r="J6">
        <v>3.7037037037037E-2</v>
      </c>
      <c r="K6" s="106">
        <f t="array" ref="K6">INDEX([1]股债表现与四个维度!$A:$T,MATCH($A6,[1]股债表现与四个维度!$A:$A,0),MATCH(K$3&amp;K$4,[1]股债表现与四个维度!$2:$2&amp;[1]股债表现与四个维度!$3:$3,0))</f>
        <v>0.4</v>
      </c>
      <c r="L6" s="106">
        <f t="array" ref="L6">INDEX([1]股债表现与四个维度!$A:$T,MATCH($A6,[1]股债表现与四个维度!$A:$A,0),MATCH(L$3&amp;L$4,[1]股债表现与四个维度!$2:$2&amp;[1]股债表现与四个维度!$3:$3,0))</f>
        <v>-5.1724137931034482E-2</v>
      </c>
      <c r="M6" s="106">
        <f t="array" ref="M6">INDEX([1]股债表现与四个维度!$A:$T,MATCH($A6,[1]股债表现与四个维度!$A:$A,0),MATCH(M$3&amp;M$4,[1]股债表现与四个维度!$2:$2&amp;[1]股债表现与四个维度!$3:$3,0))</f>
        <v>0.29310344827586204</v>
      </c>
      <c r="N6" s="106">
        <f t="array" ref="N6">INDEX([1]股债表现与四个维度!$A:$T,MATCH($A6,[1]股债表现与四个维度!$A:$A,0),MATCH(N$3&amp;N$4,[1]股债表现与四个维度!$2:$2&amp;[1]股债表现与四个维度!$3:$3,0))</f>
        <v>-9.0909090909090912E-2</v>
      </c>
      <c r="O6" s="106">
        <f t="array" ref="O6">INDEX([1]股债表现与四个维度!$A:$T,MATCH($A6,[1]股债表现与四个维度!$A:$A,0),MATCH(O$3&amp;O$4,[1]股债表现与四个维度!$2:$2&amp;[1]股债表现与四个维度!$3:$3,0))</f>
        <v>0.27272727272727271</v>
      </c>
      <c r="P6" s="106">
        <f t="array" ref="P6">INDEX([1]股债表现与四个维度!$A:$T,MATCH($A6,[1]股债表现与四个维度!$A:$A,0),MATCH(P$3&amp;P$4,[1]股债表现与四个维度!$2:$2&amp;[1]股债表现与四个维度!$3:$3,0))</f>
        <v>-0.11764705882352941</v>
      </c>
      <c r="Q6" s="106">
        <f t="array" ref="Q6">INDEX([1]股债表现与四个维度!$A:$T,MATCH($A6,[1]股债表现与四个维度!$A:$A,0),MATCH(Q$3&amp;Q$4,[1]股债表现与四个维度!$2:$2&amp;[1]股债表现与四个维度!$3:$3,0))</f>
        <v>-5.8823529411764705E-2</v>
      </c>
      <c r="R6" s="106">
        <f t="array" ref="R6">INDEX([1]股债表现与四个维度!$A:$T,MATCH($A6,[1]股债表现与四个维度!$A:$A,0),MATCH(R$3&amp;R$4,[1]股债表现与四个维度!$2:$2&amp;[1]股债表现与四个维度!$3:$3,0))</f>
        <v>-0.08</v>
      </c>
      <c r="S6" s="106">
        <f t="array" ref="S6">INDEX([1]股债表现与四个维度!$A:$T,MATCH($A6,[1]股债表现与四个维度!$A:$A,0),MATCH(S$3&amp;S$4,[1]股债表现与四个维度!$2:$2&amp;[1]股债表现与四个维度!$3:$3,0))</f>
        <v>0.36</v>
      </c>
      <c r="T6" s="102">
        <f t="shared" si="0"/>
        <v>-0.30324325062661783</v>
      </c>
      <c r="U6" s="102">
        <f t="shared" si="0"/>
        <v>1.2670071915913699</v>
      </c>
      <c r="V6" s="102">
        <f t="shared" si="1"/>
        <v>-1.5702504422179877</v>
      </c>
      <c r="Y6" s="114">
        <f t="shared" si="2"/>
        <v>-2.002041794392929</v>
      </c>
      <c r="Z6" s="102">
        <f t="shared" ref="Z6:Z14" si="3">(AC6*(J6-K6)+AD6*(L6-M6)+AE6*(N6-O6)+AF6*(P6-Q6)+AG6*(R6-S6))*5</f>
        <v>-1.82958243694552</v>
      </c>
      <c r="AB6" s="115">
        <v>45962</v>
      </c>
      <c r="AC6" s="113">
        <v>0.21</v>
      </c>
      <c r="AD6" s="113">
        <v>0.59</v>
      </c>
      <c r="AE6" s="113">
        <v>0.1</v>
      </c>
      <c r="AF6" s="113">
        <v>0.1</v>
      </c>
      <c r="AG6" s="113">
        <v>0.1</v>
      </c>
    </row>
    <row r="7" spans="1:33" x14ac:dyDescent="0.35">
      <c r="A7" s="105">
        <v>45961</v>
      </c>
      <c r="E7" s="102" t="str">
        <f>VLOOKUP(A7,[1]美林时钟!A4:AB263,28,TRUE)</f>
        <v>过热</v>
      </c>
      <c r="F7" s="102" t="s">
        <v>54</v>
      </c>
      <c r="G7" s="102" t="s">
        <v>94</v>
      </c>
      <c r="H7" s="102" t="s">
        <v>88</v>
      </c>
      <c r="I7" s="102" t="s">
        <v>58</v>
      </c>
      <c r="J7">
        <v>0</v>
      </c>
      <c r="K7" s="106">
        <f t="array" ref="K7">INDEX([1]股债表现与四个维度!$A:$T,MATCH($A7,[1]股债表现与四个维度!$A:$A,0),MATCH(K$3&amp;K$4,[1]股债表现与四个维度!$2:$2&amp;[1]股债表现与四个维度!$3:$3,0))</f>
        <v>0.42105263157894735</v>
      </c>
      <c r="L7" s="106">
        <f t="array" ref="L7">INDEX([1]股债表现与四个维度!$A:$T,MATCH($A7,[1]股债表现与四个维度!$A:$A,0),MATCH(L$3&amp;L$4,[1]股债表现与四个维度!$2:$2&amp;[1]股债表现与四个维度!$3:$3,0))</f>
        <v>-5.2631578947368418E-2</v>
      </c>
      <c r="M7" s="106">
        <f t="array" ref="M7">INDEX([1]股债表现与四个维度!$A:$T,MATCH($A7,[1]股债表现与四个维度!$A:$A,0),MATCH(M$3&amp;M$4,[1]股债表现与四个维度!$2:$2&amp;[1]股债表现与四个维度!$3:$3,0))</f>
        <v>0.2982456140350877</v>
      </c>
      <c r="N7" s="106">
        <f t="array" ref="N7">INDEX([1]股债表现与四个维度!$A:$T,MATCH($A7,[1]股债表现与四个维度!$A:$A,0),MATCH(N$3&amp;N$4,[1]股债表现与四个维度!$2:$2&amp;[1]股债表现与四个维度!$3:$3,0))</f>
        <v>-0.1</v>
      </c>
      <c r="O7" s="106">
        <f t="array" ref="O7">INDEX([1]股债表现与四个维度!$A:$T,MATCH($A7,[1]股债表现与四个维度!$A:$A,0),MATCH(O$3&amp;O$4,[1]股债表现与四个维度!$2:$2&amp;[1]股债表现与四个维度!$3:$3,0))</f>
        <v>0.3</v>
      </c>
      <c r="P7" s="106">
        <f t="array" ref="P7">INDEX([1]股债表现与四个维度!$A:$T,MATCH($A7,[1]股债表现与四个维度!$A:$A,0),MATCH(P$3&amp;P$4,[1]股债表现与四个维度!$2:$2&amp;[1]股债表现与四个维度!$3:$3,0))</f>
        <v>-0.125</v>
      </c>
      <c r="Q7" s="106">
        <f t="array" ref="Q7">INDEX([1]股债表现与四个维度!$A:$T,MATCH($A7,[1]股债表现与四个维度!$A:$A,0),MATCH(Q$3&amp;Q$4,[1]股债表现与四个维度!$2:$2&amp;[1]股债表现与四个维度!$3:$3,0))</f>
        <v>-6.25E-2</v>
      </c>
      <c r="R7" s="106">
        <f t="array" ref="R7">INDEX([1]股债表现与四个维度!$A:$T,MATCH($A7,[1]股债表现与四个维度!$A:$A,0),MATCH(R$3&amp;R$4,[1]股债表现与四个维度!$2:$2&amp;[1]股债表现与四个维度!$3:$3,0))</f>
        <v>-8.3333333333333329E-2</v>
      </c>
      <c r="S7" s="106">
        <f t="array" ref="S7">INDEX([1]股债表现与四个维度!$A:$T,MATCH($A7,[1]股债表现与四个维度!$A:$A,0),MATCH(S$3&amp;S$4,[1]股债表现与四个维度!$2:$2&amp;[1]股债表现与四个维度!$3:$3,0))</f>
        <v>0.375</v>
      </c>
      <c r="T7" s="102">
        <f t="shared" si="0"/>
        <v>-0.36096491228070177</v>
      </c>
      <c r="U7" s="102">
        <f t="shared" si="0"/>
        <v>1.3317982456140351</v>
      </c>
      <c r="V7" s="102">
        <f t="shared" si="1"/>
        <v>-1.6927631578947369</v>
      </c>
      <c r="Y7" s="114">
        <f t="shared" si="2"/>
        <v>-2.0803173752308028</v>
      </c>
      <c r="Z7" s="102">
        <f t="shared" si="3"/>
        <v>-1.9341008771929822</v>
      </c>
      <c r="AB7" s="115">
        <v>45931</v>
      </c>
      <c r="AC7" s="113">
        <v>0.2</v>
      </c>
      <c r="AD7" s="113">
        <v>0.6</v>
      </c>
      <c r="AE7" s="113">
        <v>0.1</v>
      </c>
      <c r="AF7" s="113">
        <v>0.1</v>
      </c>
      <c r="AG7" s="113">
        <v>0.1</v>
      </c>
    </row>
    <row r="8" spans="1:33" x14ac:dyDescent="0.35">
      <c r="A8" s="105">
        <v>45930</v>
      </c>
      <c r="E8" s="102" t="str">
        <f>VLOOKUP(A8,[1]美林时钟!A5:AB264,28,TRUE)</f>
        <v>滞涨</v>
      </c>
      <c r="F8" s="102" t="s">
        <v>54</v>
      </c>
      <c r="G8" s="102" t="s">
        <v>94</v>
      </c>
      <c r="H8" s="102" t="s">
        <v>88</v>
      </c>
      <c r="I8" s="102" t="s">
        <v>58</v>
      </c>
      <c r="J8">
        <v>3.7037037037037E-2</v>
      </c>
      <c r="K8" s="106">
        <f t="array" ref="K8">INDEX([1]股债表现与四个维度!$A:$T,MATCH($A8,[1]股债表现与四个维度!$A:$A,0),MATCH(K$3&amp;K$4,[1]股债表现与四个维度!$2:$2&amp;[1]股债表现与四个维度!$3:$3,0))</f>
        <v>0.44444444444444442</v>
      </c>
      <c r="L8" s="106">
        <f t="array" ref="L8">INDEX([1]股债表现与四个维度!$A:$T,MATCH($A8,[1]股债表现与四个维度!$A:$A,0),MATCH(L$3&amp;L$4,[1]股债表现与四个维度!$2:$2&amp;[1]股债表现与四个维度!$3:$3,0))</f>
        <v>-5.3571428571428568E-2</v>
      </c>
      <c r="M8" s="106">
        <f t="array" ref="M8">INDEX([1]股债表现与四个维度!$A:$T,MATCH($A8,[1]股债表现与四个维度!$A:$A,0),MATCH(M$3&amp;M$4,[1]股债表现与四个维度!$2:$2&amp;[1]股债表现与四个维度!$3:$3,0))</f>
        <v>0.30357142857142855</v>
      </c>
      <c r="N8" s="106">
        <f t="array" ref="N8">INDEX([1]股债表现与四个维度!$A:$T,MATCH($A8,[1]股债表现与四个维度!$A:$A,0),MATCH(N$3&amp;N$4,[1]股债表现与四个维度!$2:$2&amp;[1]股债表现与四个维度!$3:$3,0))</f>
        <v>-0.1111111111111111</v>
      </c>
      <c r="O8" s="106">
        <f t="array" ref="O8">INDEX([1]股债表现与四个维度!$A:$T,MATCH($A8,[1]股债表现与四个维度!$A:$A,0),MATCH(O$3&amp;O$4,[1]股债表现与四个维度!$2:$2&amp;[1]股债表现与四个维度!$3:$3,0))</f>
        <v>0.33333333333333331</v>
      </c>
      <c r="P8" s="106">
        <f t="array" ref="P8">INDEX([1]股债表现与四个维度!$A:$T,MATCH($A8,[1]股债表现与四个维度!$A:$A,0),MATCH(P$3&amp;P$4,[1]股债表现与四个维度!$2:$2&amp;[1]股债表现与四个维度!$3:$3,0))</f>
        <v>-0.13333333333333333</v>
      </c>
      <c r="Q8" s="106">
        <f t="array" ref="Q8">INDEX([1]股债表现与四个维度!$A:$T,MATCH($A8,[1]股债表现与四个维度!$A:$A,0),MATCH(Q$3&amp;Q$4,[1]股债表现与四个维度!$2:$2&amp;[1]股债表现与四个维度!$3:$3,0))</f>
        <v>-6.6666666666666666E-2</v>
      </c>
      <c r="R8" s="106">
        <f t="array" ref="R8">INDEX([1]股债表现与四个维度!$A:$T,MATCH($A8,[1]股债表现与四个维度!$A:$A,0),MATCH(R$3&amp;R$4,[1]股债表现与四个维度!$2:$2&amp;[1]股债表现与四个维度!$3:$3,0))</f>
        <v>-8.6956521739130432E-2</v>
      </c>
      <c r="S8" s="106">
        <f t="array" ref="S8">INDEX([1]股债表现与四个维度!$A:$T,MATCH($A8,[1]股债表现与四个维度!$A:$A,0),MATCH(S$3&amp;S$4,[1]股债表现与四个维度!$2:$2&amp;[1]股债表现与四个维度!$3:$3,0))</f>
        <v>0.39130434782608697</v>
      </c>
      <c r="T8" s="102">
        <f t="shared" si="0"/>
        <v>-0.34793535771796641</v>
      </c>
      <c r="U8" s="102">
        <f t="shared" si="0"/>
        <v>1.4059868875086265</v>
      </c>
      <c r="V8" s="102">
        <f t="shared" si="1"/>
        <v>-1.753922245226593</v>
      </c>
      <c r="Y8" s="114">
        <f t="shared" si="2"/>
        <v>-2.0758049196637809</v>
      </c>
      <c r="Z8" s="102">
        <f t="shared" si="3"/>
        <v>-1.9710087416609154</v>
      </c>
      <c r="AB8" s="115">
        <v>45901</v>
      </c>
      <c r="AC8" s="113">
        <v>0.19</v>
      </c>
      <c r="AD8" s="113">
        <v>0.61</v>
      </c>
      <c r="AE8" s="113">
        <v>0.1</v>
      </c>
      <c r="AF8" s="113">
        <v>0.1</v>
      </c>
      <c r="AG8" s="113">
        <v>0.1</v>
      </c>
    </row>
    <row r="9" spans="1:33" x14ac:dyDescent="0.35">
      <c r="A9" s="105">
        <v>45900</v>
      </c>
      <c r="E9" s="102" t="str">
        <f>VLOOKUP(A9,[1]美林时钟!A6:AB265,28,TRUE)</f>
        <v>滞涨</v>
      </c>
      <c r="F9" s="102" t="s">
        <v>54</v>
      </c>
      <c r="G9" s="102" t="s">
        <v>94</v>
      </c>
      <c r="H9" s="102" t="s">
        <v>88</v>
      </c>
      <c r="I9" s="102" t="s">
        <v>58</v>
      </c>
      <c r="J9">
        <v>7.4074074074074001E-2</v>
      </c>
      <c r="K9" s="106">
        <f t="array" ref="K9">INDEX([1]股债表现与四个维度!$A:$T,MATCH($A9,[1]股债表现与四个维度!$A:$A,0),MATCH(K$3&amp;K$4,[1]股债表现与四个维度!$2:$2&amp;[1]股债表现与四个维度!$3:$3,0))</f>
        <v>0.47058823529411764</v>
      </c>
      <c r="L9" s="106">
        <f t="array" ref="L9">INDEX([1]股债表现与四个维度!$A:$T,MATCH($A9,[1]股债表现与四个维度!$A:$A,0),MATCH(L$3&amp;L$4,[1]股债表现与四个维度!$2:$2&amp;[1]股债表现与四个维度!$3:$3,0))</f>
        <v>-5.4545454545454543E-2</v>
      </c>
      <c r="M9" s="106">
        <f t="array" ref="M9">INDEX([1]股债表现与四个维度!$A:$T,MATCH($A9,[1]股债表现与四个维度!$A:$A,0),MATCH(M$3&amp;M$4,[1]股债表现与四个维度!$2:$2&amp;[1]股债表现与四个维度!$3:$3,0))</f>
        <v>0.30909090909090908</v>
      </c>
      <c r="N9" s="106">
        <f t="array" ref="N9">INDEX([1]股债表现与四个维度!$A:$T,MATCH($A9,[1]股债表现与四个维度!$A:$A,0),MATCH(N$3&amp;N$4,[1]股债表现与四个维度!$2:$2&amp;[1]股债表现与四个维度!$3:$3,0))</f>
        <v>-0.125</v>
      </c>
      <c r="O9" s="106">
        <f t="array" ref="O9">INDEX([1]股债表现与四个维度!$A:$T,MATCH($A9,[1]股债表现与四个维度!$A:$A,0),MATCH(O$3&amp;O$4,[1]股债表现与四个维度!$2:$2&amp;[1]股债表现与四个维度!$3:$3,0))</f>
        <v>0.375</v>
      </c>
      <c r="P9" s="106">
        <f t="array" ref="P9">INDEX([1]股债表现与四个维度!$A:$T,MATCH($A9,[1]股债表现与四个维度!$A:$A,0),MATCH(P$3&amp;P$4,[1]股债表现与四个维度!$2:$2&amp;[1]股债表现与四个维度!$3:$3,0))</f>
        <v>-0.14285714285714285</v>
      </c>
      <c r="Q9" s="106">
        <f t="array" ref="Q9">INDEX([1]股债表现与四个维度!$A:$T,MATCH($A9,[1]股债表现与四个维度!$A:$A,0),MATCH(Q$3&amp;Q$4,[1]股债表现与四个维度!$2:$2&amp;[1]股债表现与四个维度!$3:$3,0))</f>
        <v>-7.1428571428571425E-2</v>
      </c>
      <c r="R9" s="106">
        <f t="array" ref="R9">INDEX([1]股债表现与四个维度!$A:$T,MATCH($A9,[1]股债表现与四个维度!$A:$A,0),MATCH(R$3&amp;R$4,[1]股债表现与四个维度!$2:$2&amp;[1]股债表现与四个维度!$3:$3,0))</f>
        <v>-9.0909090909090912E-2</v>
      </c>
      <c r="S9" s="106">
        <f t="array" ref="S9">INDEX([1]股债表现与四个维度!$A:$T,MATCH($A9,[1]股债表现与四个维度!$A:$A,0),MATCH(S$3&amp;S$4,[1]股债表现与四个维度!$2:$2&amp;[1]股债表现与四个维度!$3:$3,0))</f>
        <v>0.40909090909090912</v>
      </c>
      <c r="T9" s="102">
        <f t="shared" si="0"/>
        <v>-0.33923761423761434</v>
      </c>
      <c r="U9" s="102">
        <f t="shared" si="0"/>
        <v>1.4923414820473646</v>
      </c>
      <c r="V9" s="102">
        <f t="shared" si="1"/>
        <v>-1.8315790962849789</v>
      </c>
      <c r="Y9" s="114">
        <f>AVERAGE(Z9:Z14)</f>
        <v>-2.170856441604156</v>
      </c>
      <c r="Z9" s="102">
        <f t="shared" si="3"/>
        <v>-2.0198497580850523</v>
      </c>
      <c r="AB9" s="115">
        <v>45870</v>
      </c>
      <c r="AC9" s="113">
        <v>0.18</v>
      </c>
      <c r="AD9" s="113">
        <v>0.62</v>
      </c>
      <c r="AE9" s="113">
        <v>0.1</v>
      </c>
      <c r="AF9" s="113">
        <v>0.1</v>
      </c>
      <c r="AG9" s="113">
        <v>0.1</v>
      </c>
    </row>
    <row r="10" spans="1:33" x14ac:dyDescent="0.35">
      <c r="A10" s="105">
        <v>45869</v>
      </c>
      <c r="E10" s="102" t="str">
        <f>VLOOKUP(A10,[1]美林时钟!A7:AB266,28,TRUE)</f>
        <v>滞涨</v>
      </c>
      <c r="F10" s="102" t="s">
        <v>54</v>
      </c>
      <c r="G10" s="102" t="s">
        <v>94</v>
      </c>
      <c r="H10" s="102" t="s">
        <v>88</v>
      </c>
      <c r="I10" s="102" t="s">
        <v>58</v>
      </c>
      <c r="J10">
        <v>0.11111111111111099</v>
      </c>
      <c r="K10" s="106">
        <f t="array" ref="K10">INDEX([1]股债表现与四个维度!$A:$T,MATCH($A10,[1]股债表现与四个维度!$A:$A,0),MATCH(K$3&amp;K$4,[1]股债表现与四个维度!$2:$2&amp;[1]股债表现与四个维度!$3:$3,0))</f>
        <v>0.5</v>
      </c>
      <c r="L10" s="106">
        <v>-0.05</v>
      </c>
      <c r="M10" s="106">
        <f t="array" ref="M10">INDEX([1]股债表现与四个维度!$A:$T,MATCH($A10,[1]股债表现与四个维度!$A:$A,0),MATCH(M$3&amp;M$4,[1]股债表现与四个维度!$2:$2&amp;[1]股债表现与四个维度!$3:$3,0))</f>
        <v>0.31481481481481483</v>
      </c>
      <c r="N10" s="106">
        <f t="array" ref="N10">INDEX([1]股债表现与四个维度!$A:$T,MATCH($A10,[1]股债表现与四个维度!$A:$A,0),MATCH(N$3&amp;N$4,[1]股债表现与四个维度!$2:$2&amp;[1]股债表现与四个维度!$3:$3,0))</f>
        <v>-0.14285714285714285</v>
      </c>
      <c r="O10" s="106">
        <f t="array" ref="O10">INDEX([1]股债表现与四个维度!$A:$T,MATCH($A10,[1]股债表现与四个维度!$A:$A,0),MATCH(O$3&amp;O$4,[1]股债表现与四个维度!$2:$2&amp;[1]股债表现与四个维度!$3:$3,0))</f>
        <v>0.42857142857142855</v>
      </c>
      <c r="P10" s="106">
        <f t="array" ref="P10">INDEX([1]股债表现与四个维度!$A:$T,MATCH($A10,[1]股债表现与四个维度!$A:$A,0),MATCH(P$3&amp;P$4,[1]股债表现与四个维度!$2:$2&amp;[1]股债表现与四个维度!$3:$3,0))</f>
        <v>-0.15384615384615385</v>
      </c>
      <c r="Q10" s="106">
        <f t="array" ref="Q10">INDEX([1]股债表现与四个维度!$A:$T,MATCH($A10,[1]股债表现与四个维度!$A:$A,0),MATCH(Q$3&amp;Q$4,[1]股债表现与四个维度!$2:$2&amp;[1]股债表现与四个维度!$3:$3,0))</f>
        <v>-7.6923076923076927E-2</v>
      </c>
      <c r="R10" s="106">
        <f t="array" ref="R10">INDEX([1]股债表现与四个维度!$A:$T,MATCH($A10,[1]股债表现与四个维度!$A:$A,0),MATCH(R$3&amp;R$4,[1]股债表现与四个维度!$2:$2&amp;[1]股债表现与四个维度!$3:$3,0))</f>
        <v>-9.5238095238095233E-2</v>
      </c>
      <c r="S10" s="106">
        <f t="array" ref="S10">INDEX([1]股债表现与四个维度!$A:$T,MATCH($A10,[1]股债表现与四个维度!$A:$A,0),MATCH(S$3&amp;S$4,[1]股债表现与四个维度!$2:$2&amp;[1]股债表现与四个维度!$3:$3,0))</f>
        <v>0.42857142857142855</v>
      </c>
      <c r="T10" s="102">
        <f>SUMIFS($J10:$S10,$J10:$S10,"&lt;&gt;"&amp;"#N/A",$J$4:$S$4,T$4)</f>
        <v>-0.33083028083028093</v>
      </c>
      <c r="U10" s="102">
        <f t="shared" si="0"/>
        <v>1.5950345950345952</v>
      </c>
      <c r="V10" s="102">
        <f t="shared" si="1"/>
        <v>-1.9258648758648762</v>
      </c>
      <c r="Y10" s="114">
        <f t="shared" si="2"/>
        <v>-1.6108246637414962</v>
      </c>
      <c r="Z10" s="102">
        <f>(AC10*(J10-K10)+AD10*(L10-M10)+AE10*(N10-O10)+AF10*(P10-Q10)+AG10*(R10-S10))*5</f>
        <v>-2.0658028083028084</v>
      </c>
      <c r="AB10" s="115">
        <v>45839</v>
      </c>
      <c r="AC10" s="113">
        <v>0.17</v>
      </c>
      <c r="AD10" s="113">
        <v>0.63</v>
      </c>
      <c r="AE10" s="113">
        <v>0.1</v>
      </c>
      <c r="AF10" s="113">
        <v>0.1</v>
      </c>
      <c r="AG10" s="113">
        <v>0.1</v>
      </c>
    </row>
    <row r="11" spans="1:33" x14ac:dyDescent="0.35">
      <c r="A11" s="105">
        <v>45838</v>
      </c>
      <c r="B11" s="103"/>
      <c r="C11" s="103"/>
      <c r="D11" s="103"/>
      <c r="E11" s="102" t="str">
        <f>VLOOKUP(A11,[1]美林时钟!A8:AB267,28,TRUE)</f>
        <v>滞涨</v>
      </c>
      <c r="F11" s="102" t="s">
        <v>54</v>
      </c>
      <c r="G11" s="102" t="s">
        <v>94</v>
      </c>
      <c r="H11" s="102" t="s">
        <v>88</v>
      </c>
      <c r="I11" s="102" t="s">
        <v>58</v>
      </c>
      <c r="J11">
        <v>0.115384615384615</v>
      </c>
      <c r="K11" s="106">
        <f t="array" ref="K11">INDEX([1]股债表现与四个维度!$A:$T,MATCH($A11,[1]股债表现与四个维度!$A:$A,0),MATCH(K$3&amp;K$4,[1]股债表现与四个维度!$2:$2&amp;[1]股债表现与四个维度!$3:$3,0))</f>
        <v>0.53333333333333333</v>
      </c>
      <c r="L11" s="106">
        <f t="array" ref="L11">INDEX([1]股债表现与四个维度!$A:$T,MATCH($A11,[1]股债表现与四个维度!$A:$A,0),MATCH(L$3&amp;L$4,[1]股债表现与四个维度!$2:$2&amp;[1]股债表现与四个维度!$3:$3,0))</f>
        <v>-5.6603773584905662E-2</v>
      </c>
      <c r="M11" s="106">
        <f t="array" ref="M11">INDEX([1]股债表现与四个维度!$A:$T,MATCH($A11,[1]股债表现与四个维度!$A:$A,0),MATCH(M$3&amp;M$4,[1]股债表现与四个维度!$2:$2&amp;[1]股债表现与四个维度!$3:$3,0))</f>
        <v>0.32075471698113206</v>
      </c>
      <c r="N11" s="106">
        <f t="array" ref="N11">INDEX([1]股债表现与四个维度!$A:$T,MATCH($A11,[1]股债表现与四个维度!$A:$A,0),MATCH(N$3&amp;N$4,[1]股债表现与四个维度!$2:$2&amp;[1]股债表现与四个维度!$3:$3,0))</f>
        <v>-0.16666666666666666</v>
      </c>
      <c r="O11" s="106">
        <f t="array" ref="O11">INDEX([1]股债表现与四个维度!$A:$T,MATCH($A11,[1]股债表现与四个维度!$A:$A,0),MATCH(O$3&amp;O$4,[1]股债表现与四个维度!$2:$2&amp;[1]股债表现与四个维度!$3:$3,0))</f>
        <v>0.5</v>
      </c>
      <c r="P11" s="106">
        <f t="array" ref="P11">INDEX([1]股债表现与四个维度!$A:$T,MATCH($A11,[1]股债表现与四个维度!$A:$A,0),MATCH(P$3&amp;P$4,[1]股债表现与四个维度!$2:$2&amp;[1]股债表现与四个维度!$3:$3,0))</f>
        <v>-0.16666666666666666</v>
      </c>
      <c r="Q11" s="106">
        <f t="array" ref="Q11">INDEX([1]股债表现与四个维度!$A:$T,MATCH($A11,[1]股债表现与四个维度!$A:$A,0),MATCH(Q$3&amp;Q$4,[1]股债表现与四个维度!$2:$2&amp;[1]股债表现与四个维度!$3:$3,0))</f>
        <v>-8.3333333333333329E-2</v>
      </c>
      <c r="R11" s="106">
        <f t="array" ref="R11">INDEX([1]股债表现与四个维度!$A:$T,MATCH($A11,[1]股债表现与四个维度!$A:$A,0),MATCH(R$3&amp;R$4,[1]股债表现与四个维度!$2:$2&amp;[1]股债表现与四个维度!$3:$3,0))</f>
        <v>-0.1</v>
      </c>
      <c r="S11" s="106">
        <f t="array" ref="S11">INDEX([1]股债表现与四个维度!$A:$T,MATCH($A11,[1]股债表现与四个维度!$A:$A,0),MATCH(S$3&amp;S$4,[1]股债表现与四个维度!$2:$2&amp;[1]股债表现与四个维度!$3:$3,0))</f>
        <v>0.45</v>
      </c>
      <c r="T11" s="102">
        <f t="shared" si="0"/>
        <v>-0.37455249153362402</v>
      </c>
      <c r="U11" s="102">
        <f t="shared" si="0"/>
        <v>1.7207547169811321</v>
      </c>
      <c r="V11" s="102">
        <f t="shared" si="1"/>
        <v>-2.0953072085147562</v>
      </c>
      <c r="Y11" s="114">
        <f>AVERAGE(Z11:Z16)</f>
        <v>-1.5398575290243615</v>
      </c>
      <c r="Z11" s="102">
        <f t="shared" si="3"/>
        <v>-2.1919061441702952</v>
      </c>
      <c r="AB11" s="115">
        <v>45809</v>
      </c>
      <c r="AC11" s="113">
        <v>0.16</v>
      </c>
      <c r="AD11" s="113">
        <v>0.64</v>
      </c>
      <c r="AE11" s="113">
        <v>0.1</v>
      </c>
      <c r="AF11" s="113">
        <v>0.1</v>
      </c>
      <c r="AG11" s="113">
        <v>0.1</v>
      </c>
    </row>
    <row r="12" spans="1:33" x14ac:dyDescent="0.35">
      <c r="A12" s="105">
        <v>45808</v>
      </c>
      <c r="B12" s="103"/>
      <c r="C12" s="103"/>
      <c r="D12" s="103"/>
      <c r="E12" s="102" t="str">
        <f>VLOOKUP(A12,[1]美林时钟!A9:AB268,28,TRUE)</f>
        <v>滞涨</v>
      </c>
      <c r="F12" s="102" t="s">
        <v>54</v>
      </c>
      <c r="G12" s="102" t="s">
        <v>94</v>
      </c>
      <c r="H12" s="102" t="s">
        <v>88</v>
      </c>
      <c r="I12" s="102" t="s">
        <v>58</v>
      </c>
      <c r="J12">
        <v>0.12</v>
      </c>
      <c r="K12" s="106">
        <f t="array" ref="K12">INDEX([1]股债表现与四个维度!$A:$T,MATCH($A12,[1]股债表现与四个维度!$A:$A,0),MATCH(K$3&amp;K$4,[1]股债表现与四个维度!$2:$2&amp;[1]股债表现与四个维度!$3:$3,0))</f>
        <v>0.53333333333333333</v>
      </c>
      <c r="L12" s="106">
        <f t="array" ref="L12">INDEX([1]股债表现与四个维度!$A:$T,MATCH($A12,[1]股债表现与四个维度!$A:$A,0),MATCH(L$3&amp;L$4,[1]股债表现与四个维度!$2:$2&amp;[1]股债表现与四个维度!$3:$3,0))</f>
        <v>-5.7692307692307696E-2</v>
      </c>
      <c r="M12" s="106">
        <f t="array" ref="M12">INDEX([1]股债表现与四个维度!$A:$T,MATCH($A12,[1]股债表现与四个维度!$A:$A,0),MATCH(M$3&amp;M$4,[1]股债表现与四个维度!$2:$2&amp;[1]股债表现与四个维度!$3:$3,0))</f>
        <v>0.32692307692307693</v>
      </c>
      <c r="N12" s="106">
        <f t="array" ref="N12">INDEX([1]股债表现与四个维度!$A:$T,MATCH($A12,[1]股债表现与四个维度!$A:$A,0),MATCH(N$3&amp;N$4,[1]股债表现与四个维度!$2:$2&amp;[1]股债表现与四个维度!$3:$3,0))</f>
        <v>-0.2</v>
      </c>
      <c r="O12" s="106">
        <f t="array" ref="O12">INDEX([1]股债表现与四个维度!$A:$T,MATCH($A12,[1]股债表现与四个维度!$A:$A,0),MATCH(O$3&amp;O$4,[1]股债表现与四个维度!$2:$2&amp;[1]股债表现与四个维度!$3:$3,0))</f>
        <v>0.6</v>
      </c>
      <c r="P12" s="106">
        <f t="array" ref="P12">INDEX([1]股债表现与四个维度!$A:$T,MATCH($A12,[1]股债表现与四个维度!$A:$A,0),MATCH(P$3&amp;P$4,[1]股债表现与四个维度!$2:$2&amp;[1]股债表现与四个维度!$3:$3,0))</f>
        <v>-0.18181818181818182</v>
      </c>
      <c r="Q12" s="106">
        <f t="array" ref="Q12">INDEX([1]股债表现与四个维度!$A:$T,MATCH($A12,[1]股债表现与四个维度!$A:$A,0),MATCH(Q$3&amp;Q$4,[1]股债表现与四个维度!$2:$2&amp;[1]股债表现与四个维度!$3:$3,0))</f>
        <v>-9.0909090909090912E-2</v>
      </c>
      <c r="R12" s="106">
        <f t="array" ref="R12">INDEX([1]股债表现与四个维度!$A:$T,MATCH($A12,[1]股债表现与四个维度!$A:$A,0),MATCH(R$3&amp;R$4,[1]股债表现与四个维度!$2:$2&amp;[1]股债表现与四个维度!$3:$3,0))</f>
        <v>-0.10526315789473684</v>
      </c>
      <c r="S12" s="106">
        <f t="array" ref="S12">INDEX([1]股债表现与四个维度!$A:$T,MATCH($A12,[1]股债表现与四个维度!$A:$A,0),MATCH(S$3&amp;S$4,[1]股债表现与四个维度!$2:$2&amp;[1]股债表现与四个维度!$3:$3,0))</f>
        <v>0.47368421052631576</v>
      </c>
      <c r="T12" s="102">
        <f t="shared" si="0"/>
        <v>-0.42477364740522638</v>
      </c>
      <c r="U12" s="102">
        <f t="shared" si="0"/>
        <v>1.8430315298736353</v>
      </c>
      <c r="V12" s="102">
        <f t="shared" si="1"/>
        <v>-2.2678051772788619</v>
      </c>
      <c r="Y12" s="114">
        <f t="shared" si="2"/>
        <v>-0.85224917810386946</v>
      </c>
      <c r="Z12" s="102">
        <f t="shared" si="3"/>
        <v>-2.2992359219727643</v>
      </c>
      <c r="AB12" s="115">
        <v>45778</v>
      </c>
      <c r="AC12" s="113">
        <v>0.18</v>
      </c>
      <c r="AD12" s="113">
        <v>0.62</v>
      </c>
      <c r="AE12" s="113">
        <v>0.1</v>
      </c>
      <c r="AF12" s="113">
        <v>0.1</v>
      </c>
      <c r="AG12" s="113">
        <v>0.1</v>
      </c>
    </row>
    <row r="13" spans="1:33" x14ac:dyDescent="0.35">
      <c r="A13" s="105">
        <v>45777</v>
      </c>
      <c r="B13" s="103"/>
      <c r="C13" s="103"/>
      <c r="D13" s="103"/>
      <c r="E13" s="102" t="str">
        <f>VLOOKUP(A13,[1]美林时钟!A10:AB269,28,TRUE)</f>
        <v>衰退</v>
      </c>
      <c r="F13" s="102" t="s">
        <v>54</v>
      </c>
      <c r="G13" s="102" t="s">
        <v>94</v>
      </c>
      <c r="H13" s="102" t="s">
        <v>88</v>
      </c>
      <c r="I13" s="102" t="s">
        <v>58</v>
      </c>
      <c r="J13">
        <v>0.125</v>
      </c>
      <c r="K13" s="106">
        <f t="array" ref="K13">INDEX([1]股债表现与四个维度!$A:$T,MATCH($A13,[1]股债表现与四个维度!$A:$A,0),MATCH(K$3&amp;K$4,[1]股债表现与四个维度!$2:$2&amp;[1]股债表现与四个维度!$3:$3,0))</f>
        <v>0</v>
      </c>
      <c r="L13" s="106">
        <f t="array" ref="L13">INDEX([1]股债表现与四个维度!$A:$T,MATCH($A13,[1]股债表现与四个维度!$A:$A,0),MATCH(L$3&amp;L$4,[1]股债表现与四个维度!$2:$2&amp;[1]股债表现与四个维度!$3:$3,0))</f>
        <v>-5.8823529411764705E-2</v>
      </c>
      <c r="M13" s="106">
        <f t="array" ref="M13">INDEX([1]股债表现与四个维度!$A:$T,MATCH($A13,[1]股债表现与四个维度!$A:$A,0),MATCH(M$3&amp;M$4,[1]股债表现与四个维度!$2:$2&amp;[1]股债表现与四个维度!$3:$3,0))</f>
        <v>0.33333333333333331</v>
      </c>
      <c r="N13" s="106">
        <f t="array" ref="N13">INDEX([1]股债表现与四个维度!$A:$T,MATCH($A13,[1]股债表现与四个维度!$A:$A,0),MATCH(N$3&amp;N$4,[1]股债表现与四个维度!$2:$2&amp;[1]股债表现与四个维度!$3:$3,0))</f>
        <v>-0.25</v>
      </c>
      <c r="O13" s="106">
        <f t="array" ref="O13">INDEX([1]股债表现与四个维度!$A:$T,MATCH($A13,[1]股债表现与四个维度!$A:$A,0),MATCH(O$3&amp;O$4,[1]股债表现与四个维度!$2:$2&amp;[1]股债表现与四个维度!$3:$3,0))</f>
        <v>0.75</v>
      </c>
      <c r="P13" s="106">
        <f t="array" ref="P13">INDEX([1]股债表现与四个维度!$A:$T,MATCH($A13,[1]股债表现与四个维度!$A:$A,0),MATCH(P$3&amp;P$4,[1]股债表现与四个维度!$2:$2&amp;[1]股债表现与四个维度!$3:$3,0))</f>
        <v>-0.2</v>
      </c>
      <c r="Q13" s="106">
        <f t="array" ref="Q13">INDEX([1]股债表现与四个维度!$A:$T,MATCH($A13,[1]股债表现与四个维度!$A:$A,0),MATCH(Q$3&amp;Q$4,[1]股债表现与四个维度!$2:$2&amp;[1]股债表现与四个维度!$3:$3,0))</f>
        <v>-0.1</v>
      </c>
      <c r="R13" s="106">
        <f t="array" ref="R13">INDEX([1]股债表现与四个维度!$A:$T,MATCH($A13,[1]股债表现与四个维度!$A:$A,0),MATCH(R$3&amp;R$4,[1]股债表现与四个维度!$2:$2&amp;[1]股债表现与四个维度!$3:$3,0))</f>
        <v>-0.1111111111111111</v>
      </c>
      <c r="S13" s="106">
        <f t="array" ref="S13">INDEX([1]股债表现与四个维度!$A:$T,MATCH($A13,[1]股债表现与四个维度!$A:$A,0),MATCH(S$3&amp;S$4,[1]股债表现与四个维度!$2:$2&amp;[1]股债表现与四个维度!$3:$3,0))</f>
        <v>0.5</v>
      </c>
      <c r="T13" s="102">
        <f t="shared" si="0"/>
        <v>-0.49493464052287583</v>
      </c>
      <c r="U13" s="102">
        <f t="shared" si="0"/>
        <v>1.4833333333333334</v>
      </c>
      <c r="V13" s="102">
        <f t="shared" si="1"/>
        <v>-1.9782679738562092</v>
      </c>
      <c r="Y13" s="114">
        <f t="shared" si="2"/>
        <v>-0.16423901278821199</v>
      </c>
      <c r="Z13" s="102">
        <f t="shared" si="3"/>
        <v>-1.9070261437908498</v>
      </c>
      <c r="AB13" s="115">
        <v>45748</v>
      </c>
      <c r="AC13" s="113">
        <v>0.2</v>
      </c>
      <c r="AD13" s="113">
        <v>0.6</v>
      </c>
      <c r="AE13" s="113">
        <v>0.1</v>
      </c>
      <c r="AF13" s="113">
        <v>0.1</v>
      </c>
      <c r="AG13" s="113">
        <v>0.1</v>
      </c>
    </row>
    <row r="14" spans="1:33" x14ac:dyDescent="0.35">
      <c r="A14" s="105">
        <v>45747</v>
      </c>
      <c r="B14" s="103"/>
      <c r="C14" s="103"/>
      <c r="D14" s="103"/>
      <c r="E14" s="102" t="str">
        <f>VLOOKUP(A14,[1]美林时钟!A11:AB270,28,TRUE)</f>
        <v>复苏</v>
      </c>
      <c r="F14" s="102" t="s">
        <v>54</v>
      </c>
      <c r="G14" s="102" t="s">
        <v>94</v>
      </c>
      <c r="H14" s="102" t="s">
        <v>88</v>
      </c>
      <c r="I14" s="102" t="s">
        <v>58</v>
      </c>
      <c r="J14">
        <v>0.125</v>
      </c>
      <c r="K14" s="106">
        <f t="array" ref="K14">INDEX([1]股债表现与四个维度!$A:$T,MATCH($A14,[1]股债表现与四个维度!$A:$A,0),MATCH(K$3&amp;K$4,[1]股债表现与四个维度!$2:$2&amp;[1]股债表现与四个维度!$3:$3,0))</f>
        <v>0.61538461538461542</v>
      </c>
      <c r="L14" s="106">
        <f t="array" ref="L14">INDEX([1]股债表现与四个维度!$A:$T,MATCH($A14,[1]股债表现与四个维度!$A:$A,0),MATCH(L$3&amp;L$4,[1]股债表现与四个维度!$2:$2&amp;[1]股债表现与四个维度!$3:$3,0))</f>
        <v>-0.06</v>
      </c>
      <c r="M14" s="106">
        <f t="array" ref="M14">INDEX([1]股债表现与四个维度!$A:$T,MATCH($A14,[1]股债表现与四个维度!$A:$A,0),MATCH(M$3&amp;M$4,[1]股债表现与四个维度!$2:$2&amp;[1]股债表现与四个维度!$3:$3,0))</f>
        <v>0.34</v>
      </c>
      <c r="N14" s="106">
        <f t="array" ref="N14">INDEX([1]股债表现与四个维度!$A:$T,MATCH($A14,[1]股债表现与四个维度!$A:$A,0),MATCH(N$3&amp;N$4,[1]股债表现与四个维度!$2:$2&amp;[1]股债表现与四个维度!$3:$3,0))</f>
        <v>-0.25</v>
      </c>
      <c r="O14" s="106">
        <f t="array" ref="O14">INDEX([1]股债表现与四个维度!$A:$T,MATCH($A14,[1]股债表现与四个维度!$A:$A,0),MATCH(O$3&amp;O$4,[1]股债表现与四个维度!$2:$2&amp;[1]股债表现与四个维度!$3:$3,0))</f>
        <v>0.75</v>
      </c>
      <c r="P14" s="106">
        <f t="array" ref="P14">INDEX([1]股债表现与四个维度!$A:$T,MATCH($A14,[1]股债表现与四个维度!$A:$A,0),MATCH(P$3&amp;P$4,[1]股债表现与四个维度!$2:$2&amp;[1]股债表现与四个维度!$3:$3,0))</f>
        <v>-0.2</v>
      </c>
      <c r="Q14" s="106">
        <f t="array" ref="Q14">INDEX([1]股债表现与四个维度!$A:$T,MATCH($A14,[1]股债表现与四个维度!$A:$A,0),MATCH(Q$3&amp;Q$4,[1]股债表现与四个维度!$2:$2&amp;[1]股债表现与四个维度!$3:$3,0))</f>
        <v>-0.1</v>
      </c>
      <c r="R14" s="106">
        <f t="array" ref="R14">INDEX([1]股债表现与四个维度!$A:$T,MATCH($A14,[1]股债表现与四个维度!$A:$A,0),MATCH(R$3&amp;R$4,[1]股债表现与四个维度!$2:$2&amp;[1]股债表现与四个维度!$3:$3,0))</f>
        <v>-0.11764705882352941</v>
      </c>
      <c r="S14" s="106">
        <f t="array" ref="S14">INDEX([1]股债表现与四个维度!$A:$T,MATCH($A14,[1]股债表现与四个维度!$A:$A,0),MATCH(S$3&amp;S$4,[1]股债表现与四个维度!$2:$2&amp;[1]股债表现与四个维度!$3:$3,0))</f>
        <v>0.52941176470588236</v>
      </c>
      <c r="T14" s="102">
        <f t="shared" si="0"/>
        <v>-0.50264705882352945</v>
      </c>
      <c r="U14" s="102">
        <f t="shared" si="0"/>
        <v>2.1347963800904979</v>
      </c>
      <c r="V14" s="102">
        <f t="shared" si="1"/>
        <v>-2.6374434389140271</v>
      </c>
      <c r="Y14" s="114">
        <f>AVERAGE(Z14:Z19)</f>
        <v>-0.22545833970026341</v>
      </c>
      <c r="Z14" s="102">
        <f t="shared" si="3"/>
        <v>-2.5413178733031678</v>
      </c>
      <c r="AB14" s="115">
        <v>45717</v>
      </c>
      <c r="AC14" s="113">
        <v>0.15</v>
      </c>
      <c r="AD14" s="113">
        <v>0.65</v>
      </c>
      <c r="AE14" s="113">
        <v>0.1</v>
      </c>
      <c r="AF14" s="113">
        <v>0.1</v>
      </c>
      <c r="AG14" s="113">
        <v>0.1</v>
      </c>
    </row>
    <row r="15" spans="1:33" x14ac:dyDescent="0.35">
      <c r="A15" s="107">
        <v>45716</v>
      </c>
      <c r="B15" s="108">
        <v>4.6416174778280697</v>
      </c>
      <c r="C15" s="109">
        <v>-1.8484210526316001</v>
      </c>
      <c r="D15" s="108">
        <v>0.129940347562918</v>
      </c>
      <c r="E15" s="102" t="str">
        <f>VLOOKUP(A15,[1]美林时钟!A12:AB271,28,TRUE)</f>
        <v>复苏</v>
      </c>
      <c r="F15" s="102" t="s">
        <v>54</v>
      </c>
      <c r="G15" s="102" t="s">
        <v>95</v>
      </c>
      <c r="H15" s="102" t="s">
        <v>53</v>
      </c>
      <c r="I15" s="102" t="s">
        <v>58</v>
      </c>
      <c r="J15" s="106">
        <f t="array" ref="J15">INDEX([1]股债表现与四个维度!$A:$T,MATCH($A15,[1]股债表现与四个维度!$A:$A,0),MATCH(J$3&amp;J$4,[1]股债表现与四个维度!$2:$2&amp;[1]股债表现与四个维度!$3:$3,0))</f>
        <v>0</v>
      </c>
      <c r="K15" s="106">
        <f t="array" ref="K15">INDEX([1]股债表现与四个维度!$A:$T,MATCH($A15,[1]股债表现与四个维度!$A:$A,0),MATCH(K$3&amp;K$4,[1]股债表现与四个维度!$2:$2&amp;[1]股债表现与四个维度!$3:$3,0))</f>
        <v>0.61538461538461542</v>
      </c>
      <c r="L15" s="106">
        <f t="array" ref="L15">INDEX([1]股债表现与四个维度!$A:$T,MATCH($A15,[1]股债表现与四个维度!$A:$A,0),MATCH(L$3&amp;L$4,[1]股债表现与四个维度!$2:$2&amp;[1]股债表现与四个维度!$3:$3,0))</f>
        <v>-4.0816326530612242E-2</v>
      </c>
      <c r="M15" s="106">
        <f t="array" ref="M15">INDEX([1]股债表现与四个维度!$A:$T,MATCH($A15,[1]股债表现与四个维度!$A:$A,0),MATCH(M$3&amp;M$4,[1]股债表现与四个维度!$2:$2&amp;[1]股债表现与四个维度!$3:$3,0))</f>
        <v>0.32653061224489793</v>
      </c>
      <c r="N15" s="106">
        <f t="array" ref="N15">INDEX([1]股债表现与四个维度!$A:$T,MATCH($A15,[1]股债表现与四个维度!$A:$A,0),MATCH(N$3&amp;N$4,[1]股债表现与四个维度!$2:$2&amp;[1]股债表现与四个维度!$3:$3,0))</f>
        <v>6.25E-2</v>
      </c>
      <c r="O15" s="106">
        <f t="array" ref="O15">INDEX([1]股债表现与四个维度!$A:$T,MATCH($A15,[1]股债表现与四个维度!$A:$A,0),MATCH(O$3&amp;O$4,[1]股债表现与四个维度!$2:$2&amp;[1]股债表现与四个维度!$3:$3,0))</f>
        <v>-0.4375</v>
      </c>
      <c r="P15" s="106">
        <f t="array" ref="P15">INDEX([1]股债表现与四个维度!$A:$T,MATCH($A15,[1]股债表现与四个维度!$A:$A,0),MATCH(P$3&amp;P$4,[1]股债表现与四个维度!$2:$2&amp;[1]股债表现与四个维度!$3:$3,0))</f>
        <v>0</v>
      </c>
      <c r="Q15" s="106">
        <f t="array" ref="Q15">INDEX([1]股债表现与四个维度!$A:$T,MATCH($A15,[1]股债表现与四个维度!$A:$A,0),MATCH(Q$3&amp;Q$4,[1]股债表现与四个维度!$2:$2&amp;[1]股债表现与四个维度!$3:$3,0))</f>
        <v>0.33333333333333331</v>
      </c>
      <c r="R15" s="106">
        <f t="array" ref="R15">INDEX([1]股债表现与四个维度!$A:$T,MATCH($A15,[1]股债表现与四个维度!$A:$A,0),MATCH(R$3&amp;R$4,[1]股债表现与四个维度!$2:$2&amp;[1]股债表现与四个维度!$3:$3,0))</f>
        <v>-6.25E-2</v>
      </c>
      <c r="S15" s="106">
        <f t="array" ref="S15">INDEX([1]股债表现与四个维度!$A:$T,MATCH($A15,[1]股债表现与四个维度!$A:$A,0),MATCH(S$3&amp;S$4,[1]股债表现与四个维度!$2:$2&amp;[1]股债表现与四个维度!$3:$3,0))</f>
        <v>0.5</v>
      </c>
      <c r="T15" s="102">
        <f t="shared" si="0"/>
        <v>-4.0816326530612242E-2</v>
      </c>
      <c r="U15" s="102">
        <f t="shared" si="0"/>
        <v>1.3377485609628466</v>
      </c>
      <c r="V15" s="102">
        <f t="shared" si="1"/>
        <v>-1.3785648874934588</v>
      </c>
      <c r="W15" s="110">
        <f>B15+C15</f>
        <v>2.7931964251964696</v>
      </c>
      <c r="X15" s="114">
        <v>-3.9967064101645278</v>
      </c>
      <c r="Y15" s="114">
        <f>'框架指示的股债胜率（综合）'!AA5</f>
        <v>6.2205132956319388E-2</v>
      </c>
      <c r="Z15" s="102">
        <f>'框架指示的股债胜率（综合）'!AC5</f>
        <v>1.3403409090909091</v>
      </c>
    </row>
    <row r="16" spans="1:33" x14ac:dyDescent="0.35">
      <c r="A16" s="107">
        <v>45688</v>
      </c>
      <c r="B16" s="108">
        <v>-2.31869818188957</v>
      </c>
      <c r="C16" s="109">
        <v>-16.228851674641099</v>
      </c>
      <c r="D16" s="108">
        <v>8.9306255763216005E-2</v>
      </c>
      <c r="E16" s="102" t="str">
        <f>VLOOKUP(A16,[1]美林时钟!A13:AB272,28,TRUE)</f>
        <v>过热</v>
      </c>
      <c r="F16" s="102" t="s">
        <v>54</v>
      </c>
      <c r="G16" s="102" t="s">
        <v>95</v>
      </c>
      <c r="H16" s="102" t="s">
        <v>53</v>
      </c>
      <c r="I16" s="102" t="s">
        <v>58</v>
      </c>
      <c r="J16" s="106">
        <f t="array" ref="J16">INDEX([1]股债表现与四个维度!$A:$T,MATCH($A16,[1]股债表现与四个维度!$A:$A,0),MATCH(J$3&amp;J$4,[1]股债表现与四个维度!$2:$2&amp;[1]股债表现与四个维度!$3:$3,0))</f>
        <v>0.25</v>
      </c>
      <c r="K16" s="106">
        <f t="array" ref="K16">INDEX([1]股债表现与四个维度!$A:$T,MATCH($A16,[1]股债表现与四个维度!$A:$A,0),MATCH(K$3&amp;K$4,[1]股债表现与四个维度!$2:$2&amp;[1]股债表现与四个维度!$3:$3,0))</f>
        <v>4.1666666666666664E-2</v>
      </c>
      <c r="L16" s="106">
        <f t="array" ref="L16">INDEX([1]股债表现与四个维度!$A:$T,MATCH($A16,[1]股债表现与四个维度!$A:$A,0),MATCH(L$3&amp;L$4,[1]股债表现与四个维度!$2:$2&amp;[1]股债表现与四个维度!$3:$3,0))</f>
        <v>-2.0833333333333332E-2</v>
      </c>
      <c r="M16" s="106">
        <f t="array" ref="M16">INDEX([1]股债表现与四个维度!$A:$T,MATCH($A16,[1]股债表现与四个维度!$A:$A,0),MATCH(M$3&amp;M$4,[1]股债表现与四个维度!$2:$2&amp;[1]股债表现与四个维度!$3:$3,0))</f>
        <v>0.3125</v>
      </c>
      <c r="N16" s="106">
        <f t="array" ref="N16">INDEX([1]股债表现与四个维度!$A:$T,MATCH($A16,[1]股债表现与四个维度!$A:$A,0),MATCH(N$3&amp;N$4,[1]股债表现与四个维度!$2:$2&amp;[1]股债表现与四个维度!$3:$3,0))</f>
        <v>0.13333333333333333</v>
      </c>
      <c r="O16" s="106">
        <f t="array" ref="O16">INDEX([1]股债表现与四个维度!$A:$T,MATCH($A16,[1]股债表现与四个维度!$A:$A,0),MATCH(O$3&amp;O$4,[1]股债表现与四个维度!$2:$2&amp;[1]股债表现与四个维度!$3:$3,0))</f>
        <v>-0.53333333333333333</v>
      </c>
      <c r="P16" s="106">
        <f t="array" ref="P16">INDEX([1]股债表现与四个维度!$A:$T,MATCH($A16,[1]股债表现与四个维度!$A:$A,0),MATCH(P$3&amp;P$4,[1]股债表现与四个维度!$2:$2&amp;[1]股债表现与四个维度!$3:$3,0))</f>
        <v>0</v>
      </c>
      <c r="Q16" s="106">
        <f t="array" ref="Q16">INDEX([1]股债表现与四个维度!$A:$T,MATCH($A16,[1]股债表现与四个维度!$A:$A,0),MATCH(Q$3&amp;Q$4,[1]股债表现与四个维度!$2:$2&amp;[1]股债表现与四个维度!$3:$3,0))</f>
        <v>0.33333333333333331</v>
      </c>
      <c r="R16" s="106">
        <f t="array" ref="R16">INDEX([1]股债表现与四个维度!$A:$T,MATCH($A16,[1]股债表现与四个维度!$A:$A,0),MATCH(R$3&amp;R$4,[1]股债表现与四个维度!$2:$2&amp;[1]股债表现与四个维度!$3:$3,0))</f>
        <v>0</v>
      </c>
      <c r="S16" s="106">
        <f t="array" ref="S16">INDEX([1]股债表现与四个维度!$A:$T,MATCH($A16,[1]股债表现与四个维度!$A:$A,0),MATCH(S$3&amp;S$4,[1]股债表现与四个维度!$2:$2&amp;[1]股债表现与四个维度!$3:$3,0))</f>
        <v>0.46666666666666667</v>
      </c>
      <c r="T16" s="102">
        <f t="shared" si="0"/>
        <v>0.36249999999999999</v>
      </c>
      <c r="U16" s="102">
        <f t="shared" si="0"/>
        <v>0.62083333333333335</v>
      </c>
      <c r="V16" s="102">
        <f t="shared" si="1"/>
        <v>-0.25833333333333336</v>
      </c>
      <c r="W16" s="111">
        <f>B16+C16</f>
        <v>-18.547549856530669</v>
      </c>
      <c r="X16" s="114">
        <v>-7.0871387805927588</v>
      </c>
      <c r="Y16" s="114">
        <f>'框架指示的股债胜率（综合）'!AA6</f>
        <v>-0.49087251855883213</v>
      </c>
      <c r="Z16" s="102">
        <f>'框架指示的股债胜率（综合）'!AC6</f>
        <v>-1.6400000000000001</v>
      </c>
    </row>
    <row r="17" spans="1:26" x14ac:dyDescent="0.35">
      <c r="A17" s="91">
        <f t="shared" ref="A17:A80" si="4">EOMONTH(A16,-1)</f>
        <v>45657</v>
      </c>
      <c r="X17" s="114">
        <v>-4.2416180451251133</v>
      </c>
      <c r="Y17" s="114">
        <f>'框架指示的股债胜率（综合）'!AA7</f>
        <v>-0.28367953610269175</v>
      </c>
      <c r="Z17" s="102">
        <f>'框架指示的股债胜率（综合）'!AC7</f>
        <v>1.9337439613526568</v>
      </c>
    </row>
    <row r="18" spans="1:26" x14ac:dyDescent="0.35">
      <c r="A18" s="91">
        <f t="shared" si="4"/>
        <v>45626</v>
      </c>
      <c r="X18" s="114">
        <v>-0.7533161998381237</v>
      </c>
      <c r="Y18" s="114">
        <f>'框架指示的股债胜率（综合）'!AA8</f>
        <v>-0.96915550334567835</v>
      </c>
      <c r="Z18" s="102">
        <f>'框架指示的股债胜率（综合）'!AC8</f>
        <v>1.8288250699211797</v>
      </c>
    </row>
    <row r="19" spans="1:26" x14ac:dyDescent="0.35">
      <c r="A19" s="91">
        <f t="shared" si="4"/>
        <v>45596</v>
      </c>
      <c r="X19" s="114">
        <v>0.14161395813900599</v>
      </c>
      <c r="Y19" s="114">
        <f>'框架指示的股债胜率（综合）'!AA9</f>
        <v>-0.93312634833254149</v>
      </c>
      <c r="Z19" s="102">
        <f>'框架指示的股债胜率（综合）'!AC9</f>
        <v>-2.2743421052631581</v>
      </c>
    </row>
    <row r="20" spans="1:26" x14ac:dyDescent="0.35">
      <c r="A20" s="91">
        <f t="shared" si="4"/>
        <v>45565</v>
      </c>
      <c r="X20" s="114">
        <v>-1.1986391430679759</v>
      </c>
      <c r="Y20" s="114">
        <f>'框架指示的股债胜率（综合）'!AA10</f>
        <v>-0.48888150010085135</v>
      </c>
      <c r="Z20" s="102">
        <f>'框架指示的股债胜率（综合）'!AC10</f>
        <v>-0.81533703736367102</v>
      </c>
    </row>
    <row r="21" spans="1:26" x14ac:dyDescent="0.35">
      <c r="A21" s="91">
        <f t="shared" si="4"/>
        <v>45535</v>
      </c>
      <c r="X21" s="114">
        <v>-5.1674476692784905</v>
      </c>
      <c r="Y21" s="114">
        <f>'框架指示的股债胜率（综合）'!AA11</f>
        <v>-0.70747917336075228</v>
      </c>
      <c r="Z21" s="102">
        <f>'框架指示的股债胜率（综合）'!AC11</f>
        <v>-1.9781249999999999</v>
      </c>
    </row>
    <row r="22" spans="1:26" x14ac:dyDescent="0.35">
      <c r="A22" s="91">
        <f t="shared" si="4"/>
        <v>45504</v>
      </c>
      <c r="X22" s="114">
        <v>-3.4521948357725329</v>
      </c>
      <c r="Y22" s="114">
        <f>'框架指示的股债胜率（综合）'!AA12</f>
        <v>-0.76335499892407788</v>
      </c>
      <c r="Z22" s="102">
        <f>'框架指示的股债胜率（综合）'!AC12</f>
        <v>-0.39684210526315794</v>
      </c>
    </row>
    <row r="23" spans="1:26" x14ac:dyDescent="0.35">
      <c r="A23" s="91">
        <f t="shared" si="4"/>
        <v>45473</v>
      </c>
      <c r="X23" s="114">
        <v>-7.1639652728374967</v>
      </c>
      <c r="Y23" s="114">
        <f>'框架指示的股债胜率（综合）'!AA13</f>
        <v>-0.67883857967081651</v>
      </c>
      <c r="Z23" s="102">
        <f>'框架指示的股债胜率（综合）'!AC13</f>
        <v>-2.1791118421052631</v>
      </c>
    </row>
    <row r="24" spans="1:26" x14ac:dyDescent="0.35">
      <c r="A24" s="91">
        <f t="shared" si="4"/>
        <v>45443</v>
      </c>
      <c r="X24" s="114">
        <v>-6.706409842140773</v>
      </c>
      <c r="Y24" s="114">
        <f>'框架指示的股债胜率（综合）'!AA14</f>
        <v>-0.52870254974782771</v>
      </c>
      <c r="Z24" s="102">
        <f>'框架指示的股债胜率（综合）'!AC14</f>
        <v>2.0449999999999999</v>
      </c>
    </row>
    <row r="25" spans="1:26" x14ac:dyDescent="0.35">
      <c r="A25" s="91">
        <f t="shared" si="4"/>
        <v>45412</v>
      </c>
      <c r="X25" s="114">
        <v>-7.2343171713799661</v>
      </c>
      <c r="Y25" s="114">
        <f>'框架指示的股债胜率（综合）'!AA15</f>
        <v>-0.67436355280442761</v>
      </c>
      <c r="Z25" s="102">
        <f>'框架指示的股债胜率（综合）'!AC15</f>
        <v>0.39112698412698421</v>
      </c>
    </row>
    <row r="26" spans="1:26" x14ac:dyDescent="0.35">
      <c r="A26" s="91">
        <f t="shared" si="4"/>
        <v>45382</v>
      </c>
      <c r="X26" s="114">
        <v>-6.5225011469883922</v>
      </c>
      <c r="Y26" s="114">
        <f>'框架指示的股债胜率（综合）'!AA16</f>
        <v>-0.54865132607225808</v>
      </c>
      <c r="Z26" s="102">
        <f>'框架指示的股债胜率（综合）'!AC16</f>
        <v>-2.1269230769230769</v>
      </c>
    </row>
    <row r="27" spans="1:26" x14ac:dyDescent="0.35">
      <c r="A27" s="91">
        <f t="shared" si="4"/>
        <v>45351</v>
      </c>
      <c r="X27" s="114">
        <v>-4.493751612683285</v>
      </c>
      <c r="Y27" s="114">
        <f>'框架指示的股债胜率（综合）'!AA17</f>
        <v>-0.34291267827935917</v>
      </c>
      <c r="Z27" s="102">
        <f>'框架指示的股债胜率（综合）'!AC17</f>
        <v>-2.3133799533799531</v>
      </c>
    </row>
    <row r="28" spans="1:26" x14ac:dyDescent="0.35">
      <c r="A28" s="91">
        <f t="shared" si="4"/>
        <v>45322</v>
      </c>
      <c r="X28" s="114">
        <v>-6.0414649042447275</v>
      </c>
      <c r="Y28" s="114">
        <f>'框架指示的股债胜率（综合）'!AA18</f>
        <v>-0.15473364928983513</v>
      </c>
      <c r="Z28" s="102">
        <f>'框架指示的股债胜率（综合）'!AC18</f>
        <v>0.11025641025641023</v>
      </c>
    </row>
    <row r="29" spans="1:26" x14ac:dyDescent="0.35">
      <c r="A29" s="91">
        <f t="shared" si="4"/>
        <v>45291</v>
      </c>
      <c r="X29" s="114">
        <v>-2.1617524016444429</v>
      </c>
      <c r="Y29" s="114">
        <f>'框架指示的股债胜率（综合）'!AA19</f>
        <v>-0.42901481951915715</v>
      </c>
      <c r="Z29" s="102">
        <f>'框架指示的股债胜率（综合）'!AC19</f>
        <v>-1.2782956625673305</v>
      </c>
    </row>
    <row r="30" spans="1:26" x14ac:dyDescent="0.35">
      <c r="A30" s="91">
        <f t="shared" si="4"/>
        <v>45260</v>
      </c>
      <c r="X30" s="114">
        <v>-1.5478393039443497</v>
      </c>
      <c r="Y30" s="114">
        <f>'框架指示的股债胜率（综合）'!AA20</f>
        <v>-0.41790111603567454</v>
      </c>
      <c r="Z30" s="102">
        <f>'框架指示的股债胜率（综合）'!AC20</f>
        <v>1.1710339816603998</v>
      </c>
    </row>
    <row r="31" spans="1:26" x14ac:dyDescent="0.35">
      <c r="A31" s="91">
        <f t="shared" si="4"/>
        <v>45230</v>
      </c>
      <c r="X31" s="114">
        <v>-3.5755116129829321</v>
      </c>
      <c r="Y31" s="114">
        <f>'框架指示的股债胜率（综合）'!AA21</f>
        <v>-0.83807089543225122</v>
      </c>
      <c r="Z31" s="102">
        <f>'框架指示的股债胜率（综合）'!AC21</f>
        <v>1.1454003445200023</v>
      </c>
    </row>
    <row r="32" spans="1:26" x14ac:dyDescent="0.35">
      <c r="A32" s="91">
        <f t="shared" si="4"/>
        <v>45199</v>
      </c>
      <c r="X32" s="114">
        <v>-4.9593523160539883</v>
      </c>
      <c r="Y32" s="114">
        <f>'框架指示的股债胜率（综合）'!AA22</f>
        <v>-1.2252778622325449</v>
      </c>
      <c r="Z32" s="102">
        <f>'框架指示的股债胜率（综合）'!AC22</f>
        <v>-0.89249119016568357</v>
      </c>
    </row>
    <row r="33" spans="1:26" x14ac:dyDescent="0.35">
      <c r="A33" s="91">
        <f t="shared" si="4"/>
        <v>45169</v>
      </c>
      <c r="X33" s="114">
        <v>-6.2568586066862082</v>
      </c>
      <c r="Y33" s="114">
        <f>'框架指示的股债胜率（综合）'!AA23</f>
        <v>-1.1612880617852606</v>
      </c>
      <c r="Z33" s="102">
        <f>'框架指示的股债胜率（综合）'!AC23</f>
        <v>-1.1843057794428091</v>
      </c>
    </row>
    <row r="34" spans="1:26" x14ac:dyDescent="0.35">
      <c r="A34" s="91">
        <f t="shared" si="4"/>
        <v>45138</v>
      </c>
      <c r="X34" s="114">
        <v>-4.3636420441344805</v>
      </c>
      <c r="Y34" s="114">
        <f>'框架指示的股债胜率（综合）'!AA24</f>
        <v>-1.0148199351702205</v>
      </c>
      <c r="Z34" s="102">
        <f>'框架指示的股债胜率（综合）'!AC24</f>
        <v>-1.5354306111195215</v>
      </c>
    </row>
    <row r="35" spans="1:26" x14ac:dyDescent="0.35">
      <c r="A35" s="91">
        <f t="shared" si="4"/>
        <v>45107</v>
      </c>
      <c r="X35" s="114">
        <v>-2.7831180557839397</v>
      </c>
      <c r="Y35" s="114">
        <f>'框架指示的股债胜率（综合）'!AA25</f>
        <v>-1.0711996693723835</v>
      </c>
      <c r="Z35" s="102">
        <f>'框架指示的股债胜率（综合）'!AC25</f>
        <v>-1.211613441666435</v>
      </c>
    </row>
    <row r="36" spans="1:26" x14ac:dyDescent="0.35">
      <c r="A36" s="91">
        <f t="shared" si="4"/>
        <v>45077</v>
      </c>
      <c r="X36" s="114">
        <v>-1.0324271037620878</v>
      </c>
      <c r="Y36" s="114">
        <f>'框架指示的股债胜率（综合）'!AA26</f>
        <v>-0.74126497448576989</v>
      </c>
      <c r="Z36" s="102">
        <f>'框架指示的股债胜率（综合）'!AC26</f>
        <v>-1.3499846947190608</v>
      </c>
    </row>
    <row r="37" spans="1:26" x14ac:dyDescent="0.35">
      <c r="A37" s="91">
        <f t="shared" si="4"/>
        <v>45046</v>
      </c>
      <c r="X37" s="114">
        <v>3.7041461609066588</v>
      </c>
      <c r="Y37" s="114">
        <f>'框架指示的股债胜率（综合）'!AA27</f>
        <v>-0.55251599086326919</v>
      </c>
      <c r="Z37" s="102">
        <f>'框架指示的股债胜率（综合）'!AC27</f>
        <v>-1.1778414562817576</v>
      </c>
    </row>
    <row r="38" spans="1:26" x14ac:dyDescent="0.35">
      <c r="A38" s="91">
        <f t="shared" si="4"/>
        <v>45016</v>
      </c>
      <c r="X38" s="114">
        <v>5.0098392784172203</v>
      </c>
      <c r="Y38" s="114">
        <f>'框架指示的股债胜率（综合）'!AA28</f>
        <v>-0.21369433663579462</v>
      </c>
      <c r="Z38" s="102">
        <f>'框架指示的股债胜率（综合）'!AC28</f>
        <v>-0.50855238748197795</v>
      </c>
    </row>
    <row r="39" spans="1:26" x14ac:dyDescent="0.35">
      <c r="A39" s="91">
        <f t="shared" si="4"/>
        <v>44985</v>
      </c>
      <c r="X39" s="114">
        <v>4.4220818478898671</v>
      </c>
      <c r="Y39" s="114">
        <f>'框架指示的股债胜率（综合）'!AA29</f>
        <v>-0.20076352722778548</v>
      </c>
      <c r="Z39" s="102">
        <f>'框架指示的股债胜率（综合）'!AC29</f>
        <v>-0.30549701975256921</v>
      </c>
    </row>
    <row r="40" spans="1:26" x14ac:dyDescent="0.35">
      <c r="A40" s="91">
        <f t="shared" si="4"/>
        <v>44957</v>
      </c>
      <c r="X40" s="114">
        <v>1.4188426767567541</v>
      </c>
      <c r="Y40" s="114">
        <f>'框架指示的股债胜率（综合）'!AA30</f>
        <v>-0.26804259465392588</v>
      </c>
      <c r="Z40" s="102">
        <f>'框架指示的股债胜率（综合）'!AC30</f>
        <v>-1.8737090163324999</v>
      </c>
    </row>
    <row r="41" spans="1:26" x14ac:dyDescent="0.35">
      <c r="A41" s="91">
        <f t="shared" si="4"/>
        <v>44926</v>
      </c>
      <c r="X41" s="114">
        <v>-0.25689076530764371</v>
      </c>
      <c r="Y41" s="114">
        <f>'框架指示的股债胜率（综合）'!AA31</f>
        <v>-0.17605966398871845</v>
      </c>
      <c r="Z41" s="102">
        <f>'框架指示的股债胜率（综合）'!AC31</f>
        <v>0.76799472765324595</v>
      </c>
    </row>
    <row r="42" spans="1:26" x14ac:dyDescent="0.35">
      <c r="A42" s="91">
        <f t="shared" si="4"/>
        <v>44895</v>
      </c>
      <c r="X42" s="114">
        <v>0.15060607213011176</v>
      </c>
      <c r="Y42" s="114">
        <f>'框架指示的股债胜率（综合）'!AA32</f>
        <v>-0.62157660263946457</v>
      </c>
      <c r="Z42" s="102">
        <f>'框架指示的股债胜率（综合）'!AC32</f>
        <v>-0.21749079298405638</v>
      </c>
    </row>
    <row r="43" spans="1:26" x14ac:dyDescent="0.35">
      <c r="A43" s="91">
        <f t="shared" si="4"/>
        <v>44865</v>
      </c>
      <c r="X43" s="114">
        <v>-1.4148032011093719</v>
      </c>
      <c r="Y43" s="114">
        <f>'框架指示的股债胜率（综合）'!AA33</f>
        <v>-0.94629431976642187</v>
      </c>
      <c r="Z43" s="102">
        <f>'框架指示的股债胜率（综合）'!AC33</f>
        <v>0.85508846908308955</v>
      </c>
    </row>
    <row r="44" spans="1:26" x14ac:dyDescent="0.35">
      <c r="A44" s="91">
        <f t="shared" si="4"/>
        <v>44834</v>
      </c>
      <c r="X44" s="114">
        <v>-3.5281459512937161</v>
      </c>
      <c r="Y44" s="114">
        <f>'框架指示的股债胜率（综合）'!AA34</f>
        <v>-1.2908460887228628</v>
      </c>
      <c r="Z44" s="102">
        <f>'框架指示的股债胜率（综合）'!AC34</f>
        <v>-0.4309675310339231</v>
      </c>
    </row>
    <row r="45" spans="1:26" x14ac:dyDescent="0.35">
      <c r="A45" s="91">
        <f t="shared" si="4"/>
        <v>44804</v>
      </c>
      <c r="X45" s="114">
        <v>-3.012242205026443</v>
      </c>
      <c r="Y45" s="114">
        <f>'框架指示的股债胜率（综合）'!AA35</f>
        <v>-1.2727556698661975</v>
      </c>
      <c r="Z45" s="102">
        <f>'框架指示的股债胜率（综合）'!AC35</f>
        <v>-0.70917142430941138</v>
      </c>
    </row>
    <row r="46" spans="1:26" x14ac:dyDescent="0.35">
      <c r="A46" s="91">
        <f t="shared" si="4"/>
        <v>44773</v>
      </c>
      <c r="X46" s="114">
        <v>0.54227817276071655</v>
      </c>
      <c r="Y46" s="114">
        <f>'框架指示的股债胜率（综合）'!AA36</f>
        <v>-1.1246078947774725</v>
      </c>
      <c r="Z46" s="102">
        <f>'框架指示的股债胜率（综合）'!AC36</f>
        <v>-1.3218114323412553</v>
      </c>
    </row>
    <row r="47" spans="1:26" x14ac:dyDescent="0.35">
      <c r="A47" s="91">
        <f t="shared" si="4"/>
        <v>44742</v>
      </c>
      <c r="X47" s="114">
        <v>-2.1807403213221748</v>
      </c>
      <c r="Y47" s="114">
        <f>'框架指示的股债胜率（综合）'!AA37</f>
        <v>-0.72793943447542286</v>
      </c>
      <c r="Z47" s="102">
        <f>'框架指示的股债胜率（综合）'!AC37</f>
        <v>-1.9051069042512307</v>
      </c>
    </row>
    <row r="48" spans="1:26" x14ac:dyDescent="0.35">
      <c r="A48" s="91">
        <f t="shared" si="4"/>
        <v>44712</v>
      </c>
      <c r="X48" s="114">
        <v>-4.7092055438434066</v>
      </c>
      <c r="Y48" s="114">
        <f>'框架指示的股债胜率（综合）'!AA38</f>
        <v>3.6062630906596414E-2</v>
      </c>
      <c r="Z48" s="102">
        <f>'框架指示的股债胜率（综合）'!AC38</f>
        <v>-2.1657970957458006</v>
      </c>
    </row>
    <row r="49" spans="1:26" x14ac:dyDescent="0.35">
      <c r="A49" s="91">
        <f t="shared" si="4"/>
        <v>44681</v>
      </c>
      <c r="X49" s="114">
        <v>-6.1665505309303148</v>
      </c>
      <c r="Y49" s="114">
        <f>'框架指示的股债胜率（综合）'!AA39</f>
        <v>-0.32914674537763516</v>
      </c>
      <c r="Z49" s="102">
        <f>'框架指示的股债胜率（综合）'!AC39</f>
        <v>-1.2122221446555566</v>
      </c>
    </row>
    <row r="50" spans="1:26" x14ac:dyDescent="0.35">
      <c r="A50" s="91">
        <f t="shared" si="4"/>
        <v>44651</v>
      </c>
      <c r="X50" s="114">
        <v>-2.6154824489890052</v>
      </c>
      <c r="Y50" s="114">
        <f>'框架指示的股债胜率（综合）'!AA40</f>
        <v>-0.56379731089781204</v>
      </c>
      <c r="Z50" s="102">
        <f>'框架指示的股债胜率（综合）'!AC40</f>
        <v>-0.32242501789393119</v>
      </c>
    </row>
    <row r="51" spans="1:26" x14ac:dyDescent="0.35">
      <c r="A51" s="91">
        <f t="shared" si="4"/>
        <v>44620</v>
      </c>
      <c r="X51" s="114">
        <v>-1.8039164266054533</v>
      </c>
      <c r="Y51" s="114">
        <f>'框架指示的股债胜率（综合）'!AA41</f>
        <v>-0.85858366519444618</v>
      </c>
      <c r="Z51" s="102">
        <f>'框架指示的股债胜率（综合）'!AC41</f>
        <v>0.17971522622294095</v>
      </c>
    </row>
    <row r="52" spans="1:26" x14ac:dyDescent="0.35">
      <c r="A52" s="91">
        <f t="shared" si="4"/>
        <v>44592</v>
      </c>
      <c r="X52" s="114">
        <v>-3.9183246704051968</v>
      </c>
      <c r="Y52" s="114">
        <f>'框架指示的股债胜率（综合）'!AA42</f>
        <v>-1.2999130625460771</v>
      </c>
      <c r="Z52" s="102">
        <f>'框架指示的股债胜率（综合）'!AC42</f>
        <v>1.0581993294710412</v>
      </c>
    </row>
    <row r="53" spans="1:26" x14ac:dyDescent="0.35">
      <c r="A53" s="91">
        <f t="shared" si="4"/>
        <v>44561</v>
      </c>
      <c r="X53" s="114">
        <v>-3.7707672482944581</v>
      </c>
      <c r="Y53" s="114">
        <f>'框架指示的股债胜率（综合）'!AA43</f>
        <v>-2.2404167024332033</v>
      </c>
      <c r="Z53" s="102">
        <f>'框架指示的股债胜率（综合）'!AC43</f>
        <v>2.6789054880408845</v>
      </c>
    </row>
    <row r="54" spans="1:26" x14ac:dyDescent="0.35">
      <c r="A54" s="91">
        <f t="shared" si="4"/>
        <v>44530</v>
      </c>
      <c r="X54" s="114">
        <v>-2.9350306649329863</v>
      </c>
      <c r="Y54" s="114">
        <f>'框架指示的股债胜率（综合）'!AA44</f>
        <v>-2.3628670457064782</v>
      </c>
      <c r="Z54" s="102">
        <f>'框架指示的股债胜率（综合）'!AC44</f>
        <v>-4.3570533534511897</v>
      </c>
    </row>
    <row r="55" spans="1:26" x14ac:dyDescent="0.35">
      <c r="A55" s="91">
        <f t="shared" si="4"/>
        <v>44500</v>
      </c>
      <c r="X55" s="114">
        <v>-2.5273300318918501</v>
      </c>
      <c r="Y55" s="114">
        <f>'框架指示的股债胜率（综合）'!AA45</f>
        <v>-1.3698729028985681</v>
      </c>
      <c r="Z55" s="102">
        <f>'框架指示的股债胜率（综合）'!AC45</f>
        <v>-2.6201255377766177</v>
      </c>
    </row>
    <row r="56" spans="1:26" x14ac:dyDescent="0.35">
      <c r="A56" s="91">
        <f t="shared" si="4"/>
        <v>44469</v>
      </c>
      <c r="X56" s="114">
        <v>-4.8114025023001803</v>
      </c>
      <c r="Y56" s="114">
        <f>'框架指示的股债胜率（综合）'!AA46</f>
        <v>-1.3830775541277962</v>
      </c>
      <c r="Z56" s="102">
        <f>'框架指示的股债胜率（综合）'!AC46</f>
        <v>-2.0911431436737371</v>
      </c>
    </row>
    <row r="57" spans="1:26" x14ac:dyDescent="0.35">
      <c r="A57" s="91">
        <f t="shared" si="4"/>
        <v>44439</v>
      </c>
      <c r="X57" s="114">
        <v>-5.4854559535628589</v>
      </c>
      <c r="Y57" s="114">
        <f>'框架指示的股债胜率（综合）'!AA47</f>
        <v>-0.68160690318831951</v>
      </c>
      <c r="Z57" s="102">
        <f>'框架指示的股债胜率（综合）'!AC47</f>
        <v>-2.4682611578868441</v>
      </c>
    </row>
    <row r="58" spans="1:26" x14ac:dyDescent="0.35">
      <c r="A58" s="91">
        <f t="shared" si="4"/>
        <v>44408</v>
      </c>
      <c r="X58" s="114">
        <v>-2.6861783039378779</v>
      </c>
      <c r="Y58" s="114">
        <f>'框架指示的股债胜率（综合）'!AA48</f>
        <v>8.2577220702340526E-2</v>
      </c>
      <c r="Z58" s="102">
        <f>'框架指示的股债胜率（综合）'!AC48</f>
        <v>-4.5848225098517137</v>
      </c>
    </row>
    <row r="59" spans="1:26" x14ac:dyDescent="0.35">
      <c r="A59" s="91">
        <f t="shared" si="4"/>
        <v>44377</v>
      </c>
      <c r="X59" s="114">
        <v>-1.5390669434986382</v>
      </c>
      <c r="Y59" s="114">
        <f>'框架指示的股债胜率（综合）'!AA49</f>
        <v>1.1259958676057618</v>
      </c>
      <c r="Z59" s="102">
        <f>'框架指示的股债胜率（综合）'!AC49</f>
        <v>1.9442034284012342</v>
      </c>
    </row>
    <row r="60" spans="1:26" x14ac:dyDescent="0.35">
      <c r="A60" s="91">
        <f t="shared" si="4"/>
        <v>44347</v>
      </c>
      <c r="X60" s="114">
        <v>-1.1114076093567515</v>
      </c>
      <c r="Y60" s="114">
        <f>'框架指示的股债胜率（综合）'!AA50</f>
        <v>0.83446232153010114</v>
      </c>
      <c r="Z60" s="102">
        <f>'框架指示的股债胜率（综合）'!AC50</f>
        <v>1.6009115033962678</v>
      </c>
    </row>
    <row r="61" spans="1:26" x14ac:dyDescent="0.35">
      <c r="A61" s="91">
        <f t="shared" si="4"/>
        <v>44316</v>
      </c>
      <c r="X61" s="114">
        <v>0.87692171353914994</v>
      </c>
      <c r="Y61" s="114">
        <f>'框架指示的股债胜率（综合）'!AA51</f>
        <v>0.76398641018962021</v>
      </c>
      <c r="Z61" s="102">
        <f>'框架指示的股债胜率（综合）'!AC51</f>
        <v>-2.6993534451519832</v>
      </c>
    </row>
    <row r="62" spans="1:26" x14ac:dyDescent="0.35">
      <c r="A62" s="91">
        <f t="shared" si="4"/>
        <v>44286</v>
      </c>
      <c r="X62" s="114">
        <v>2.8496284926328119</v>
      </c>
      <c r="Y62" s="114">
        <f>'框架指示的股债胜率（综合）'!AA52</f>
        <v>1.2839638369470487</v>
      </c>
      <c r="Z62" s="102">
        <f>'框架指示的股债胜率（综合）'!AC52</f>
        <v>2.1176807619631219</v>
      </c>
    </row>
    <row r="63" spans="1:26" x14ac:dyDescent="0.35">
      <c r="A63" s="91">
        <f t="shared" si="4"/>
        <v>44255</v>
      </c>
      <c r="X63" s="114">
        <v>4.5976533894091896</v>
      </c>
      <c r="Y63" s="114">
        <f>'框架指示的股债胜率（综合）'!AA53</f>
        <v>1.057315809389644</v>
      </c>
      <c r="Z63" s="102">
        <f>'框架指示的股债胜率（综合）'!AC53</f>
        <v>2.1168435854571159</v>
      </c>
    </row>
    <row r="64" spans="1:26" x14ac:dyDescent="0.35">
      <c r="A64" s="91">
        <f t="shared" si="4"/>
        <v>44227</v>
      </c>
      <c r="X64" s="114">
        <v>3.9824176142205112</v>
      </c>
      <c r="Y64" s="114">
        <f>'框架指示的股债胜率（综合）'!AA54</f>
        <v>0.52806622724865526</v>
      </c>
      <c r="Z64" s="102">
        <f>'框架指示的股债胜率（综合）'!AC54</f>
        <v>1.6756893715688141</v>
      </c>
    </row>
    <row r="65" spans="1:26" x14ac:dyDescent="0.35">
      <c r="A65" s="91">
        <f t="shared" si="4"/>
        <v>44196</v>
      </c>
      <c r="X65" s="114">
        <v>9.7990632527877803</v>
      </c>
      <c r="Y65" s="114">
        <f>'框架指示的股债胜率（综合）'!AA55</f>
        <v>0.67873710699641732</v>
      </c>
      <c r="Z65" s="102">
        <f>'框架指示的股债胜率（综合）'!AC55</f>
        <v>0.19500215194727055</v>
      </c>
    </row>
    <row r="66" spans="1:26" x14ac:dyDescent="0.35">
      <c r="A66" s="91">
        <f t="shared" si="4"/>
        <v>44165</v>
      </c>
      <c r="X66" s="114">
        <v>13.31751056638263</v>
      </c>
      <c r="Y66" s="114">
        <f>'框架指示的股债胜率（综合）'!AA56</f>
        <v>0.54992496064167584</v>
      </c>
      <c r="Z66" s="102">
        <f>'框架指示的股债胜率（综合）'!AC56</f>
        <v>1.178056035353382</v>
      </c>
    </row>
    <row r="67" spans="1:26" x14ac:dyDescent="0.35">
      <c r="A67" s="91">
        <f t="shared" si="4"/>
        <v>44135</v>
      </c>
      <c r="X67" s="114">
        <v>14.022070621393043</v>
      </c>
      <c r="Y67" s="114">
        <f>'框架指示的股债胜率（综合）'!AA57</f>
        <v>0.27748750117368842</v>
      </c>
      <c r="Z67" s="102">
        <f>'框架指示的股债胜率（综合）'!AC57</f>
        <v>0.42051111539258784</v>
      </c>
    </row>
    <row r="68" spans="1:26" x14ac:dyDescent="0.35">
      <c r="A68" s="91">
        <f t="shared" si="4"/>
        <v>44104</v>
      </c>
      <c r="X68" s="114">
        <v>11.56007905793534</v>
      </c>
      <c r="Y68" s="114">
        <f>'框架指示的股债胜率（综合）'!AA58</f>
        <v>0.20601753453610724</v>
      </c>
      <c r="Z68" s="102">
        <f>'框架指示的股债胜率（综合）'!AC58</f>
        <v>0.7577925966186928</v>
      </c>
    </row>
    <row r="69" spans="1:26" x14ac:dyDescent="0.35">
      <c r="A69" s="91">
        <f t="shared" si="4"/>
        <v>44074</v>
      </c>
      <c r="X69" s="114">
        <v>6.3800569397013547</v>
      </c>
      <c r="Y69" s="114">
        <f>'框架指示的股债胜率（综合）'!AA59</f>
        <v>0.10405242927139023</v>
      </c>
      <c r="Z69" s="102">
        <f>'框架指示的股债胜率（综合）'!AC59</f>
        <v>-1.0586539073888157</v>
      </c>
    </row>
    <row r="70" spans="1:26" x14ac:dyDescent="0.35">
      <c r="A70" s="91">
        <f t="shared" si="4"/>
        <v>44043</v>
      </c>
      <c r="X70" s="114">
        <v>1.0815554431387226</v>
      </c>
      <c r="Y70" s="114">
        <f>'框架指示的股债胜率（综合）'!AA60</f>
        <v>0.57093549458306614</v>
      </c>
      <c r="Z70" s="102">
        <f>'框架指示的股债胜率（综合）'!AC60</f>
        <v>2.5797146500553856</v>
      </c>
    </row>
    <row r="71" spans="1:26" x14ac:dyDescent="0.35">
      <c r="A71" s="91">
        <f t="shared" si="4"/>
        <v>44012</v>
      </c>
      <c r="X71" s="114">
        <v>-4.5124405106296699</v>
      </c>
      <c r="Y71" s="114">
        <f>'框架指示的股债胜率（综合）'!AA61</f>
        <v>0.16688745104153357</v>
      </c>
      <c r="Z71" s="102">
        <f>'框架指示的股债胜率（综合）'!AC61</f>
        <v>-0.57787072618117707</v>
      </c>
    </row>
    <row r="72" spans="1:26" x14ac:dyDescent="0.35">
      <c r="A72" s="91">
        <f t="shared" si="4"/>
        <v>43982</v>
      </c>
      <c r="X72" s="114">
        <v>-7.8798432788223893</v>
      </c>
      <c r="Y72" s="114">
        <f>'框架指示的股债胜率（综合）'!AA62</f>
        <v>0.30400821165300579</v>
      </c>
      <c r="Z72" s="102">
        <f>'框架指示的股债胜率（综合）'!AC62</f>
        <v>-0.45656872145454325</v>
      </c>
    </row>
    <row r="73" spans="1:26" x14ac:dyDescent="0.35">
      <c r="A73" s="91">
        <f t="shared" si="4"/>
        <v>43951</v>
      </c>
      <c r="X73" s="114">
        <v>-10.236129732589587</v>
      </c>
      <c r="Y73" s="114">
        <f>'框架指示的股债胜率（综合）'!AA63</f>
        <v>0.43847445245794586</v>
      </c>
      <c r="Z73" s="102">
        <f>'框架指示的股债胜率（综合）'!AC63</f>
        <v>-8.3086844328989287E-3</v>
      </c>
    </row>
    <row r="74" spans="1:26" x14ac:dyDescent="0.35">
      <c r="A74" s="91">
        <f t="shared" si="4"/>
        <v>43921</v>
      </c>
      <c r="X74" s="114">
        <v>-7.2737442925352154</v>
      </c>
      <c r="Y74" s="114">
        <f>'框架指示的股债胜率（综合）'!AA64</f>
        <v>0.30867251856782996</v>
      </c>
      <c r="Z74" s="102">
        <f>'框架指示的股债胜率（综合）'!AC64</f>
        <v>0.14600196503039076</v>
      </c>
    </row>
    <row r="75" spans="1:26" x14ac:dyDescent="0.35">
      <c r="A75" s="91">
        <f t="shared" si="4"/>
        <v>43890</v>
      </c>
      <c r="X75" s="114">
        <v>-2.383379050458434</v>
      </c>
      <c r="Y75" s="114">
        <f>'框架指示的股债胜率（综合）'!AA65</f>
        <v>0.36820736388324332</v>
      </c>
      <c r="Z75" s="102">
        <f>'框架指示的股债胜率（综合）'!AC65</f>
        <v>1.7426444844812403</v>
      </c>
    </row>
    <row r="76" spans="1:26" x14ac:dyDescent="0.35">
      <c r="A76" s="91">
        <f t="shared" si="4"/>
        <v>43861</v>
      </c>
      <c r="X76" s="114">
        <v>-0.16952707375603845</v>
      </c>
      <c r="Y76" s="114">
        <f>'框架指示的股债胜率（综合）'!AA66</f>
        <v>-2.5212721308702041E-4</v>
      </c>
      <c r="Z76" s="102">
        <f>'框架指示的股债胜率（综合）'!AC66</f>
        <v>0.15542638880618978</v>
      </c>
    </row>
    <row r="77" spans="1:26" x14ac:dyDescent="0.35">
      <c r="A77" s="91">
        <f t="shared" si="4"/>
        <v>43830</v>
      </c>
      <c r="X77" s="114">
        <v>7.1113995273839478E-2</v>
      </c>
      <c r="Y77" s="114">
        <f>'框架指示的股债胜率（综合）'!AA67</f>
        <v>-0.28533925373618174</v>
      </c>
      <c r="Z77" s="102">
        <f>'框架指示的股债胜率（综合）'!AC67</f>
        <v>0.24485383748765621</v>
      </c>
    </row>
    <row r="78" spans="1:26" x14ac:dyDescent="0.35">
      <c r="A78" s="91">
        <f t="shared" si="4"/>
        <v>43799</v>
      </c>
      <c r="X78" s="114">
        <v>-1.0190250648630703</v>
      </c>
      <c r="Y78" s="114">
        <f>'框架指示的股债胜率（综合）'!AA68</f>
        <v>-0.62697427386810933</v>
      </c>
      <c r="Z78" s="102">
        <f>'框架指示的股债胜率（综合）'!AC68</f>
        <v>0.35022872337509697</v>
      </c>
    </row>
    <row r="79" spans="1:26" x14ac:dyDescent="0.35">
      <c r="A79" s="91">
        <f t="shared" si="4"/>
        <v>43769</v>
      </c>
      <c r="X79" s="114">
        <v>-2.6512148532778852</v>
      </c>
      <c r="Y79" s="114">
        <f>'框架指示的股债胜率（综合）'!AA69</f>
        <v>-0.88887929313954039</v>
      </c>
      <c r="Z79" s="102">
        <f>'框架指示的股债胜率（综合）'!AC69</f>
        <v>-0.78712028777359433</v>
      </c>
    </row>
    <row r="80" spans="1:26" x14ac:dyDescent="0.35">
      <c r="A80" s="91">
        <f t="shared" si="4"/>
        <v>43738</v>
      </c>
      <c r="X80" s="114">
        <v>-1.5248339435420071</v>
      </c>
      <c r="Y80" s="114">
        <f>'框架指示的股债胜率（综合）'!AA70</f>
        <v>-0.49620513134573896</v>
      </c>
      <c r="Z80" s="102">
        <f>'框架指示的股债胜率（综合）'!AC70</f>
        <v>0.50321103692287128</v>
      </c>
    </row>
    <row r="81" spans="1:26" x14ac:dyDescent="0.35">
      <c r="A81" s="91">
        <f t="shared" ref="A81:A144" si="5">EOMONTH(A80,-1)</f>
        <v>43708</v>
      </c>
      <c r="X81" s="114">
        <v>-0.74256634208941052</v>
      </c>
      <c r="Y81" s="114">
        <f>'框架指示的股债胜率（综合）'!AA71</f>
        <v>-0.20322507993135042</v>
      </c>
      <c r="Z81" s="102">
        <f>'框架指示的股债胜率（综合）'!AC71</f>
        <v>-0.46811246209674207</v>
      </c>
    </row>
    <row r="82" spans="1:26" x14ac:dyDescent="0.35">
      <c r="A82" s="91">
        <f t="shared" si="5"/>
        <v>43677</v>
      </c>
      <c r="X82" s="114">
        <v>4.3361753718922493</v>
      </c>
      <c r="Y82" s="114">
        <f>'框架指示的股债胜率（综合）'!AA72</f>
        <v>1.5485542666529017E-3</v>
      </c>
      <c r="Z82" s="102">
        <f>'框架指示的股债胜率（综合）'!AC72</f>
        <v>-1.5550963703323786</v>
      </c>
    </row>
    <row r="83" spans="1:26" x14ac:dyDescent="0.35">
      <c r="A83" s="91">
        <f t="shared" si="5"/>
        <v>43646</v>
      </c>
      <c r="X83" s="114">
        <v>2.9985601763877043</v>
      </c>
      <c r="Y83" s="114">
        <f>'框架指示的股债胜率（综合）'!AA73</f>
        <v>0.41762283426081331</v>
      </c>
      <c r="Z83" s="102">
        <f>'框架指示的股债胜率（综合）'!AC73</f>
        <v>-1.804956283303909</v>
      </c>
    </row>
    <row r="84" spans="1:26" x14ac:dyDescent="0.35">
      <c r="A84" s="91">
        <f t="shared" si="5"/>
        <v>43616</v>
      </c>
      <c r="X84" s="114">
        <v>0.5909868171731727</v>
      </c>
      <c r="Y84" s="114">
        <f>'框架指示的股债胜率（综合）'!AA74</f>
        <v>0.67381415269942602</v>
      </c>
      <c r="Z84" s="102">
        <f>'框架指示的股债胜率（综合）'!AC74</f>
        <v>-1.2212013922534897</v>
      </c>
    </row>
    <row r="85" spans="1:26" x14ac:dyDescent="0.35">
      <c r="A85" s="91">
        <f t="shared" si="5"/>
        <v>43585</v>
      </c>
      <c r="X85" s="114">
        <v>0.25401405683068151</v>
      </c>
      <c r="Y85" s="114">
        <f>'框架指示的股债胜率（综合）'!AA75</f>
        <v>0.93531664029712225</v>
      </c>
      <c r="Z85" s="102">
        <f>'框架指示的股债胜率（综合）'!AC75</f>
        <v>1.5689246829892147</v>
      </c>
    </row>
    <row r="86" spans="1:26" x14ac:dyDescent="0.35">
      <c r="A86" s="91">
        <f t="shared" si="5"/>
        <v>43555</v>
      </c>
      <c r="X86" s="114">
        <v>-5.6375575063275649</v>
      </c>
      <c r="Y86" s="114">
        <f>'框架指示的股债胜率（综合）'!AA76</f>
        <v>0.9278899666011603</v>
      </c>
      <c r="Z86" s="102">
        <f>'框架指示的股债胜率（综合）'!AC76</f>
        <v>2.2610913454092025</v>
      </c>
    </row>
    <row r="87" spans="1:26" x14ac:dyDescent="0.35">
      <c r="A87" s="91">
        <f t="shared" si="5"/>
        <v>43524</v>
      </c>
      <c r="X87" s="114">
        <v>-5.8124793824932413</v>
      </c>
      <c r="Y87" s="114">
        <f>'框架指示的股债胜率（综合）'!AA77</f>
        <v>0.76395327977745309</v>
      </c>
      <c r="Z87" s="102">
        <f>'框架指示的股债胜率（综合）'!AC77</f>
        <v>0.76052934309127807</v>
      </c>
    </row>
    <row r="88" spans="1:26" x14ac:dyDescent="0.35">
      <c r="A88" s="91">
        <f t="shared" si="5"/>
        <v>43496</v>
      </c>
      <c r="X88" s="114">
        <v>-8.821591436897382</v>
      </c>
      <c r="Y88" s="114">
        <f>'框架指示的股债胜率（综合）'!AA78</f>
        <v>0.89786771715665425</v>
      </c>
      <c r="Z88" s="102">
        <f>'框架指示的股债胜率（综合）'!AC78</f>
        <v>0.94134930963258368</v>
      </c>
    </row>
    <row r="89" spans="1:26" x14ac:dyDescent="0.35">
      <c r="A89" s="91">
        <f t="shared" si="5"/>
        <v>43465</v>
      </c>
      <c r="X89" s="114">
        <v>-7.9495238451186578</v>
      </c>
      <c r="Y89" s="114">
        <f>'框架指示的股债胜率（综合）'!AA79</f>
        <v>1.1575351972924091</v>
      </c>
      <c r="Z89" s="102">
        <f>'框架指示的股债胜率（综合）'!AC79</f>
        <v>-0.26780837267223295</v>
      </c>
    </row>
    <row r="90" spans="1:26" x14ac:dyDescent="0.35">
      <c r="A90" s="91">
        <f t="shared" si="5"/>
        <v>43434</v>
      </c>
      <c r="X90" s="114">
        <v>-7.2405978884714033</v>
      </c>
      <c r="Y90" s="114">
        <f>'框架指示的股债胜率（综合）'!AA80</f>
        <v>2.3256863389368987</v>
      </c>
      <c r="Z90" s="102">
        <f>'框架指示的股债胜率（综合）'!AC80</f>
        <v>0.34781353333268789</v>
      </c>
    </row>
    <row r="91" spans="1:26" x14ac:dyDescent="0.35">
      <c r="A91" s="91">
        <f t="shared" si="5"/>
        <v>43404</v>
      </c>
      <c r="X91" s="114">
        <v>-5.0860696958057394</v>
      </c>
      <c r="Y91" s="114">
        <f>'框架指示的股债胜率（综合）'!AA81</f>
        <v>2.3389195881910476</v>
      </c>
      <c r="Z91" s="102">
        <f>'框架指示的股债胜率（综合）'!AC81</f>
        <v>1.5243646408134424</v>
      </c>
    </row>
    <row r="92" spans="1:26" x14ac:dyDescent="0.35">
      <c r="A92" s="91">
        <f t="shared" si="5"/>
        <v>43373</v>
      </c>
      <c r="X92" s="114">
        <v>-5.3541228135805268</v>
      </c>
      <c r="Y92" s="114">
        <f>'框架指示的股债胜率（综合）'!AA82</f>
        <v>2.4190187284569058</v>
      </c>
      <c r="Z92" s="102">
        <f>'框架指示的股债胜率（综合）'!AC82</f>
        <v>1.277471224466959</v>
      </c>
    </row>
    <row r="93" spans="1:26" x14ac:dyDescent="0.35">
      <c r="A93" s="91">
        <f t="shared" si="5"/>
        <v>43343</v>
      </c>
      <c r="X93" s="114">
        <v>-8.1251673844773631</v>
      </c>
      <c r="Y93" s="114">
        <f>'框架指示的股债胜率（综合）'!AA83</f>
        <v>2.6409616045268645</v>
      </c>
      <c r="Z93" s="102">
        <f>'框架指示的股债胜率（综合）'!AC83</f>
        <v>1.5640159673664855</v>
      </c>
    </row>
    <row r="94" spans="1:26" x14ac:dyDescent="0.35">
      <c r="A94" s="91">
        <f t="shared" si="5"/>
        <v>43312</v>
      </c>
      <c r="X94" s="114">
        <v>-9.9421874951845748</v>
      </c>
      <c r="Y94" s="114">
        <f>'框架指示的股债胜率（综合）'!AA84</f>
        <v>2.7571772536552568</v>
      </c>
      <c r="Z94" s="102">
        <f>'框架指示的股债胜率（综合）'!AC84</f>
        <v>2.4993541904471122</v>
      </c>
    </row>
    <row r="95" spans="1:26" x14ac:dyDescent="0.35">
      <c r="A95" s="91">
        <f t="shared" si="5"/>
        <v>43281</v>
      </c>
      <c r="X95" s="114">
        <v>-7.3298234799807176</v>
      </c>
      <c r="Y95" s="114">
        <f>'框架指示的股债胜率（综合）'!AA85</f>
        <v>2.7565938745232983</v>
      </c>
      <c r="Z95" s="102">
        <f>'框架指示的股债胜率（综合）'!AC85</f>
        <v>6.7410984771947033</v>
      </c>
    </row>
    <row r="96" spans="1:26" x14ac:dyDescent="0.35">
      <c r="A96" s="91">
        <f t="shared" si="5"/>
        <v>43251</v>
      </c>
      <c r="X96" s="114">
        <v>-5.4695407958587232</v>
      </c>
      <c r="Y96" s="114">
        <f>'框架指示的股债胜率（综合）'!AA86</f>
        <v>1.8196121392783091</v>
      </c>
      <c r="Z96" s="102">
        <f>'框架指示的股债胜率（综合）'!AC86</f>
        <v>0.42721302885758139</v>
      </c>
    </row>
    <row r="97" spans="1:26" x14ac:dyDescent="0.35">
      <c r="A97" s="91">
        <f t="shared" si="5"/>
        <v>43220</v>
      </c>
      <c r="X97" s="114">
        <v>-3.1702660551932436</v>
      </c>
      <c r="Y97" s="114">
        <f>'框架指示的股债胜率（综合）'!AA87</f>
        <v>2.2298924907462725</v>
      </c>
      <c r="Z97" s="102">
        <f>'框架指示的股债胜率（综合）'!AC87</f>
        <v>2.0049594824085939</v>
      </c>
    </row>
    <row r="98" spans="1:26" x14ac:dyDescent="0.35">
      <c r="A98" s="91">
        <f t="shared" si="5"/>
        <v>43190</v>
      </c>
      <c r="X98" s="114">
        <v>1.9820105486365105</v>
      </c>
      <c r="Y98" s="114">
        <f>'框架指示的股债胜率（综合）'!AA88</f>
        <v>2.4007153843450144</v>
      </c>
      <c r="Z98" s="102">
        <f>'框架指示的股债胜率（综合）'!AC88</f>
        <v>2.6091284808867092</v>
      </c>
    </row>
    <row r="99" spans="1:26" x14ac:dyDescent="0.35">
      <c r="A99" s="91">
        <f t="shared" si="5"/>
        <v>43159</v>
      </c>
      <c r="X99" s="114">
        <v>3.489629484661434</v>
      </c>
      <c r="Y99" s="114">
        <f>'框架指示的股债胜率（综合）'!AA89</f>
        <v>2.4953788338333953</v>
      </c>
      <c r="Z99" s="102">
        <f>'框架指示的股债胜率（综合）'!AC89</f>
        <v>2.2613098621368395</v>
      </c>
    </row>
    <row r="100" spans="1:26" x14ac:dyDescent="0.35">
      <c r="A100" s="91">
        <f t="shared" si="5"/>
        <v>43131</v>
      </c>
      <c r="X100" s="114">
        <v>6.5103314478887304</v>
      </c>
      <c r="Y100" s="114">
        <f>'框架指示的股债胜率（综合）'!AA90</f>
        <v>2.6181404889000897</v>
      </c>
      <c r="Z100" s="102">
        <f>'框架指示的股债胜率（综合）'!AC90</f>
        <v>2.4958539156553621</v>
      </c>
    </row>
    <row r="101" spans="1:26" x14ac:dyDescent="0.35">
      <c r="A101" s="91">
        <f t="shared" si="5"/>
        <v>43100</v>
      </c>
      <c r="X101" s="114">
        <v>6.0547412777841698</v>
      </c>
      <c r="Y101" s="114">
        <f>'框架指示的股债胜率（综合）'!AA91</f>
        <v>2.4849680332955049</v>
      </c>
      <c r="Z101" s="102">
        <f>'框架指示的股债胜率（综合）'!AC91</f>
        <v>1.1192080657247707</v>
      </c>
    </row>
    <row r="102" spans="1:26" x14ac:dyDescent="0.35">
      <c r="A102" s="91">
        <f t="shared" si="5"/>
        <v>43069</v>
      </c>
      <c r="X102" s="114">
        <v>4.4469089369502619</v>
      </c>
      <c r="Y102" s="114">
        <f>'框架指示的股债胜率（综合）'!AA92</f>
        <v>2.0348609201570587</v>
      </c>
      <c r="Z102" s="102">
        <f>'框架指示的股债胜率（综合）'!AC92</f>
        <v>2.8888951376653615</v>
      </c>
    </row>
    <row r="103" spans="1:26" x14ac:dyDescent="0.35">
      <c r="A103" s="91">
        <f t="shared" si="5"/>
        <v>43039</v>
      </c>
      <c r="X103" s="114">
        <v>3.5082429538245461</v>
      </c>
      <c r="Y103" s="114">
        <f>'框架指示的股债胜率（综合）'!AA93</f>
        <v>1.2840219987530885</v>
      </c>
      <c r="Z103" s="102">
        <f>'框架指示的股债胜率（综合）'!AC93</f>
        <v>3.0298968440010432</v>
      </c>
    </row>
    <row r="104" spans="1:26" x14ac:dyDescent="0.35">
      <c r="A104" s="91">
        <f t="shared" si="5"/>
        <v>43008</v>
      </c>
      <c r="X104" s="114">
        <v>0.3556009363418336</v>
      </c>
      <c r="Y104" s="114">
        <f>'框架指示的股债胜率（综合）'!AA94</f>
        <v>0.52744422475405017</v>
      </c>
      <c r="Z104" s="102">
        <f>'框架指示的股债胜率（综合）'!AC94</f>
        <v>3.1771091778169942</v>
      </c>
    </row>
    <row r="105" spans="1:26" x14ac:dyDescent="0.35">
      <c r="A105" s="91">
        <f t="shared" si="5"/>
        <v>42978</v>
      </c>
      <c r="X105" s="114">
        <v>-3.3995328005226533</v>
      </c>
      <c r="Y105" s="114">
        <f>'框架指示的股债胜率（综合）'!AA95</f>
        <v>-0.23567909581303484</v>
      </c>
      <c r="Z105" s="102">
        <f>'框架指示的股债胜率（综合）'!AC95</f>
        <v>2.9978797925370064</v>
      </c>
    </row>
    <row r="106" spans="1:26" x14ac:dyDescent="0.35">
      <c r="A106" s="91">
        <f t="shared" si="5"/>
        <v>42947</v>
      </c>
      <c r="X106" s="114">
        <v>-7.5184693873191106</v>
      </c>
      <c r="Y106" s="114">
        <f>'框架指示的股债胜率（综合）'!AA96</f>
        <v>-0.72088231374809686</v>
      </c>
      <c r="Z106" s="102">
        <f>'框架指示的股债胜率（综合）'!AC96</f>
        <v>1.696819182027852</v>
      </c>
    </row>
    <row r="107" spans="1:26" x14ac:dyDescent="0.35">
      <c r="A107" s="91">
        <f t="shared" si="5"/>
        <v>42916</v>
      </c>
      <c r="X107" s="114">
        <v>-12.441980564698357</v>
      </c>
      <c r="Y107" s="114">
        <f>'框架指示的股债胜率（综合）'!AA97</f>
        <v>-1.0571794215751142</v>
      </c>
      <c r="Z107" s="102">
        <f>'框架指示的股债胜率（综合）'!AC97</f>
        <v>-1.5814346131059054</v>
      </c>
    </row>
    <row r="108" spans="1:26" x14ac:dyDescent="0.35">
      <c r="A108" s="91">
        <f t="shared" si="5"/>
        <v>42886</v>
      </c>
      <c r="X108" s="114">
        <v>-9.3750019892309098</v>
      </c>
      <c r="Y108" s="114">
        <f>'框架指示的股债胜率（综合）'!AA98</f>
        <v>-0.83427270866949144</v>
      </c>
      <c r="Z108" s="102">
        <f>'框架指示的股债胜率（综合）'!AC98</f>
        <v>-1.6161383907584588</v>
      </c>
    </row>
    <row r="109" spans="1:26" x14ac:dyDescent="0.35">
      <c r="A109" s="91">
        <f t="shared" si="5"/>
        <v>42855</v>
      </c>
      <c r="X109" s="114">
        <v>-9.9784062364503381</v>
      </c>
      <c r="Y109" s="114">
        <f>'框架指示的股债胜率（综合）'!AA99</f>
        <v>-0.44412477301122305</v>
      </c>
      <c r="Z109" s="102">
        <f>'框架指示的股债胜率（综合）'!AC99</f>
        <v>-1.509569799993187</v>
      </c>
    </row>
    <row r="110" spans="1:26" x14ac:dyDescent="0.35">
      <c r="A110" s="91">
        <f t="shared" si="5"/>
        <v>42825</v>
      </c>
      <c r="X110" s="114">
        <v>-5.313824762916826</v>
      </c>
      <c r="Y110" s="114">
        <f>'框架指示的股债胜率（综合）'!AA100</f>
        <v>-6.0939296197636272E-2</v>
      </c>
      <c r="Z110" s="102">
        <f>'框架指示的股债胜率（综合）'!AC100</f>
        <v>-1.4016307455855159</v>
      </c>
    </row>
    <row r="111" spans="1:26" x14ac:dyDescent="0.35">
      <c r="A111" s="91">
        <f t="shared" si="5"/>
        <v>42794</v>
      </c>
      <c r="X111" s="114">
        <v>1.9546366339627983</v>
      </c>
      <c r="Y111" s="114">
        <f>'框架指示的股债胜率（综合）'!AA101</f>
        <v>0.64190182137303353</v>
      </c>
      <c r="Z111" s="102">
        <f>'框架指示的股债胜率（综合）'!AC101</f>
        <v>8.6660484926633918E-2</v>
      </c>
    </row>
    <row r="112" spans="1:26" x14ac:dyDescent="0.35">
      <c r="A112" s="91">
        <f t="shared" si="5"/>
        <v>42766</v>
      </c>
      <c r="X112" s="114">
        <v>3.8253990098695412</v>
      </c>
      <c r="Y112" s="114">
        <f>'框架指示的股债胜率（综合）'!AA102</f>
        <v>0.94492748874956289</v>
      </c>
      <c r="Z112" s="102">
        <f>'框架指示的股债胜率（综合）'!AC102</f>
        <v>-0.32096346493425304</v>
      </c>
    </row>
    <row r="113" spans="1:26" x14ac:dyDescent="0.35">
      <c r="A113" s="91">
        <f t="shared" si="5"/>
        <v>42735</v>
      </c>
      <c r="X113" s="114">
        <v>11.694677182963309</v>
      </c>
      <c r="Y113" s="114">
        <f>'框架指示的股债胜率（综合）'!AA103</f>
        <v>1.1981056794863261</v>
      </c>
      <c r="Z113" s="102">
        <f>'框架指示的股债胜率（综合）'!AC103</f>
        <v>-0.24399433567216838</v>
      </c>
    </row>
    <row r="114" spans="1:26" x14ac:dyDescent="0.35">
      <c r="A114" s="91">
        <f t="shared" si="5"/>
        <v>42704</v>
      </c>
      <c r="X114" s="114">
        <v>7.9285121595820582</v>
      </c>
      <c r="Y114" s="114">
        <f>'框架指示的股债胜率（综合）'!AA104</f>
        <v>1.5586306832759498</v>
      </c>
      <c r="Z114" s="102">
        <f>'框架指示的股债胜率（综合）'!AC104</f>
        <v>0.72474922319115231</v>
      </c>
    </row>
    <row r="115" spans="1:26" x14ac:dyDescent="0.35">
      <c r="A115" s="91">
        <f t="shared" si="5"/>
        <v>42674</v>
      </c>
      <c r="X115" s="114">
        <v>2.0351384695385479</v>
      </c>
      <c r="Y115" s="114">
        <f>'框架指示的股债胜率（综合）'!AA105</f>
        <v>1.8365911699708821</v>
      </c>
      <c r="Z115" s="102">
        <f>'框架指示的股债胜率（综合）'!AC105</f>
        <v>0.78954306088833337</v>
      </c>
    </row>
    <row r="116" spans="1:26" x14ac:dyDescent="0.35">
      <c r="A116" s="91">
        <f t="shared" si="5"/>
        <v>42643</v>
      </c>
      <c r="X116" s="114">
        <v>-1.4993378074378294</v>
      </c>
      <c r="Y116" s="114">
        <f>'框架指示的股债胜率（综合）'!AA106</f>
        <v>2.3601152245121568</v>
      </c>
      <c r="Z116" s="102">
        <f>'框架指示的股债胜率（综合）'!AC106</f>
        <v>2.8154159598385031</v>
      </c>
    </row>
    <row r="117" spans="1:26" x14ac:dyDescent="0.35">
      <c r="A117" s="91">
        <f t="shared" si="5"/>
        <v>42613</v>
      </c>
      <c r="X117" s="114">
        <v>-4.0495486015225346</v>
      </c>
      <c r="Y117" s="114">
        <f>'框架指示的股债胜率（综合）'!AA107</f>
        <v>1.9048144891858101</v>
      </c>
      <c r="Z117" s="102">
        <f>'框架指示的股债胜率（综合）'!AC107</f>
        <v>1.9048144891858101</v>
      </c>
    </row>
    <row r="118" spans="1:26" x14ac:dyDescent="0.35">
      <c r="A118" s="91">
        <f t="shared" si="5"/>
        <v>42582</v>
      </c>
      <c r="X118" s="114">
        <v>1.0728442978515769</v>
      </c>
      <c r="Z118" s="102">
        <f>'框架指示的股债胜率（综合）'!AC108</f>
        <v>0</v>
      </c>
    </row>
    <row r="119" spans="1:26" x14ac:dyDescent="0.35">
      <c r="A119" s="91">
        <f t="shared" si="5"/>
        <v>42551</v>
      </c>
      <c r="X119" s="114">
        <v>-4.0901924457977543</v>
      </c>
      <c r="Z119" s="102">
        <f>'框架指示的股债胜率（综合）'!AC109</f>
        <v>0</v>
      </c>
    </row>
    <row r="120" spans="1:26" x14ac:dyDescent="0.35">
      <c r="A120" s="91">
        <f t="shared" si="5"/>
        <v>42521</v>
      </c>
      <c r="X120" s="114">
        <v>-4.4593624896838087</v>
      </c>
      <c r="Z120" s="102">
        <f>'框架指示的股债胜率（综合）'!AC110</f>
        <v>0</v>
      </c>
    </row>
    <row r="121" spans="1:26" x14ac:dyDescent="0.35">
      <c r="A121" s="91">
        <f t="shared" si="5"/>
        <v>42490</v>
      </c>
      <c r="X121" s="114">
        <v>-1.664292645451307</v>
      </c>
      <c r="Z121" s="102">
        <f>'框架指示的股债胜率（综合）'!AC111</f>
        <v>0</v>
      </c>
    </row>
    <row r="122" spans="1:26" x14ac:dyDescent="0.35">
      <c r="A122" s="91">
        <f t="shared" si="5"/>
        <v>42460</v>
      </c>
      <c r="X122" s="114">
        <v>-2.5270043164698195</v>
      </c>
      <c r="Z122" s="102">
        <f>'框架指示的股债胜率（综合）'!AC112</f>
        <v>0</v>
      </c>
    </row>
    <row r="123" spans="1:26" x14ac:dyDescent="0.35">
      <c r="A123" s="91">
        <f t="shared" si="5"/>
        <v>42429</v>
      </c>
      <c r="X123" s="114">
        <v>-3.9102884678735599</v>
      </c>
      <c r="Z123" s="102">
        <f>'框架指示的股债胜率（综合）'!AC113</f>
        <v>0</v>
      </c>
    </row>
    <row r="124" spans="1:26" x14ac:dyDescent="0.35">
      <c r="A124" s="91">
        <f t="shared" si="5"/>
        <v>42400</v>
      </c>
      <c r="X124" s="114">
        <v>-7.1414753250919558</v>
      </c>
      <c r="Z124" s="102">
        <f>'框架指示的股债胜率（综合）'!AC114</f>
        <v>0</v>
      </c>
    </row>
    <row r="125" spans="1:26" x14ac:dyDescent="0.35">
      <c r="A125" s="91">
        <f t="shared" si="5"/>
        <v>42369</v>
      </c>
      <c r="X125" s="114">
        <v>1.2295027468432866</v>
      </c>
      <c r="Z125" s="102">
        <f>'框架指示的股债胜率（综合）'!AC115</f>
        <v>0</v>
      </c>
    </row>
    <row r="126" spans="1:26" x14ac:dyDescent="0.35">
      <c r="A126" s="91">
        <f t="shared" si="5"/>
        <v>42338</v>
      </c>
      <c r="X126" s="114">
        <v>4.9800153573818013</v>
      </c>
      <c r="Z126" s="102">
        <f>'框架指示的股债胜率（综合）'!AC116</f>
        <v>0</v>
      </c>
    </row>
    <row r="127" spans="1:26" x14ac:dyDescent="0.35">
      <c r="A127" s="91">
        <f t="shared" si="5"/>
        <v>42308</v>
      </c>
      <c r="X127" s="114">
        <v>10.242738147154766</v>
      </c>
      <c r="Z127" s="102">
        <f>'框架指示的股债胜率（综合）'!AC117</f>
        <v>0</v>
      </c>
    </row>
    <row r="128" spans="1:26" x14ac:dyDescent="0.35">
      <c r="A128" s="91">
        <f t="shared" si="5"/>
        <v>42277</v>
      </c>
      <c r="X128" s="114">
        <v>16.74391048542185</v>
      </c>
      <c r="Z128" s="102">
        <f>'框架指示的股债胜率（综合）'!AC118</f>
        <v>0</v>
      </c>
    </row>
    <row r="129" spans="1:26" x14ac:dyDescent="0.35">
      <c r="A129" s="91">
        <f t="shared" si="5"/>
        <v>42247</v>
      </c>
      <c r="X129" s="114">
        <v>19.620929533391784</v>
      </c>
      <c r="Z129" s="102">
        <f>'框架指示的股债胜率（综合）'!AC119</f>
        <v>0</v>
      </c>
    </row>
    <row r="130" spans="1:26" x14ac:dyDescent="0.35">
      <c r="A130" s="91">
        <f t="shared" si="5"/>
        <v>42216</v>
      </c>
      <c r="X130" s="114">
        <v>17.849141697664564</v>
      </c>
      <c r="Z130" s="102">
        <f>'框架指示的股债胜率（综合）'!AC120</f>
        <v>0</v>
      </c>
    </row>
    <row r="131" spans="1:26" x14ac:dyDescent="0.35">
      <c r="A131" s="91">
        <f t="shared" si="5"/>
        <v>42185</v>
      </c>
      <c r="X131" s="114">
        <v>12.179760830795432</v>
      </c>
      <c r="Z131" s="102">
        <f>'框架指示的股债胜率（综合）'!AC121</f>
        <v>0</v>
      </c>
    </row>
    <row r="132" spans="1:26" x14ac:dyDescent="0.35">
      <c r="A132" s="91">
        <f t="shared" si="5"/>
        <v>42155</v>
      </c>
      <c r="X132" s="114">
        <v>9.2407103919174123</v>
      </c>
      <c r="Z132" s="102">
        <f>'框架指示的股债胜率（综合）'!AC122</f>
        <v>0</v>
      </c>
    </row>
    <row r="133" spans="1:26" x14ac:dyDescent="0.35">
      <c r="A133" s="91">
        <f t="shared" si="5"/>
        <v>42124</v>
      </c>
      <c r="X133" s="114">
        <v>4.9954030507772282</v>
      </c>
      <c r="Z133" s="102">
        <f>'框架指示的股债胜率（综合）'!AC123</f>
        <v>0</v>
      </c>
    </row>
    <row r="134" spans="1:26" x14ac:dyDescent="0.35">
      <c r="A134" s="91">
        <f t="shared" si="5"/>
        <v>42094</v>
      </c>
      <c r="X134" s="114">
        <v>-0.100749551884925</v>
      </c>
      <c r="Z134" s="102">
        <f>'框架指示的股债胜率（综合）'!AC124</f>
        <v>0</v>
      </c>
    </row>
    <row r="135" spans="1:26" x14ac:dyDescent="0.35">
      <c r="A135" s="91">
        <f t="shared" si="5"/>
        <v>42063</v>
      </c>
      <c r="X135" s="114">
        <v>0.26812343206173672</v>
      </c>
      <c r="Z135" s="102">
        <f>'框架指示的股债胜率（综合）'!AC125</f>
        <v>0</v>
      </c>
    </row>
    <row r="136" spans="1:26" x14ac:dyDescent="0.35">
      <c r="A136" s="91">
        <f t="shared" si="5"/>
        <v>42035</v>
      </c>
      <c r="X136" s="114">
        <v>0.65684587374239334</v>
      </c>
      <c r="Z136" s="102">
        <f>'框架指示的股债胜率（综合）'!AC126</f>
        <v>0</v>
      </c>
    </row>
    <row r="137" spans="1:26" x14ac:dyDescent="0.35">
      <c r="A137" s="91">
        <f t="shared" si="5"/>
        <v>42004</v>
      </c>
      <c r="X137" s="114">
        <v>0.40180685623398649</v>
      </c>
      <c r="Z137" s="102">
        <f>'框架指示的股债胜率（综合）'!AC127</f>
        <v>0</v>
      </c>
    </row>
    <row r="138" spans="1:26" x14ac:dyDescent="0.35">
      <c r="A138" s="91">
        <f t="shared" si="5"/>
        <v>41973</v>
      </c>
      <c r="X138" s="114">
        <v>5.2948248856034779</v>
      </c>
      <c r="Z138" s="102">
        <f>'框架指示的股债胜率（综合）'!AC128</f>
        <v>0</v>
      </c>
    </row>
    <row r="139" spans="1:26" x14ac:dyDescent="0.35">
      <c r="A139" s="91">
        <f t="shared" si="5"/>
        <v>41943</v>
      </c>
      <c r="X139" s="114">
        <v>6.9044211915844569</v>
      </c>
      <c r="Z139" s="102">
        <f>'框架指示的股债胜率（综合）'!AC129</f>
        <v>0</v>
      </c>
    </row>
    <row r="140" spans="1:26" x14ac:dyDescent="0.35">
      <c r="A140" s="91">
        <f t="shared" si="5"/>
        <v>41912</v>
      </c>
      <c r="X140" s="114">
        <v>3.9352995674815179</v>
      </c>
      <c r="Z140" s="102">
        <f>'框架指示的股债胜率（综合）'!AC130</f>
        <v>0</v>
      </c>
    </row>
    <row r="141" spans="1:26" x14ac:dyDescent="0.35">
      <c r="A141" s="91">
        <f t="shared" si="5"/>
        <v>41882</v>
      </c>
      <c r="X141" s="114">
        <v>-1.0277612029236953</v>
      </c>
      <c r="Z141" s="102">
        <f>'框架指示的股债胜率（综合）'!AC131</f>
        <v>0</v>
      </c>
    </row>
    <row r="142" spans="1:26" x14ac:dyDescent="0.35">
      <c r="A142" s="91">
        <f t="shared" si="5"/>
        <v>41851</v>
      </c>
      <c r="X142" s="114">
        <v>-2.0851181134894956</v>
      </c>
      <c r="Z142" s="102">
        <f>'框架指示的股债胜率（综合）'!AC132</f>
        <v>0</v>
      </c>
    </row>
    <row r="143" spans="1:26" x14ac:dyDescent="0.35">
      <c r="A143" s="91">
        <f t="shared" si="5"/>
        <v>41820</v>
      </c>
      <c r="X143" s="114">
        <v>-1.9709324141292346</v>
      </c>
      <c r="Z143" s="102">
        <f>'框架指示的股债胜率（综合）'!AC133</f>
        <v>0</v>
      </c>
    </row>
    <row r="144" spans="1:26" x14ac:dyDescent="0.35">
      <c r="A144" s="91">
        <f t="shared" si="5"/>
        <v>41790</v>
      </c>
      <c r="X144" s="114">
        <v>-4.2973722428035535</v>
      </c>
      <c r="Z144" s="102">
        <f>'框架指示的股债胜率（综合）'!AC134</f>
        <v>0</v>
      </c>
    </row>
    <row r="145" spans="1:26" x14ac:dyDescent="0.35">
      <c r="A145" s="91">
        <f t="shared" ref="A145:A172" si="6">EOMONTH(A144,-1)</f>
        <v>41759</v>
      </c>
      <c r="X145" s="114">
        <v>-4.063546083436882</v>
      </c>
      <c r="Z145" s="102">
        <f>'框架指示的股债胜率（综合）'!AC135</f>
        <v>0</v>
      </c>
    </row>
    <row r="146" spans="1:26" x14ac:dyDescent="0.35">
      <c r="A146" s="91">
        <f t="shared" si="6"/>
        <v>41729</v>
      </c>
      <c r="X146" s="114">
        <v>-5.9070659894126507</v>
      </c>
      <c r="Z146" s="102">
        <f>'框架指示的股债胜率（综合）'!AC136</f>
        <v>0</v>
      </c>
    </row>
    <row r="147" spans="1:26" x14ac:dyDescent="0.35">
      <c r="A147" s="91">
        <f t="shared" si="6"/>
        <v>41698</v>
      </c>
      <c r="X147" s="114">
        <v>-6.9474952814608928</v>
      </c>
      <c r="Z147" s="102">
        <f>'框架指示的股债胜率（综合）'!AC137</f>
        <v>0</v>
      </c>
    </row>
    <row r="148" spans="1:26" x14ac:dyDescent="0.35">
      <c r="A148" s="91">
        <f t="shared" si="6"/>
        <v>41670</v>
      </c>
      <c r="X148" s="114">
        <v>-8.482604770772646</v>
      </c>
      <c r="Z148" s="102">
        <f>'框架指示的股债胜率（综合）'!AC138</f>
        <v>0</v>
      </c>
    </row>
    <row r="149" spans="1:26" x14ac:dyDescent="0.35">
      <c r="A149" s="91">
        <f t="shared" si="6"/>
        <v>41639</v>
      </c>
      <c r="X149" s="114">
        <v>-10.608279802897956</v>
      </c>
      <c r="Z149" s="102">
        <f>'框架指示的股债胜率（综合）'!AC139</f>
        <v>0</v>
      </c>
    </row>
    <row r="150" spans="1:26" x14ac:dyDescent="0.35">
      <c r="A150" s="91">
        <f t="shared" si="6"/>
        <v>41608</v>
      </c>
      <c r="X150" s="114">
        <v>-11.169247222713983</v>
      </c>
      <c r="Z150" s="102">
        <f>'框架指示的股债胜率（综合）'!AC140</f>
        <v>0</v>
      </c>
    </row>
    <row r="151" spans="1:26" x14ac:dyDescent="0.35">
      <c r="A151" s="91">
        <f t="shared" si="6"/>
        <v>41578</v>
      </c>
      <c r="X151" s="114">
        <v>-10.93765465067642</v>
      </c>
      <c r="Z151" s="102">
        <f>'框架指示的股债胜率（综合）'!AC141</f>
        <v>0</v>
      </c>
    </row>
    <row r="152" spans="1:26" x14ac:dyDescent="0.35">
      <c r="A152" s="91">
        <f t="shared" si="6"/>
        <v>41547</v>
      </c>
      <c r="X152" s="114">
        <v>-5.3292386018052813</v>
      </c>
      <c r="Z152" s="102">
        <f>'框架指示的股债胜率（综合）'!AC142</f>
        <v>0</v>
      </c>
    </row>
    <row r="153" spans="1:26" x14ac:dyDescent="0.35">
      <c r="A153" s="91">
        <f t="shared" si="6"/>
        <v>41517</v>
      </c>
      <c r="X153" s="114">
        <v>-4.1746914808262199</v>
      </c>
      <c r="Z153" s="102">
        <f>'框架指示的股债胜率（综合）'!AC143</f>
        <v>0</v>
      </c>
    </row>
    <row r="154" spans="1:26" x14ac:dyDescent="0.35">
      <c r="A154" s="91">
        <f t="shared" si="6"/>
        <v>41486</v>
      </c>
      <c r="X154" s="114">
        <v>-1.3191394559141398</v>
      </c>
      <c r="Z154" s="102">
        <f>'框架指示的股债胜率（综合）'!AC144</f>
        <v>0</v>
      </c>
    </row>
    <row r="155" spans="1:26" x14ac:dyDescent="0.35">
      <c r="A155" s="91">
        <f t="shared" si="6"/>
        <v>41455</v>
      </c>
      <c r="X155" s="114">
        <v>-1.5258952541577484</v>
      </c>
      <c r="Z155" s="102">
        <f>'框架指示的股债胜率（综合）'!AC145</f>
        <v>0</v>
      </c>
    </row>
    <row r="156" spans="1:26" x14ac:dyDescent="0.35">
      <c r="A156" s="91">
        <f t="shared" si="6"/>
        <v>41425</v>
      </c>
      <c r="X156" s="114">
        <v>0.18109066790463491</v>
      </c>
      <c r="Z156" s="102">
        <f>'框架指示的股债胜率（综合）'!AC146</f>
        <v>0</v>
      </c>
    </row>
    <row r="157" spans="1:26" x14ac:dyDescent="0.35">
      <c r="A157" s="91">
        <f t="shared" si="6"/>
        <v>41394</v>
      </c>
      <c r="X157" s="114">
        <v>-1.6247026685584753</v>
      </c>
      <c r="Z157" s="102">
        <f>'框架指示的股债胜率（综合）'!AC147</f>
        <v>0</v>
      </c>
    </row>
    <row r="158" spans="1:26" x14ac:dyDescent="0.35">
      <c r="A158" s="91">
        <f t="shared" si="6"/>
        <v>41364</v>
      </c>
      <c r="X158" s="114">
        <v>2.3350419815352397</v>
      </c>
      <c r="Z158" s="102">
        <f>'框架指示的股债胜率（综合）'!AC148</f>
        <v>0</v>
      </c>
    </row>
    <row r="159" spans="1:26" x14ac:dyDescent="0.35">
      <c r="A159" s="91">
        <f t="shared" si="6"/>
        <v>41333</v>
      </c>
      <c r="X159" s="114">
        <v>9.795876258939936</v>
      </c>
      <c r="Z159" s="102">
        <f>'框架指示的股债胜率（综合）'!AC149</f>
        <v>0</v>
      </c>
    </row>
    <row r="160" spans="1:26" x14ac:dyDescent="0.35">
      <c r="A160" s="91">
        <f t="shared" si="6"/>
        <v>41305</v>
      </c>
      <c r="X160" s="114">
        <v>11.173180527865867</v>
      </c>
      <c r="Z160" s="102">
        <f>'框架指示的股债胜率（综合）'!AC150</f>
        <v>0</v>
      </c>
    </row>
    <row r="161" spans="1:26" x14ac:dyDescent="0.35">
      <c r="A161" s="91">
        <f t="shared" si="6"/>
        <v>41274</v>
      </c>
      <c r="X161" s="114">
        <v>13.38410772871736</v>
      </c>
      <c r="Z161" s="102">
        <f>'框架指示的股债胜率（综合）'!AC151</f>
        <v>0</v>
      </c>
    </row>
    <row r="162" spans="1:26" x14ac:dyDescent="0.35">
      <c r="A162" s="91">
        <f t="shared" si="6"/>
        <v>41243</v>
      </c>
      <c r="X162" s="114">
        <v>12.607489548162313</v>
      </c>
      <c r="Z162" s="102">
        <f>'框架指示的股债胜率（综合）'!AC152</f>
        <v>0</v>
      </c>
    </row>
    <row r="163" spans="1:26" x14ac:dyDescent="0.35">
      <c r="A163" s="91">
        <f t="shared" si="6"/>
        <v>41213</v>
      </c>
      <c r="X163" s="114">
        <v>13.119659833262633</v>
      </c>
      <c r="Z163" s="102">
        <f>'框架指示的股债胜率（综合）'!AC153</f>
        <v>0</v>
      </c>
    </row>
    <row r="164" spans="1:26" x14ac:dyDescent="0.35">
      <c r="A164" s="91">
        <f t="shared" si="6"/>
        <v>41182</v>
      </c>
      <c r="X164" s="114">
        <v>3.1385957173193617</v>
      </c>
      <c r="Z164" s="102">
        <f>'框架指示的股债胜率（综合）'!AC154</f>
        <v>0</v>
      </c>
    </row>
    <row r="165" spans="1:26" x14ac:dyDescent="0.35">
      <c r="A165" s="91">
        <f t="shared" si="6"/>
        <v>41152</v>
      </c>
      <c r="X165" s="114">
        <v>-2.9849627538827206</v>
      </c>
      <c r="Z165" s="102">
        <f>'框架指示的股债胜率（综合）'!AC155</f>
        <v>0</v>
      </c>
    </row>
    <row r="166" spans="1:26" x14ac:dyDescent="0.35">
      <c r="A166" s="91">
        <f t="shared" si="6"/>
        <v>41121</v>
      </c>
      <c r="X166" s="114">
        <v>-6.1447612648114616</v>
      </c>
      <c r="Z166" s="102">
        <f>'框架指示的股债胜率（综合）'!AC156</f>
        <v>0</v>
      </c>
    </row>
    <row r="167" spans="1:26" x14ac:dyDescent="0.35">
      <c r="A167" s="91">
        <f t="shared" si="6"/>
        <v>41090</v>
      </c>
      <c r="X167" s="114">
        <v>-7.9847587344344104</v>
      </c>
      <c r="Z167" s="102">
        <f>'框架指示的股债胜率（综合）'!AC157</f>
        <v>0</v>
      </c>
    </row>
    <row r="168" spans="1:26" x14ac:dyDescent="0.35">
      <c r="A168" s="91">
        <f t="shared" si="6"/>
        <v>41060</v>
      </c>
      <c r="X168" s="114">
        <v>-10.313177825603034</v>
      </c>
      <c r="Z168" s="102">
        <f>'框架指示的股债胜率（综合）'!AC158</f>
        <v>0</v>
      </c>
    </row>
    <row r="169" spans="1:26" x14ac:dyDescent="0.35">
      <c r="A169" s="91">
        <f t="shared" si="6"/>
        <v>41029</v>
      </c>
      <c r="X169" s="114">
        <v>-12.434081204001494</v>
      </c>
      <c r="Z169" s="102">
        <f>'框架指示的股债胜率（综合）'!AC159</f>
        <v>0</v>
      </c>
    </row>
    <row r="170" spans="1:26" x14ac:dyDescent="0.35">
      <c r="A170" s="91">
        <f t="shared" si="6"/>
        <v>40999</v>
      </c>
      <c r="X170" s="114">
        <v>-7.4223176660031802</v>
      </c>
      <c r="Z170" s="102">
        <f>'框架指示的股债胜率（综合）'!AC160</f>
        <v>0</v>
      </c>
    </row>
    <row r="171" spans="1:26" x14ac:dyDescent="0.35">
      <c r="A171" s="91">
        <f t="shared" si="6"/>
        <v>40968</v>
      </c>
      <c r="X171" s="114">
        <v>-9.5799353855386258</v>
      </c>
      <c r="Z171" s="102">
        <f>'框架指示的股债胜率（综合）'!AC161</f>
        <v>0</v>
      </c>
    </row>
    <row r="172" spans="1:26" x14ac:dyDescent="0.35">
      <c r="A172" s="91">
        <f t="shared" si="6"/>
        <v>40939</v>
      </c>
      <c r="X172" s="114">
        <v>-6.3891878317234205</v>
      </c>
      <c r="Z172" s="102">
        <f>'框架指示的股债胜率（综合）'!AC162</f>
        <v>0</v>
      </c>
    </row>
    <row r="173" spans="1:26" x14ac:dyDescent="0.35">
      <c r="X173" s="114">
        <v>-9.5799353855386258</v>
      </c>
      <c r="Z173" s="102">
        <f>'框架指示的股债胜率（综合）'!AC163</f>
        <v>0</v>
      </c>
    </row>
    <row r="174" spans="1:26" x14ac:dyDescent="0.35">
      <c r="X174" s="114">
        <v>-6.3891878317234205</v>
      </c>
      <c r="Z174" s="102">
        <f>'框架指示的股债胜率（综合）'!AC164</f>
        <v>0</v>
      </c>
    </row>
  </sheetData>
  <phoneticPr fontId="23" type="noConversion"/>
  <pageMargins left="0.75" right="0.75" top="1" bottom="1" header="0.5" footer="0.5"/>
  <pageSetup paperSize="9"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B4973-E87B-4122-810A-7BFFA9F998CB}">
  <dimension ref="B1:Z44"/>
  <sheetViews>
    <sheetView zoomScale="85" zoomScaleNormal="85" workbookViewId="0">
      <selection activeCell="F6" sqref="F6:F8"/>
    </sheetView>
  </sheetViews>
  <sheetFormatPr defaultColWidth="8.85546875" defaultRowHeight="12.45" x14ac:dyDescent="0.3"/>
  <cols>
    <col min="1" max="3" width="8.85546875" style="117"/>
    <col min="4" max="12" width="10.5703125" style="117" bestFit="1" customWidth="1"/>
    <col min="13" max="15" width="11.640625" style="117" bestFit="1" customWidth="1"/>
    <col min="16" max="16384" width="8.85546875" style="117"/>
  </cols>
  <sheetData>
    <row r="1" spans="2:26" x14ac:dyDescent="0.3">
      <c r="Q1" s="137" t="s">
        <v>154</v>
      </c>
      <c r="R1" s="137"/>
      <c r="S1" s="137"/>
      <c r="T1" s="137"/>
      <c r="U1" s="137"/>
      <c r="V1" s="137"/>
      <c r="W1" s="137"/>
      <c r="X1" s="137"/>
      <c r="Y1" s="137"/>
      <c r="Z1" s="137"/>
    </row>
    <row r="2" spans="2:26" x14ac:dyDescent="0.3">
      <c r="Q2" s="137"/>
      <c r="R2" s="137"/>
      <c r="S2" s="137"/>
      <c r="T2" s="137"/>
      <c r="U2" s="137"/>
      <c r="V2" s="137"/>
      <c r="W2" s="137"/>
      <c r="X2" s="137"/>
      <c r="Y2" s="137"/>
      <c r="Z2" s="137"/>
    </row>
    <row r="3" spans="2:26" x14ac:dyDescent="0.3">
      <c r="Q3" s="136"/>
      <c r="R3" s="136"/>
      <c r="S3" s="136"/>
      <c r="T3" s="136"/>
      <c r="U3" s="136"/>
      <c r="V3" s="136"/>
      <c r="W3" s="136"/>
      <c r="X3" s="136"/>
      <c r="Y3" s="136"/>
      <c r="Z3" s="136"/>
    </row>
    <row r="4" spans="2:26" x14ac:dyDescent="0.3">
      <c r="M4" s="112" t="s">
        <v>155</v>
      </c>
      <c r="N4" s="112" t="s">
        <v>156</v>
      </c>
      <c r="O4" s="112" t="s">
        <v>157</v>
      </c>
      <c r="Q4" s="136"/>
      <c r="R4" s="136"/>
      <c r="S4" s="136"/>
      <c r="T4" s="136"/>
      <c r="U4" s="136"/>
      <c r="V4" s="136"/>
      <c r="W4" s="136"/>
      <c r="X4" s="136"/>
      <c r="Y4" s="136"/>
      <c r="Z4" s="136"/>
    </row>
    <row r="5" spans="2:26" x14ac:dyDescent="0.3">
      <c r="B5" s="116"/>
      <c r="C5" s="116" t="s">
        <v>151</v>
      </c>
      <c r="D5" s="116" t="s">
        <v>152</v>
      </c>
      <c r="E5" s="116" t="s">
        <v>153</v>
      </c>
      <c r="M5" s="115">
        <v>45748</v>
      </c>
      <c r="N5" s="113">
        <v>3.2000000000000001E-2</v>
      </c>
      <c r="O5" s="113">
        <v>1.4999999999999999E-2</v>
      </c>
      <c r="Q5" s="136"/>
      <c r="R5" s="136"/>
      <c r="S5" s="136"/>
      <c r="T5" s="136"/>
      <c r="U5" s="136"/>
      <c r="V5" s="136"/>
      <c r="W5" s="136"/>
      <c r="X5" s="136"/>
      <c r="Y5" s="136"/>
      <c r="Z5" s="136"/>
    </row>
    <row r="6" spans="2:26" ht="14.15" x14ac:dyDescent="0.3">
      <c r="B6" s="116">
        <v>0</v>
      </c>
      <c r="C6" s="118">
        <v>45658</v>
      </c>
      <c r="D6" s="128">
        <v>-2.3900000000000001E-2</v>
      </c>
      <c r="E6" s="128">
        <v>-2.69E-2</v>
      </c>
      <c r="G6" s="126"/>
      <c r="M6" s="115">
        <v>45778</v>
      </c>
      <c r="N6" s="113">
        <v>-1.7999999999999999E-2</v>
      </c>
      <c r="O6" s="113">
        <v>-4.4999999999999998E-2</v>
      </c>
      <c r="Q6" s="136"/>
      <c r="R6" s="136"/>
      <c r="S6" s="136"/>
      <c r="T6" s="136"/>
      <c r="U6" s="136"/>
      <c r="V6" s="136"/>
      <c r="W6" s="136"/>
      <c r="X6" s="136"/>
      <c r="Y6" s="136"/>
      <c r="Z6" s="136"/>
    </row>
    <row r="7" spans="2:26" ht="14.15" x14ac:dyDescent="0.3">
      <c r="B7" s="116">
        <v>1</v>
      </c>
      <c r="C7" s="118">
        <v>45689</v>
      </c>
      <c r="D7" s="128">
        <v>-5.7000000000000002E-3</v>
      </c>
      <c r="E7" s="128">
        <v>3.7499999999999999E-2</v>
      </c>
      <c r="M7" s="115">
        <v>45809</v>
      </c>
      <c r="N7" s="113">
        <v>-2.5000000000000001E-2</v>
      </c>
      <c r="O7" s="113">
        <v>-5.5E-2</v>
      </c>
      <c r="Q7" s="136"/>
      <c r="R7" s="136"/>
      <c r="S7" s="136"/>
      <c r="T7" s="136"/>
      <c r="U7" s="136"/>
      <c r="V7" s="136"/>
      <c r="W7" s="136"/>
      <c r="X7" s="136"/>
      <c r="Y7" s="136"/>
      <c r="Z7" s="136"/>
    </row>
    <row r="8" spans="2:26" ht="14.15" x14ac:dyDescent="0.3">
      <c r="B8" s="116">
        <v>2</v>
      </c>
      <c r="C8" s="118">
        <v>45717</v>
      </c>
      <c r="D8" s="128">
        <v>1.8499999999999999E-2</v>
      </c>
      <c r="E8" s="128">
        <v>-4.8999999999999998E-3</v>
      </c>
      <c r="M8" s="115">
        <v>45839</v>
      </c>
      <c r="N8" s="113">
        <v>4.4999999999999998E-2</v>
      </c>
      <c r="O8" s="113">
        <v>8.5000000000000006E-2</v>
      </c>
      <c r="Q8" s="136"/>
      <c r="R8" s="136"/>
      <c r="S8" s="136"/>
      <c r="T8" s="136"/>
      <c r="U8" s="136"/>
      <c r="V8" s="136"/>
      <c r="W8" s="136"/>
      <c r="X8" s="136"/>
      <c r="Y8" s="136"/>
      <c r="Z8" s="136"/>
    </row>
    <row r="9" spans="2:26" x14ac:dyDescent="0.3">
      <c r="B9" s="116">
        <v>3</v>
      </c>
      <c r="C9" s="118">
        <v>45748</v>
      </c>
      <c r="D9" s="129">
        <v>3.2000000000000001E-2</v>
      </c>
      <c r="E9" s="129">
        <v>1.4999999999999999E-2</v>
      </c>
      <c r="M9" s="115">
        <v>45870</v>
      </c>
      <c r="N9" s="113">
        <v>-1.2E-2</v>
      </c>
      <c r="O9" s="113">
        <v>-3.5000000000000003E-2</v>
      </c>
      <c r="Q9" s="136"/>
      <c r="R9" s="136"/>
      <c r="S9" s="136"/>
      <c r="T9" s="136"/>
      <c r="U9" s="136"/>
      <c r="V9" s="136"/>
      <c r="W9" s="136"/>
      <c r="X9" s="136"/>
      <c r="Y9" s="136"/>
      <c r="Z9" s="136"/>
    </row>
    <row r="10" spans="2:26" x14ac:dyDescent="0.3">
      <c r="B10" s="116">
        <v>4</v>
      </c>
      <c r="C10" s="118">
        <v>45778</v>
      </c>
      <c r="D10" s="129">
        <v>-1.7999999999999999E-2</v>
      </c>
      <c r="E10" s="129">
        <v>-4.4999999999999998E-2</v>
      </c>
      <c r="M10" s="115">
        <v>45901</v>
      </c>
      <c r="N10" s="113">
        <v>2.8000000000000001E-2</v>
      </c>
      <c r="O10" s="113">
        <v>6.5000000000000002E-2</v>
      </c>
      <c r="Q10" s="136"/>
      <c r="R10" s="136"/>
      <c r="S10" s="136"/>
      <c r="T10" s="136"/>
      <c r="U10" s="136"/>
      <c r="V10" s="136"/>
      <c r="W10" s="136"/>
      <c r="X10" s="136"/>
      <c r="Y10" s="136"/>
      <c r="Z10" s="136"/>
    </row>
    <row r="11" spans="2:26" x14ac:dyDescent="0.3">
      <c r="B11" s="116">
        <v>5</v>
      </c>
      <c r="C11" s="118">
        <v>45809</v>
      </c>
      <c r="D11" s="129">
        <v>-2.5000000000000001E-2</v>
      </c>
      <c r="E11" s="129">
        <v>-5.5E-2</v>
      </c>
      <c r="M11" s="115">
        <v>45931</v>
      </c>
      <c r="N11" s="113">
        <v>-2.1999999999999999E-2</v>
      </c>
      <c r="O11" s="113">
        <v>-0.04</v>
      </c>
      <c r="Q11" s="136"/>
      <c r="R11" s="136"/>
      <c r="S11" s="136"/>
      <c r="T11" s="136"/>
      <c r="U11" s="136"/>
      <c r="V11" s="136"/>
      <c r="W11" s="136"/>
      <c r="X11" s="136"/>
      <c r="Y11" s="136"/>
      <c r="Z11" s="136"/>
    </row>
    <row r="12" spans="2:26" x14ac:dyDescent="0.3">
      <c r="B12" s="116">
        <v>6</v>
      </c>
      <c r="C12" s="118">
        <v>45839</v>
      </c>
      <c r="D12" s="129">
        <v>4.4999999999999998E-2</v>
      </c>
      <c r="E12" s="129">
        <v>8.5000000000000006E-2</v>
      </c>
      <c r="M12" s="115">
        <v>45962</v>
      </c>
      <c r="N12" s="113">
        <v>3.7999999999999999E-2</v>
      </c>
      <c r="O12" s="113">
        <v>7.1999999999999995E-2</v>
      </c>
      <c r="Q12" s="136"/>
      <c r="R12" s="136"/>
      <c r="S12" s="136"/>
      <c r="T12" s="136"/>
      <c r="U12" s="136"/>
      <c r="V12" s="136"/>
      <c r="W12" s="136"/>
      <c r="X12" s="136"/>
      <c r="Y12" s="136"/>
      <c r="Z12" s="136"/>
    </row>
    <row r="13" spans="2:26" x14ac:dyDescent="0.3">
      <c r="B13" s="116">
        <v>7</v>
      </c>
      <c r="C13" s="118">
        <v>45870</v>
      </c>
      <c r="D13" s="129">
        <v>-1.2E-2</v>
      </c>
      <c r="E13" s="129">
        <v>-3.5000000000000003E-2</v>
      </c>
      <c r="M13" s="115">
        <v>45992</v>
      </c>
      <c r="N13" s="113">
        <v>-1.4999999999999999E-2</v>
      </c>
      <c r="O13" s="113">
        <v>-0.03</v>
      </c>
      <c r="Q13" s="136"/>
      <c r="R13" s="136"/>
      <c r="S13" s="136"/>
      <c r="T13" s="136"/>
      <c r="U13" s="136"/>
      <c r="V13" s="136"/>
      <c r="W13" s="136"/>
      <c r="X13" s="136"/>
      <c r="Y13" s="136"/>
      <c r="Z13" s="136"/>
    </row>
    <row r="14" spans="2:26" x14ac:dyDescent="0.3">
      <c r="B14" s="116">
        <v>8</v>
      </c>
      <c r="C14" s="118">
        <v>45901</v>
      </c>
      <c r="D14" s="129">
        <v>2.8000000000000001E-2</v>
      </c>
      <c r="E14" s="129">
        <v>6.5000000000000002E-2</v>
      </c>
      <c r="Q14" s="136"/>
      <c r="R14" s="136"/>
      <c r="S14" s="136"/>
      <c r="T14" s="136"/>
      <c r="U14" s="136"/>
      <c r="V14" s="136"/>
      <c r="W14" s="136"/>
      <c r="X14" s="136"/>
      <c r="Y14" s="136"/>
      <c r="Z14" s="136"/>
    </row>
    <row r="15" spans="2:26" x14ac:dyDescent="0.3">
      <c r="B15" s="116">
        <v>9</v>
      </c>
      <c r="C15" s="118">
        <v>45931</v>
      </c>
      <c r="D15" s="129">
        <v>-2.1999999999999999E-2</v>
      </c>
      <c r="E15" s="129">
        <v>-0.04</v>
      </c>
      <c r="Q15" s="136"/>
      <c r="R15" s="136"/>
      <c r="S15" s="136"/>
      <c r="T15" s="136"/>
      <c r="U15" s="136"/>
      <c r="V15" s="136"/>
      <c r="W15" s="136"/>
      <c r="X15" s="136"/>
      <c r="Y15" s="136"/>
      <c r="Z15" s="136"/>
    </row>
    <row r="16" spans="2:26" x14ac:dyDescent="0.3">
      <c r="B16" s="116">
        <v>10</v>
      </c>
      <c r="C16" s="118">
        <v>45962</v>
      </c>
      <c r="D16" s="129">
        <v>3.7999999999999999E-2</v>
      </c>
      <c r="E16" s="129">
        <v>7.1999999999999995E-2</v>
      </c>
      <c r="Q16" s="136"/>
      <c r="R16" s="136"/>
      <c r="S16" s="136"/>
      <c r="T16" s="136"/>
      <c r="U16" s="136"/>
      <c r="V16" s="136"/>
      <c r="W16" s="136"/>
      <c r="X16" s="136"/>
      <c r="Y16" s="136"/>
      <c r="Z16" s="136"/>
    </row>
    <row r="17" spans="2:26" x14ac:dyDescent="0.3">
      <c r="B17" s="116">
        <v>11</v>
      </c>
      <c r="C17" s="118">
        <v>45992</v>
      </c>
      <c r="D17" s="129">
        <v>-1.4999999999999999E-2</v>
      </c>
      <c r="E17" s="129">
        <v>-0.03</v>
      </c>
      <c r="Q17" s="136"/>
      <c r="R17" s="136"/>
      <c r="S17" s="136"/>
      <c r="T17" s="136"/>
      <c r="U17" s="136"/>
      <c r="V17" s="136"/>
      <c r="W17" s="136"/>
      <c r="X17" s="136"/>
      <c r="Y17" s="136"/>
      <c r="Z17" s="136"/>
    </row>
    <row r="18" spans="2:26" x14ac:dyDescent="0.3">
      <c r="E18" s="127"/>
      <c r="Q18" s="136"/>
      <c r="R18" s="136"/>
      <c r="S18" s="136"/>
      <c r="T18" s="136"/>
      <c r="U18" s="136"/>
      <c r="V18" s="136"/>
      <c r="W18" s="136"/>
      <c r="X18" s="136"/>
      <c r="Y18" s="136"/>
      <c r="Z18" s="136"/>
    </row>
    <row r="19" spans="2:26" x14ac:dyDescent="0.3">
      <c r="Q19" s="136"/>
      <c r="R19" s="136"/>
      <c r="S19" s="136"/>
      <c r="T19" s="136"/>
      <c r="U19" s="136"/>
      <c r="V19" s="136"/>
      <c r="W19" s="136"/>
      <c r="X19" s="136"/>
      <c r="Y19" s="136"/>
      <c r="Z19" s="136"/>
    </row>
    <row r="20" spans="2:26" x14ac:dyDescent="0.3">
      <c r="Q20" s="136"/>
      <c r="R20" s="136"/>
      <c r="S20" s="136"/>
      <c r="T20" s="136"/>
      <c r="U20" s="136"/>
      <c r="V20" s="136"/>
      <c r="W20" s="136"/>
      <c r="X20" s="136"/>
      <c r="Y20" s="136"/>
      <c r="Z20" s="136"/>
    </row>
    <row r="21" spans="2:26" x14ac:dyDescent="0.3">
      <c r="Q21" s="136"/>
      <c r="R21" s="136"/>
      <c r="S21" s="136"/>
      <c r="T21" s="136"/>
      <c r="U21" s="136"/>
      <c r="V21" s="136"/>
      <c r="W21" s="136"/>
      <c r="X21" s="136"/>
      <c r="Y21" s="136"/>
      <c r="Z21" s="136"/>
    </row>
    <row r="22" spans="2:26" ht="12.9" x14ac:dyDescent="0.3">
      <c r="C22" s="119" t="s">
        <v>151</v>
      </c>
      <c r="D22" s="120">
        <v>45658</v>
      </c>
      <c r="E22" s="120">
        <v>45689</v>
      </c>
      <c r="F22" s="120">
        <v>45717</v>
      </c>
      <c r="G22" s="120">
        <v>45748</v>
      </c>
      <c r="H22" s="120">
        <v>45778</v>
      </c>
      <c r="I22" s="120">
        <v>45809</v>
      </c>
      <c r="J22" s="120">
        <v>45839</v>
      </c>
      <c r="K22" s="120">
        <v>45870</v>
      </c>
      <c r="L22" s="120">
        <v>45901</v>
      </c>
      <c r="M22" s="120">
        <v>45931</v>
      </c>
      <c r="N22" s="120">
        <v>45962</v>
      </c>
      <c r="O22" s="121">
        <v>45992</v>
      </c>
      <c r="Q22" s="136"/>
      <c r="R22" s="136"/>
      <c r="S22" s="136"/>
      <c r="T22" s="136"/>
      <c r="U22" s="136"/>
      <c r="V22" s="136"/>
      <c r="W22" s="136"/>
      <c r="X22" s="136"/>
      <c r="Y22" s="136"/>
      <c r="Z22" s="136"/>
    </row>
    <row r="23" spans="2:26" ht="12.9" x14ac:dyDescent="0.3">
      <c r="C23" s="119" t="s">
        <v>152</v>
      </c>
      <c r="D23" s="130">
        <v>-2.3900000000000001E-2</v>
      </c>
      <c r="E23" s="130">
        <v>-5.7000000000000002E-3</v>
      </c>
      <c r="F23" s="130">
        <v>1.8499999999999999E-2</v>
      </c>
      <c r="G23" s="122">
        <v>3.2000000000000001E-2</v>
      </c>
      <c r="H23" s="122">
        <v>-1.7999999999999999E-2</v>
      </c>
      <c r="I23" s="122">
        <v>-2.5000000000000001E-2</v>
      </c>
      <c r="J23" s="122">
        <v>4.4999999999999998E-2</v>
      </c>
      <c r="K23" s="122">
        <v>-1.2E-2</v>
      </c>
      <c r="L23" s="122">
        <v>2.8000000000000001E-2</v>
      </c>
      <c r="M23" s="122">
        <v>-2.1999999999999999E-2</v>
      </c>
      <c r="N23" s="122">
        <v>3.7999999999999999E-2</v>
      </c>
      <c r="O23" s="123">
        <v>-1.4999999999999999E-2</v>
      </c>
      <c r="Q23" s="136"/>
      <c r="R23" s="136"/>
      <c r="S23" s="136"/>
      <c r="T23" s="136"/>
      <c r="U23" s="136"/>
      <c r="V23" s="136"/>
      <c r="W23" s="136"/>
      <c r="X23" s="136"/>
      <c r="Y23" s="136"/>
      <c r="Z23" s="136"/>
    </row>
    <row r="24" spans="2:26" ht="12.9" x14ac:dyDescent="0.3">
      <c r="C24" s="119" t="s">
        <v>153</v>
      </c>
      <c r="D24" s="131">
        <v>-2.69E-2</v>
      </c>
      <c r="E24" s="131">
        <v>3.7499999999999999E-2</v>
      </c>
      <c r="F24" s="131">
        <v>-4.8999999999999998E-3</v>
      </c>
      <c r="G24" s="124">
        <v>1.4999999999999999E-2</v>
      </c>
      <c r="H24" s="124">
        <v>-4.4999999999999998E-2</v>
      </c>
      <c r="I24" s="124">
        <v>-5.5E-2</v>
      </c>
      <c r="J24" s="124">
        <v>8.5000000000000006E-2</v>
      </c>
      <c r="K24" s="124">
        <v>-3.5000000000000003E-2</v>
      </c>
      <c r="L24" s="124">
        <v>6.5000000000000002E-2</v>
      </c>
      <c r="M24" s="124">
        <v>-0.04</v>
      </c>
      <c r="N24" s="124">
        <v>7.1999999999999995E-2</v>
      </c>
      <c r="O24" s="125">
        <v>-0.03</v>
      </c>
      <c r="Q24" s="136"/>
      <c r="R24" s="136"/>
      <c r="S24" s="136"/>
      <c r="T24" s="136"/>
      <c r="U24" s="136"/>
      <c r="V24" s="136"/>
      <c r="W24" s="136"/>
      <c r="X24" s="136"/>
      <c r="Y24" s="136"/>
      <c r="Z24" s="136"/>
    </row>
    <row r="25" spans="2:26" x14ac:dyDescent="0.3">
      <c r="Q25" s="136"/>
      <c r="R25" s="136"/>
      <c r="S25" s="136"/>
      <c r="T25" s="136"/>
      <c r="U25" s="136"/>
      <c r="V25" s="136"/>
      <c r="W25" s="136"/>
      <c r="X25" s="136"/>
      <c r="Y25" s="136"/>
      <c r="Z25" s="136"/>
    </row>
    <row r="26" spans="2:26" x14ac:dyDescent="0.3">
      <c r="Q26" s="136"/>
      <c r="R26" s="136"/>
      <c r="S26" s="136"/>
      <c r="T26" s="136"/>
      <c r="U26" s="136"/>
      <c r="V26" s="136"/>
      <c r="W26" s="136"/>
      <c r="X26" s="136"/>
      <c r="Y26" s="136"/>
      <c r="Z26" s="136"/>
    </row>
    <row r="27" spans="2:26" x14ac:dyDescent="0.3">
      <c r="Q27" s="136"/>
      <c r="R27" s="136"/>
      <c r="S27" s="136"/>
      <c r="T27" s="136"/>
      <c r="U27" s="136"/>
      <c r="V27" s="136"/>
      <c r="W27" s="136"/>
      <c r="X27" s="136"/>
      <c r="Y27" s="136"/>
      <c r="Z27" s="136"/>
    </row>
    <row r="28" spans="2:26" x14ac:dyDescent="0.3">
      <c r="Q28" s="136"/>
      <c r="R28" s="136"/>
      <c r="S28" s="136"/>
      <c r="T28" s="136"/>
      <c r="U28" s="136"/>
      <c r="V28" s="136"/>
      <c r="W28" s="136"/>
      <c r="X28" s="136"/>
      <c r="Y28" s="136"/>
      <c r="Z28" s="136"/>
    </row>
    <row r="29" spans="2:26" x14ac:dyDescent="0.3">
      <c r="Q29" s="136"/>
      <c r="R29" s="136"/>
      <c r="S29" s="136"/>
      <c r="T29" s="136"/>
      <c r="U29" s="136"/>
      <c r="V29" s="136"/>
      <c r="W29" s="136"/>
      <c r="X29" s="136"/>
      <c r="Y29" s="136"/>
      <c r="Z29" s="136"/>
    </row>
    <row r="30" spans="2:26" x14ac:dyDescent="0.3">
      <c r="Q30" s="136"/>
      <c r="R30" s="136"/>
      <c r="S30" s="136"/>
      <c r="T30" s="136"/>
      <c r="U30" s="136"/>
      <c r="V30" s="136"/>
      <c r="W30" s="136"/>
      <c r="X30" s="136"/>
      <c r="Y30" s="136"/>
      <c r="Z30" s="136"/>
    </row>
    <row r="31" spans="2:26" x14ac:dyDescent="0.3">
      <c r="Q31" s="136"/>
      <c r="R31" s="136"/>
      <c r="S31" s="136"/>
      <c r="T31" s="136"/>
      <c r="U31" s="136"/>
      <c r="V31" s="136"/>
      <c r="W31" s="136"/>
      <c r="X31" s="136"/>
      <c r="Y31" s="136"/>
      <c r="Z31" s="136"/>
    </row>
    <row r="32" spans="2:26" x14ac:dyDescent="0.3">
      <c r="Q32" s="136"/>
      <c r="R32" s="136"/>
      <c r="S32" s="136"/>
      <c r="T32" s="136"/>
      <c r="U32" s="136"/>
      <c r="V32" s="136"/>
      <c r="W32" s="136"/>
      <c r="X32" s="136"/>
      <c r="Y32" s="136"/>
      <c r="Z32" s="136"/>
    </row>
    <row r="33" spans="17:26" x14ac:dyDescent="0.3">
      <c r="Q33" s="136"/>
      <c r="R33" s="136"/>
      <c r="S33" s="136"/>
      <c r="T33" s="136"/>
      <c r="U33" s="136"/>
      <c r="V33" s="136"/>
      <c r="W33" s="136"/>
      <c r="X33" s="136"/>
      <c r="Y33" s="136"/>
      <c r="Z33" s="136"/>
    </row>
    <row r="34" spans="17:26" x14ac:dyDescent="0.3">
      <c r="Q34" s="136"/>
      <c r="R34" s="136"/>
      <c r="S34" s="136"/>
      <c r="T34" s="136"/>
      <c r="U34" s="136"/>
      <c r="V34" s="136"/>
      <c r="W34" s="136"/>
      <c r="X34" s="136"/>
      <c r="Y34" s="136"/>
      <c r="Z34" s="136"/>
    </row>
    <row r="35" spans="17:26" x14ac:dyDescent="0.3">
      <c r="Q35" s="136"/>
      <c r="R35" s="136"/>
      <c r="S35" s="136"/>
      <c r="T35" s="136"/>
      <c r="U35" s="136"/>
      <c r="V35" s="136"/>
      <c r="W35" s="136"/>
      <c r="X35" s="136"/>
      <c r="Y35" s="136"/>
      <c r="Z35" s="136"/>
    </row>
    <row r="36" spans="17:26" x14ac:dyDescent="0.3">
      <c r="Q36" s="136"/>
      <c r="R36" s="136"/>
      <c r="S36" s="136"/>
      <c r="T36" s="136"/>
      <c r="U36" s="136"/>
      <c r="V36" s="136"/>
      <c r="W36" s="136"/>
      <c r="X36" s="136"/>
      <c r="Y36" s="136"/>
      <c r="Z36" s="136"/>
    </row>
    <row r="37" spans="17:26" x14ac:dyDescent="0.3">
      <c r="Q37" s="136"/>
      <c r="R37" s="136"/>
      <c r="S37" s="136"/>
      <c r="T37" s="136"/>
      <c r="U37" s="136"/>
      <c r="V37" s="136"/>
      <c r="W37" s="136"/>
      <c r="X37" s="136"/>
      <c r="Y37" s="136"/>
      <c r="Z37" s="136"/>
    </row>
    <row r="38" spans="17:26" x14ac:dyDescent="0.3">
      <c r="Q38" s="136"/>
      <c r="R38" s="136"/>
      <c r="S38" s="136"/>
      <c r="T38" s="136"/>
      <c r="U38" s="136"/>
      <c r="V38" s="136"/>
      <c r="W38" s="136"/>
      <c r="X38" s="136"/>
      <c r="Y38" s="136"/>
      <c r="Z38" s="136"/>
    </row>
    <row r="39" spans="17:26" x14ac:dyDescent="0.3">
      <c r="Q39" s="136"/>
      <c r="R39" s="136"/>
      <c r="S39" s="136"/>
      <c r="T39" s="136"/>
      <c r="U39" s="136"/>
      <c r="V39" s="136"/>
      <c r="W39" s="136"/>
      <c r="X39" s="136"/>
      <c r="Y39" s="136"/>
      <c r="Z39" s="136"/>
    </row>
    <row r="40" spans="17:26" x14ac:dyDescent="0.3">
      <c r="Q40" s="136"/>
      <c r="R40" s="136"/>
      <c r="S40" s="136"/>
      <c r="T40" s="136"/>
      <c r="U40" s="136"/>
      <c r="V40" s="136"/>
      <c r="W40" s="136"/>
      <c r="X40" s="136"/>
      <c r="Y40" s="136"/>
      <c r="Z40" s="136"/>
    </row>
    <row r="41" spans="17:26" x14ac:dyDescent="0.3">
      <c r="Q41" s="136"/>
      <c r="R41" s="136"/>
      <c r="S41" s="136"/>
      <c r="T41" s="136"/>
      <c r="U41" s="136"/>
      <c r="V41" s="136"/>
      <c r="W41" s="136"/>
      <c r="X41" s="136"/>
      <c r="Y41" s="136"/>
      <c r="Z41" s="136"/>
    </row>
    <row r="42" spans="17:26" x14ac:dyDescent="0.3">
      <c r="Q42" s="136"/>
      <c r="R42" s="136"/>
      <c r="S42" s="136"/>
      <c r="T42" s="136"/>
      <c r="U42" s="136"/>
      <c r="V42" s="136"/>
      <c r="W42" s="136"/>
      <c r="X42" s="136"/>
      <c r="Y42" s="136"/>
      <c r="Z42" s="136"/>
    </row>
    <row r="43" spans="17:26" x14ac:dyDescent="0.3">
      <c r="Q43" s="136"/>
      <c r="R43" s="136"/>
      <c r="S43" s="136"/>
      <c r="T43" s="136"/>
      <c r="U43" s="136"/>
      <c r="V43" s="136"/>
      <c r="W43" s="136"/>
      <c r="X43" s="136"/>
      <c r="Y43" s="136"/>
      <c r="Z43" s="136"/>
    </row>
    <row r="44" spans="17:26" x14ac:dyDescent="0.3">
      <c r="Q44" s="136"/>
      <c r="R44" s="136"/>
      <c r="S44" s="136"/>
      <c r="T44" s="136"/>
      <c r="U44" s="136"/>
      <c r="V44" s="136"/>
      <c r="W44" s="136"/>
      <c r="X44" s="136"/>
      <c r="Y44" s="136"/>
      <c r="Z44" s="136"/>
    </row>
  </sheetData>
  <mergeCells count="2">
    <mergeCell ref="Q3:Z44"/>
    <mergeCell ref="Q1:Z2"/>
  </mergeCells>
  <phoneticPr fontId="23" type="noConversion"/>
  <conditionalFormatting sqref="G23:O24">
    <cfRule type="colorScale" priority="1">
      <colorScale>
        <cfvo type="min"/>
        <cfvo type="percentile" val="50"/>
        <cfvo type="max"/>
        <color rgb="FF5A8AC6"/>
        <color rgb="FFFCFCFF"/>
        <color rgb="FFF8696B"/>
      </colorScale>
    </cfRule>
    <cfRule type="colorScale" priority="2">
      <colorScale>
        <cfvo type="min"/>
        <cfvo type="percentile" val="50"/>
        <cfvo type="max"/>
        <color rgb="FF5A8AC6"/>
        <color rgb="FFFCFCFF"/>
        <color rgb="FFF8696B"/>
      </colorScale>
    </cfRule>
  </conditionalFormatting>
  <pageMargins left="0.7" right="0.7" top="0.75" bottom="0.75" header="0.3" footer="0.3"/>
  <pageSetup paperSize="9" orientation="portrait" horizontalDpi="1200" verticalDpi="1200" r:id="rId1"/>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1">
    <tabColor theme="5" tint="0.79995117038483843"/>
  </sheetPr>
  <dimension ref="A1:T4836"/>
  <sheetViews>
    <sheetView workbookViewId="0">
      <selection activeCell="F12" sqref="F12"/>
    </sheetView>
  </sheetViews>
  <sheetFormatPr defaultColWidth="9" defaultRowHeight="14.15" x14ac:dyDescent="0.35"/>
  <cols>
    <col min="1" max="1" width="9" style="1"/>
    <col min="2" max="2" width="25.78515625" style="1" customWidth="1"/>
    <col min="3" max="3" width="55.42578125" style="1" customWidth="1"/>
    <col min="4" max="5" width="9" style="1"/>
    <col min="6" max="8" width="12.85546875" style="1" customWidth="1"/>
    <col min="9" max="9" width="8.85546875" style="1" customWidth="1"/>
    <col min="10" max="10" width="17.140625" style="1" customWidth="1"/>
    <col min="11" max="13" width="12.85546875" style="1" customWidth="1"/>
    <col min="14" max="14" width="8.85546875" style="1" customWidth="1"/>
    <col min="15" max="15" width="17.140625" style="1" customWidth="1"/>
    <col min="16" max="20" width="13.78515625" style="1"/>
    <col min="21" max="16384" width="9" style="1"/>
  </cols>
  <sheetData>
    <row r="1" spans="1:20" x14ac:dyDescent="0.35">
      <c r="A1" s="86" t="str">
        <f>[2]!edb()</f>
        <v>Wind</v>
      </c>
    </row>
    <row r="2" spans="1:20" x14ac:dyDescent="0.35">
      <c r="A2" s="146" t="s">
        <v>158</v>
      </c>
      <c r="B2" s="146" t="s">
        <v>144</v>
      </c>
      <c r="C2" s="146" t="s">
        <v>161</v>
      </c>
      <c r="D2" s="87" t="s">
        <v>45</v>
      </c>
      <c r="E2" s="87" t="s">
        <v>46</v>
      </c>
      <c r="F2" s="87" t="s">
        <v>34</v>
      </c>
      <c r="G2" s="1" t="s">
        <v>36</v>
      </c>
      <c r="H2" s="1" t="s">
        <v>35</v>
      </c>
      <c r="I2" s="1" t="s">
        <v>33</v>
      </c>
      <c r="J2" s="1" t="s">
        <v>37</v>
      </c>
      <c r="K2" s="87" t="s">
        <v>34</v>
      </c>
      <c r="L2" s="1" t="s">
        <v>36</v>
      </c>
      <c r="M2" s="1" t="s">
        <v>35</v>
      </c>
      <c r="N2" s="1" t="s">
        <v>33</v>
      </c>
      <c r="O2" s="1" t="s">
        <v>37</v>
      </c>
      <c r="P2" s="87" t="s">
        <v>34</v>
      </c>
      <c r="Q2" s="1" t="s">
        <v>36</v>
      </c>
      <c r="R2" s="1" t="s">
        <v>35</v>
      </c>
      <c r="S2" s="1" t="s">
        <v>33</v>
      </c>
      <c r="T2" s="1" t="s">
        <v>37</v>
      </c>
    </row>
    <row r="3" spans="1:20" x14ac:dyDescent="0.35">
      <c r="A3" s="146" t="s">
        <v>162</v>
      </c>
      <c r="B3" s="146" t="s">
        <v>163</v>
      </c>
      <c r="C3" s="146" t="s">
        <v>163</v>
      </c>
      <c r="K3" s="1" t="s">
        <v>45</v>
      </c>
      <c r="L3" s="1" t="s">
        <v>45</v>
      </c>
      <c r="M3" s="1" t="s">
        <v>45</v>
      </c>
      <c r="N3" s="1" t="s">
        <v>45</v>
      </c>
      <c r="O3" s="1" t="s">
        <v>45</v>
      </c>
      <c r="P3" s="1" t="s">
        <v>46</v>
      </c>
      <c r="Q3" s="1" t="s">
        <v>46</v>
      </c>
      <c r="R3" s="1" t="s">
        <v>46</v>
      </c>
      <c r="S3" s="1" t="s">
        <v>46</v>
      </c>
      <c r="T3" s="1" t="s">
        <v>46</v>
      </c>
    </row>
    <row r="4" spans="1:20" x14ac:dyDescent="0.35">
      <c r="A4" s="146" t="s">
        <v>164</v>
      </c>
      <c r="B4" s="146" t="s">
        <v>165</v>
      </c>
      <c r="C4" s="146" t="s">
        <v>166</v>
      </c>
    </row>
    <row r="5" spans="1:20" x14ac:dyDescent="0.35">
      <c r="A5" s="146" t="s">
        <v>167</v>
      </c>
      <c r="B5" s="150" t="s">
        <v>176</v>
      </c>
      <c r="C5" s="150" t="s">
        <v>168</v>
      </c>
    </row>
    <row r="6" spans="1:20" x14ac:dyDescent="0.35">
      <c r="A6" s="12">
        <v>46022</v>
      </c>
      <c r="B6" s="13">
        <v>3.2963568042304758</v>
      </c>
      <c r="C6" s="88">
        <v>2.7412391304348001</v>
      </c>
      <c r="D6" s="1" t="str">
        <f>IF(B6&gt;=1,"牛市",IF(B6&lt;=-1,"熊市","震荡"))</f>
        <v>牛市</v>
      </c>
      <c r="E6" s="1" t="str">
        <f>IF(C6&lt;=-2,"牛市",IF(C6&gt;=2,"熊市","震荡"))</f>
        <v>熊市</v>
      </c>
      <c r="F6" s="1" t="str">
        <f>IFERROR(VLOOKUP(A6,'货币信用框架5-货币政策目标+信用脉冲'!A:L,12,0),F7)</f>
        <v>紧货币紧信用</v>
      </c>
      <c r="G6" s="1" t="str">
        <f>IFERROR(VLOOKUP(A6,'信贷库存框架1-票据+贷款余额'!A:L,12,0),G7)</f>
        <v>主动去库存</v>
      </c>
      <c r="H6" s="1" t="str">
        <f>IFERROR(VLOOKUP(A6,'财政货币框架1&amp;2底稿'!A:N,14,0),H7)</f>
        <v>双紧</v>
      </c>
      <c r="I6" s="1" t="str">
        <f>IFERROR(VLOOKUP(A6,美林时钟!A:W,23,0),I7)</f>
        <v>滞涨</v>
      </c>
      <c r="J6" s="1" t="str">
        <f>IFERROR(VLOOKUP(A6,库存与产能周期2!A:Q,17,0),J7)</f>
        <v>产能周期下行,被动去库存</v>
      </c>
      <c r="K6" s="1">
        <f>IFERROR((COUNTIFS($D8:$D67,"牛市",F8:F67,F6)-COUNTIFS($D8:$D67,"熊市",F8:F67,F6))/COUNTIFS(F8:F67,F6),K7)</f>
        <v>0.36363636363636365</v>
      </c>
      <c r="L6" s="1">
        <f>IFERROR((COUNTIFS($D8:$D67,"牛市",G8:G67,G6)-COUNTIFS($D8:$D67,"熊市",G8:G67,G6))/COUNTIFS(G8:G67,G6),L7)</f>
        <v>5.5555555555555552E-2</v>
      </c>
      <c r="M6" s="1">
        <f>IFERROR((COUNTIFS($D8:$D67,"牛市",H8:H67,H6)-COUNTIFS($D8:$D67,"熊市",H8:H67,H6))/COUNTIFS(H8:H67,H6),M7)</f>
        <v>0.25</v>
      </c>
      <c r="N6" s="1">
        <f>IFERROR((COUNTIFS($D8:$D67,"牛市",I8:I67,I6)-COUNTIFS($D8:$D67,"熊市",I8:I67,I6))/COUNTIFS(I8:I67,I6),N7)</f>
        <v>-0.18181818181818182</v>
      </c>
      <c r="O6" s="1">
        <f>IFERROR((COUNTIFS($D8:$D67,"牛市",J8:J67,J6)-COUNTIFS($D8:$D67,"熊市",J8:J67,J6))/COUNTIFS(J8:J67,J6),O7)</f>
        <v>0.5</v>
      </c>
      <c r="P6" s="1">
        <f>IFERROR((COUNTIFS($E8:$E67,"牛市",F8:F67,F6)-COUNTIFS($E8:$E67,"熊市",F8:F67,F6))/COUNTIFS(F8:F67,F6),P7)</f>
        <v>-9.0909090909090912E-2</v>
      </c>
      <c r="Q6" s="1">
        <f>IFERROR((COUNTIFS($E8:$E67,"牛市",G8:G67,G6)-COUNTIFS($E8:$E67,"熊市",G8:G67,G6))/COUNTIFS(G8:G67,G6),Q7)</f>
        <v>0.22222222222222221</v>
      </c>
      <c r="R6" s="1">
        <f>IFERROR((COUNTIFS($E8:$E67,"牛市",H8:H67,H6)-COUNTIFS($E8:$E67,"熊市",H8:H67,H6))/COUNTIFS(H8:H67,H6),R7)</f>
        <v>4.1666666666666664E-2</v>
      </c>
      <c r="S6" s="1">
        <f>IFERROR((COUNTIFS($E8:$E67,"牛市",I8:I67,I6)-COUNTIFS($E8:$E67,"熊市",I8:I67,I6))/COUNTIFS(I8:I67,I6),S7)</f>
        <v>-0.36363636363636365</v>
      </c>
      <c r="T6" s="1">
        <f>IFERROR((COUNTIFS($E8:$E67,"牛市",J8:J67,J6)-COUNTIFS($E8:$E67,"熊市",J8:J67,J6))/COUNTIFS(J8:J67,J6),T7)</f>
        <v>0.5</v>
      </c>
    </row>
    <row r="7" spans="1:20" x14ac:dyDescent="0.35">
      <c r="A7" s="12">
        <v>45991</v>
      </c>
      <c r="B7" s="13">
        <v>-2.2209192382576401</v>
      </c>
      <c r="C7" s="88">
        <v>-1.5817222222222</v>
      </c>
      <c r="D7" s="1" t="str">
        <f t="shared" ref="D7:D70" si="0">IF(B7&gt;=1,"牛市",IF(B7&lt;=-1,"熊市","震荡"))</f>
        <v>熊市</v>
      </c>
      <c r="E7" s="1" t="str">
        <f t="shared" ref="E7:E70" si="1">IF(C7&lt;=-2,"牛市",IF(C7&gt;=2,"熊市","震荡"))</f>
        <v>震荡</v>
      </c>
      <c r="F7" s="1" t="str">
        <f>IFERROR(VLOOKUP(A7,'货币信用框架5-货币政策目标+信用脉冲'!A:L,12,0),F8)</f>
        <v>宽货币紧信用</v>
      </c>
      <c r="G7" s="1" t="str">
        <f>VLOOKUP(A7,'信贷库存框架1-票据+贷款余额'!A:L,12,0)</f>
        <v>被动补库存</v>
      </c>
      <c r="H7" s="1" t="str">
        <f>IFERROR(VLOOKUP(A7,'财政货币框架1&amp;2底稿'!A:N,14,0),H8)</f>
        <v>双紧</v>
      </c>
      <c r="I7" s="1" t="str">
        <f>IFERROR(VLOOKUP(A7,美林时钟!A:W,23,0),I8)</f>
        <v>衰退</v>
      </c>
      <c r="J7" s="1" t="str">
        <f>VLOOKUP(A7,库存与产能周期2!A:Q,17,0)</f>
        <v>产能周期下行,主动补库存</v>
      </c>
      <c r="K7" s="1">
        <f t="shared" ref="K7:K38" si="2">IFERROR((COUNTIFS($D9:$D68,"牛市",F9:F68,F7)-COUNTIFS($D9:$D68,"熊市",F9:F68,F7))/COUNTIFS(F9:F68,F7),K8)</f>
        <v>0.2</v>
      </c>
      <c r="L7" s="1">
        <f t="shared" ref="L7:L38" si="3">IFERROR((COUNTIFS($D9:$D68,"牛市",G9:G68,G7)-COUNTIFS($D9:$D68,"熊市",G9:G68,G7))/COUNTIFS(G9:G68,G7),L8)</f>
        <v>-3.3333333333333333E-2</v>
      </c>
      <c r="M7" s="1">
        <f t="shared" ref="M7:M44" si="4">IFERROR((COUNTIFS($D9:$D68,"牛市",H9:H68,H7)-COUNTIFS($D9:$D68,"熊市",H9:H68,H7))/COUNTIFS(H9:H68,H7),M8)</f>
        <v>0.29166666666666669</v>
      </c>
      <c r="N7" s="1">
        <f t="shared" ref="N7:N38" si="5">IFERROR((COUNTIFS($D9:$D68,"牛市",I9:I68,I7)-COUNTIFS($D9:$D68,"熊市",I9:I68,I7))/COUNTIFS(I9:I68,I7),N8)</f>
        <v>8.3333333333333329E-2</v>
      </c>
      <c r="O7" s="1">
        <f t="shared" ref="O7:O38" si="6">IFERROR((COUNTIFS($D9:$D68,"牛市",J9:J68,J7)-COUNTIFS($D9:$D68,"熊市",J9:J68,J7))/COUNTIFS(J9:J68,J7),O8)</f>
        <v>0.14285714285714285</v>
      </c>
      <c r="P7" s="1">
        <f t="shared" ref="P7:P38" si="7">IFERROR((COUNTIFS($E9:$E68,"牛市",F9:F68,F7)-COUNTIFS($E9:$E68,"熊市",F9:F68,F7))/COUNTIFS(F9:F68,F7),P8)</f>
        <v>0.6</v>
      </c>
      <c r="Q7" s="1">
        <f t="shared" ref="Q7:Q38" si="8">IFERROR((COUNTIFS($E9:$E68,"牛市",G9:G68,G7)-COUNTIFS($E9:$E68,"熊市",G9:G68,G7))/COUNTIFS(G9:G68,G7),Q8)</f>
        <v>0.3</v>
      </c>
      <c r="R7" s="1">
        <f t="shared" ref="R7:R44" si="9">IFERROR((COUNTIFS($E9:$E68,"牛市",H9:H68,H7)-COUNTIFS($E9:$E68,"熊市",H9:H68,H7))/COUNTIFS(H9:H68,H7),R8)</f>
        <v>-4.1666666666666664E-2</v>
      </c>
      <c r="S7" s="1">
        <f t="shared" ref="S7:S38" si="10">IFERROR((COUNTIFS($E9:$E68,"牛市",I9:I68,I7)-COUNTIFS($E9:$E68,"熊市",I9:I68,I7))/COUNTIFS(I9:I68,I7),S8)</f>
        <v>0.25</v>
      </c>
      <c r="T7" s="1">
        <f t="shared" ref="T7:T38" si="11">IFERROR((COUNTIFS($E9:$E68,"牛市",J9:J68,J7)-COUNTIFS($E9:$E68,"熊市",J9:J68,J7))/COUNTIFS(J9:J68,J7),T8)</f>
        <v>-4.7619047619047616E-2</v>
      </c>
    </row>
    <row r="8" spans="1:20" x14ac:dyDescent="0.35">
      <c r="A8" s="12">
        <v>45961</v>
      </c>
      <c r="B8" s="13">
        <v>-3.6361990275727001E-2</v>
      </c>
      <c r="C8" s="88">
        <v>-2.6186473429952</v>
      </c>
      <c r="D8" s="1" t="str">
        <f t="shared" si="0"/>
        <v>震荡</v>
      </c>
      <c r="E8" s="1" t="str">
        <f t="shared" si="1"/>
        <v>牛市</v>
      </c>
      <c r="F8" s="1" t="str">
        <f>IFERROR(VLOOKUP(A8,'货币信用框架5-货币政策目标+信用脉冲'!A:L,12,0),F9)</f>
        <v>紧货币紧信用</v>
      </c>
      <c r="G8" s="1" t="str">
        <f>VLOOKUP(A8,'信贷库存框架1-票据+贷款余额'!A:L,12,0)</f>
        <v>被动补库存</v>
      </c>
      <c r="H8" s="1" t="str">
        <f>IFERROR(VLOOKUP(A8,'财政货币框架1&amp;2底稿'!A:N,14,0),H9)</f>
        <v>双紧</v>
      </c>
      <c r="I8" s="1" t="str">
        <f>IFERROR(VLOOKUP(A8,美林时钟!A:W,23,0),I9)</f>
        <v>过热</v>
      </c>
      <c r="J8" s="1" t="str">
        <f>VLOOKUP(A8,库存与产能周期2!A:Q,17,0)</f>
        <v>产能周期下行,主动补库存</v>
      </c>
      <c r="K8" s="1">
        <f t="shared" si="2"/>
        <v>0.33333333333333331</v>
      </c>
      <c r="L8" s="1">
        <f t="shared" si="3"/>
        <v>-3.3333333333333333E-2</v>
      </c>
      <c r="M8" s="1">
        <f t="shared" si="4"/>
        <v>0.2608695652173913</v>
      </c>
      <c r="N8" s="1">
        <f t="shared" si="5"/>
        <v>0.33333333333333331</v>
      </c>
      <c r="O8" s="1">
        <f t="shared" si="6"/>
        <v>0.1</v>
      </c>
      <c r="P8" s="1">
        <f t="shared" si="7"/>
        <v>-0.1111111111111111</v>
      </c>
      <c r="Q8" s="1">
        <f t="shared" si="8"/>
        <v>0.3</v>
      </c>
      <c r="R8" s="1">
        <f t="shared" si="9"/>
        <v>0</v>
      </c>
      <c r="S8" s="1">
        <f t="shared" si="10"/>
        <v>0.2</v>
      </c>
      <c r="T8" s="1">
        <f t="shared" si="11"/>
        <v>0</v>
      </c>
    </row>
    <row r="9" spans="1:20" x14ac:dyDescent="0.35">
      <c r="A9" s="12">
        <v>45930</v>
      </c>
      <c r="B9" s="13">
        <v>2.8045383736822318</v>
      </c>
      <c r="C9" s="88">
        <v>10.872774327122199</v>
      </c>
      <c r="D9" s="1" t="str">
        <f t="shared" si="0"/>
        <v>牛市</v>
      </c>
      <c r="E9" s="1" t="str">
        <f t="shared" si="1"/>
        <v>熊市</v>
      </c>
      <c r="F9" s="1" t="str">
        <f>IFERROR(VLOOKUP(A9,'货币信用框架5-货币政策目标+信用脉冲'!A:L,12,0),F10)</f>
        <v>紧货币紧信用</v>
      </c>
      <c r="G9" s="1" t="str">
        <f>VLOOKUP(A9,'信贷库存框架1-票据+贷款余额'!A:L,12,0)</f>
        <v>主动去库存</v>
      </c>
      <c r="H9" s="1" t="str">
        <f>IFERROR(VLOOKUP(A9,'财政货币框架1&amp;2底稿'!A:N,14,0),H10)</f>
        <v>双紧</v>
      </c>
      <c r="I9" s="1" t="str">
        <f>IFERROR(VLOOKUP(A9,美林时钟!A:W,23,0),I10)</f>
        <v>过热</v>
      </c>
      <c r="J9" s="1" t="str">
        <f>VLOOKUP(A9,库存与产能周期2!A:Q,17,0)</f>
        <v>产能周期下行,主动补库存</v>
      </c>
      <c r="K9" s="1">
        <f t="shared" si="2"/>
        <v>0.33333333333333331</v>
      </c>
      <c r="L9" s="1">
        <f t="shared" si="3"/>
        <v>0</v>
      </c>
      <c r="M9" s="1">
        <f t="shared" si="4"/>
        <v>0.2608695652173913</v>
      </c>
      <c r="N9" s="1">
        <f t="shared" si="5"/>
        <v>0.33333333333333331</v>
      </c>
      <c r="O9" s="1">
        <f t="shared" si="6"/>
        <v>5.2631578947368418E-2</v>
      </c>
      <c r="P9" s="1">
        <f t="shared" si="7"/>
        <v>-0.1111111111111111</v>
      </c>
      <c r="Q9" s="1">
        <f t="shared" si="8"/>
        <v>0.15789473684210525</v>
      </c>
      <c r="R9" s="1">
        <f t="shared" si="9"/>
        <v>0</v>
      </c>
      <c r="S9" s="1">
        <f t="shared" si="10"/>
        <v>0.2</v>
      </c>
      <c r="T9" s="1">
        <f t="shared" si="11"/>
        <v>5.2631578947368418E-2</v>
      </c>
    </row>
    <row r="10" spans="1:20" x14ac:dyDescent="0.35">
      <c r="A10" s="12">
        <v>45900</v>
      </c>
      <c r="B10" s="13">
        <v>10.932696923234079</v>
      </c>
      <c r="C10" s="88">
        <v>7.3237474120082</v>
      </c>
      <c r="D10" s="1" t="str">
        <f t="shared" si="0"/>
        <v>牛市</v>
      </c>
      <c r="E10" s="1" t="str">
        <f t="shared" si="1"/>
        <v>熊市</v>
      </c>
      <c r="F10" s="1" t="str">
        <f>IFERROR(VLOOKUP(A10,'货币信用框架5-货币政策目标+信用脉冲'!A:L,12,0),F11)</f>
        <v>宽货币紧信用</v>
      </c>
      <c r="G10" s="1" t="str">
        <f>VLOOKUP(A10,'信贷库存框架1-票据+贷款余额'!A:L,12,0)</f>
        <v>主动去库存</v>
      </c>
      <c r="H10" s="1" t="str">
        <f>IFERROR(VLOOKUP(A10,'财政货币框架1&amp;2底稿'!A:N,14,0),H11)</f>
        <v>双紧</v>
      </c>
      <c r="I10" s="1" t="str">
        <f>IFERROR(VLOOKUP(A10,美林时钟!A:W,23,0),I11)</f>
        <v>衰退</v>
      </c>
      <c r="J10" s="1" t="str">
        <f>VLOOKUP(A10,库存与产能周期2!A:Q,17,0)</f>
        <v>产能周期下行,主动补库存</v>
      </c>
      <c r="K10" s="1">
        <f t="shared" si="2"/>
        <v>0.15789473684210525</v>
      </c>
      <c r="L10" s="1">
        <f t="shared" si="3"/>
        <v>0.05</v>
      </c>
      <c r="M10" s="1">
        <f t="shared" si="4"/>
        <v>0.2608695652173913</v>
      </c>
      <c r="N10" s="1">
        <f t="shared" si="5"/>
        <v>8.3333333333333329E-2</v>
      </c>
      <c r="O10" s="1">
        <f t="shared" si="6"/>
        <v>0</v>
      </c>
      <c r="P10" s="1">
        <f t="shared" si="7"/>
        <v>0.68421052631578949</v>
      </c>
      <c r="Q10" s="1">
        <f t="shared" si="8"/>
        <v>0.1</v>
      </c>
      <c r="R10" s="1">
        <f t="shared" si="9"/>
        <v>0</v>
      </c>
      <c r="S10" s="1">
        <f t="shared" si="10"/>
        <v>0.25</v>
      </c>
      <c r="T10" s="1">
        <f t="shared" si="11"/>
        <v>0.1111111111111111</v>
      </c>
    </row>
    <row r="11" spans="1:20" x14ac:dyDescent="0.35">
      <c r="A11" s="12">
        <v>45869</v>
      </c>
      <c r="B11" s="13">
        <v>4.7457417601025949</v>
      </c>
      <c r="C11" s="88">
        <v>2.6568478260870001</v>
      </c>
      <c r="D11" s="1" t="str">
        <f t="shared" si="0"/>
        <v>牛市</v>
      </c>
      <c r="E11" s="1" t="str">
        <f t="shared" si="1"/>
        <v>熊市</v>
      </c>
      <c r="F11" s="1" t="str">
        <f>IFERROR(VLOOKUP(A11,'货币信用框架5-货币政策目标+信用脉冲'!A:L,12,0),F12)</f>
        <v>宽货币宽信用</v>
      </c>
      <c r="G11" s="1" t="str">
        <f>VLOOKUP(A11,'信贷库存框架1-票据+贷款余额'!A:L,12,0)</f>
        <v>被动补库存</v>
      </c>
      <c r="H11" s="1" t="str">
        <f>IFERROR(VLOOKUP(A11,'财政货币框架1&amp;2底稿'!A:N,14,0),H12)</f>
        <v>双紧</v>
      </c>
      <c r="I11" s="1" t="str">
        <f>IFERROR(VLOOKUP(A11,美林时钟!A:W,23,0),I12)</f>
        <v>复苏</v>
      </c>
      <c r="J11" s="1" t="str">
        <f>VLOOKUP(A11,库存与产能周期2!A:Q,17,0)</f>
        <v>产能周期下行,主动补库存</v>
      </c>
      <c r="K11" s="1">
        <f t="shared" si="2"/>
        <v>-0.46666666666666667</v>
      </c>
      <c r="L11" s="1">
        <f t="shared" si="3"/>
        <v>-6.8965517241379309E-2</v>
      </c>
      <c r="M11" s="1">
        <f t="shared" si="4"/>
        <v>0.2608695652173913</v>
      </c>
      <c r="N11" s="1">
        <f t="shared" si="5"/>
        <v>-9.0909090909090912E-2</v>
      </c>
      <c r="O11" s="1">
        <f t="shared" si="6"/>
        <v>-5.8823529411764705E-2</v>
      </c>
      <c r="P11" s="1">
        <f t="shared" si="7"/>
        <v>0.4</v>
      </c>
      <c r="Q11" s="1">
        <f t="shared" si="8"/>
        <v>0.34482758620689657</v>
      </c>
      <c r="R11" s="1">
        <f t="shared" si="9"/>
        <v>-8.6956521739130432E-2</v>
      </c>
      <c r="S11" s="1">
        <f t="shared" si="10"/>
        <v>0.45454545454545453</v>
      </c>
      <c r="T11" s="1">
        <f t="shared" si="11"/>
        <v>5.8823529411764705E-2</v>
      </c>
    </row>
    <row r="12" spans="1:20" x14ac:dyDescent="0.35">
      <c r="A12" s="12">
        <v>45838</v>
      </c>
      <c r="B12" s="13">
        <v>4.7411973840911221</v>
      </c>
      <c r="C12" s="88">
        <v>-3.1740789473683999</v>
      </c>
      <c r="D12" s="1" t="str">
        <f t="shared" si="0"/>
        <v>牛市</v>
      </c>
      <c r="E12" s="1" t="str">
        <f t="shared" si="1"/>
        <v>牛市</v>
      </c>
      <c r="F12" s="1" t="str">
        <f>IFERROR(VLOOKUP(A12,'货币信用框架5-货币政策目标+信用脉冲'!A:L,12,0),F13)</f>
        <v>宽货币宽信用</v>
      </c>
      <c r="G12" s="1" t="str">
        <f>VLOOKUP(A12,'信贷库存框架1-票据+贷款余额'!A:L,12,0)</f>
        <v>被动去库存</v>
      </c>
      <c r="H12" s="1" t="str">
        <f>IFERROR(VLOOKUP(A12,'财政货币框架1&amp;2底稿'!A:N,14,0),H13)</f>
        <v>双紧</v>
      </c>
      <c r="I12" s="1" t="str">
        <f>IFERROR(VLOOKUP(A12,美林时钟!A:W,23,0),I13)</f>
        <v>衰退</v>
      </c>
      <c r="J12" s="1" t="str">
        <f>VLOOKUP(A12,库存与产能周期2!A:Q,17,0)</f>
        <v>产能周期下行,主动补库存</v>
      </c>
      <c r="K12" s="1">
        <f t="shared" si="2"/>
        <v>-0.53333333333333333</v>
      </c>
      <c r="L12" s="1">
        <f t="shared" si="3"/>
        <v>0.16666666666666666</v>
      </c>
      <c r="M12" s="1">
        <f t="shared" si="4"/>
        <v>0.21739130434782608</v>
      </c>
      <c r="N12" s="1">
        <f t="shared" si="5"/>
        <v>0</v>
      </c>
      <c r="O12" s="1">
        <f t="shared" si="6"/>
        <v>-0.125</v>
      </c>
      <c r="P12" s="1">
        <f t="shared" si="7"/>
        <v>0.33333333333333331</v>
      </c>
      <c r="Q12" s="1">
        <f t="shared" si="8"/>
        <v>0</v>
      </c>
      <c r="R12" s="1">
        <f t="shared" si="9"/>
        <v>-0.13043478260869565</v>
      </c>
      <c r="S12" s="1">
        <f t="shared" si="10"/>
        <v>0</v>
      </c>
      <c r="T12" s="1">
        <f t="shared" si="11"/>
        <v>6.25E-2</v>
      </c>
    </row>
    <row r="13" spans="1:20" x14ac:dyDescent="0.35">
      <c r="A13" s="12">
        <v>45808</v>
      </c>
      <c r="B13" s="13">
        <v>2.3851656769326852</v>
      </c>
      <c r="C13" s="88">
        <v>1.4479425837319999</v>
      </c>
      <c r="D13" s="1" t="str">
        <f t="shared" si="0"/>
        <v>牛市</v>
      </c>
      <c r="E13" s="1" t="str">
        <f t="shared" si="1"/>
        <v>震荡</v>
      </c>
      <c r="F13" s="1" t="str">
        <f>IFERROR(VLOOKUP(A13,'货币信用框架5-货币政策目标+信用脉冲'!A:L,12,0),F14)</f>
        <v>宽货币宽信用</v>
      </c>
      <c r="G13" s="1" t="str">
        <f>VLOOKUP(A13,'信贷库存框架1-票据+贷款余额'!A:L,12,0)</f>
        <v>主动去库存</v>
      </c>
      <c r="H13" s="1" t="str">
        <f>IFERROR(VLOOKUP(A13,'财政货币框架1&amp;2底稿'!A:N,14,0),H14)</f>
        <v>双紧</v>
      </c>
      <c r="I13" s="1" t="str">
        <f>IFERROR(VLOOKUP(A13,美林时钟!A:W,23,0),I14)</f>
        <v>衰退</v>
      </c>
      <c r="J13" s="1" t="str">
        <f>VLOOKUP(A13,库存与产能周期2!A:Q,17,0)</f>
        <v>产能周期下行,主动补库存</v>
      </c>
      <c r="K13" s="1">
        <f t="shared" si="2"/>
        <v>-0.4</v>
      </c>
      <c r="L13" s="1">
        <f t="shared" si="3"/>
        <v>0.10526315789473684</v>
      </c>
      <c r="M13" s="1">
        <f t="shared" si="4"/>
        <v>0.27272727272727271</v>
      </c>
      <c r="N13" s="1">
        <f t="shared" si="5"/>
        <v>0</v>
      </c>
      <c r="O13" s="1">
        <f t="shared" si="6"/>
        <v>-6.6666666666666666E-2</v>
      </c>
      <c r="P13" s="1">
        <f t="shared" si="7"/>
        <v>0.33333333333333331</v>
      </c>
      <c r="Q13" s="1">
        <f t="shared" si="8"/>
        <v>0</v>
      </c>
      <c r="R13" s="1">
        <f t="shared" si="9"/>
        <v>-0.18181818181818182</v>
      </c>
      <c r="S13" s="1">
        <f t="shared" si="10"/>
        <v>0</v>
      </c>
      <c r="T13" s="1">
        <f t="shared" si="11"/>
        <v>0</v>
      </c>
    </row>
    <row r="14" spans="1:20" x14ac:dyDescent="0.35">
      <c r="A14" s="12">
        <v>45777</v>
      </c>
      <c r="B14" s="13">
        <v>-3.1503404936123141</v>
      </c>
      <c r="C14" s="88">
        <v>-14.648268398268399</v>
      </c>
      <c r="D14" s="1" t="str">
        <f t="shared" si="0"/>
        <v>熊市</v>
      </c>
      <c r="E14" s="1" t="str">
        <f t="shared" si="1"/>
        <v>牛市</v>
      </c>
      <c r="F14" s="1" t="str">
        <f>IFERROR(VLOOKUP(A14,'货币信用框架5-货币政策目标+信用脉冲'!A:L,12,0),F15)</f>
        <v>宽货币宽信用</v>
      </c>
      <c r="G14" s="1" t="str">
        <f>VLOOKUP(A14,'信贷库存框架1-票据+贷款余额'!A:L,12,0)</f>
        <v>主动去库存</v>
      </c>
      <c r="H14" s="1" t="str">
        <f>IFERROR(VLOOKUP(A14,'财政货币框架1&amp;2底稿'!A:N,14,0),H15)</f>
        <v>双紧</v>
      </c>
      <c r="I14" s="1" t="str">
        <f>IFERROR(VLOOKUP(A14,美林时钟!A:W,23,0),I15)</f>
        <v>滞涨</v>
      </c>
      <c r="J14" s="1" t="str">
        <f>VLOOKUP(A14,库存与产能周期2!A:Q,17,0)</f>
        <v>产能周期下行,主动补库存</v>
      </c>
      <c r="K14" s="1">
        <f t="shared" si="2"/>
        <v>-0.4375</v>
      </c>
      <c r="L14" s="1">
        <f t="shared" si="3"/>
        <v>0.10526315789473684</v>
      </c>
      <c r="M14" s="1">
        <f t="shared" si="4"/>
        <v>0.22727272727272727</v>
      </c>
      <c r="N14" s="1">
        <f t="shared" si="5"/>
        <v>-0.1111111111111111</v>
      </c>
      <c r="O14" s="1">
        <f t="shared" si="6"/>
        <v>-7.1428571428571425E-2</v>
      </c>
      <c r="P14" s="1">
        <f t="shared" si="7"/>
        <v>0.375</v>
      </c>
      <c r="Q14" s="1">
        <f t="shared" si="8"/>
        <v>0</v>
      </c>
      <c r="R14" s="1">
        <f t="shared" si="9"/>
        <v>-9.0909090909090912E-2</v>
      </c>
      <c r="S14" s="1">
        <f t="shared" si="10"/>
        <v>-0.44444444444444442</v>
      </c>
      <c r="T14" s="1">
        <f t="shared" si="11"/>
        <v>7.1428571428571425E-2</v>
      </c>
    </row>
    <row r="15" spans="1:20" x14ac:dyDescent="0.35">
      <c r="A15" s="12">
        <v>45747</v>
      </c>
      <c r="B15" s="13">
        <v>-0.40246441308393799</v>
      </c>
      <c r="C15" s="88">
        <v>14.247694235589</v>
      </c>
      <c r="D15" s="1" t="str">
        <f t="shared" si="0"/>
        <v>震荡</v>
      </c>
      <c r="E15" s="1" t="str">
        <f t="shared" si="1"/>
        <v>熊市</v>
      </c>
      <c r="F15" s="1" t="str">
        <f>IFERROR(VLOOKUP(A15,'货币信用框架5-货币政策目标+信用脉冲'!A:L,12,0),F16)</f>
        <v>紧货币宽信用</v>
      </c>
      <c r="G15" s="1" t="str">
        <f>VLOOKUP(A15,'信贷库存框架1-票据+贷款余额'!A:L,12,0)</f>
        <v>主动补库存</v>
      </c>
      <c r="H15" s="1" t="str">
        <f>IFERROR(VLOOKUP(A15,'财政货币框架1&amp;2底稿'!A:N,14,0),H16)</f>
        <v>双紧</v>
      </c>
      <c r="I15" s="1" t="str">
        <f>IFERROR(VLOOKUP(A15,美林时钟!A:W,23,0),I16)</f>
        <v>滞涨</v>
      </c>
      <c r="J15" s="1" t="str">
        <f>VLOOKUP(A15,库存与产能周期2!A:Q,17,0)</f>
        <v>产能周期下行,主动补库存</v>
      </c>
      <c r="K15" s="1">
        <f t="shared" si="2"/>
        <v>0.13333333333333333</v>
      </c>
      <c r="L15" s="1">
        <f t="shared" si="3"/>
        <v>0.16666666666666666</v>
      </c>
      <c r="M15" s="1">
        <f t="shared" si="4"/>
        <v>0.19047619047619047</v>
      </c>
      <c r="N15" s="1">
        <f t="shared" si="5"/>
        <v>-0.1</v>
      </c>
      <c r="O15" s="1">
        <f t="shared" si="6"/>
        <v>-0.15384615384615385</v>
      </c>
      <c r="P15" s="1">
        <f t="shared" si="7"/>
        <v>-0.4</v>
      </c>
      <c r="Q15" s="1">
        <f t="shared" si="8"/>
        <v>0.16666666666666666</v>
      </c>
      <c r="R15" s="1">
        <f t="shared" si="9"/>
        <v>-4.7619047619047616E-2</v>
      </c>
      <c r="S15" s="1">
        <f t="shared" si="10"/>
        <v>-0.3</v>
      </c>
      <c r="T15" s="1">
        <f t="shared" si="11"/>
        <v>0.15384615384615385</v>
      </c>
    </row>
    <row r="16" spans="1:20" x14ac:dyDescent="0.35">
      <c r="A16" s="12">
        <v>45716</v>
      </c>
      <c r="B16" s="13">
        <v>4.740777283879142</v>
      </c>
      <c r="C16" s="88">
        <v>3.3657894736841998</v>
      </c>
      <c r="D16" s="1" t="str">
        <f t="shared" si="0"/>
        <v>牛市</v>
      </c>
      <c r="E16" s="1" t="str">
        <f t="shared" si="1"/>
        <v>熊市</v>
      </c>
      <c r="F16" s="1" t="str">
        <f>IFERROR(VLOOKUP(A16,'货币信用框架5-货币政策目标+信用脉冲'!A:L,12,0),F17)</f>
        <v>紧货币宽信用</v>
      </c>
      <c r="G16" s="1" t="str">
        <f>VLOOKUP(A16,'信贷库存框架1-票据+贷款余额'!A:L,12,0)</f>
        <v>被动补库存</v>
      </c>
      <c r="H16" s="1" t="str">
        <f>IFERROR(VLOOKUP(A16,'财政货币框架1&amp;2底稿'!A:N,14,0),H17)</f>
        <v>双紧</v>
      </c>
      <c r="I16" s="1" t="str">
        <f>IFERROR(VLOOKUP(A16,美林时钟!A:W,23,0),I17)</f>
        <v>过热</v>
      </c>
      <c r="J16" s="1" t="str">
        <f>VLOOKUP(A16,库存与产能周期2!A:Q,17,0)</f>
        <v>产能周期下行,主动补库存</v>
      </c>
      <c r="K16" s="1">
        <f t="shared" si="2"/>
        <v>0.13333333333333333</v>
      </c>
      <c r="L16" s="1">
        <f t="shared" si="3"/>
        <v>-7.407407407407407E-2</v>
      </c>
      <c r="M16" s="1">
        <f t="shared" si="4"/>
        <v>0.23809523809523808</v>
      </c>
      <c r="N16" s="1">
        <f t="shared" si="5"/>
        <v>0.26666666666666666</v>
      </c>
      <c r="O16" s="1">
        <f t="shared" si="6"/>
        <v>-8.3333333333333329E-2</v>
      </c>
      <c r="P16" s="1">
        <f t="shared" si="7"/>
        <v>-0.4</v>
      </c>
      <c r="Q16" s="1">
        <f t="shared" si="8"/>
        <v>0.37037037037037035</v>
      </c>
      <c r="R16" s="1">
        <f t="shared" si="9"/>
        <v>-4.7619047619047616E-2</v>
      </c>
      <c r="S16" s="1">
        <f t="shared" si="10"/>
        <v>0.33333333333333331</v>
      </c>
      <c r="T16" s="1">
        <f t="shared" si="11"/>
        <v>8.3333333333333329E-2</v>
      </c>
    </row>
    <row r="17" spans="1:20" x14ac:dyDescent="0.35">
      <c r="A17" s="12">
        <v>45688</v>
      </c>
      <c r="B17" s="13">
        <v>-2.3186981818895789</v>
      </c>
      <c r="C17" s="88">
        <v>-16.228851674641099</v>
      </c>
      <c r="D17" s="1" t="str">
        <f t="shared" si="0"/>
        <v>熊市</v>
      </c>
      <c r="E17" s="1" t="str">
        <f t="shared" si="1"/>
        <v>牛市</v>
      </c>
      <c r="F17" s="1" t="str">
        <f>IFERROR(VLOOKUP(A17,'货币信用框架5-货币政策目标+信用脉冲'!A:L,12,0),F18)</f>
        <v>宽货币宽信用</v>
      </c>
      <c r="G17" s="1" t="str">
        <f>VLOOKUP(A17,'信贷库存框架1-票据+贷款余额'!A:L,12,0)</f>
        <v>被动补库存</v>
      </c>
      <c r="H17" s="1" t="str">
        <f>IFERROR(VLOOKUP(A17,'财政货币框架1&amp;2底稿'!A:N,14,0),H18)</f>
        <v>双紧</v>
      </c>
      <c r="I17" s="1" t="str">
        <f>IFERROR(VLOOKUP(A17,美林时钟!A:W,23,0),I18)</f>
        <v>衰退</v>
      </c>
      <c r="J17" s="1" t="str">
        <f>VLOOKUP(A17,库存与产能周期2!A:Q,17,0)</f>
        <v>产能周期下行,主动补库存</v>
      </c>
      <c r="K17" s="1">
        <f t="shared" si="2"/>
        <v>-0.33333333333333331</v>
      </c>
      <c r="L17" s="1">
        <f t="shared" si="3"/>
        <v>-3.8461538461538464E-2</v>
      </c>
      <c r="M17" s="1">
        <f t="shared" si="4"/>
        <v>0.23809523809523808</v>
      </c>
      <c r="N17" s="1">
        <f t="shared" si="5"/>
        <v>7.6923076923076927E-2</v>
      </c>
      <c r="O17" s="1">
        <f t="shared" si="6"/>
        <v>-8.3333333333333329E-2</v>
      </c>
      <c r="P17" s="1">
        <f t="shared" si="7"/>
        <v>0.33333333333333331</v>
      </c>
      <c r="Q17" s="1">
        <f t="shared" si="8"/>
        <v>0.34615384615384615</v>
      </c>
      <c r="R17" s="1">
        <f t="shared" si="9"/>
        <v>-4.7619047619047616E-2</v>
      </c>
      <c r="S17" s="1">
        <f t="shared" si="10"/>
        <v>7.6923076923076927E-2</v>
      </c>
      <c r="T17" s="1">
        <f t="shared" si="11"/>
        <v>8.3333333333333329E-2</v>
      </c>
    </row>
    <row r="18" spans="1:20" x14ac:dyDescent="0.35">
      <c r="A18" s="12">
        <v>45657</v>
      </c>
      <c r="B18" s="13">
        <v>-1.9590725430636859</v>
      </c>
      <c r="C18" s="88">
        <v>-28.8636796536797</v>
      </c>
      <c r="D18" s="1" t="str">
        <f t="shared" si="0"/>
        <v>熊市</v>
      </c>
      <c r="E18" s="1" t="str">
        <f t="shared" si="1"/>
        <v>牛市</v>
      </c>
      <c r="F18" s="1" t="str">
        <f>IFERROR(VLOOKUP(A18,'货币信用框架5-货币政策目标+信用脉冲'!A:L,12,0),F19)</f>
        <v>宽货币宽信用</v>
      </c>
      <c r="G18" s="1" t="str">
        <f>VLOOKUP(A18,'信贷库存框架1-票据+贷款余额'!A:L,12,0)</f>
        <v>被动补库存</v>
      </c>
      <c r="H18" s="1" t="str">
        <f>IFERROR(VLOOKUP(A18,'财政货币框架1&amp;2底稿'!A:N,14,0),H19)</f>
        <v>双宽</v>
      </c>
      <c r="I18" s="1" t="str">
        <f>IFERROR(VLOOKUP(A18,美林时钟!A:W,23,0),I19)</f>
        <v>复苏</v>
      </c>
      <c r="J18" s="1" t="str">
        <f>VLOOKUP(A18,库存与产能周期2!A:Q,17,0)</f>
        <v>产能周期下行,被动去库存</v>
      </c>
      <c r="K18" s="1">
        <f t="shared" si="2"/>
        <v>-0.33333333333333331</v>
      </c>
      <c r="L18" s="1">
        <f t="shared" si="3"/>
        <v>-3.8461538461538464E-2</v>
      </c>
      <c r="M18" s="1">
        <f t="shared" si="4"/>
        <v>-0.05</v>
      </c>
      <c r="N18" s="1">
        <f t="shared" si="5"/>
        <v>0</v>
      </c>
      <c r="O18" s="1">
        <f t="shared" si="6"/>
        <v>1</v>
      </c>
      <c r="P18" s="1">
        <f t="shared" si="7"/>
        <v>0.33333333333333331</v>
      </c>
      <c r="Q18" s="1">
        <f t="shared" si="8"/>
        <v>0.34615384615384615</v>
      </c>
      <c r="R18" s="1">
        <f t="shared" si="9"/>
        <v>0.35</v>
      </c>
      <c r="S18" s="1">
        <f t="shared" si="10"/>
        <v>0.45454545454545453</v>
      </c>
      <c r="T18" s="1">
        <f t="shared" si="11"/>
        <v>0</v>
      </c>
    </row>
    <row r="19" spans="1:20" x14ac:dyDescent="0.35">
      <c r="A19" s="12">
        <v>45626</v>
      </c>
      <c r="B19" s="13">
        <v>1.343044466532469</v>
      </c>
      <c r="C19" s="88">
        <v>-5.8158897243108001</v>
      </c>
      <c r="D19" s="1" t="str">
        <f t="shared" si="0"/>
        <v>牛市</v>
      </c>
      <c r="E19" s="1" t="str">
        <f t="shared" si="1"/>
        <v>牛市</v>
      </c>
      <c r="F19" s="1" t="str">
        <f>IFERROR(VLOOKUP(A19,'货币信用框架5-货币政策目标+信用脉冲'!A:L,12,0),F20)</f>
        <v>紧货币紧信用</v>
      </c>
      <c r="G19" s="1" t="str">
        <f>VLOOKUP(A19,'信贷库存框架1-票据+贷款余额'!A:L,12,0)</f>
        <v>主动去库存</v>
      </c>
      <c r="H19" s="1" t="str">
        <f>IFERROR(VLOOKUP(A19,'财政货币框架1&amp;2底稿'!A:N,14,0),H20)</f>
        <v>双紧</v>
      </c>
      <c r="I19" s="1" t="str">
        <f>IFERROR(VLOOKUP(A19,美林时钟!A:W,23,0),I20)</f>
        <v>过热</v>
      </c>
      <c r="J19" s="1" t="str">
        <f>VLOOKUP(A19,库存与产能周期2!A:Q,17,0)</f>
        <v>产能周期下行,被动去库存</v>
      </c>
      <c r="K19" s="1">
        <f t="shared" si="2"/>
        <v>0.22222222222222221</v>
      </c>
      <c r="L19" s="1">
        <f t="shared" si="3"/>
        <v>0.05</v>
      </c>
      <c r="M19" s="1">
        <f t="shared" si="4"/>
        <v>0.2</v>
      </c>
      <c r="N19" s="1">
        <f t="shared" si="5"/>
        <v>0.15384615384615385</v>
      </c>
      <c r="O19" s="1">
        <f t="shared" si="6"/>
        <v>1</v>
      </c>
      <c r="P19" s="1">
        <f t="shared" si="7"/>
        <v>-0.1111111111111111</v>
      </c>
      <c r="Q19" s="1">
        <f t="shared" si="8"/>
        <v>0.05</v>
      </c>
      <c r="R19" s="1">
        <f t="shared" si="9"/>
        <v>-0.1</v>
      </c>
      <c r="S19" s="1">
        <f t="shared" si="10"/>
        <v>0.38461538461538464</v>
      </c>
      <c r="T19" s="1">
        <f t="shared" si="11"/>
        <v>1</v>
      </c>
    </row>
    <row r="20" spans="1:20" x14ac:dyDescent="0.35">
      <c r="A20" s="12">
        <v>45596</v>
      </c>
      <c r="B20" s="13">
        <v>2.278456268582191</v>
      </c>
      <c r="C20" s="88">
        <v>4.2516040100251002</v>
      </c>
      <c r="D20" s="1" t="str">
        <f t="shared" si="0"/>
        <v>牛市</v>
      </c>
      <c r="E20" s="1" t="str">
        <f t="shared" si="1"/>
        <v>熊市</v>
      </c>
      <c r="F20" s="1" t="str">
        <f>IFERROR(VLOOKUP(A20,'货币信用框架5-货币政策目标+信用脉冲'!A:L,12,0),F21)</f>
        <v>紧货币紧信用</v>
      </c>
      <c r="G20" s="1" t="str">
        <f>VLOOKUP(A20,'信贷库存框架1-票据+贷款余额'!A:L,12,0)</f>
        <v>主动去库存</v>
      </c>
      <c r="H20" s="1" t="str">
        <f>IFERROR(VLOOKUP(A20,'财政货币框架1&amp;2底稿'!A:N,14,0),H21)</f>
        <v>双宽</v>
      </c>
      <c r="I20" s="1" t="str">
        <f>IFERROR(VLOOKUP(A20,美林时钟!A:W,23,0),I21)</f>
        <v>过热</v>
      </c>
      <c r="J20" s="1" t="str">
        <f>VLOOKUP(A20,库存与产能周期2!A:Q,17,0)</f>
        <v>产能周期下行,被动去库存</v>
      </c>
      <c r="K20" s="1">
        <f t="shared" si="2"/>
        <v>0.1111111111111111</v>
      </c>
      <c r="L20" s="1">
        <f t="shared" si="3"/>
        <v>0.05</v>
      </c>
      <c r="M20" s="1">
        <f t="shared" si="4"/>
        <v>-0.1</v>
      </c>
      <c r="N20" s="1">
        <f t="shared" si="5"/>
        <v>0.15384615384615385</v>
      </c>
      <c r="O20" s="1">
        <f t="shared" si="6"/>
        <v>-1</v>
      </c>
      <c r="P20" s="1">
        <f t="shared" si="7"/>
        <v>-0.33333333333333331</v>
      </c>
      <c r="Q20" s="1">
        <f t="shared" si="8"/>
        <v>0.05</v>
      </c>
      <c r="R20" s="1">
        <f t="shared" si="9"/>
        <v>0.3</v>
      </c>
      <c r="S20" s="1">
        <f t="shared" si="10"/>
        <v>0.38461538461538464</v>
      </c>
      <c r="T20" s="1">
        <f t="shared" si="11"/>
        <v>1</v>
      </c>
    </row>
    <row r="21" spans="1:20" x14ac:dyDescent="0.35">
      <c r="A21" s="12">
        <v>45565</v>
      </c>
      <c r="B21" s="13">
        <v>22.210134627747362</v>
      </c>
      <c r="C21" s="88">
        <v>-6.9838528138528</v>
      </c>
      <c r="D21" s="1" t="str">
        <f t="shared" si="0"/>
        <v>牛市</v>
      </c>
      <c r="E21" s="1" t="str">
        <f t="shared" si="1"/>
        <v>牛市</v>
      </c>
      <c r="F21" s="1" t="str">
        <f>IFERROR(VLOOKUP(A21,'货币信用框架5-货币政策目标+信用脉冲'!A:L,12,0),F22)</f>
        <v>紧货币紧信用</v>
      </c>
      <c r="G21" s="1" t="str">
        <f>VLOOKUP(A21,'信贷库存框架1-票据+贷款余额'!A:L,12,0)</f>
        <v>被动补库存</v>
      </c>
      <c r="H21" s="1" t="str">
        <f>IFERROR(VLOOKUP(A21,'财政货币框架1&amp;2底稿'!A:N,14,0),H22)</f>
        <v>双宽</v>
      </c>
      <c r="I21" s="1" t="str">
        <f>IFERROR(VLOOKUP(A21,美林时钟!A:W,23,0),I22)</f>
        <v>复苏</v>
      </c>
      <c r="J21" s="1" t="str">
        <f>VLOOKUP(A21,库存与产能周期2!A:Q,17,0)</f>
        <v>产能周期下行,被动去库存</v>
      </c>
      <c r="K21" s="1">
        <f t="shared" si="2"/>
        <v>0.1</v>
      </c>
      <c r="L21" s="1">
        <f t="shared" si="3"/>
        <v>-4.1666666666666664E-2</v>
      </c>
      <c r="M21" s="1">
        <f t="shared" si="4"/>
        <v>-7.6923076923076927E-2</v>
      </c>
      <c r="N21" s="1">
        <f t="shared" si="5"/>
        <v>0</v>
      </c>
      <c r="O21" s="1">
        <f t="shared" si="6"/>
        <v>-1</v>
      </c>
      <c r="P21" s="1">
        <f t="shared" si="7"/>
        <v>-0.2</v>
      </c>
      <c r="Q21" s="1">
        <f t="shared" si="8"/>
        <v>0.29166666666666669</v>
      </c>
      <c r="R21" s="1">
        <f t="shared" si="9"/>
        <v>0.28205128205128205</v>
      </c>
      <c r="S21" s="1">
        <f t="shared" si="10"/>
        <v>0.36363636363636365</v>
      </c>
      <c r="T21" s="1">
        <f t="shared" si="11"/>
        <v>1</v>
      </c>
    </row>
    <row r="22" spans="1:20" x14ac:dyDescent="0.35">
      <c r="A22" s="12">
        <v>45535</v>
      </c>
      <c r="B22" s="13">
        <v>-3.9690314175752399</v>
      </c>
      <c r="C22" s="88">
        <v>-6.4669960474307997</v>
      </c>
      <c r="D22" s="1" t="str">
        <f t="shared" si="0"/>
        <v>熊市</v>
      </c>
      <c r="E22" s="1" t="str">
        <f t="shared" si="1"/>
        <v>牛市</v>
      </c>
      <c r="F22" s="1" t="str">
        <f>IFERROR(VLOOKUP(A22,'货币信用框架5-货币政策目标+信用脉冲'!A:L,12,0),F23)</f>
        <v>宽货币紧信用</v>
      </c>
      <c r="G22" s="1" t="str">
        <f>VLOOKUP(A22,'信贷库存框架1-票据+贷款余额'!A:L,12,0)</f>
        <v>被动补库存</v>
      </c>
      <c r="H22" s="1" t="str">
        <f>IFERROR(VLOOKUP(A22,'财政货币框架1&amp;2底稿'!A:N,14,0),H23)</f>
        <v>双宽</v>
      </c>
      <c r="I22" s="1" t="str">
        <f>IFERROR(VLOOKUP(A22,美林时钟!A:W,23,0),I23)</f>
        <v>复苏</v>
      </c>
      <c r="J22" s="1" t="str">
        <f>VLOOKUP(A22,库存与产能周期2!A:Q,17,0)</f>
        <v>产能周期上行,被动去库存</v>
      </c>
      <c r="K22" s="1">
        <f t="shared" si="2"/>
        <v>0.2</v>
      </c>
      <c r="L22" s="1">
        <f t="shared" si="3"/>
        <v>-4.3478260869565216E-2</v>
      </c>
      <c r="M22" s="1">
        <f t="shared" si="4"/>
        <v>-7.8947368421052627E-2</v>
      </c>
      <c r="N22" s="1">
        <f t="shared" si="5"/>
        <v>0</v>
      </c>
      <c r="O22" s="1">
        <f t="shared" si="6"/>
        <v>-1</v>
      </c>
      <c r="P22" s="1">
        <f t="shared" si="7"/>
        <v>0.7</v>
      </c>
      <c r="Q22" s="1">
        <f t="shared" si="8"/>
        <v>0.30434782608695654</v>
      </c>
      <c r="R22" s="1">
        <f t="shared" si="9"/>
        <v>0.28947368421052633</v>
      </c>
      <c r="S22" s="1">
        <f t="shared" si="10"/>
        <v>0.36363636363636365</v>
      </c>
      <c r="T22" s="1">
        <f t="shared" si="11"/>
        <v>1</v>
      </c>
    </row>
    <row r="23" spans="1:20" x14ac:dyDescent="0.35">
      <c r="A23" s="12">
        <v>45504</v>
      </c>
      <c r="B23" s="13">
        <v>0.27106654712188499</v>
      </c>
      <c r="C23" s="88">
        <v>-1.7454919908466999</v>
      </c>
      <c r="D23" s="1" t="str">
        <f t="shared" si="0"/>
        <v>震荡</v>
      </c>
      <c r="E23" s="1" t="str">
        <f t="shared" si="1"/>
        <v>震荡</v>
      </c>
      <c r="F23" s="1" t="str">
        <f>IFERROR(VLOOKUP(A23,'货币信用框架5-货币政策目标+信用脉冲'!A:L,12,0),F24)</f>
        <v>宽货币宽信用</v>
      </c>
      <c r="G23" s="1" t="str">
        <f>VLOOKUP(A23,'信贷库存框架1-票据+贷款余额'!A:L,12,0)</f>
        <v>被动补库存</v>
      </c>
      <c r="H23" s="1" t="str">
        <f>IFERROR(VLOOKUP(A23,'财政货币框架1&amp;2底稿'!A:N,14,0),H24)</f>
        <v>双宽</v>
      </c>
      <c r="I23" s="1" t="str">
        <f>IFERROR(VLOOKUP(A23,美林时钟!A:W,23,0),I24)</f>
        <v>过热</v>
      </c>
      <c r="J23" s="1" t="str">
        <f>VLOOKUP(A23,库存与产能周期2!A:Q,17,0)</f>
        <v>产能周期上行,被动去库存</v>
      </c>
      <c r="K23" s="1">
        <f t="shared" si="2"/>
        <v>-0.26666666666666666</v>
      </c>
      <c r="L23" s="1">
        <f t="shared" si="3"/>
        <v>0</v>
      </c>
      <c r="M23" s="1">
        <f t="shared" si="4"/>
        <v>-5.128205128205128E-2</v>
      </c>
      <c r="N23" s="1">
        <f t="shared" si="5"/>
        <v>0.27272727272727271</v>
      </c>
      <c r="O23" s="1">
        <f t="shared" si="6"/>
        <v>-0.23076923076923078</v>
      </c>
      <c r="P23" s="1">
        <f t="shared" si="7"/>
        <v>0.4</v>
      </c>
      <c r="Q23" s="1">
        <f t="shared" si="8"/>
        <v>0.27272727272727271</v>
      </c>
      <c r="R23" s="1">
        <f t="shared" si="9"/>
        <v>0.30769230769230771</v>
      </c>
      <c r="S23" s="1">
        <f t="shared" si="10"/>
        <v>0.36363636363636365</v>
      </c>
      <c r="T23" s="1">
        <f t="shared" si="11"/>
        <v>7.6923076923076927E-2</v>
      </c>
    </row>
    <row r="24" spans="1:20" x14ac:dyDescent="0.35">
      <c r="A24" s="12">
        <v>45473</v>
      </c>
      <c r="B24" s="13">
        <v>-5.1273772152469537</v>
      </c>
      <c r="C24" s="88">
        <v>-4.7655639097745004</v>
      </c>
      <c r="D24" s="1" t="str">
        <f t="shared" si="0"/>
        <v>熊市</v>
      </c>
      <c r="E24" s="1" t="str">
        <f t="shared" si="1"/>
        <v>牛市</v>
      </c>
      <c r="F24" s="1" t="str">
        <f>IFERROR(VLOOKUP(A24,'货币信用框架5-货币政策目标+信用脉冲'!A:L,12,0),F25)</f>
        <v>宽货币紧信用</v>
      </c>
      <c r="G24" s="1" t="str">
        <f>VLOOKUP(A24,'信贷库存框架1-票据+贷款余额'!A:L,12,0)</f>
        <v>被动补库存</v>
      </c>
      <c r="H24" s="1" t="str">
        <f>IFERROR(VLOOKUP(A24,'财政货币框架1&amp;2底稿'!A:N,14,0),H25)</f>
        <v>双紧</v>
      </c>
      <c r="I24" s="1" t="str">
        <f>IFERROR(VLOOKUP(A24,美林时钟!A:W,23,0),I25)</f>
        <v>过热</v>
      </c>
      <c r="J24" s="1" t="str">
        <f>VLOOKUP(A24,库存与产能周期2!A:Q,17,0)</f>
        <v>产能周期上行,被动去库存</v>
      </c>
      <c r="K24" s="1">
        <f t="shared" si="2"/>
        <v>0.26315789473684209</v>
      </c>
      <c r="L24" s="1">
        <f t="shared" si="3"/>
        <v>4.7619047619047616E-2</v>
      </c>
      <c r="M24" s="1">
        <f t="shared" si="4"/>
        <v>0.23809523809523808</v>
      </c>
      <c r="N24" s="1">
        <f t="shared" si="5"/>
        <v>0.27272727272727271</v>
      </c>
      <c r="O24" s="1">
        <f t="shared" si="6"/>
        <v>-0.23076923076923078</v>
      </c>
      <c r="P24" s="1">
        <f t="shared" si="7"/>
        <v>0.68421052631578949</v>
      </c>
      <c r="Q24" s="1">
        <f t="shared" si="8"/>
        <v>0.33333333333333331</v>
      </c>
      <c r="R24" s="1">
        <f t="shared" si="9"/>
        <v>-4.7619047619047616E-2</v>
      </c>
      <c r="S24" s="1">
        <f t="shared" si="10"/>
        <v>0.36363636363636365</v>
      </c>
      <c r="T24" s="1">
        <f t="shared" si="11"/>
        <v>7.6923076923076927E-2</v>
      </c>
    </row>
    <row r="25" spans="1:20" x14ac:dyDescent="0.35">
      <c r="A25" s="12">
        <v>45443</v>
      </c>
      <c r="B25" s="13">
        <v>-1.2058617125129469</v>
      </c>
      <c r="C25" s="88">
        <v>2.1025974025974001</v>
      </c>
      <c r="D25" s="1" t="str">
        <f t="shared" si="0"/>
        <v>熊市</v>
      </c>
      <c r="E25" s="1" t="str">
        <f t="shared" si="1"/>
        <v>熊市</v>
      </c>
      <c r="F25" s="1" t="str">
        <f>IFERROR(VLOOKUP(A25,'货币信用框架5-货币政策目标+信用脉冲'!A:L,12,0),F26)</f>
        <v>宽货币宽信用</v>
      </c>
      <c r="G25" s="1" t="str">
        <f>VLOOKUP(A25,'信贷库存框架1-票据+贷款余额'!A:L,12,0)</f>
        <v>被动补库存</v>
      </c>
      <c r="H25" s="1" t="str">
        <f>IFERROR(VLOOKUP(A25,'财政货币框架1&amp;2底稿'!A:N,14,0),H26)</f>
        <v>双宽</v>
      </c>
      <c r="I25" s="1" t="str">
        <f>IFERROR(VLOOKUP(A25,美林时钟!A:W,23,0),I26)</f>
        <v>滞涨</v>
      </c>
      <c r="J25" s="1" t="str">
        <f>VLOOKUP(A25,库存与产能周期2!A:Q,17,0)</f>
        <v>产能周期下行,主动去库存</v>
      </c>
      <c r="K25" s="1">
        <f t="shared" si="2"/>
        <v>-0.21428571428571427</v>
      </c>
      <c r="L25" s="1">
        <f t="shared" si="3"/>
        <v>-4.7619047619047616E-2</v>
      </c>
      <c r="M25" s="1">
        <f t="shared" si="4"/>
        <v>-7.8947368421052627E-2</v>
      </c>
      <c r="N25" s="1">
        <f t="shared" si="5"/>
        <v>-0.1</v>
      </c>
      <c r="O25" s="1">
        <f t="shared" si="6"/>
        <v>-0.23076923076923078</v>
      </c>
      <c r="P25" s="1">
        <f t="shared" si="7"/>
        <v>0.5</v>
      </c>
      <c r="Q25" s="1">
        <f t="shared" si="8"/>
        <v>0.23809523809523808</v>
      </c>
      <c r="R25" s="1">
        <f t="shared" si="9"/>
        <v>0.34210526315789475</v>
      </c>
      <c r="S25" s="1">
        <f t="shared" si="10"/>
        <v>-0.3</v>
      </c>
      <c r="T25" s="1">
        <f t="shared" si="11"/>
        <v>7.6923076923076927E-2</v>
      </c>
    </row>
    <row r="26" spans="1:20" x14ac:dyDescent="0.35">
      <c r="A26" s="12">
        <v>45412</v>
      </c>
      <c r="B26" s="13">
        <v>1.020186693010396</v>
      </c>
      <c r="C26" s="88">
        <v>-2.5316450216450002</v>
      </c>
      <c r="D26" s="1" t="str">
        <f t="shared" si="0"/>
        <v>牛市</v>
      </c>
      <c r="E26" s="1" t="str">
        <f t="shared" si="1"/>
        <v>牛市</v>
      </c>
      <c r="F26" s="1" t="str">
        <f>IFERROR(VLOOKUP(A26,'货币信用框架5-货币政策目标+信用脉冲'!A:L,12,0),F27)</f>
        <v>宽货币紧信用</v>
      </c>
      <c r="G26" s="1" t="str">
        <f>VLOOKUP(A26,'信贷库存框架1-票据+贷款余额'!A:L,12,0)</f>
        <v>被动补库存</v>
      </c>
      <c r="H26" s="1" t="str">
        <f>IFERROR(VLOOKUP(A26,'财政货币框架1&amp;2底稿'!A:N,14,0),H27)</f>
        <v>双宽</v>
      </c>
      <c r="I26" s="1" t="str">
        <f>IFERROR(VLOOKUP(A26,美林时钟!A:W,23,0),I27)</f>
        <v>复苏</v>
      </c>
      <c r="J26" s="1" t="str">
        <f>VLOOKUP(A26,库存与产能周期2!A:Q,17,0)</f>
        <v>产能周期下行,主动去库存</v>
      </c>
      <c r="K26" s="1">
        <f t="shared" si="2"/>
        <v>0.17647058823529413</v>
      </c>
      <c r="L26" s="1">
        <f t="shared" si="3"/>
        <v>-0.1</v>
      </c>
      <c r="M26" s="1">
        <f t="shared" si="4"/>
        <v>-7.8947368421052627E-2</v>
      </c>
      <c r="N26" s="1">
        <f t="shared" si="5"/>
        <v>0</v>
      </c>
      <c r="O26" s="1">
        <f t="shared" si="6"/>
        <v>-0.23076923076923078</v>
      </c>
      <c r="P26" s="1">
        <f t="shared" si="7"/>
        <v>0.6470588235294118</v>
      </c>
      <c r="Q26" s="1">
        <f t="shared" si="8"/>
        <v>0.2</v>
      </c>
      <c r="R26" s="1">
        <f t="shared" si="9"/>
        <v>0.34210526315789475</v>
      </c>
      <c r="S26" s="1">
        <f t="shared" si="10"/>
        <v>0.36363636363636365</v>
      </c>
      <c r="T26" s="1">
        <f t="shared" si="11"/>
        <v>0</v>
      </c>
    </row>
    <row r="27" spans="1:20" x14ac:dyDescent="0.35">
      <c r="A27" s="12">
        <v>45382</v>
      </c>
      <c r="B27" s="13">
        <v>1.3511290693299061</v>
      </c>
      <c r="C27" s="88">
        <v>-9.9376984126983992</v>
      </c>
      <c r="D27" s="1" t="str">
        <f t="shared" si="0"/>
        <v>牛市</v>
      </c>
      <c r="E27" s="1" t="str">
        <f t="shared" si="1"/>
        <v>牛市</v>
      </c>
      <c r="F27" s="1" t="str">
        <f>IFERROR(VLOOKUP(A27,'货币信用框架5-货币政策目标+信用脉冲'!A:L,12,0),F28)</f>
        <v>宽货币紧信用</v>
      </c>
      <c r="G27" s="1" t="str">
        <f>VLOOKUP(A27,'信贷库存框架1-票据+贷款余额'!A:L,12,0)</f>
        <v>被动补库存</v>
      </c>
      <c r="H27" s="1" t="str">
        <f>IFERROR(VLOOKUP(A27,'财政货币框架1&amp;2底稿'!A:N,14,0),H28)</f>
        <v>双紧</v>
      </c>
      <c r="I27" s="1" t="str">
        <f>IFERROR(VLOOKUP(A27,美林时钟!A:W,23,0),I28)</f>
        <v>衰退</v>
      </c>
      <c r="J27" s="1" t="str">
        <f>VLOOKUP(A27,库存与产能周期2!A:Q,17,0)</f>
        <v>产能周期下行,主动去库存</v>
      </c>
      <c r="K27" s="1">
        <f t="shared" si="2"/>
        <v>0.17647058823529413</v>
      </c>
      <c r="L27" s="1">
        <f t="shared" si="3"/>
        <v>-4.7619047619047616E-2</v>
      </c>
      <c r="M27" s="1">
        <f t="shared" si="4"/>
        <v>0.21739130434782608</v>
      </c>
      <c r="N27" s="1">
        <f t="shared" si="5"/>
        <v>-0.125</v>
      </c>
      <c r="O27" s="1">
        <f t="shared" si="6"/>
        <v>-0.23076923076923078</v>
      </c>
      <c r="P27" s="1">
        <f t="shared" si="7"/>
        <v>0.58823529411764708</v>
      </c>
      <c r="Q27" s="1">
        <f t="shared" si="8"/>
        <v>0.19047619047619047</v>
      </c>
      <c r="R27" s="1">
        <f t="shared" si="9"/>
        <v>-0.13043478260869565</v>
      </c>
      <c r="S27" s="1">
        <f t="shared" si="10"/>
        <v>6.25E-2</v>
      </c>
      <c r="T27" s="1">
        <f t="shared" si="11"/>
        <v>0</v>
      </c>
    </row>
    <row r="28" spans="1:20" x14ac:dyDescent="0.35">
      <c r="A28" s="12">
        <v>45351</v>
      </c>
      <c r="B28" s="13">
        <v>9.6679642835044142</v>
      </c>
      <c r="C28" s="88">
        <v>-9.8124747474747007</v>
      </c>
      <c r="D28" s="1" t="str">
        <f t="shared" si="0"/>
        <v>牛市</v>
      </c>
      <c r="E28" s="1" t="str">
        <f t="shared" si="1"/>
        <v>牛市</v>
      </c>
      <c r="F28" s="1" t="str">
        <f>IFERROR(VLOOKUP(A28,'货币信用框架5-货币政策目标+信用脉冲'!A:L,12,0),F29)</f>
        <v>宽货币紧信用</v>
      </c>
      <c r="G28" s="1" t="str">
        <f>VLOOKUP(A28,'信贷库存框架1-票据+贷款余额'!A:L,12,0)</f>
        <v>主动去库存</v>
      </c>
      <c r="H28" s="1" t="str">
        <f>IFERROR(VLOOKUP(A28,'财政货币框架1&amp;2底稿'!A:N,14,0),H29)</f>
        <v>双宽</v>
      </c>
      <c r="I28" s="1" t="str">
        <f>IFERROR(VLOOKUP(A28,美林时钟!A:W,23,0),I29)</f>
        <v>复苏</v>
      </c>
      <c r="J28" s="1" t="str">
        <f>VLOOKUP(A28,库存与产能周期2!A:Q,17,0)</f>
        <v>产能周期上行,主动去库存</v>
      </c>
      <c r="K28" s="1">
        <f t="shared" si="2"/>
        <v>0.17647058823529413</v>
      </c>
      <c r="L28" s="1">
        <f t="shared" si="3"/>
        <v>4.5454545454545456E-2</v>
      </c>
      <c r="M28" s="1">
        <f t="shared" si="4"/>
        <v>-5.4054054054054057E-2</v>
      </c>
      <c r="N28" s="1">
        <f t="shared" si="5"/>
        <v>0</v>
      </c>
      <c r="O28" s="1">
        <f t="shared" si="6"/>
        <v>0.375</v>
      </c>
      <c r="P28" s="1">
        <f t="shared" si="7"/>
        <v>0.58823529411764708</v>
      </c>
      <c r="Q28" s="1">
        <f t="shared" si="8"/>
        <v>0.13636363636363635</v>
      </c>
      <c r="R28" s="1">
        <f t="shared" si="9"/>
        <v>0.32432432432432434</v>
      </c>
      <c r="S28" s="1">
        <f t="shared" si="10"/>
        <v>0.3</v>
      </c>
      <c r="T28" s="1">
        <f t="shared" si="11"/>
        <v>6.25E-2</v>
      </c>
    </row>
    <row r="29" spans="1:20" x14ac:dyDescent="0.35">
      <c r="A29" s="12">
        <v>45322</v>
      </c>
      <c r="B29" s="13">
        <v>-12.59459352065995</v>
      </c>
      <c r="C29" s="88">
        <v>-11.1504545454546</v>
      </c>
      <c r="D29" s="1" t="str">
        <f t="shared" si="0"/>
        <v>熊市</v>
      </c>
      <c r="E29" s="1" t="str">
        <f t="shared" si="1"/>
        <v>牛市</v>
      </c>
      <c r="F29" s="1" t="str">
        <f>IFERROR(VLOOKUP(A29,'货币信用框架5-货币政策目标+信用脉冲'!A:L,12,0),F30)</f>
        <v>宽货币宽信用</v>
      </c>
      <c r="G29" s="1" t="str">
        <f>VLOOKUP(A29,'信贷库存框架1-票据+贷款余额'!A:L,12,0)</f>
        <v>主动去库存</v>
      </c>
      <c r="H29" s="1" t="str">
        <f>IFERROR(VLOOKUP(A29,'财政货币框架1&amp;2底稿'!A:N,14,0),H30)</f>
        <v>双宽</v>
      </c>
      <c r="I29" s="1" t="str">
        <f>IFERROR(VLOOKUP(A29,美林时钟!A:W,23,0),I30)</f>
        <v>复苏</v>
      </c>
      <c r="J29" s="1" t="str">
        <f>VLOOKUP(A29,库存与产能周期2!A:Q,17,0)</f>
        <v>产能周期上行,主动去库存</v>
      </c>
      <c r="K29" s="1">
        <f t="shared" si="2"/>
        <v>0</v>
      </c>
      <c r="L29" s="1">
        <f t="shared" si="3"/>
        <v>4.5454545454545456E-2</v>
      </c>
      <c r="M29" s="1">
        <f t="shared" si="4"/>
        <v>-2.7777777777777776E-2</v>
      </c>
      <c r="N29" s="1">
        <f t="shared" si="5"/>
        <v>0</v>
      </c>
      <c r="O29" s="1">
        <f t="shared" si="6"/>
        <v>0.46666666666666667</v>
      </c>
      <c r="P29" s="1">
        <f t="shared" si="7"/>
        <v>0.46666666666666667</v>
      </c>
      <c r="Q29" s="1">
        <f t="shared" si="8"/>
        <v>0.13636363636363635</v>
      </c>
      <c r="R29" s="1">
        <f t="shared" si="9"/>
        <v>0.30555555555555558</v>
      </c>
      <c r="S29" s="1">
        <f t="shared" si="10"/>
        <v>0.3</v>
      </c>
      <c r="T29" s="1">
        <f t="shared" si="11"/>
        <v>0</v>
      </c>
    </row>
    <row r="30" spans="1:20" x14ac:dyDescent="0.35">
      <c r="A30" s="12">
        <v>45291</v>
      </c>
      <c r="B30" s="13">
        <v>-2.0535176317502102</v>
      </c>
      <c r="C30" s="88">
        <v>-5.0940909090908999</v>
      </c>
      <c r="D30" s="1" t="str">
        <f t="shared" si="0"/>
        <v>熊市</v>
      </c>
      <c r="E30" s="1" t="str">
        <f t="shared" si="1"/>
        <v>牛市</v>
      </c>
      <c r="F30" s="1" t="str">
        <f>IFERROR(VLOOKUP(A30,'货币信用框架5-货币政策目标+信用脉冲'!A:L,12,0),F31)</f>
        <v>紧货币宽信用</v>
      </c>
      <c r="G30" s="1" t="str">
        <f>VLOOKUP(A30,'信贷库存框架1-票据+贷款余额'!A:L,12,0)</f>
        <v>被动补库存</v>
      </c>
      <c r="H30" s="1" t="str">
        <f>IFERROR(VLOOKUP(A30,'财政货币框架1&amp;2底稿'!A:N,14,0),H31)</f>
        <v>双宽</v>
      </c>
      <c r="I30" s="1" t="str">
        <f>IFERROR(VLOOKUP(A30,美林时钟!A:W,23,0),I31)</f>
        <v>复苏</v>
      </c>
      <c r="J30" s="1" t="str">
        <f>VLOOKUP(A30,库存与产能周期2!A:Q,17,0)</f>
        <v>产能周期上行,主动去库存</v>
      </c>
      <c r="K30" s="1">
        <f t="shared" si="2"/>
        <v>6.6666666666666666E-2</v>
      </c>
      <c r="L30" s="1">
        <f t="shared" si="3"/>
        <v>9.5238095238095233E-2</v>
      </c>
      <c r="M30" s="1">
        <f t="shared" si="4"/>
        <v>-2.8571428571428571E-2</v>
      </c>
      <c r="N30" s="1">
        <f t="shared" si="5"/>
        <v>0.05</v>
      </c>
      <c r="O30" s="1">
        <f t="shared" si="6"/>
        <v>0.46666666666666667</v>
      </c>
      <c r="P30" s="1">
        <f t="shared" si="7"/>
        <v>-0.46666666666666667</v>
      </c>
      <c r="Q30" s="1">
        <f t="shared" si="8"/>
        <v>0.19047619047619047</v>
      </c>
      <c r="R30" s="1">
        <f t="shared" si="9"/>
        <v>0.2857142857142857</v>
      </c>
      <c r="S30" s="1">
        <f t="shared" si="10"/>
        <v>0.3</v>
      </c>
      <c r="T30" s="1">
        <f t="shared" si="11"/>
        <v>0</v>
      </c>
    </row>
    <row r="31" spans="1:20" x14ac:dyDescent="0.35">
      <c r="A31" s="12">
        <v>45260</v>
      </c>
      <c r="B31" s="13">
        <v>0.35048788689809202</v>
      </c>
      <c r="C31" s="88">
        <v>-2.6211961722488</v>
      </c>
      <c r="D31" s="1" t="str">
        <f t="shared" si="0"/>
        <v>震荡</v>
      </c>
      <c r="E31" s="1" t="str">
        <f t="shared" si="1"/>
        <v>牛市</v>
      </c>
      <c r="F31" s="1" t="str">
        <f>IFERROR(VLOOKUP(A31,'货币信用框架5-货币政策目标+信用脉冲'!A:L,12,0),F32)</f>
        <v>紧货币宽信用</v>
      </c>
      <c r="G31" s="1" t="str">
        <f>VLOOKUP(A31,'信贷库存框架1-票据+贷款余额'!A:L,12,0)</f>
        <v>被动补库存</v>
      </c>
      <c r="H31" s="1" t="str">
        <f>IFERROR(VLOOKUP(A31,'财政货币框架1&amp;2底稿'!A:N,14,0),H32)</f>
        <v>双宽</v>
      </c>
      <c r="I31" s="1" t="str">
        <f>IFERROR(VLOOKUP(A31,美林时钟!A:W,23,0),I32)</f>
        <v>复苏</v>
      </c>
      <c r="J31" s="1" t="str">
        <f>VLOOKUP(A31,库存与产能周期2!A:Q,17,0)</f>
        <v>产能周期下行,主动去库存</v>
      </c>
      <c r="K31" s="1">
        <f t="shared" si="2"/>
        <v>0.14285714285714285</v>
      </c>
      <c r="L31" s="1">
        <f t="shared" si="3"/>
        <v>4.5454545454545456E-2</v>
      </c>
      <c r="M31" s="1">
        <f t="shared" si="4"/>
        <v>-2.8571428571428571E-2</v>
      </c>
      <c r="N31" s="1">
        <f t="shared" si="5"/>
        <v>0</v>
      </c>
      <c r="O31" s="1">
        <f t="shared" si="6"/>
        <v>-0.18181818181818182</v>
      </c>
      <c r="P31" s="1">
        <f t="shared" si="7"/>
        <v>-0.42857142857142855</v>
      </c>
      <c r="Q31" s="1">
        <f t="shared" si="8"/>
        <v>0.22727272727272727</v>
      </c>
      <c r="R31" s="1">
        <f t="shared" si="9"/>
        <v>0.34285714285714286</v>
      </c>
      <c r="S31" s="1">
        <f t="shared" si="10"/>
        <v>0.33333333333333331</v>
      </c>
      <c r="T31" s="1">
        <f t="shared" si="11"/>
        <v>0</v>
      </c>
    </row>
    <row r="32" spans="1:20" x14ac:dyDescent="0.35">
      <c r="A32" s="12">
        <v>45230</v>
      </c>
      <c r="B32" s="13">
        <v>-2.1621674454430502</v>
      </c>
      <c r="C32" s="88">
        <v>4.9216052631579004</v>
      </c>
      <c r="D32" s="1" t="str">
        <f t="shared" si="0"/>
        <v>熊市</v>
      </c>
      <c r="E32" s="1" t="str">
        <f t="shared" si="1"/>
        <v>熊市</v>
      </c>
      <c r="F32" s="1" t="str">
        <f>IFERROR(VLOOKUP(A32,'货币信用框架5-货币政策目标+信用脉冲'!A:L,12,0),F33)</f>
        <v>紧货币宽信用</v>
      </c>
      <c r="G32" s="1" t="str">
        <f>VLOOKUP(A32,'信贷库存框架1-票据+贷款余额'!A:L,12,0)</f>
        <v>主动补库存</v>
      </c>
      <c r="H32" s="1" t="str">
        <f>IFERROR(VLOOKUP(A32,'财政货币框架1&amp;2底稿'!A:N,14,0),H33)</f>
        <v>双宽</v>
      </c>
      <c r="I32" s="1" t="str">
        <f>IFERROR(VLOOKUP(A32,美林时钟!A:W,23,0),I33)</f>
        <v>滞涨</v>
      </c>
      <c r="J32" s="1" t="str">
        <f>VLOOKUP(A32,库存与产能周期2!A:Q,17,0)</f>
        <v>产能周期下行,主动去库存</v>
      </c>
      <c r="K32" s="1">
        <f t="shared" si="2"/>
        <v>0.23076923076923078</v>
      </c>
      <c r="L32" s="1">
        <f t="shared" si="3"/>
        <v>0.2857142857142857</v>
      </c>
      <c r="M32" s="1">
        <f t="shared" si="4"/>
        <v>-2.8571428571428571E-2</v>
      </c>
      <c r="N32" s="1">
        <f t="shared" si="5"/>
        <v>0.1</v>
      </c>
      <c r="O32" s="1">
        <f t="shared" si="6"/>
        <v>-0.18181818181818182</v>
      </c>
      <c r="P32" s="1">
        <f t="shared" si="7"/>
        <v>-0.38461538461538464</v>
      </c>
      <c r="Q32" s="1">
        <f t="shared" si="8"/>
        <v>0.42857142857142855</v>
      </c>
      <c r="R32" s="1">
        <f t="shared" si="9"/>
        <v>0.34285714285714286</v>
      </c>
      <c r="S32" s="1">
        <f t="shared" si="10"/>
        <v>-0.2</v>
      </c>
      <c r="T32" s="1">
        <f t="shared" si="11"/>
        <v>0</v>
      </c>
    </row>
    <row r="33" spans="1:20" x14ac:dyDescent="0.35">
      <c r="A33" s="12">
        <v>45199</v>
      </c>
      <c r="B33" s="13">
        <v>-1.090224311450847</v>
      </c>
      <c r="C33" s="88">
        <v>4.6761521739129996</v>
      </c>
      <c r="D33" s="1" t="str">
        <f t="shared" si="0"/>
        <v>熊市</v>
      </c>
      <c r="E33" s="1" t="str">
        <f t="shared" si="1"/>
        <v>熊市</v>
      </c>
      <c r="F33" s="1" t="str">
        <f>IFERROR(VLOOKUP(A33,'货币信用框架5-货币政策目标+信用脉冲'!A:L,12,0),F34)</f>
        <v>紧货币宽信用</v>
      </c>
      <c r="G33" s="1" t="str">
        <f>VLOOKUP(A33,'信贷库存框架1-票据+贷款余额'!A:L,12,0)</f>
        <v>主动去库存</v>
      </c>
      <c r="H33" s="1" t="str">
        <f>IFERROR(VLOOKUP(A33,'财政货币框架1&amp;2底稿'!A:N,14,0),H34)</f>
        <v>双紧</v>
      </c>
      <c r="I33" s="1" t="str">
        <f>IFERROR(VLOOKUP(A33,美林时钟!A:W,23,0),I34)</f>
        <v>衰退</v>
      </c>
      <c r="J33" s="1" t="str">
        <f>VLOOKUP(A33,库存与产能周期2!A:Q,17,0)</f>
        <v>产能周期下行,被动补库存</v>
      </c>
      <c r="K33" s="1">
        <f t="shared" si="2"/>
        <v>0.23076923076923078</v>
      </c>
      <c r="L33" s="1">
        <f t="shared" si="3"/>
        <v>9.5238095238095233E-2</v>
      </c>
      <c r="M33" s="1">
        <f t="shared" si="4"/>
        <v>0.28000000000000003</v>
      </c>
      <c r="N33" s="1">
        <f t="shared" si="5"/>
        <v>5.8823529411764705E-2</v>
      </c>
      <c r="O33" s="1">
        <f t="shared" si="6"/>
        <v>0</v>
      </c>
      <c r="P33" s="1">
        <f t="shared" si="7"/>
        <v>-0.38461538461538464</v>
      </c>
      <c r="Q33" s="1">
        <f t="shared" si="8"/>
        <v>0.19047619047619047</v>
      </c>
      <c r="R33" s="1">
        <f t="shared" si="9"/>
        <v>-0.04</v>
      </c>
      <c r="S33" s="1">
        <f t="shared" si="10"/>
        <v>0</v>
      </c>
      <c r="T33" s="1">
        <f t="shared" si="11"/>
        <v>-0.2857142857142857</v>
      </c>
    </row>
    <row r="34" spans="1:20" x14ac:dyDescent="0.35">
      <c r="A34" s="12">
        <v>45169</v>
      </c>
      <c r="B34" s="13">
        <v>-5.6137094679973538</v>
      </c>
      <c r="C34" s="88">
        <v>-3.8170807453415998</v>
      </c>
      <c r="D34" s="1" t="str">
        <f t="shared" si="0"/>
        <v>熊市</v>
      </c>
      <c r="E34" s="1" t="str">
        <f t="shared" si="1"/>
        <v>牛市</v>
      </c>
      <c r="F34" s="1" t="str">
        <f>IFERROR(VLOOKUP(A34,'货币信用框架5-货币政策目标+信用脉冲'!A:L,12,0),F35)</f>
        <v>宽货币宽信用</v>
      </c>
      <c r="G34" s="1" t="str">
        <f>VLOOKUP(A34,'信贷库存框架1-票据+贷款余额'!A:L,12,0)</f>
        <v>被动补库存</v>
      </c>
      <c r="H34" s="1" t="str">
        <f>IFERROR(VLOOKUP(A34,'财政货币框架1&amp;2底稿'!A:N,14,0),H35)</f>
        <v>双宽</v>
      </c>
      <c r="I34" s="1" t="str">
        <f>IFERROR(VLOOKUP(A34,美林时钟!A:W,23,0),I35)</f>
        <v>衰退</v>
      </c>
      <c r="J34" s="1" t="str">
        <f>VLOOKUP(A34,库存与产能周期2!A:Q,17,0)</f>
        <v>产能周期上行,被动补库存</v>
      </c>
      <c r="K34" s="1">
        <f t="shared" si="2"/>
        <v>0</v>
      </c>
      <c r="L34" s="1">
        <f t="shared" si="3"/>
        <v>9.5238095238095233E-2</v>
      </c>
      <c r="M34" s="1">
        <f t="shared" si="4"/>
        <v>-5.7142857142857141E-2</v>
      </c>
      <c r="N34" s="1">
        <f t="shared" si="5"/>
        <v>5.8823529411764705E-2</v>
      </c>
      <c r="O34" s="1">
        <f t="shared" si="6"/>
        <v>0</v>
      </c>
      <c r="P34" s="1">
        <f t="shared" si="7"/>
        <v>0.33333333333333331</v>
      </c>
      <c r="Q34" s="1">
        <f t="shared" si="8"/>
        <v>9.5238095238095233E-2</v>
      </c>
      <c r="R34" s="1">
        <f t="shared" si="9"/>
        <v>0.2857142857142857</v>
      </c>
      <c r="S34" s="1">
        <f t="shared" si="10"/>
        <v>0</v>
      </c>
      <c r="T34" s="1">
        <f t="shared" si="11"/>
        <v>1</v>
      </c>
    </row>
    <row r="35" spans="1:20" x14ac:dyDescent="0.35">
      <c r="A35" s="12">
        <v>45138</v>
      </c>
      <c r="B35" s="13">
        <v>2.4722745685347052</v>
      </c>
      <c r="C35" s="88">
        <v>-2.9390476190475998</v>
      </c>
      <c r="D35" s="1" t="str">
        <f t="shared" si="0"/>
        <v>牛市</v>
      </c>
      <c r="E35" s="1" t="str">
        <f t="shared" si="1"/>
        <v>牛市</v>
      </c>
      <c r="F35" s="1" t="str">
        <f>IFERROR(VLOOKUP(A35,'货币信用框架5-货币政策目标+信用脉冲'!A:L,12,0),F36)</f>
        <v>宽货币紧信用</v>
      </c>
      <c r="G35" s="1" t="str">
        <f>VLOOKUP(A35,'信贷库存框架1-票据+贷款余额'!A:L,12,0)</f>
        <v>被动补库存</v>
      </c>
      <c r="H35" s="1" t="str">
        <f>IFERROR(VLOOKUP(A35,'财政货币框架1&amp;2底稿'!A:N,14,0),H36)</f>
        <v>双宽</v>
      </c>
      <c r="I35" s="1" t="str">
        <f>IFERROR(VLOOKUP(A35,美林时钟!A:W,23,0),I36)</f>
        <v>复苏</v>
      </c>
      <c r="J35" s="1" t="str">
        <f>VLOOKUP(A35,库存与产能周期2!A:Q,17,0)</f>
        <v>产能周期上行,被动补库存</v>
      </c>
      <c r="K35" s="1">
        <f t="shared" si="2"/>
        <v>0.11764705882352941</v>
      </c>
      <c r="L35" s="1">
        <f t="shared" si="3"/>
        <v>9.5238095238095233E-2</v>
      </c>
      <c r="M35" s="1">
        <f t="shared" si="4"/>
        <v>-8.8235294117647065E-2</v>
      </c>
      <c r="N35" s="1">
        <f t="shared" si="5"/>
        <v>-0.10526315789473684</v>
      </c>
      <c r="O35" s="1">
        <f t="shared" si="6"/>
        <v>-0.16666666666666666</v>
      </c>
      <c r="P35" s="1">
        <f t="shared" si="7"/>
        <v>0.47058823529411764</v>
      </c>
      <c r="Q35" s="1">
        <f t="shared" si="8"/>
        <v>9.5238095238095233E-2</v>
      </c>
      <c r="R35" s="1">
        <f t="shared" si="9"/>
        <v>0.26470588235294118</v>
      </c>
      <c r="S35" s="1">
        <f t="shared" si="10"/>
        <v>0.26315789473684209</v>
      </c>
      <c r="T35" s="1">
        <f t="shared" si="11"/>
        <v>1</v>
      </c>
    </row>
    <row r="36" spans="1:20" x14ac:dyDescent="0.35">
      <c r="A36" s="12">
        <v>45107</v>
      </c>
      <c r="B36" s="13">
        <v>1.5787271882165539</v>
      </c>
      <c r="C36" s="88">
        <v>-5.0428571428571001</v>
      </c>
      <c r="D36" s="1" t="str">
        <f t="shared" si="0"/>
        <v>牛市</v>
      </c>
      <c r="E36" s="1" t="str">
        <f t="shared" si="1"/>
        <v>牛市</v>
      </c>
      <c r="F36" s="1" t="str">
        <f>IFERROR(VLOOKUP(A36,'货币信用框架5-货币政策目标+信用脉冲'!A:L,12,0),F37)</f>
        <v>宽货币紧信用</v>
      </c>
      <c r="G36" s="1" t="str">
        <f>VLOOKUP(A36,'信贷库存框架1-票据+贷款余额'!A:L,12,0)</f>
        <v>主动去库存</v>
      </c>
      <c r="H36" s="1" t="str">
        <f>IFERROR(VLOOKUP(A36,'财政货币框架1&amp;2底稿'!A:N,14,0),H37)</f>
        <v>双宽</v>
      </c>
      <c r="I36" s="1" t="str">
        <f>IFERROR(VLOOKUP(A36,美林时钟!A:W,23,0),I37)</f>
        <v>复苏</v>
      </c>
      <c r="J36" s="1" t="str">
        <f>VLOOKUP(A36,库存与产能周期2!A:Q,17,0)</f>
        <v>产能周期上行,被动补库存</v>
      </c>
      <c r="K36" s="1">
        <f t="shared" si="2"/>
        <v>0.17647058823529413</v>
      </c>
      <c r="L36" s="1">
        <f t="shared" si="3"/>
        <v>0.10526315789473684</v>
      </c>
      <c r="M36" s="1">
        <f t="shared" si="4"/>
        <v>-5.8823529411764705E-2</v>
      </c>
      <c r="N36" s="1">
        <f t="shared" si="5"/>
        <v>-0.10526315789473684</v>
      </c>
      <c r="O36" s="1">
        <f t="shared" si="6"/>
        <v>0</v>
      </c>
      <c r="P36" s="1">
        <f t="shared" si="7"/>
        <v>0.41176470588235292</v>
      </c>
      <c r="Q36" s="1">
        <f t="shared" si="8"/>
        <v>0.10526315789473684</v>
      </c>
      <c r="R36" s="1">
        <f t="shared" si="9"/>
        <v>0.23529411764705882</v>
      </c>
      <c r="S36" s="1">
        <f t="shared" si="10"/>
        <v>0.26315789473684209</v>
      </c>
      <c r="T36" s="1">
        <f t="shared" si="11"/>
        <v>1</v>
      </c>
    </row>
    <row r="37" spans="1:20" x14ac:dyDescent="0.35">
      <c r="A37" s="12">
        <v>45077</v>
      </c>
      <c r="B37" s="13">
        <v>-3.3120754729155002</v>
      </c>
      <c r="C37" s="88">
        <v>-11.1246666666667</v>
      </c>
      <c r="D37" s="1" t="str">
        <f t="shared" si="0"/>
        <v>熊市</v>
      </c>
      <c r="E37" s="1" t="str">
        <f t="shared" si="1"/>
        <v>牛市</v>
      </c>
      <c r="F37" s="1" t="str">
        <f>IFERROR(VLOOKUP(A37,'货币信用框架5-货币政策目标+信用脉冲'!A:L,12,0),F38)</f>
        <v>宽货币紧信用</v>
      </c>
      <c r="G37" s="1" t="str">
        <f>VLOOKUP(A37,'信贷库存框架1-票据+贷款余额'!A:L,12,0)</f>
        <v>主动去库存</v>
      </c>
      <c r="H37" s="1" t="str">
        <f>IFERROR(VLOOKUP(A37,'财政货币框架1&amp;2底稿'!A:N,14,0),H38)</f>
        <v>双宽</v>
      </c>
      <c r="I37" s="1" t="str">
        <f>IFERROR(VLOOKUP(A37,美林时钟!A:W,23,0),I38)</f>
        <v>衰退</v>
      </c>
      <c r="J37" s="1" t="str">
        <f>VLOOKUP(A37,库存与产能周期2!A:Q,17,0)</f>
        <v>产能周期上行,被动补库存</v>
      </c>
      <c r="K37" s="1">
        <f t="shared" si="2"/>
        <v>0.17647058823529413</v>
      </c>
      <c r="L37" s="1">
        <f t="shared" si="3"/>
        <v>0.16666666666666666</v>
      </c>
      <c r="M37" s="1">
        <f t="shared" si="4"/>
        <v>-5.8823529411764705E-2</v>
      </c>
      <c r="N37" s="1">
        <f t="shared" si="5"/>
        <v>0.11764705882352941</v>
      </c>
      <c r="O37" s="1">
        <f t="shared" si="6"/>
        <v>0.25</v>
      </c>
      <c r="P37" s="1">
        <f t="shared" si="7"/>
        <v>0.41176470588235292</v>
      </c>
      <c r="Q37" s="1">
        <f t="shared" si="8"/>
        <v>5.5555555555555552E-2</v>
      </c>
      <c r="R37" s="1">
        <f t="shared" si="9"/>
        <v>0.23529411764705882</v>
      </c>
      <c r="S37" s="1">
        <f t="shared" si="10"/>
        <v>-5.8823529411764705E-2</v>
      </c>
      <c r="T37" s="1">
        <f t="shared" si="11"/>
        <v>1</v>
      </c>
    </row>
    <row r="38" spans="1:20" x14ac:dyDescent="0.35">
      <c r="A38" s="12">
        <v>45046</v>
      </c>
      <c r="B38" s="13">
        <v>-1.4446498789723901</v>
      </c>
      <c r="C38" s="88">
        <v>-4.0989565217391002</v>
      </c>
      <c r="D38" s="1" t="str">
        <f t="shared" si="0"/>
        <v>熊市</v>
      </c>
      <c r="E38" s="1" t="str">
        <f t="shared" si="1"/>
        <v>牛市</v>
      </c>
      <c r="F38" s="1" t="str">
        <f>IFERROR(VLOOKUP(A38,'货币信用框架5-货币政策目标+信用脉冲'!A:L,12,0),F39)</f>
        <v>宽货币宽信用</v>
      </c>
      <c r="G38" s="1" t="str">
        <f>VLOOKUP(A38,'信贷库存框架1-票据+贷款余额'!A:L,12,0)</f>
        <v>主动去库存</v>
      </c>
      <c r="H38" s="1" t="str">
        <f>IFERROR(VLOOKUP(A38,'财政货币框架1&amp;2底稿'!A:N,14,0),H39)</f>
        <v>双宽</v>
      </c>
      <c r="I38" s="1" t="str">
        <f>IFERROR(VLOOKUP(A38,美林时钟!A:W,23,0),I39)</f>
        <v>复苏</v>
      </c>
      <c r="J38" s="1" t="str">
        <f>VLOOKUP(A38,库存与产能周期2!A:Q,17,0)</f>
        <v>产能周期上行,被动补库存</v>
      </c>
      <c r="K38" s="1">
        <f t="shared" si="2"/>
        <v>0</v>
      </c>
      <c r="L38" s="1">
        <f t="shared" si="3"/>
        <v>0.16666666666666666</v>
      </c>
      <c r="M38" s="1">
        <f t="shared" si="4"/>
        <v>-6.0606060606060608E-2</v>
      </c>
      <c r="N38" s="1">
        <f t="shared" si="5"/>
        <v>-0.1111111111111111</v>
      </c>
      <c r="O38" s="1">
        <f t="shared" si="6"/>
        <v>0.33333333333333331</v>
      </c>
      <c r="P38" s="1">
        <f t="shared" si="7"/>
        <v>0.33333333333333331</v>
      </c>
      <c r="Q38" s="1">
        <f t="shared" si="8"/>
        <v>5.5555555555555552E-2</v>
      </c>
      <c r="R38" s="1">
        <f t="shared" si="9"/>
        <v>0.21212121212121213</v>
      </c>
      <c r="S38" s="1">
        <f t="shared" si="10"/>
        <v>0.22222222222222221</v>
      </c>
      <c r="T38" s="1">
        <f t="shared" si="11"/>
        <v>1</v>
      </c>
    </row>
    <row r="39" spans="1:20" x14ac:dyDescent="0.35">
      <c r="A39" s="12">
        <v>45016</v>
      </c>
      <c r="B39" s="13">
        <v>-0.82606640307027102</v>
      </c>
      <c r="C39" s="88">
        <v>-3.3730434782608998</v>
      </c>
      <c r="D39" s="1" t="str">
        <f t="shared" si="0"/>
        <v>震荡</v>
      </c>
      <c r="E39" s="1" t="str">
        <f t="shared" si="1"/>
        <v>牛市</v>
      </c>
      <c r="F39" s="1" t="str">
        <f>IFERROR(VLOOKUP(A39,'货币信用框架5-货币政策目标+信用脉冲'!A:L,12,0),F40)</f>
        <v>紧货币宽信用</v>
      </c>
      <c r="G39" s="1" t="str">
        <f>VLOOKUP(A39,'信贷库存框架1-票据+贷款余额'!A:L,12,0)</f>
        <v>被动去库存</v>
      </c>
      <c r="H39" s="1" t="str">
        <f>IFERROR(VLOOKUP(A39,'财政货币框架1&amp;2底稿'!A:N,14,0),H40)</f>
        <v>双宽</v>
      </c>
      <c r="I39" s="1" t="str">
        <f>IFERROR(VLOOKUP(A39,美林时钟!A:W,23,0),I40)</f>
        <v>复苏</v>
      </c>
      <c r="J39" s="1" t="str">
        <f>VLOOKUP(A39,库存与产能周期2!A:Q,17,0)</f>
        <v>产能周期上行,被动补库存</v>
      </c>
      <c r="K39" s="1">
        <f t="shared" ref="K39:K70" si="12">IFERROR((COUNTIFS($D41:$D100,"牛市",F41:F100,F39)-COUNTIFS($D41:$D100,"熊市",F41:F100,F39))/COUNTIFS(F41:F100,F39),K40)</f>
        <v>0.16666666666666666</v>
      </c>
      <c r="L39" s="1">
        <f t="shared" ref="L39:L70" si="13">IFERROR((COUNTIFS($D41:$D100,"牛市",G41:G100,G39)-COUNTIFS($D41:$D100,"熊市",G41:G100,G39))/COUNTIFS(G41:G100,G39),L40)</f>
        <v>0</v>
      </c>
      <c r="M39" s="1">
        <f t="shared" si="4"/>
        <v>-8.8235294117647065E-2</v>
      </c>
      <c r="N39" s="1">
        <f t="shared" ref="N39:N70" si="14">IFERROR((COUNTIFS($D41:$D100,"牛市",I41:I100,I39)-COUNTIFS($D41:$D100,"熊市",I41:I100,I39))/COUNTIFS(I41:I100,I39),N40)</f>
        <v>-0.1111111111111111</v>
      </c>
      <c r="O39" s="1">
        <f t="shared" ref="O39:O70" si="15">IFERROR((COUNTIFS($D41:$D100,"牛市",J41:J100,J39)-COUNTIFS($D41:$D100,"熊市",J41:J100,J39))/COUNTIFS(J41:J100,J39),O40)</f>
        <v>0.33333333333333331</v>
      </c>
      <c r="P39" s="1">
        <f t="shared" ref="P39:P70" si="16">IFERROR((COUNTIFS($E41:$E100,"牛市",F41:F100,F39)-COUNTIFS($E41:$E100,"熊市",F41:F100,F39))/COUNTIFS(F41:F100,F39),P40)</f>
        <v>-0.41666666666666669</v>
      </c>
      <c r="Q39" s="1">
        <f t="shared" ref="Q39:Q70" si="17">IFERROR((COUNTIFS($E41:$E100,"牛市",G41:G100,G39)-COUNTIFS($E41:$E100,"熊市",G41:G100,G39))/COUNTIFS(G41:G100,G39),Q40)</f>
        <v>-0.14285714285714285</v>
      </c>
      <c r="R39" s="1">
        <f t="shared" si="9"/>
        <v>0.23529411764705882</v>
      </c>
      <c r="S39" s="1">
        <f t="shared" ref="S39:S70" si="18">IFERROR((COUNTIFS($E41:$E100,"牛市",I41:I100,I39)-COUNTIFS($E41:$E100,"熊市",I41:I100,I39))/COUNTIFS(I41:I100,I39),S40)</f>
        <v>0.22222222222222221</v>
      </c>
      <c r="T39" s="1">
        <f t="shared" ref="T39:T70" si="19">IFERROR((COUNTIFS($E41:$E100,"牛市",J41:J100,J39)-COUNTIFS($E41:$E100,"熊市",J41:J100,J39))/COUNTIFS(J41:J100,J39),T40)</f>
        <v>1</v>
      </c>
    </row>
    <row r="40" spans="1:20" x14ac:dyDescent="0.35">
      <c r="A40" s="12">
        <v>44985</v>
      </c>
      <c r="B40" s="13">
        <v>-2.3713060250783999E-2</v>
      </c>
      <c r="C40" s="88">
        <v>1.9522222222222001</v>
      </c>
      <c r="D40" s="1" t="str">
        <f t="shared" si="0"/>
        <v>震荡</v>
      </c>
      <c r="E40" s="1" t="str">
        <f t="shared" si="1"/>
        <v>震荡</v>
      </c>
      <c r="F40" s="1" t="str">
        <f>IFERROR(VLOOKUP(A40,'货币信用框架5-货币政策目标+信用脉冲'!A:L,12,0),F41)</f>
        <v>紧货币宽信用</v>
      </c>
      <c r="G40" s="1" t="str">
        <f>VLOOKUP(A40,'信贷库存框架1-票据+贷款余额'!A:L,12,0)</f>
        <v>被动去库存</v>
      </c>
      <c r="H40" s="1" t="str">
        <f>IFERROR(VLOOKUP(A40,'财政货币框架1&amp;2底稿'!A:N,14,0),H41)</f>
        <v>双紧</v>
      </c>
      <c r="I40" s="1" t="str">
        <f>IFERROR(VLOOKUP(A40,美林时钟!A:W,23,0),I41)</f>
        <v>衰退</v>
      </c>
      <c r="J40" s="1" t="str">
        <f>VLOOKUP(A40,库存与产能周期2!A:Q,17,0)</f>
        <v>产能周期下行,被动补库存</v>
      </c>
      <c r="K40" s="1">
        <f t="shared" si="12"/>
        <v>0.16666666666666666</v>
      </c>
      <c r="L40" s="1">
        <f t="shared" si="13"/>
        <v>-0.16666666666666666</v>
      </c>
      <c r="M40" s="1">
        <f t="shared" si="4"/>
        <v>0.23076923076923078</v>
      </c>
      <c r="N40" s="1">
        <f t="shared" si="14"/>
        <v>0</v>
      </c>
      <c r="O40" s="1">
        <f t="shared" si="15"/>
        <v>-0.2</v>
      </c>
      <c r="P40" s="1">
        <f t="shared" si="16"/>
        <v>-0.41666666666666669</v>
      </c>
      <c r="Q40" s="1">
        <f t="shared" si="17"/>
        <v>-0.16666666666666666</v>
      </c>
      <c r="R40" s="1">
        <f t="shared" si="9"/>
        <v>3.8461538461538464E-2</v>
      </c>
      <c r="S40" s="1">
        <f t="shared" si="18"/>
        <v>5.8823529411764705E-2</v>
      </c>
      <c r="T40" s="1">
        <f t="shared" si="19"/>
        <v>-0.4</v>
      </c>
    </row>
    <row r="41" spans="1:20" x14ac:dyDescent="0.35">
      <c r="A41" s="12">
        <v>44957</v>
      </c>
      <c r="B41" s="13">
        <v>7.3820713626821624</v>
      </c>
      <c r="C41" s="88">
        <v>1.6342995169082</v>
      </c>
      <c r="D41" s="1" t="str">
        <f t="shared" si="0"/>
        <v>牛市</v>
      </c>
      <c r="E41" s="1" t="str">
        <f t="shared" si="1"/>
        <v>震荡</v>
      </c>
      <c r="F41" s="1" t="str">
        <f>IFERROR(VLOOKUP(A41,'货币信用框架5-货币政策目标+信用脉冲'!A:L,12,0),F42)</f>
        <v>紧货币紧信用</v>
      </c>
      <c r="G41" s="1" t="str">
        <f>VLOOKUP(A41,'信贷库存框架1-票据+贷款余额'!A:L,12,0)</f>
        <v>被动去库存</v>
      </c>
      <c r="H41" s="1" t="str">
        <f>IFERROR(VLOOKUP(A41,'财政货币框架1&amp;2底稿'!A:N,14,0),H42)</f>
        <v>双宽</v>
      </c>
      <c r="I41" s="1" t="str">
        <f>IFERROR(VLOOKUP(A41,美林时钟!A:W,23,0),I42)</f>
        <v>衰退</v>
      </c>
      <c r="J41" s="1" t="str">
        <f>VLOOKUP(A41,库存与产能周期2!A:Q,17,0)</f>
        <v>产能周期下行,被动补库存</v>
      </c>
      <c r="K41" s="1">
        <f t="shared" si="12"/>
        <v>-0.14285714285714285</v>
      </c>
      <c r="L41" s="1">
        <f t="shared" si="13"/>
        <v>-0.16666666666666666</v>
      </c>
      <c r="M41" s="1">
        <f t="shared" si="4"/>
        <v>-6.0606060606060608E-2</v>
      </c>
      <c r="N41" s="1">
        <f t="shared" si="14"/>
        <v>0</v>
      </c>
      <c r="O41" s="1">
        <f t="shared" si="15"/>
        <v>0</v>
      </c>
      <c r="P41" s="1">
        <f t="shared" si="16"/>
        <v>0.21428571428571427</v>
      </c>
      <c r="Q41" s="1">
        <f t="shared" si="17"/>
        <v>-0.16666666666666666</v>
      </c>
      <c r="R41" s="1">
        <f t="shared" si="9"/>
        <v>0.24242424242424243</v>
      </c>
      <c r="S41" s="1">
        <f t="shared" si="18"/>
        <v>5.8823529411764705E-2</v>
      </c>
      <c r="T41" s="1">
        <f t="shared" si="19"/>
        <v>-0.25</v>
      </c>
    </row>
    <row r="42" spans="1:20" x14ac:dyDescent="0.35">
      <c r="A42" s="12">
        <v>44926</v>
      </c>
      <c r="B42" s="13">
        <v>-2.115280685197241</v>
      </c>
      <c r="C42" s="88">
        <v>9.1552964426877992</v>
      </c>
      <c r="D42" s="1" t="str">
        <f t="shared" si="0"/>
        <v>熊市</v>
      </c>
      <c r="E42" s="1" t="str">
        <f t="shared" si="1"/>
        <v>熊市</v>
      </c>
      <c r="F42" s="1" t="str">
        <f>IFERROR(VLOOKUP(A42,'货币信用框架5-货币政策目标+信用脉冲'!A:L,12,0),F43)</f>
        <v>紧货币紧信用</v>
      </c>
      <c r="G42" s="1" t="str">
        <f>VLOOKUP(A42,'信贷库存框架1-票据+贷款余额'!A:L,12,0)</f>
        <v>主动去库存</v>
      </c>
      <c r="H42" s="1" t="str">
        <f>IFERROR(VLOOKUP(A42,'财政货币框架1&amp;2底稿'!A:N,14,0),H43)</f>
        <v>双宽</v>
      </c>
      <c r="I42" s="1" t="str">
        <f>IFERROR(VLOOKUP(A42,美林时钟!A:W,23,0),I43)</f>
        <v>复苏</v>
      </c>
      <c r="J42" s="1" t="str">
        <f>VLOOKUP(A42,库存与产能周期2!A:Q,17,0)</f>
        <v>产能周期下行,被动补库存</v>
      </c>
      <c r="K42" s="1">
        <f t="shared" si="12"/>
        <v>-0.2857142857142857</v>
      </c>
      <c r="L42" s="1">
        <f t="shared" si="13"/>
        <v>0.1875</v>
      </c>
      <c r="M42" s="1">
        <f t="shared" si="4"/>
        <v>-6.0606060606060608E-2</v>
      </c>
      <c r="N42" s="1">
        <f t="shared" si="14"/>
        <v>-5.8823529411764705E-2</v>
      </c>
      <c r="O42" s="1">
        <f t="shared" si="15"/>
        <v>-0.33333333333333331</v>
      </c>
      <c r="P42" s="1">
        <f t="shared" si="16"/>
        <v>0.21428571428571427</v>
      </c>
      <c r="Q42" s="1">
        <f t="shared" si="17"/>
        <v>0.1875</v>
      </c>
      <c r="R42" s="1">
        <f t="shared" si="9"/>
        <v>0.24242424242424243</v>
      </c>
      <c r="S42" s="1">
        <f t="shared" si="18"/>
        <v>0.29411764705882354</v>
      </c>
      <c r="T42" s="1">
        <f t="shared" si="19"/>
        <v>0</v>
      </c>
    </row>
    <row r="43" spans="1:20" x14ac:dyDescent="0.35">
      <c r="A43" s="12">
        <v>44895</v>
      </c>
      <c r="B43" s="13">
        <v>7.8584045191373848</v>
      </c>
      <c r="C43" s="88">
        <v>6.1242929292929</v>
      </c>
      <c r="D43" s="1" t="str">
        <f t="shared" si="0"/>
        <v>牛市</v>
      </c>
      <c r="E43" s="1" t="str">
        <f t="shared" si="1"/>
        <v>熊市</v>
      </c>
      <c r="F43" s="1" t="str">
        <f>IFERROR(VLOOKUP(A43,'货币信用框架5-货币政策目标+信用脉冲'!A:L,12,0),F44)</f>
        <v>紧货币紧信用</v>
      </c>
      <c r="G43" s="1" t="str">
        <f>VLOOKUP(A43,'信贷库存框架1-票据+贷款余额'!A:L,12,0)</f>
        <v>主动去库存</v>
      </c>
      <c r="H43" s="1" t="str">
        <f>IFERROR(VLOOKUP(A43,'财政货币框架1&amp;2底稿'!A:N,14,0),H44)</f>
        <v>双紧</v>
      </c>
      <c r="I43" s="1" t="str">
        <f>IFERROR(VLOOKUP(A43,美林时钟!A:W,23,0),I44)</f>
        <v>复苏</v>
      </c>
      <c r="J43" s="1" t="str">
        <f>VLOOKUP(A43,库存与产能周期2!A:Q,17,0)</f>
        <v>产能周期下行,被动补库存</v>
      </c>
      <c r="K43" s="1">
        <f t="shared" si="12"/>
        <v>-0.23076923076923078</v>
      </c>
      <c r="L43" s="1">
        <f t="shared" si="13"/>
        <v>0.23529411764705882</v>
      </c>
      <c r="M43" s="1">
        <f t="shared" si="4"/>
        <v>0.2</v>
      </c>
      <c r="N43" s="1">
        <f t="shared" si="14"/>
        <v>0</v>
      </c>
      <c r="O43" s="1">
        <f t="shared" si="15"/>
        <v>0</v>
      </c>
      <c r="P43" s="1">
        <f t="shared" si="16"/>
        <v>0.30769230769230771</v>
      </c>
      <c r="Q43" s="1">
        <f t="shared" si="17"/>
        <v>0.11764705882352941</v>
      </c>
      <c r="R43" s="1">
        <f t="shared" si="9"/>
        <v>0.08</v>
      </c>
      <c r="S43" s="1">
        <f t="shared" si="18"/>
        <v>0.375</v>
      </c>
      <c r="T43" s="1">
        <f t="shared" si="19"/>
        <v>0.5</v>
      </c>
    </row>
    <row r="44" spans="1:20" x14ac:dyDescent="0.35">
      <c r="A44" s="12">
        <v>44865</v>
      </c>
      <c r="B44" s="13">
        <v>-2.5452413464418222</v>
      </c>
      <c r="C44" s="88">
        <v>4.8357936507936996</v>
      </c>
      <c r="D44" s="1" t="str">
        <f t="shared" si="0"/>
        <v>熊市</v>
      </c>
      <c r="E44" s="1" t="str">
        <f t="shared" si="1"/>
        <v>熊市</v>
      </c>
      <c r="F44" s="1" t="str">
        <f>IFERROR(VLOOKUP(A44,'货币信用框架5-货币政策目标+信用脉冲'!A:L,12,0),F45)</f>
        <v>紧货币紧信用</v>
      </c>
      <c r="G44" s="1" t="str">
        <f>VLOOKUP(A44,'信贷库存框架1-票据+贷款余额'!A:L,12,0)</f>
        <v>被动补库存</v>
      </c>
      <c r="H44" s="1" t="str">
        <f>IFERROR(VLOOKUP(A44,'财政货币框架1&amp;2底稿'!A:N,14,0),H45)</f>
        <v>双宽</v>
      </c>
      <c r="I44" s="1" t="str">
        <f>IFERROR(VLOOKUP(A44,美林时钟!A:W,23,0),I45)</f>
        <v>复苏</v>
      </c>
      <c r="J44" s="1" t="str">
        <f>VLOOKUP(A44,库存与产能周期2!A:Q,17,0)</f>
        <v>产能周期下行,被动补库存</v>
      </c>
      <c r="K44" s="1">
        <f t="shared" si="12"/>
        <v>-0.14285714285714285</v>
      </c>
      <c r="L44" s="1">
        <f t="shared" si="13"/>
        <v>4.1666666666666664E-2</v>
      </c>
      <c r="M44" s="1">
        <f t="shared" si="4"/>
        <v>-3.125E-2</v>
      </c>
      <c r="N44" s="1">
        <f t="shared" si="14"/>
        <v>6.6666666666666666E-2</v>
      </c>
      <c r="O44" s="1">
        <f t="shared" si="15"/>
        <v>1</v>
      </c>
      <c r="P44" s="1">
        <f t="shared" si="16"/>
        <v>0.2857142857142857</v>
      </c>
      <c r="Q44" s="1">
        <f t="shared" si="17"/>
        <v>0.29166666666666669</v>
      </c>
      <c r="R44" s="1">
        <f t="shared" si="9"/>
        <v>0.28125</v>
      </c>
      <c r="S44" s="1">
        <f t="shared" si="18"/>
        <v>0.4</v>
      </c>
      <c r="T44" s="1">
        <f t="shared" si="19"/>
        <v>1</v>
      </c>
    </row>
    <row r="45" spans="1:20" x14ac:dyDescent="0.35">
      <c r="A45" s="12">
        <v>44834</v>
      </c>
      <c r="B45" s="13">
        <v>-7.5689670938947913</v>
      </c>
      <c r="C45" s="88">
        <v>-0.1566873706005</v>
      </c>
      <c r="D45" s="1" t="str">
        <f t="shared" si="0"/>
        <v>熊市</v>
      </c>
      <c r="E45" s="1" t="str">
        <f t="shared" si="1"/>
        <v>震荡</v>
      </c>
      <c r="F45" s="1" t="str">
        <f>IFERROR(VLOOKUP(A45,'货币信用框架5-货币政策目标+信用脉冲'!A:L,12,0),F46)</f>
        <v>宽货币宽信用</v>
      </c>
      <c r="G45" s="1" t="str">
        <f>VLOOKUP(A45,'信贷库存框架1-票据+贷款余额'!A:L,12,0)</f>
        <v>被动去库存</v>
      </c>
      <c r="H45" s="1" t="str">
        <f>IFERROR(VLOOKUP(A45,'财政货币框架1&amp;2底稿'!A:N,14,0),H46)</f>
        <v>双紧</v>
      </c>
      <c r="I45" s="1" t="str">
        <f>IFERROR(VLOOKUP(A45,美林时钟!A:W,23,0),I46)</f>
        <v>复苏</v>
      </c>
      <c r="J45" s="1" t="str">
        <f>VLOOKUP(A45,库存与产能周期2!A:Q,17,0)</f>
        <v>产能周期下行,被动补库存</v>
      </c>
      <c r="K45" s="1">
        <f t="shared" si="12"/>
        <v>0.13333333333333333</v>
      </c>
      <c r="L45" s="1">
        <f t="shared" si="13"/>
        <v>0</v>
      </c>
      <c r="N45" s="1">
        <f t="shared" si="14"/>
        <v>6.6666666666666666E-2</v>
      </c>
      <c r="O45" s="1">
        <f t="shared" si="15"/>
        <v>1</v>
      </c>
      <c r="P45" s="1">
        <f t="shared" si="16"/>
        <v>0.26666666666666666</v>
      </c>
      <c r="Q45" s="1">
        <f t="shared" si="17"/>
        <v>-0.2</v>
      </c>
      <c r="S45" s="1">
        <f t="shared" si="18"/>
        <v>0.4</v>
      </c>
      <c r="T45" s="1">
        <f t="shared" si="19"/>
        <v>1</v>
      </c>
    </row>
    <row r="46" spans="1:20" x14ac:dyDescent="0.35">
      <c r="A46" s="12">
        <v>44804</v>
      </c>
      <c r="B46" s="13">
        <v>-2.864756092570556</v>
      </c>
      <c r="C46" s="88">
        <v>-13.2261697722567</v>
      </c>
      <c r="D46" s="1" t="str">
        <f t="shared" si="0"/>
        <v>熊市</v>
      </c>
      <c r="E46" s="1" t="str">
        <f t="shared" si="1"/>
        <v>牛市</v>
      </c>
      <c r="F46" s="1" t="str">
        <f>IFERROR(VLOOKUP(A46,'货币信用框架5-货币政策目标+信用脉冲'!A:L,12,0),F47)</f>
        <v>宽货币紧信用</v>
      </c>
      <c r="G46" s="1" t="str">
        <f>VLOOKUP(A46,'信贷库存框架1-票据+贷款余额'!A:L,12,0)</f>
        <v>主动去库存</v>
      </c>
      <c r="H46" s="1" t="str">
        <f>IFERROR(VLOOKUP(A46,'财政货币框架1&amp;2底稿'!A:N,14,0),H47)</f>
        <v>双宽</v>
      </c>
      <c r="I46" s="1" t="str">
        <f>IFERROR(VLOOKUP(A46,美林时钟!A:W,23,0),I47)</f>
        <v>过热</v>
      </c>
      <c r="J46" s="1" t="str">
        <f>VLOOKUP(A46,库存与产能周期2!A:Q,17,0)</f>
        <v>产能周期下行,主动补库存</v>
      </c>
      <c r="K46" s="1">
        <f t="shared" si="12"/>
        <v>0.35294117647058826</v>
      </c>
      <c r="L46" s="1">
        <f t="shared" si="13"/>
        <v>0.3888888888888889</v>
      </c>
      <c r="N46" s="1">
        <f t="shared" si="14"/>
        <v>0.33333333333333331</v>
      </c>
      <c r="O46" s="1">
        <f t="shared" si="15"/>
        <v>0</v>
      </c>
      <c r="P46" s="1">
        <f t="shared" si="16"/>
        <v>0.35294117647058826</v>
      </c>
      <c r="Q46" s="1">
        <f t="shared" si="17"/>
        <v>0</v>
      </c>
      <c r="S46" s="1">
        <f t="shared" si="18"/>
        <v>0.26666666666666666</v>
      </c>
      <c r="T46" s="1">
        <f t="shared" si="19"/>
        <v>0.13333333333333333</v>
      </c>
    </row>
    <row r="47" spans="1:20" x14ac:dyDescent="0.35">
      <c r="A47" s="12">
        <v>44773</v>
      </c>
      <c r="B47" s="13">
        <v>-2.6689821537484342</v>
      </c>
      <c r="C47" s="88">
        <v>1.6309523809524</v>
      </c>
      <c r="D47" s="1" t="str">
        <f t="shared" si="0"/>
        <v>熊市</v>
      </c>
      <c r="E47" s="1" t="str">
        <f t="shared" si="1"/>
        <v>震荡</v>
      </c>
      <c r="F47" s="1" t="str">
        <f>IFERROR(VLOOKUP(A47,'货币信用框架5-货币政策目标+信用脉冲'!A:L,12,0),F48)</f>
        <v>宽货币紧信用</v>
      </c>
      <c r="G47" s="1" t="str">
        <f>VLOOKUP(A47,'信贷库存框架1-票据+贷款余额'!A:L,12,0)</f>
        <v>被动补库存</v>
      </c>
      <c r="H47" s="1" t="str">
        <f>IFERROR(VLOOKUP(A47,'财政货币框架1&amp;2底稿'!A:N,14,0),H48)</f>
        <v>双宽</v>
      </c>
      <c r="I47" s="1" t="str">
        <f>IFERROR(VLOOKUP(A47,美林时钟!A:W,23,0),I48)</f>
        <v>滞涨</v>
      </c>
      <c r="J47" s="1" t="str">
        <f>VLOOKUP(A47,库存与产能周期2!A:Q,17,0)</f>
        <v>产能周期下行,主动补库存</v>
      </c>
      <c r="K47" s="1">
        <f t="shared" si="12"/>
        <v>0.35294117647058826</v>
      </c>
      <c r="L47" s="1">
        <f t="shared" si="13"/>
        <v>8.6956521739130432E-2</v>
      </c>
      <c r="N47" s="1">
        <f t="shared" si="14"/>
        <v>0.25</v>
      </c>
      <c r="O47" s="1">
        <f t="shared" si="15"/>
        <v>-7.1428571428571425E-2</v>
      </c>
      <c r="P47" s="1">
        <f t="shared" si="16"/>
        <v>0.35294117647058826</v>
      </c>
      <c r="Q47" s="1">
        <f t="shared" si="17"/>
        <v>0.30434782608695654</v>
      </c>
      <c r="S47" s="1">
        <f t="shared" si="18"/>
        <v>-0.25</v>
      </c>
      <c r="T47" s="1">
        <f t="shared" si="19"/>
        <v>0.14285714285714285</v>
      </c>
    </row>
    <row r="48" spans="1:20" x14ac:dyDescent="0.35">
      <c r="A48" s="12">
        <v>44742</v>
      </c>
      <c r="B48" s="13">
        <v>9.6799967821170902</v>
      </c>
      <c r="C48" s="88">
        <v>-0.19500000000000001</v>
      </c>
      <c r="D48" s="1" t="str">
        <f t="shared" si="0"/>
        <v>牛市</v>
      </c>
      <c r="E48" s="1" t="str">
        <f t="shared" si="1"/>
        <v>震荡</v>
      </c>
      <c r="F48" s="1" t="str">
        <f>IFERROR(VLOOKUP(A48,'货币信用框架5-货币政策目标+信用脉冲'!A:L,12,0),F49)</f>
        <v>宽货币宽信用</v>
      </c>
      <c r="G48" s="1" t="str">
        <f>VLOOKUP(A48,'信贷库存框架1-票据+贷款余额'!A:L,12,0)</f>
        <v>被动去库存</v>
      </c>
      <c r="H48" s="1" t="str">
        <f>IFERROR(VLOOKUP(A48,'财政货币框架1&amp;2底稿'!A:N,14,0),H49)</f>
        <v>双紧</v>
      </c>
      <c r="I48" s="1" t="str">
        <f>IFERROR(VLOOKUP(A48,美林时钟!A:W,23,0),I49)</f>
        <v>滞涨</v>
      </c>
      <c r="J48" s="1" t="str">
        <f>VLOOKUP(A48,库存与产能周期2!A:Q,17,0)</f>
        <v>产能周期下行,主动补库存</v>
      </c>
      <c r="K48" s="1">
        <f t="shared" si="12"/>
        <v>7.1428571428571425E-2</v>
      </c>
      <c r="L48" s="1">
        <f t="shared" si="13"/>
        <v>0</v>
      </c>
      <c r="N48" s="1">
        <f t="shared" si="14"/>
        <v>8.3333333333333329E-2</v>
      </c>
      <c r="O48" s="1">
        <f t="shared" si="15"/>
        <v>-0.15384615384615385</v>
      </c>
      <c r="P48" s="1">
        <f t="shared" si="16"/>
        <v>0.2857142857142857</v>
      </c>
      <c r="Q48" s="1">
        <f t="shared" si="17"/>
        <v>-0.2</v>
      </c>
      <c r="S48" s="1">
        <f t="shared" si="18"/>
        <v>-0.33333333333333331</v>
      </c>
      <c r="T48" s="1">
        <f t="shared" si="19"/>
        <v>0.15384615384615385</v>
      </c>
    </row>
    <row r="49" spans="1:20" x14ac:dyDescent="0.35">
      <c r="A49" s="12">
        <v>44712</v>
      </c>
      <c r="B49" s="13">
        <v>5.8976227613743823</v>
      </c>
      <c r="C49" s="88">
        <v>-1.307380952381</v>
      </c>
      <c r="D49" s="1" t="str">
        <f t="shared" si="0"/>
        <v>牛市</v>
      </c>
      <c r="E49" s="1" t="str">
        <f t="shared" si="1"/>
        <v>震荡</v>
      </c>
      <c r="F49" s="1" t="str">
        <f>IFERROR(VLOOKUP(A49,'货币信用框架5-货币政策目标+信用脉冲'!A:L,12,0),F50)</f>
        <v>宽货币宽信用</v>
      </c>
      <c r="G49" s="1" t="str">
        <f>VLOOKUP(A49,'信贷库存框架1-票据+贷款余额'!A:L,12,0)</f>
        <v>主动补库存</v>
      </c>
      <c r="H49" s="1" t="str">
        <f>IFERROR(VLOOKUP(A49,'财政货币框架1&amp;2底稿'!A:N,14,0),H50)</f>
        <v>双宽</v>
      </c>
      <c r="I49" s="1" t="str">
        <f>IFERROR(VLOOKUP(A49,美林时钟!A:W,23,0),I50)</f>
        <v>滞涨</v>
      </c>
      <c r="J49" s="1" t="str">
        <f>VLOOKUP(A49,库存与产能周期2!A:Q,17,0)</f>
        <v>产能周期下行,主动补库存</v>
      </c>
      <c r="K49" s="1">
        <f t="shared" si="12"/>
        <v>7.1428571428571425E-2</v>
      </c>
      <c r="L49" s="1">
        <f t="shared" si="13"/>
        <v>-8.3333333333333329E-2</v>
      </c>
      <c r="N49" s="1">
        <f t="shared" si="14"/>
        <v>8.3333333333333329E-2</v>
      </c>
      <c r="O49" s="1">
        <f t="shared" si="15"/>
        <v>-8.3333333333333329E-2</v>
      </c>
      <c r="P49" s="1">
        <f t="shared" si="16"/>
        <v>0.2857142857142857</v>
      </c>
      <c r="Q49" s="1">
        <f t="shared" si="17"/>
        <v>0.16666666666666666</v>
      </c>
      <c r="S49" s="1">
        <f t="shared" si="18"/>
        <v>-0.33333333333333331</v>
      </c>
      <c r="T49" s="1">
        <f t="shared" si="19"/>
        <v>0.16666666666666666</v>
      </c>
    </row>
    <row r="50" spans="1:20" x14ac:dyDescent="0.35">
      <c r="A50" s="12">
        <v>44681</v>
      </c>
      <c r="B50" s="13">
        <v>-9.5144938447873901</v>
      </c>
      <c r="C50" s="88">
        <v>-0.87501035196679999</v>
      </c>
      <c r="D50" s="1" t="str">
        <f t="shared" si="0"/>
        <v>熊市</v>
      </c>
      <c r="E50" s="1" t="str">
        <f t="shared" si="1"/>
        <v>震荡</v>
      </c>
      <c r="F50" s="1" t="str">
        <f>IFERROR(VLOOKUP(A50,'货币信用框架5-货币政策目标+信用脉冲'!A:L,12,0),F51)</f>
        <v>宽货币紧信用</v>
      </c>
      <c r="G50" s="1" t="str">
        <f>VLOOKUP(A50,'信贷库存框架1-票据+贷款余额'!A:L,12,0)</f>
        <v>被动补库存</v>
      </c>
      <c r="H50" s="1" t="str">
        <f>IFERROR(VLOOKUP(A50,'财政货币框架1&amp;2底稿'!A:N,14,0),H51)</f>
        <v>双宽</v>
      </c>
      <c r="I50" s="1" t="str">
        <f>IFERROR(VLOOKUP(A50,美林时钟!A:W,23,0),I51)</f>
        <v>衰退</v>
      </c>
      <c r="J50" s="1" t="str">
        <f>VLOOKUP(A50,库存与产能周期2!A:Q,17,0)</f>
        <v>产能周期下行,主动补库存</v>
      </c>
      <c r="K50" s="1">
        <f t="shared" si="12"/>
        <v>0.35294117647058826</v>
      </c>
      <c r="L50" s="1">
        <f t="shared" si="13"/>
        <v>0.19047619047619047</v>
      </c>
      <c r="N50" s="1">
        <f t="shared" si="14"/>
        <v>6.25E-2</v>
      </c>
      <c r="O50" s="1">
        <f t="shared" si="15"/>
        <v>0</v>
      </c>
      <c r="P50" s="1">
        <f t="shared" si="16"/>
        <v>0.29411764705882354</v>
      </c>
      <c r="Q50" s="1">
        <f t="shared" si="17"/>
        <v>0.38095238095238093</v>
      </c>
      <c r="S50" s="1">
        <f t="shared" si="18"/>
        <v>6.25E-2</v>
      </c>
      <c r="T50" s="1">
        <f t="shared" si="19"/>
        <v>0.27272727272727271</v>
      </c>
    </row>
    <row r="51" spans="1:20" x14ac:dyDescent="0.35">
      <c r="A51" s="12">
        <v>44651</v>
      </c>
      <c r="B51" s="13">
        <v>-7.5219982912394467</v>
      </c>
      <c r="C51" s="88">
        <v>2.8917663043477999</v>
      </c>
      <c r="D51" s="1" t="str">
        <f t="shared" si="0"/>
        <v>熊市</v>
      </c>
      <c r="E51" s="1" t="str">
        <f t="shared" si="1"/>
        <v>熊市</v>
      </c>
      <c r="F51" s="1" t="str">
        <f>IFERROR(VLOOKUP(A51,'货币信用框架5-货币政策目标+信用脉冲'!A:L,12,0),F52)</f>
        <v>宽货币宽信用</v>
      </c>
      <c r="G51" s="1" t="str">
        <f>VLOOKUP(A51,'信贷库存框架1-票据+贷款余额'!A:L,12,0)</f>
        <v>被动补库存</v>
      </c>
      <c r="H51" s="1" t="str">
        <f>IFERROR(VLOOKUP(A51,'财政货币框架1&amp;2底稿'!A:N,14,0),H52)</f>
        <v>双紧</v>
      </c>
      <c r="I51" s="1" t="str">
        <f>IFERROR(VLOOKUP(A51,美林时钟!A:W,23,0),I52)</f>
        <v>滞涨</v>
      </c>
      <c r="J51" s="1" t="str">
        <f>VLOOKUP(A51,库存与产能周期2!A:Q,17,0)</f>
        <v>产能周期下行,主动补库存</v>
      </c>
      <c r="K51" s="1">
        <f t="shared" si="12"/>
        <v>0.15384615384615385</v>
      </c>
      <c r="L51" s="1">
        <f t="shared" si="13"/>
        <v>0.15</v>
      </c>
      <c r="N51" s="1">
        <f t="shared" si="14"/>
        <v>0.16666666666666666</v>
      </c>
      <c r="O51" s="1">
        <f t="shared" si="15"/>
        <v>-0.1</v>
      </c>
      <c r="P51" s="1">
        <f t="shared" si="16"/>
        <v>0.38461538461538464</v>
      </c>
      <c r="Q51" s="1">
        <f t="shared" si="17"/>
        <v>0.45</v>
      </c>
      <c r="S51" s="1">
        <f t="shared" si="18"/>
        <v>-0.16666666666666666</v>
      </c>
      <c r="T51" s="1">
        <f t="shared" si="19"/>
        <v>0.4</v>
      </c>
    </row>
    <row r="52" spans="1:20" x14ac:dyDescent="0.35">
      <c r="A52" s="12">
        <v>44620</v>
      </c>
      <c r="B52" s="13">
        <v>2.814380925705203</v>
      </c>
      <c r="C52" s="88">
        <v>2.4218154761905</v>
      </c>
      <c r="D52" s="1" t="str">
        <f t="shared" si="0"/>
        <v>牛市</v>
      </c>
      <c r="E52" s="1" t="str">
        <f t="shared" si="1"/>
        <v>熊市</v>
      </c>
      <c r="F52" s="1" t="str">
        <f>IFERROR(VLOOKUP(A52,'货币信用框架5-货币政策目标+信用脉冲'!A:L,12,0),F53)</f>
        <v>宽货币紧信用</v>
      </c>
      <c r="G52" s="1" t="str">
        <f>VLOOKUP(A52,'信贷库存框架1-票据+贷款余额'!A:L,12,0)</f>
        <v>被动补库存</v>
      </c>
      <c r="H52" s="1" t="str">
        <f>IFERROR(VLOOKUP(A52,'财政货币框架1&amp;2底稿'!A:N,14,0),H53)</f>
        <v>双紧</v>
      </c>
      <c r="I52" s="1" t="str">
        <f>IFERROR(VLOOKUP(A52,美林时钟!A:W,23,0),I53)</f>
        <v>滞涨</v>
      </c>
      <c r="J52" s="1" t="str">
        <f>VLOOKUP(A52,库存与产能周期2!A:Q,17,0)</f>
        <v>产能周期下行,主动补库存</v>
      </c>
      <c r="K52" s="1">
        <f t="shared" si="12"/>
        <v>0.3125</v>
      </c>
      <c r="L52" s="1">
        <f t="shared" si="13"/>
        <v>0.21052631578947367</v>
      </c>
      <c r="N52" s="1">
        <f t="shared" si="14"/>
        <v>0.27272727272727271</v>
      </c>
      <c r="O52" s="1">
        <f t="shared" si="15"/>
        <v>0</v>
      </c>
      <c r="P52" s="1">
        <f t="shared" si="16"/>
        <v>0.375</v>
      </c>
      <c r="Q52" s="1">
        <f t="shared" si="17"/>
        <v>0.42105263157894735</v>
      </c>
      <c r="S52" s="1">
        <f t="shared" si="18"/>
        <v>-0.27272727272727271</v>
      </c>
      <c r="T52" s="1">
        <f t="shared" si="19"/>
        <v>0.33333333333333331</v>
      </c>
    </row>
    <row r="53" spans="1:20" x14ac:dyDescent="0.35">
      <c r="A53" s="12">
        <v>44592</v>
      </c>
      <c r="B53" s="13">
        <v>-9.4629937393637835</v>
      </c>
      <c r="C53" s="88">
        <v>-7.9131469979295996</v>
      </c>
      <c r="D53" s="1" t="str">
        <f t="shared" si="0"/>
        <v>熊市</v>
      </c>
      <c r="E53" s="1" t="str">
        <f t="shared" si="1"/>
        <v>牛市</v>
      </c>
      <c r="F53" s="1" t="str">
        <f>IFERROR(VLOOKUP(A53,'货币信用框架5-货币政策目标+信用脉冲'!A:L,12,0),F54)</f>
        <v>宽货币宽信用</v>
      </c>
      <c r="G53" s="1" t="str">
        <f>VLOOKUP(A53,'信贷库存框架1-票据+贷款余额'!A:L,12,0)</f>
        <v>被动补库存</v>
      </c>
      <c r="H53" s="1" t="str">
        <f>IFERROR(VLOOKUP(A53,'财政货币框架1&amp;2底稿'!A:N,14,0),H54)</f>
        <v>双宽</v>
      </c>
      <c r="I53" s="1" t="str">
        <f>IFERROR(VLOOKUP(A53,美林时钟!A:W,23,0),I54)</f>
        <v>滞涨</v>
      </c>
      <c r="J53" s="1" t="str">
        <f>VLOOKUP(A53,库存与产能周期2!A:Q,17,0)</f>
        <v>产能周期下行,主动补库存</v>
      </c>
      <c r="K53" s="1">
        <f t="shared" si="12"/>
        <v>0.25</v>
      </c>
      <c r="L53" s="1">
        <f t="shared" si="13"/>
        <v>0.16666666666666666</v>
      </c>
      <c r="N53" s="1">
        <f t="shared" si="14"/>
        <v>0.16666666666666666</v>
      </c>
      <c r="O53" s="1">
        <f t="shared" si="15"/>
        <v>-0.125</v>
      </c>
      <c r="P53" s="1">
        <f t="shared" si="16"/>
        <v>0.33333333333333331</v>
      </c>
      <c r="Q53" s="1">
        <f t="shared" si="17"/>
        <v>0.3888888888888889</v>
      </c>
      <c r="S53" s="1">
        <f t="shared" si="18"/>
        <v>-0.33333333333333331</v>
      </c>
      <c r="T53" s="1">
        <f t="shared" si="19"/>
        <v>0.25</v>
      </c>
    </row>
    <row r="54" spans="1:20" x14ac:dyDescent="0.35">
      <c r="A54" s="12">
        <v>44561</v>
      </c>
      <c r="B54" s="13">
        <v>1.039067107068804</v>
      </c>
      <c r="C54" s="88">
        <v>-6.7248616600790996</v>
      </c>
      <c r="D54" s="1" t="str">
        <f t="shared" si="0"/>
        <v>牛市</v>
      </c>
      <c r="E54" s="1" t="str">
        <f t="shared" si="1"/>
        <v>牛市</v>
      </c>
      <c r="F54" s="1" t="str">
        <f>IFERROR(VLOOKUP(A54,'货币信用框架5-货币政策目标+信用脉冲'!A:L,12,0),F55)</f>
        <v>紧货币紧信用</v>
      </c>
      <c r="G54" s="1" t="str">
        <f>VLOOKUP(A54,'信贷库存框架1-票据+贷款余额'!A:L,12,0)</f>
        <v>被动补库存</v>
      </c>
      <c r="H54" s="1" t="str">
        <f>IFERROR(VLOOKUP(A54,'财政货币框架1&amp;2底稿'!A:N,14,0),H55)</f>
        <v>双紧</v>
      </c>
      <c r="I54" s="1" t="str">
        <f>IFERROR(VLOOKUP(A54,美林时钟!A:W,23,0),I55)</f>
        <v>过热</v>
      </c>
      <c r="J54" s="1" t="str">
        <f>VLOOKUP(A54,库存与产能周期2!A:Q,17,0)</f>
        <v>产能周期下行,主动补库存</v>
      </c>
      <c r="K54" s="1">
        <f t="shared" si="12"/>
        <v>-0.11764705882352941</v>
      </c>
      <c r="L54" s="1">
        <f t="shared" si="13"/>
        <v>0.11764705882352941</v>
      </c>
      <c r="N54" s="1">
        <f t="shared" si="14"/>
        <v>0.1875</v>
      </c>
      <c r="O54" s="1">
        <f t="shared" si="15"/>
        <v>-0.2857142857142857</v>
      </c>
      <c r="P54" s="1">
        <f t="shared" si="16"/>
        <v>0.17647058823529413</v>
      </c>
      <c r="Q54" s="1">
        <f t="shared" si="17"/>
        <v>0.35294117647058826</v>
      </c>
      <c r="S54" s="1">
        <f t="shared" si="18"/>
        <v>6.25E-2</v>
      </c>
      <c r="T54" s="1">
        <f t="shared" si="19"/>
        <v>0.14285714285714285</v>
      </c>
    </row>
    <row r="55" spans="1:20" x14ac:dyDescent="0.35">
      <c r="A55" s="12">
        <v>44530</v>
      </c>
      <c r="B55" s="13">
        <v>3.144941939947834</v>
      </c>
      <c r="C55" s="88">
        <v>-7.2987700534759004</v>
      </c>
      <c r="D55" s="1" t="str">
        <f t="shared" si="0"/>
        <v>牛市</v>
      </c>
      <c r="E55" s="1" t="str">
        <f t="shared" si="1"/>
        <v>牛市</v>
      </c>
      <c r="F55" s="1" t="str">
        <f>IFERROR(VLOOKUP(A55,'货币信用框架5-货币政策目标+信用脉冲'!A:L,12,0),F56)</f>
        <v>紧货币宽信用</v>
      </c>
      <c r="G55" s="1" t="str">
        <f>VLOOKUP(A55,'信贷库存框架1-票据+贷款余额'!A:L,12,0)</f>
        <v>被动补库存</v>
      </c>
      <c r="H55" s="1" t="str">
        <f>IFERROR(VLOOKUP(A55,'财政货币框架1&amp;2底稿'!A:N,14,0),H56)</f>
        <v>双紧</v>
      </c>
      <c r="I55" s="1" t="str">
        <f>IFERROR(VLOOKUP(A55,美林时钟!A:W,23,0),I56)</f>
        <v>过热</v>
      </c>
      <c r="J55" s="1" t="str">
        <f>VLOOKUP(A55,库存与产能周期2!A:Q,17,0)</f>
        <v>产能周期下行,主动补库存</v>
      </c>
      <c r="K55" s="1">
        <f t="shared" si="12"/>
        <v>0.2</v>
      </c>
      <c r="L55" s="1">
        <f t="shared" si="13"/>
        <v>0.125</v>
      </c>
      <c r="N55" s="1">
        <f t="shared" si="14"/>
        <v>0.2</v>
      </c>
      <c r="O55" s="1">
        <f t="shared" si="15"/>
        <v>-0.33333333333333331</v>
      </c>
      <c r="P55" s="1">
        <f t="shared" si="16"/>
        <v>-0.53333333333333333</v>
      </c>
      <c r="Q55" s="1">
        <f t="shared" si="17"/>
        <v>0.4375</v>
      </c>
      <c r="S55" s="1">
        <f t="shared" si="18"/>
        <v>0.13333333333333333</v>
      </c>
      <c r="T55" s="1">
        <f t="shared" si="19"/>
        <v>0.33333333333333331</v>
      </c>
    </row>
    <row r="56" spans="1:20" x14ac:dyDescent="0.35">
      <c r="A56" s="12">
        <v>44500</v>
      </c>
      <c r="B56" s="13">
        <v>0.34404333232687101</v>
      </c>
      <c r="C56" s="88">
        <v>10.5728609625668</v>
      </c>
      <c r="D56" s="1" t="str">
        <f t="shared" si="0"/>
        <v>震荡</v>
      </c>
      <c r="E56" s="1" t="str">
        <f t="shared" si="1"/>
        <v>熊市</v>
      </c>
      <c r="F56" s="1" t="str">
        <f>IFERROR(VLOOKUP(A56,'货币信用框架5-货币政策目标+信用脉冲'!A:L,12,0),F57)</f>
        <v>紧货币宽信用</v>
      </c>
      <c r="G56" s="1" t="str">
        <f>VLOOKUP(A56,'信贷库存框架1-票据+贷款余额'!A:L,12,0)</f>
        <v>被动补库存</v>
      </c>
      <c r="H56" s="1" t="str">
        <f>IFERROR(VLOOKUP(A56,'财政货币框架1&amp;2底稿'!A:N,14,0),H57)</f>
        <v>双宽</v>
      </c>
      <c r="I56" s="1" t="str">
        <f>IFERROR(VLOOKUP(A56,美林时钟!A:W,23,0),I57)</f>
        <v>过热</v>
      </c>
      <c r="J56" s="1" t="str">
        <f>VLOOKUP(A56,库存与产能周期2!A:Q,17,0)</f>
        <v>产能周期下行,主动补库存</v>
      </c>
      <c r="K56" s="1">
        <f t="shared" si="12"/>
        <v>0.2</v>
      </c>
      <c r="L56" s="1">
        <f t="shared" si="13"/>
        <v>0.2</v>
      </c>
      <c r="N56" s="1">
        <f t="shared" si="14"/>
        <v>0.2857142857142857</v>
      </c>
      <c r="O56" s="1">
        <f t="shared" si="15"/>
        <v>-0.2</v>
      </c>
      <c r="P56" s="1">
        <f t="shared" si="16"/>
        <v>-0.53333333333333333</v>
      </c>
      <c r="Q56" s="1">
        <f t="shared" si="17"/>
        <v>0.46666666666666667</v>
      </c>
      <c r="S56" s="1">
        <f t="shared" si="18"/>
        <v>0.14285714285714285</v>
      </c>
      <c r="T56" s="1">
        <f t="shared" si="19"/>
        <v>0.4</v>
      </c>
    </row>
    <row r="57" spans="1:20" x14ac:dyDescent="0.35">
      <c r="A57" s="12">
        <v>44469</v>
      </c>
      <c r="B57" s="13">
        <v>-1.0308358525903369</v>
      </c>
      <c r="C57" s="88">
        <v>1.27</v>
      </c>
      <c r="D57" s="1" t="str">
        <f t="shared" si="0"/>
        <v>熊市</v>
      </c>
      <c r="E57" s="1" t="str">
        <f t="shared" si="1"/>
        <v>震荡</v>
      </c>
      <c r="F57" s="1" t="str">
        <f>IFERROR(VLOOKUP(A57,'货币信用框架5-货币政策目标+信用脉冲'!A:L,12,0),F58)</f>
        <v>紧货币紧信用</v>
      </c>
      <c r="G57" s="1" t="str">
        <f>VLOOKUP(A57,'信贷库存框架1-票据+贷款余额'!A:L,12,0)</f>
        <v>被动补库存</v>
      </c>
      <c r="H57" s="1" t="str">
        <f>IFERROR(VLOOKUP(A57,'财政货币框架1&amp;2底稿'!A:N,14,0),H58)</f>
        <v>双宽</v>
      </c>
      <c r="I57" s="1" t="str">
        <f>IFERROR(VLOOKUP(A57,美林时钟!A:W,23,0),I58)</f>
        <v>过热</v>
      </c>
      <c r="J57" s="1" t="str">
        <f>VLOOKUP(A57,库存与产能周期2!A:Q,17,0)</f>
        <v>产能周期下行,主动补库存</v>
      </c>
      <c r="K57" s="1">
        <f t="shared" si="12"/>
        <v>-6.25E-2</v>
      </c>
      <c r="L57" s="1">
        <f t="shared" si="13"/>
        <v>0.14285714285714285</v>
      </c>
      <c r="N57" s="1">
        <f t="shared" si="14"/>
        <v>0.2857142857142857</v>
      </c>
      <c r="O57" s="1">
        <f t="shared" si="15"/>
        <v>-0.2</v>
      </c>
      <c r="P57" s="1">
        <f t="shared" si="16"/>
        <v>0.1875</v>
      </c>
      <c r="Q57" s="1">
        <f t="shared" si="17"/>
        <v>0.42857142857142855</v>
      </c>
      <c r="S57" s="1">
        <f t="shared" si="18"/>
        <v>0.14285714285714285</v>
      </c>
      <c r="T57" s="1">
        <f t="shared" si="19"/>
        <v>0.4</v>
      </c>
    </row>
    <row r="58" spans="1:20" x14ac:dyDescent="0.35">
      <c r="A58" s="12">
        <v>44439</v>
      </c>
      <c r="B58" s="13">
        <v>3.223383302733537</v>
      </c>
      <c r="C58" s="88">
        <v>-10.6736363636363</v>
      </c>
      <c r="D58" s="1" t="str">
        <f t="shared" si="0"/>
        <v>牛市</v>
      </c>
      <c r="E58" s="1" t="str">
        <f t="shared" si="1"/>
        <v>牛市</v>
      </c>
      <c r="F58" s="1" t="str">
        <f>IFERROR(VLOOKUP(A58,'货币信用框架5-货币政策目标+信用脉冲'!A:L,12,0),F59)</f>
        <v>宽货币紧信用</v>
      </c>
      <c r="G58" s="1" t="str">
        <f>VLOOKUP(A58,'信贷库存框架1-票据+贷款余额'!A:L,12,0)</f>
        <v>被动补库存</v>
      </c>
      <c r="H58" s="1" t="str">
        <f>IFERROR(VLOOKUP(A58,'财政货币框架1&amp;2底稿'!A:N,14,0),H59)</f>
        <v>双宽</v>
      </c>
      <c r="I58" s="1" t="str">
        <f>IFERROR(VLOOKUP(A58,美林时钟!A:W,23,0),I59)</f>
        <v>复苏</v>
      </c>
      <c r="J58" s="1" t="str">
        <f>VLOOKUP(A58,库存与产能周期2!A:Q,17,0)</f>
        <v>产能周期上行,被动补库存</v>
      </c>
      <c r="K58" s="1">
        <f t="shared" si="12"/>
        <v>0.25</v>
      </c>
      <c r="L58" s="1">
        <f t="shared" si="13"/>
        <v>0.23076923076923078</v>
      </c>
      <c r="N58" s="1">
        <f t="shared" si="14"/>
        <v>0</v>
      </c>
      <c r="O58" s="1">
        <f t="shared" si="15"/>
        <v>1</v>
      </c>
      <c r="P58" s="1">
        <f t="shared" si="16"/>
        <v>0.25</v>
      </c>
      <c r="Q58" s="1">
        <f t="shared" si="17"/>
        <v>0.38461538461538464</v>
      </c>
      <c r="S58" s="1">
        <f t="shared" si="18"/>
        <v>0.21428571428571427</v>
      </c>
      <c r="T58" s="1">
        <f t="shared" si="19"/>
        <v>1</v>
      </c>
    </row>
    <row r="59" spans="1:20" x14ac:dyDescent="0.35">
      <c r="A59" s="12">
        <v>44408</v>
      </c>
      <c r="B59" s="13">
        <v>-3.096445555278255</v>
      </c>
      <c r="C59" s="88">
        <v>-13.394350649350701</v>
      </c>
      <c r="D59" s="1" t="str">
        <f t="shared" si="0"/>
        <v>熊市</v>
      </c>
      <c r="E59" s="1" t="str">
        <f t="shared" si="1"/>
        <v>牛市</v>
      </c>
      <c r="F59" s="1" t="str">
        <f>IFERROR(VLOOKUP(A59,'货币信用框架5-货币政策目标+信用脉冲'!A:L,12,0),F60)</f>
        <v>宽货币紧信用</v>
      </c>
      <c r="G59" s="1" t="str">
        <f>VLOOKUP(A59,'信贷库存框架1-票据+贷款余额'!A:L,12,0)</f>
        <v>被动补库存</v>
      </c>
      <c r="H59" s="1" t="str">
        <f>IFERROR(VLOOKUP(A59,'财政货币框架1&amp;2底稿'!A:N,14,0),H60)</f>
        <v>双宽</v>
      </c>
      <c r="I59" s="1" t="str">
        <f>IFERROR(VLOOKUP(A59,美林时钟!A:W,23,0),I60)</f>
        <v>复苏</v>
      </c>
      <c r="J59" s="1" t="str">
        <f>VLOOKUP(A59,库存与产能周期2!A:Q,17,0)</f>
        <v>产能周期上行,被动补库存</v>
      </c>
      <c r="K59" s="1">
        <f t="shared" si="12"/>
        <v>0.2</v>
      </c>
      <c r="L59" s="1">
        <f t="shared" si="13"/>
        <v>0.23076923076923078</v>
      </c>
      <c r="N59" s="1">
        <f t="shared" si="14"/>
        <v>6.6666666666666666E-2</v>
      </c>
      <c r="O59" s="1">
        <f t="shared" si="15"/>
        <v>-0.26666666666666666</v>
      </c>
      <c r="P59" s="1">
        <f t="shared" si="16"/>
        <v>0.2</v>
      </c>
      <c r="Q59" s="1">
        <f t="shared" si="17"/>
        <v>0.38461538461538464</v>
      </c>
      <c r="S59" s="1">
        <f t="shared" si="18"/>
        <v>0.2</v>
      </c>
      <c r="T59" s="1">
        <f t="shared" si="19"/>
        <v>-0.26666666666666666</v>
      </c>
    </row>
    <row r="60" spans="1:20" x14ac:dyDescent="0.35">
      <c r="A60" s="12">
        <v>44377</v>
      </c>
      <c r="B60" s="13">
        <v>1.4197527667074319</v>
      </c>
      <c r="C60" s="88">
        <v>-2.0911278195489</v>
      </c>
      <c r="D60" s="1" t="str">
        <f t="shared" si="0"/>
        <v>牛市</v>
      </c>
      <c r="E60" s="1" t="str">
        <f t="shared" si="1"/>
        <v>牛市</v>
      </c>
      <c r="F60" s="1" t="str">
        <f>IFERROR(VLOOKUP(A60,'货币信用框架5-货币政策目标+信用脉冲'!A:L,12,0),F61)</f>
        <v>宽货币紧信用</v>
      </c>
      <c r="G60" s="1" t="str">
        <f>VLOOKUP(A60,'信贷库存框架1-票据+贷款余额'!A:L,12,0)</f>
        <v>主动补库存</v>
      </c>
      <c r="H60" s="1" t="str">
        <f>IFERROR(VLOOKUP(A60,'财政货币框架1&amp;2底稿'!A:N,14,0),H61)</f>
        <v>双宽</v>
      </c>
      <c r="I60" s="1" t="str">
        <f>IFERROR(VLOOKUP(A60,美林时钟!A:W,23,0),I61)</f>
        <v>过热</v>
      </c>
      <c r="J60" s="1" t="str">
        <f>VLOOKUP(A60,库存与产能周期2!A:Q,17,0)</f>
        <v>产能周期上行,被动补库存</v>
      </c>
      <c r="K60" s="1">
        <f t="shared" si="12"/>
        <v>0.14285714285714285</v>
      </c>
      <c r="L60" s="1">
        <f t="shared" si="13"/>
        <v>-0.25</v>
      </c>
      <c r="N60" s="1">
        <f t="shared" si="14"/>
        <v>0.16666666666666666</v>
      </c>
      <c r="O60" s="1">
        <f t="shared" si="15"/>
        <v>-0.26666666666666666</v>
      </c>
      <c r="P60" s="1">
        <f t="shared" si="16"/>
        <v>0.14285714285714285</v>
      </c>
      <c r="Q60" s="1">
        <f t="shared" si="17"/>
        <v>0</v>
      </c>
      <c r="S60" s="1">
        <f t="shared" si="18"/>
        <v>0</v>
      </c>
      <c r="T60" s="1">
        <f t="shared" si="19"/>
        <v>-0.26666666666666666</v>
      </c>
    </row>
    <row r="61" spans="1:20" x14ac:dyDescent="0.35">
      <c r="A61" s="12">
        <v>44347</v>
      </c>
      <c r="B61" s="13">
        <v>5.1350790340010493</v>
      </c>
      <c r="C61" s="88">
        <v>-6.8427033492823002</v>
      </c>
      <c r="D61" s="1" t="str">
        <f t="shared" si="0"/>
        <v>牛市</v>
      </c>
      <c r="E61" s="1" t="str">
        <f t="shared" si="1"/>
        <v>牛市</v>
      </c>
      <c r="F61" s="1" t="str">
        <f>IFERROR(VLOOKUP(A61,'货币信用框架5-货币政策目标+信用脉冲'!A:L,12,0),F62)</f>
        <v>宽货币紧信用</v>
      </c>
      <c r="G61" s="1" t="str">
        <f>VLOOKUP(A61,'信贷库存框架1-票据+贷款余额'!A:L,12,0)</f>
        <v>被动补库存</v>
      </c>
      <c r="H61" s="1" t="str">
        <f>IFERROR(VLOOKUP(A61,'财政货币框架1&amp;2底稿'!A:N,14,0),H62)</f>
        <v>双宽</v>
      </c>
      <c r="I61" s="1" t="str">
        <f>IFERROR(VLOOKUP(A61,美林时钟!A:W,23,0),I62)</f>
        <v>过热</v>
      </c>
      <c r="J61" s="1" t="str">
        <f>VLOOKUP(A61,库存与产能周期2!A:Q,17,0)</f>
        <v>产能周期下行,被动补库存</v>
      </c>
      <c r="K61" s="1">
        <f t="shared" si="12"/>
        <v>7.6923076923076927E-2</v>
      </c>
      <c r="L61" s="1">
        <f t="shared" si="13"/>
        <v>7.6923076923076927E-2</v>
      </c>
      <c r="N61" s="1">
        <f t="shared" si="14"/>
        <v>9.0909090909090912E-2</v>
      </c>
      <c r="O61" s="1">
        <f t="shared" si="15"/>
        <v>-0.26666666666666666</v>
      </c>
      <c r="P61" s="1">
        <f t="shared" si="16"/>
        <v>7.6923076923076927E-2</v>
      </c>
      <c r="Q61" s="1">
        <f t="shared" si="17"/>
        <v>0.23076923076923078</v>
      </c>
      <c r="S61" s="1">
        <f t="shared" si="18"/>
        <v>-9.0909090909090912E-2</v>
      </c>
      <c r="T61" s="1">
        <f t="shared" si="19"/>
        <v>-0.26666666666666666</v>
      </c>
    </row>
    <row r="62" spans="1:20" x14ac:dyDescent="0.35">
      <c r="A62" s="12">
        <v>44316</v>
      </c>
      <c r="B62" s="13">
        <v>2.2146631483329902</v>
      </c>
      <c r="C62" s="88">
        <v>-5.0021936758893002</v>
      </c>
      <c r="D62" s="1" t="str">
        <f t="shared" si="0"/>
        <v>牛市</v>
      </c>
      <c r="E62" s="1" t="str">
        <f t="shared" si="1"/>
        <v>牛市</v>
      </c>
      <c r="F62" s="1" t="str">
        <f>IFERROR(VLOOKUP(A62,'货币信用框架5-货币政策目标+信用脉冲'!A:L,12,0),F63)</f>
        <v>宽货币紧信用</v>
      </c>
      <c r="G62" s="1" t="str">
        <f>VLOOKUP(A62,'信贷库存框架1-票据+贷款余额'!A:L,12,0)</f>
        <v>主动去库存</v>
      </c>
      <c r="H62" s="1" t="str">
        <f>IFERROR(VLOOKUP(A62,'财政货币框架1&amp;2底稿'!A:N,14,0),H63)</f>
        <v>双宽</v>
      </c>
      <c r="I62" s="1" t="str">
        <f>IFERROR(VLOOKUP(A62,美林时钟!A:W,23,0),I63)</f>
        <v>过热</v>
      </c>
      <c r="J62" s="1" t="str">
        <f>VLOOKUP(A62,库存与产能周期2!A:Q,17,0)</f>
        <v>产能周期下行,主动去库存</v>
      </c>
      <c r="K62" s="1">
        <f t="shared" si="12"/>
        <v>0.16666666666666666</v>
      </c>
      <c r="L62" s="1">
        <f t="shared" si="13"/>
        <v>0.375</v>
      </c>
      <c r="N62" s="1">
        <f t="shared" si="14"/>
        <v>9.0909090909090912E-2</v>
      </c>
      <c r="O62" s="1">
        <f t="shared" si="15"/>
        <v>-0.26666666666666666</v>
      </c>
      <c r="P62" s="1">
        <f t="shared" si="16"/>
        <v>8.3333333333333329E-2</v>
      </c>
      <c r="Q62" s="1">
        <f t="shared" si="17"/>
        <v>0</v>
      </c>
      <c r="S62" s="1">
        <f t="shared" si="18"/>
        <v>-9.0909090909090912E-2</v>
      </c>
      <c r="T62" s="1">
        <f t="shared" si="19"/>
        <v>-0.26666666666666666</v>
      </c>
    </row>
    <row r="63" spans="1:20" x14ac:dyDescent="0.35">
      <c r="A63" s="12">
        <v>44286</v>
      </c>
      <c r="B63" s="13">
        <v>-3.137483925895312</v>
      </c>
      <c r="C63" s="88">
        <v>-0.66767263427110002</v>
      </c>
      <c r="D63" s="1" t="str">
        <f t="shared" si="0"/>
        <v>熊市</v>
      </c>
      <c r="E63" s="1" t="str">
        <f t="shared" si="1"/>
        <v>震荡</v>
      </c>
      <c r="F63" s="1" t="str">
        <f>IFERROR(VLOOKUP(A63,'货币信用框架5-货币政策目标+信用脉冲'!A:L,12,0),F64)</f>
        <v>宽货币紧信用</v>
      </c>
      <c r="G63" s="1" t="str">
        <f>VLOOKUP(A63,'信贷库存框架1-票据+贷款余额'!A:L,12,0)</f>
        <v>主动去库存</v>
      </c>
      <c r="H63" s="1" t="str">
        <f>IFERROR(VLOOKUP(A63,'财政货币框架1&amp;2底稿'!A:N,14,0),H64)</f>
        <v>双紧</v>
      </c>
      <c r="I63" s="1" t="str">
        <f>IFERROR(VLOOKUP(A63,美林时钟!A:W,23,0),I64)</f>
        <v>复苏</v>
      </c>
      <c r="J63" s="1" t="str">
        <f>VLOOKUP(A63,库存与产能周期2!A:Q,17,0)</f>
        <v>产能周期下行,主动去库存</v>
      </c>
      <c r="K63" s="1">
        <f t="shared" si="12"/>
        <v>7.6923076923076927E-2</v>
      </c>
      <c r="L63" s="1">
        <f t="shared" si="13"/>
        <v>0.32</v>
      </c>
      <c r="N63" s="1">
        <f t="shared" si="14"/>
        <v>6.25E-2</v>
      </c>
      <c r="O63" s="1">
        <f t="shared" si="15"/>
        <v>-0.3125</v>
      </c>
      <c r="P63" s="1">
        <f t="shared" si="16"/>
        <v>0</v>
      </c>
      <c r="Q63" s="1">
        <f t="shared" si="17"/>
        <v>-0.04</v>
      </c>
      <c r="S63" s="1">
        <f t="shared" si="18"/>
        <v>0.125</v>
      </c>
      <c r="T63" s="1">
        <f t="shared" si="19"/>
        <v>-0.3125</v>
      </c>
    </row>
    <row r="64" spans="1:20" x14ac:dyDescent="0.35">
      <c r="A64" s="12">
        <v>44255</v>
      </c>
      <c r="B64" s="13">
        <v>-6.9989278587770003E-3</v>
      </c>
      <c r="C64" s="88">
        <v>9.3524117647059004</v>
      </c>
      <c r="D64" s="1" t="str">
        <f t="shared" si="0"/>
        <v>震荡</v>
      </c>
      <c r="E64" s="1" t="str">
        <f t="shared" si="1"/>
        <v>熊市</v>
      </c>
      <c r="F64" s="1" t="str">
        <f>IFERROR(VLOOKUP(A64,'货币信用框架5-货币政策目标+信用脉冲'!A:L,12,0),F65)</f>
        <v>紧货币宽信用</v>
      </c>
      <c r="G64" s="1" t="str">
        <f>VLOOKUP(A64,'信贷库存框架1-票据+贷款余额'!A:L,12,0)</f>
        <v>被动去库存</v>
      </c>
      <c r="H64" s="1" t="str">
        <f>IFERROR(VLOOKUP(A64,'财政货币框架1&amp;2底稿'!A:N,14,0),H65)</f>
        <v>双宽</v>
      </c>
      <c r="I64" s="1" t="str">
        <f>IFERROR(VLOOKUP(A64,美林时钟!A:W,23,0),I65)</f>
        <v>复苏</v>
      </c>
      <c r="J64" s="1" t="str">
        <f>VLOOKUP(A64,库存与产能周期2!A:Q,17,0)</f>
        <v>产能周期上行,主动去库存</v>
      </c>
      <c r="K64" s="1">
        <f t="shared" si="12"/>
        <v>0.13333333333333333</v>
      </c>
      <c r="L64" s="1">
        <f t="shared" si="13"/>
        <v>0.1111111111111111</v>
      </c>
      <c r="N64" s="1">
        <f t="shared" si="14"/>
        <v>6.6666666666666666E-2</v>
      </c>
      <c r="O64" s="1">
        <f t="shared" si="15"/>
        <v>0.5</v>
      </c>
      <c r="P64" s="1">
        <f t="shared" si="16"/>
        <v>-0.53333333333333333</v>
      </c>
      <c r="Q64" s="1">
        <f t="shared" si="17"/>
        <v>-0.33333333333333331</v>
      </c>
      <c r="S64" s="1">
        <f t="shared" si="18"/>
        <v>6.6666666666666666E-2</v>
      </c>
      <c r="T64" s="1">
        <f t="shared" si="19"/>
        <v>-4.1666666666666664E-2</v>
      </c>
    </row>
    <row r="65" spans="1:20" x14ac:dyDescent="0.35">
      <c r="A65" s="12">
        <v>44227</v>
      </c>
      <c r="B65" s="13">
        <v>-0.104258476776111</v>
      </c>
      <c r="C65" s="88">
        <v>-9.5038695652173999</v>
      </c>
      <c r="D65" s="1" t="str">
        <f t="shared" si="0"/>
        <v>震荡</v>
      </c>
      <c r="E65" s="1" t="str">
        <f t="shared" si="1"/>
        <v>牛市</v>
      </c>
      <c r="F65" s="1" t="str">
        <f>IFERROR(VLOOKUP(A65,'货币信用框架5-货币政策目标+信用脉冲'!A:L,12,0),F66)</f>
        <v>宽货币宽信用</v>
      </c>
      <c r="G65" s="1" t="str">
        <f>VLOOKUP(A65,'信贷库存框架1-票据+贷款余额'!A:L,12,0)</f>
        <v>主动去库存</v>
      </c>
      <c r="H65" s="1" t="str">
        <f>IFERROR(VLOOKUP(A65,'财政货币框架1&amp;2底稿'!A:N,14,0),H66)</f>
        <v>双紧</v>
      </c>
      <c r="I65" s="1" t="str">
        <f>IFERROR(VLOOKUP(A65,美林时钟!A:W,23,0),I66)</f>
        <v>复苏</v>
      </c>
      <c r="J65" s="1" t="str">
        <f>VLOOKUP(A65,库存与产能周期2!A:Q,17,0)</f>
        <v>产能周期上行,主动去库存</v>
      </c>
      <c r="K65" s="1">
        <f t="shared" si="12"/>
        <v>0.2857142857142857</v>
      </c>
      <c r="L65" s="1">
        <f t="shared" si="13"/>
        <v>0.33333333333333331</v>
      </c>
      <c r="N65" s="1">
        <f t="shared" si="14"/>
        <v>6.6666666666666666E-2</v>
      </c>
      <c r="O65" s="1">
        <f t="shared" si="15"/>
        <v>0.47826086956521741</v>
      </c>
      <c r="P65" s="1">
        <f t="shared" si="16"/>
        <v>0.35714285714285715</v>
      </c>
      <c r="Q65" s="1">
        <f t="shared" si="17"/>
        <v>-8.3333333333333329E-2</v>
      </c>
      <c r="S65" s="1">
        <f t="shared" si="18"/>
        <v>6.6666666666666666E-2</v>
      </c>
      <c r="T65" s="1">
        <f t="shared" si="19"/>
        <v>-4.3478260869565216E-2</v>
      </c>
    </row>
    <row r="66" spans="1:20" x14ac:dyDescent="0.35">
      <c r="A66" s="12">
        <v>44196</v>
      </c>
      <c r="B66" s="13">
        <v>3.1099018629829489</v>
      </c>
      <c r="C66" s="88">
        <v>-1.2153209109731</v>
      </c>
      <c r="D66" s="1" t="str">
        <f t="shared" si="0"/>
        <v>牛市</v>
      </c>
      <c r="E66" s="1" t="str">
        <f t="shared" si="1"/>
        <v>震荡</v>
      </c>
      <c r="F66" s="1" t="str">
        <f>IFERROR(VLOOKUP(A66,'货币信用框架5-货币政策目标+信用脉冲'!A:L,12,0),F67)</f>
        <v>宽货币紧信用</v>
      </c>
      <c r="G66" s="1" t="str">
        <f>VLOOKUP(A66,'信贷库存框架1-票据+贷款余额'!A:L,12,0)</f>
        <v>被动补库存</v>
      </c>
      <c r="H66" s="1" t="str">
        <f>IFERROR(VLOOKUP(A66,'财政货币框架1&amp;2底稿'!A:N,14,0),H67)</f>
        <v>双宽</v>
      </c>
      <c r="I66" s="1" t="str">
        <f>IFERROR(VLOOKUP(A66,美林时钟!A:W,23,0),I67)</f>
        <v>衰退</v>
      </c>
      <c r="J66" s="1" t="str">
        <f>VLOOKUP(A66,库存与产能周期2!A:Q,17,0)</f>
        <v>产能周期上行,主动去库存</v>
      </c>
      <c r="K66" s="1">
        <f t="shared" si="12"/>
        <v>0</v>
      </c>
      <c r="L66" s="1">
        <f t="shared" si="13"/>
        <v>7.6923076923076927E-2</v>
      </c>
      <c r="N66" s="1">
        <f t="shared" si="14"/>
        <v>0.15</v>
      </c>
      <c r="O66" s="1">
        <f t="shared" si="15"/>
        <v>0.45454545454545453</v>
      </c>
      <c r="P66" s="1">
        <f t="shared" si="16"/>
        <v>0</v>
      </c>
      <c r="Q66" s="1">
        <f t="shared" si="17"/>
        <v>0.38461538461538464</v>
      </c>
      <c r="S66" s="1">
        <f t="shared" si="18"/>
        <v>0.1</v>
      </c>
      <c r="T66" s="1">
        <f t="shared" si="19"/>
        <v>0</v>
      </c>
    </row>
    <row r="67" spans="1:20" x14ac:dyDescent="0.35">
      <c r="A67" s="12">
        <v>44165</v>
      </c>
      <c r="B67" s="13">
        <v>3.9826317341389581</v>
      </c>
      <c r="C67" s="88">
        <v>6.2397198879552001</v>
      </c>
      <c r="D67" s="1" t="str">
        <f t="shared" si="0"/>
        <v>牛市</v>
      </c>
      <c r="E67" s="1" t="str">
        <f t="shared" si="1"/>
        <v>熊市</v>
      </c>
      <c r="F67" s="1" t="str">
        <f>IFERROR(VLOOKUP(A67,'货币信用框架5-货币政策目标+信用脉冲'!A:L,12,0),F68)</f>
        <v>紧货币宽信用</v>
      </c>
      <c r="G67" s="1" t="str">
        <f>VLOOKUP(A67,'信贷库存框架1-票据+贷款余额'!A:L,12,0)</f>
        <v>被动补库存</v>
      </c>
      <c r="H67" s="1" t="str">
        <f>IFERROR(VLOOKUP(A67,'财政货币框架1&amp;2底稿'!A:N,14,0),H68)</f>
        <v>双宽</v>
      </c>
      <c r="I67" s="1" t="str">
        <f>IFERROR(VLOOKUP(A67,美林时钟!A:W,23,0),I68)</f>
        <v>滞涨</v>
      </c>
      <c r="J67" s="1" t="str">
        <f>VLOOKUP(A67,库存与产能周期2!A:Q,17,0)</f>
        <v>产能周期上行,主动去库存</v>
      </c>
      <c r="K67" s="1">
        <f t="shared" si="12"/>
        <v>7.1428571428571425E-2</v>
      </c>
      <c r="L67" s="1">
        <f t="shared" si="13"/>
        <v>7.6923076923076927E-2</v>
      </c>
      <c r="N67" s="1">
        <f t="shared" si="14"/>
        <v>0.14285714285714285</v>
      </c>
      <c r="O67" s="1">
        <f t="shared" si="15"/>
        <v>0.42857142857142855</v>
      </c>
      <c r="P67" s="1">
        <f t="shared" si="16"/>
        <v>-0.35714285714285715</v>
      </c>
      <c r="Q67" s="1">
        <f t="shared" si="17"/>
        <v>0.38461538461538464</v>
      </c>
      <c r="S67" s="1">
        <f t="shared" si="18"/>
        <v>-0.14285714285714285</v>
      </c>
      <c r="T67" s="1">
        <f t="shared" si="19"/>
        <v>4.7619047619047616E-2</v>
      </c>
    </row>
    <row r="68" spans="1:20" x14ac:dyDescent="0.35">
      <c r="A68" s="12">
        <v>44135</v>
      </c>
      <c r="B68" s="13">
        <v>1.0531091239877619</v>
      </c>
      <c r="C68" s="88">
        <v>7.9956010230179002</v>
      </c>
      <c r="D68" s="1" t="str">
        <f t="shared" si="0"/>
        <v>牛市</v>
      </c>
      <c r="E68" s="1" t="str">
        <f t="shared" si="1"/>
        <v>熊市</v>
      </c>
      <c r="F68" s="1" t="str">
        <f>IFERROR(VLOOKUP(A68,'货币信用框架5-货币政策目标+信用脉冲'!A:L,12,0),F69)</f>
        <v>紧货币宽信用</v>
      </c>
      <c r="G68" s="1" t="str">
        <f>VLOOKUP(A68,'信贷库存框架1-票据+贷款余额'!A:L,12,0)</f>
        <v>主动去库存</v>
      </c>
      <c r="H68" s="1" t="str">
        <f>IFERROR(VLOOKUP(A68,'财政货币框架1&amp;2底稿'!A:N,14,0),H69)</f>
        <v>双紧</v>
      </c>
      <c r="I68" s="1" t="str">
        <f>IFERROR(VLOOKUP(A68,美林时钟!A:W,23,0),I69)</f>
        <v>过热</v>
      </c>
      <c r="J68" s="1" t="str">
        <f>VLOOKUP(A68,库存与产能周期2!A:Q,17,0)</f>
        <v>产能周期上行,主动去库存</v>
      </c>
      <c r="K68" s="1">
        <f t="shared" si="12"/>
        <v>7.1428571428571425E-2</v>
      </c>
      <c r="L68" s="1">
        <f t="shared" si="13"/>
        <v>0.33333333333333331</v>
      </c>
      <c r="N68" s="1">
        <f t="shared" si="14"/>
        <v>0.1111111111111111</v>
      </c>
      <c r="O68" s="1">
        <f t="shared" si="15"/>
        <v>0.5</v>
      </c>
      <c r="P68" s="1">
        <f t="shared" si="16"/>
        <v>-0.21428571428571427</v>
      </c>
      <c r="Q68" s="1">
        <f t="shared" si="17"/>
        <v>0</v>
      </c>
      <c r="S68" s="1">
        <f t="shared" si="18"/>
        <v>0.1111111111111111</v>
      </c>
      <c r="T68" s="1">
        <f t="shared" si="19"/>
        <v>0.1</v>
      </c>
    </row>
    <row r="69" spans="1:20" x14ac:dyDescent="0.35">
      <c r="A69" s="12">
        <v>44104</v>
      </c>
      <c r="B69" s="13">
        <v>-5.9693053161541387</v>
      </c>
      <c r="C69" s="88">
        <v>12.652298136645999</v>
      </c>
      <c r="D69" s="1" t="str">
        <f t="shared" si="0"/>
        <v>熊市</v>
      </c>
      <c r="E69" s="1" t="str">
        <f t="shared" si="1"/>
        <v>熊市</v>
      </c>
      <c r="F69" s="1" t="str">
        <f>IFERROR(VLOOKUP(A69,'货币信用框架5-货币政策目标+信用脉冲'!A:L,12,0),F70)</f>
        <v>紧货币宽信用</v>
      </c>
      <c r="G69" s="1" t="str">
        <f>VLOOKUP(A69,'信贷库存框架1-票据+贷款余额'!A:L,12,0)</f>
        <v>主动去库存</v>
      </c>
      <c r="H69" s="1" t="str">
        <f>IFERROR(VLOOKUP(A69,'财政货币框架1&amp;2底稿'!A:N,14,0),H70)</f>
        <v>双宽</v>
      </c>
      <c r="I69" s="1" t="str">
        <f>IFERROR(VLOOKUP(A69,美林时钟!A:W,23,0),I70)</f>
        <v>过热</v>
      </c>
      <c r="J69" s="1" t="str">
        <f>VLOOKUP(A69,库存与产能周期2!A:Q,17,0)</f>
        <v>产能周期上行,主动去库存</v>
      </c>
      <c r="K69" s="1">
        <f t="shared" si="12"/>
        <v>0</v>
      </c>
      <c r="L69" s="1">
        <f t="shared" si="13"/>
        <v>0.30434782608695654</v>
      </c>
      <c r="N69" s="1">
        <f t="shared" si="14"/>
        <v>0.1111111111111111</v>
      </c>
      <c r="O69" s="1">
        <f t="shared" si="15"/>
        <v>0.47368421052631576</v>
      </c>
      <c r="P69" s="1">
        <f t="shared" si="16"/>
        <v>-0.15384615384615385</v>
      </c>
      <c r="Q69" s="1">
        <f t="shared" si="17"/>
        <v>4.3478260869565216E-2</v>
      </c>
      <c r="S69" s="1">
        <f t="shared" si="18"/>
        <v>0.1111111111111111</v>
      </c>
      <c r="T69" s="1">
        <f t="shared" si="19"/>
        <v>0.15789473684210525</v>
      </c>
    </row>
    <row r="70" spans="1:20" x14ac:dyDescent="0.35">
      <c r="A70" s="12">
        <v>44074</v>
      </c>
      <c r="B70" s="13">
        <v>1.96847023540455</v>
      </c>
      <c r="C70" s="88">
        <v>3.6855279503105001</v>
      </c>
      <c r="D70" s="1" t="str">
        <f t="shared" si="0"/>
        <v>牛市</v>
      </c>
      <c r="E70" s="1" t="str">
        <f t="shared" si="1"/>
        <v>熊市</v>
      </c>
      <c r="F70" s="1" t="str">
        <f>IFERROR(VLOOKUP(A70,'货币信用框架5-货币政策目标+信用脉冲'!A:L,12,0),F71)</f>
        <v>紧货币宽信用</v>
      </c>
      <c r="G70" s="1" t="str">
        <f>VLOOKUP(A70,'信贷库存框架1-票据+贷款余额'!A:L,12,0)</f>
        <v>主动去库存</v>
      </c>
      <c r="H70" s="1" t="str">
        <f>IFERROR(VLOOKUP(A70,'财政货币框架1&amp;2底稿'!A:N,14,0),H71)</f>
        <v>双紧</v>
      </c>
      <c r="I70" s="1" t="str">
        <f>IFERROR(VLOOKUP(A70,美林时钟!A:W,23,0),I71)</f>
        <v>衰退</v>
      </c>
      <c r="J70" s="1" t="str">
        <f>VLOOKUP(A70,库存与产能周期2!A:Q,17,0)</f>
        <v>产能周期上行,主动去库存</v>
      </c>
      <c r="K70" s="1">
        <f t="shared" si="12"/>
        <v>-0.15384615384615385</v>
      </c>
      <c r="L70" s="1">
        <f t="shared" si="13"/>
        <v>0.27272727272727271</v>
      </c>
      <c r="N70" s="1">
        <f t="shared" si="14"/>
        <v>0</v>
      </c>
      <c r="O70" s="1">
        <f t="shared" si="15"/>
        <v>0.44444444444444442</v>
      </c>
      <c r="P70" s="1">
        <f t="shared" si="16"/>
        <v>0</v>
      </c>
      <c r="Q70" s="1">
        <f t="shared" si="17"/>
        <v>9.0909090909090912E-2</v>
      </c>
      <c r="S70" s="1">
        <f t="shared" si="18"/>
        <v>0.23809523809523808</v>
      </c>
      <c r="T70" s="1">
        <f t="shared" si="19"/>
        <v>0.22222222222222221</v>
      </c>
    </row>
    <row r="71" spans="1:20" x14ac:dyDescent="0.35">
      <c r="A71" s="12">
        <v>44043</v>
      </c>
      <c r="B71" s="13">
        <v>13.06394040638728</v>
      </c>
      <c r="C71" s="88">
        <v>12.227805383022799</v>
      </c>
      <c r="D71" s="1" t="str">
        <f t="shared" ref="D71:D134" si="20">IF(B71&gt;=1,"牛市",IF(B71&lt;=-1,"熊市","震荡"))</f>
        <v>牛市</v>
      </c>
      <c r="E71" s="1" t="str">
        <f t="shared" ref="E71:E134" si="21">IF(C71&lt;=-2,"牛市",IF(C71&gt;=2,"熊市","震荡"))</f>
        <v>熊市</v>
      </c>
      <c r="F71" s="1" t="str">
        <f>IFERROR(VLOOKUP(A71,'货币信用框架5-货币政策目标+信用脉冲'!A:L,12,0),F72)</f>
        <v>紧货币宽信用</v>
      </c>
      <c r="G71" s="1" t="str">
        <f>VLOOKUP(A71,'信贷库存框架1-票据+贷款余额'!A:L,12,0)</f>
        <v>主动去库存</v>
      </c>
      <c r="H71" s="1" t="str">
        <f>IFERROR(VLOOKUP(A71,'财政货币框架1&amp;2底稿'!A:N,14,0),H72)</f>
        <v>双紧</v>
      </c>
      <c r="I71" s="1" t="str">
        <f>IFERROR(VLOOKUP(A71,美林时钟!A:W,23,0),I72)</f>
        <v>复苏</v>
      </c>
      <c r="J71" s="1" t="str">
        <f>VLOOKUP(A71,库存与产能周期2!A:Q,17,0)</f>
        <v>产能周期上行,主动去库存</v>
      </c>
      <c r="K71" s="1">
        <f t="shared" ref="K71:K102" si="22">IFERROR((COUNTIFS($D73:$D132,"牛市",F73:F132,F71)-COUNTIFS($D73:$D132,"熊市",F73:F132,F71))/COUNTIFS(F73:F132,F71),K72)</f>
        <v>-0.25</v>
      </c>
      <c r="L71" s="1">
        <f t="shared" ref="L71:L102" si="23">IFERROR((COUNTIFS($D73:$D132,"牛市",G73:G132,G71)-COUNTIFS($D73:$D132,"熊市",G73:G132,G71))/COUNTIFS(G73:G132,G71),L72)</f>
        <v>0.23809523809523808</v>
      </c>
      <c r="N71" s="1">
        <f t="shared" ref="N71:N102" si="24">IFERROR((COUNTIFS($D73:$D132,"牛市",I73:I132,I71)-COUNTIFS($D73:$D132,"熊市",I73:I132,I71))/COUNTIFS(I73:I132,I71),N72)</f>
        <v>0</v>
      </c>
      <c r="O71" s="1">
        <f t="shared" ref="O71:O102" si="25">IFERROR((COUNTIFS($D73:$D132,"牛市",J73:J132,J71)-COUNTIFS($D73:$D132,"熊市",J73:J132,J71))/COUNTIFS(J73:J132,J71),O72)</f>
        <v>0.41176470588235292</v>
      </c>
      <c r="P71" s="1">
        <f t="shared" ref="P71:P102" si="26">IFERROR((COUNTIFS($E73:$E132,"牛市",F73:F132,F71)-COUNTIFS($E73:$E132,"熊市",F73:F132,F71))/COUNTIFS(F73:F132,F71),P72)</f>
        <v>8.3333333333333329E-2</v>
      </c>
      <c r="Q71" s="1">
        <f t="shared" ref="Q71:Q102" si="27">IFERROR((COUNTIFS($E73:$E132,"牛市",G73:G132,G71)-COUNTIFS($E73:$E132,"熊市",G73:G132,G71))/COUNTIFS(G73:G132,G71),Q72)</f>
        <v>0.14285714285714285</v>
      </c>
      <c r="S71" s="1">
        <f t="shared" ref="S71:S102" si="28">IFERROR((COUNTIFS($E73:$E132,"牛市",I73:I132,I71)-COUNTIFS($E73:$E132,"熊市",I73:I132,I71))/COUNTIFS(I73:I132,I71),S72)</f>
        <v>0.25</v>
      </c>
      <c r="T71" s="1">
        <f t="shared" ref="T71:T102" si="29">IFERROR((COUNTIFS($E73:$E132,"牛市",J73:J132,J71)-COUNTIFS($E73:$E132,"熊市",J73:J132,J71))/COUNTIFS(J73:J132,J71),T72)</f>
        <v>0.29411764705882354</v>
      </c>
    </row>
    <row r="72" spans="1:20" x14ac:dyDescent="0.35">
      <c r="A72" s="12">
        <v>44012</v>
      </c>
      <c r="B72" s="13">
        <v>8.4079214751829543</v>
      </c>
      <c r="C72" s="88">
        <v>14.597343358396</v>
      </c>
      <c r="D72" s="1" t="str">
        <f t="shared" si="20"/>
        <v>牛市</v>
      </c>
      <c r="E72" s="1" t="str">
        <f t="shared" si="21"/>
        <v>熊市</v>
      </c>
      <c r="F72" s="1" t="str">
        <f>IFERROR(VLOOKUP(A72,'货币信用框架5-货币政策目标+信用脉冲'!A:L,12,0),F73)</f>
        <v>紧货币宽信用</v>
      </c>
      <c r="G72" s="1" t="str">
        <f>VLOOKUP(A72,'信贷库存框架1-票据+贷款余额'!A:L,12,0)</f>
        <v>主动去库存</v>
      </c>
      <c r="H72" s="1" t="str">
        <f>IFERROR(VLOOKUP(A72,'财政货币框架1&amp;2底稿'!A:N,14,0),H73)</f>
        <v>双紧</v>
      </c>
      <c r="I72" s="1" t="str">
        <f>IFERROR(VLOOKUP(A72,美林时钟!A:W,23,0),I73)</f>
        <v>衰退</v>
      </c>
      <c r="J72" s="1" t="str">
        <f>VLOOKUP(A72,库存与产能周期2!A:Q,17,0)</f>
        <v>产能周期上行,主动去库存</v>
      </c>
      <c r="K72" s="1">
        <f t="shared" si="22"/>
        <v>-0.25</v>
      </c>
      <c r="L72" s="1">
        <f t="shared" si="23"/>
        <v>0.27272727272727271</v>
      </c>
      <c r="N72" s="1">
        <f t="shared" si="24"/>
        <v>-0.1</v>
      </c>
      <c r="O72" s="1">
        <f t="shared" si="25"/>
        <v>0.41176470588235292</v>
      </c>
      <c r="P72" s="1">
        <f t="shared" si="26"/>
        <v>8.3333333333333329E-2</v>
      </c>
      <c r="Q72" s="1">
        <f t="shared" si="27"/>
        <v>0.18181818181818182</v>
      </c>
      <c r="S72" s="1">
        <f t="shared" si="28"/>
        <v>0.3</v>
      </c>
      <c r="T72" s="1">
        <f t="shared" si="29"/>
        <v>0.29411764705882354</v>
      </c>
    </row>
    <row r="73" spans="1:20" x14ac:dyDescent="0.35">
      <c r="A73" s="12">
        <v>43982</v>
      </c>
      <c r="B73" s="13">
        <v>0.57999903349634296</v>
      </c>
      <c r="C73" s="88">
        <v>13.8697129186603</v>
      </c>
      <c r="D73" s="1" t="str">
        <f t="shared" si="20"/>
        <v>震荡</v>
      </c>
      <c r="E73" s="1" t="str">
        <f t="shared" si="21"/>
        <v>熊市</v>
      </c>
      <c r="F73" s="1" t="str">
        <f>IFERROR(VLOOKUP(A73,'货币信用框架5-货币政策目标+信用脉冲'!A:L,12,0),F74)</f>
        <v>宽货币宽信用</v>
      </c>
      <c r="G73" s="1" t="str">
        <f>VLOOKUP(A73,'信贷库存框架1-票据+贷款余额'!A:L,12,0)</f>
        <v>主动补库存</v>
      </c>
      <c r="H73" s="1" t="str">
        <f>IFERROR(VLOOKUP(A73,'财政货币框架1&amp;2底稿'!A:N,14,0),H74)</f>
        <v>双紧</v>
      </c>
      <c r="I73" s="1" t="str">
        <f>IFERROR(VLOOKUP(A73,美林时钟!A:W,23,0),I74)</f>
        <v>衰退</v>
      </c>
      <c r="J73" s="1" t="str">
        <f>VLOOKUP(A73,库存与产能周期2!A:Q,17,0)</f>
        <v>产能周期下行,主动去库存</v>
      </c>
      <c r="K73" s="1">
        <f t="shared" si="22"/>
        <v>0.13333333333333333</v>
      </c>
      <c r="L73" s="1">
        <f t="shared" si="23"/>
        <v>-0.45454545454545453</v>
      </c>
      <c r="N73" s="1">
        <f t="shared" si="24"/>
        <v>-0.1</v>
      </c>
      <c r="O73" s="1">
        <f t="shared" si="25"/>
        <v>-0.42857142857142855</v>
      </c>
      <c r="P73" s="1">
        <f t="shared" si="26"/>
        <v>0.26666666666666666</v>
      </c>
      <c r="Q73" s="1">
        <f t="shared" si="27"/>
        <v>9.0909090909090912E-2</v>
      </c>
      <c r="S73" s="1">
        <f t="shared" si="28"/>
        <v>0.3</v>
      </c>
      <c r="T73" s="1">
        <f t="shared" si="29"/>
        <v>-0.35714285714285715</v>
      </c>
    </row>
    <row r="74" spans="1:20" x14ac:dyDescent="0.35">
      <c r="A74" s="12">
        <v>43951</v>
      </c>
      <c r="B74" s="13">
        <v>5.2322153117140493</v>
      </c>
      <c r="C74" s="88">
        <v>-10.9554545454546</v>
      </c>
      <c r="D74" s="1" t="str">
        <f t="shared" si="20"/>
        <v>牛市</v>
      </c>
      <c r="E74" s="1" t="str">
        <f t="shared" si="21"/>
        <v>牛市</v>
      </c>
      <c r="F74" s="1" t="str">
        <f>IFERROR(VLOOKUP(A74,'货币信用框架5-货币政策目标+信用脉冲'!A:L,12,0),F75)</f>
        <v>宽货币宽信用</v>
      </c>
      <c r="G74" s="1" t="str">
        <f>VLOOKUP(A74,'信贷库存框架1-票据+贷款余额'!A:L,12,0)</f>
        <v>主动补库存</v>
      </c>
      <c r="H74" s="1" t="str">
        <f>IFERROR(VLOOKUP(A74,'财政货币框架1&amp;2底稿'!A:N,14,0),H75)</f>
        <v>双宽</v>
      </c>
      <c r="I74" s="1" t="str">
        <f>IFERROR(VLOOKUP(A74,美林时钟!A:W,23,0),I75)</f>
        <v>复苏</v>
      </c>
      <c r="J74" s="1" t="str">
        <f>VLOOKUP(A74,库存与产能周期2!A:Q,17,0)</f>
        <v>产能周期下行,主动去库存</v>
      </c>
      <c r="K74" s="1">
        <f t="shared" si="22"/>
        <v>0.21428571428571427</v>
      </c>
      <c r="L74" s="1">
        <f t="shared" si="23"/>
        <v>-0.4</v>
      </c>
      <c r="N74" s="1">
        <f t="shared" si="24"/>
        <v>-6.6666666666666666E-2</v>
      </c>
      <c r="O74" s="1">
        <f t="shared" si="25"/>
        <v>-0.38461538461538464</v>
      </c>
      <c r="P74" s="1">
        <f t="shared" si="26"/>
        <v>0.21428571428571427</v>
      </c>
      <c r="Q74" s="1">
        <f t="shared" si="27"/>
        <v>0</v>
      </c>
      <c r="S74" s="1">
        <f t="shared" si="28"/>
        <v>0.2</v>
      </c>
      <c r="T74" s="1">
        <f t="shared" si="29"/>
        <v>-0.46153846153846156</v>
      </c>
    </row>
    <row r="75" spans="1:20" x14ac:dyDescent="0.35">
      <c r="A75" s="12">
        <v>43921</v>
      </c>
      <c r="B75" s="13">
        <v>-6.530276252548469</v>
      </c>
      <c r="C75" s="88">
        <v>-17.8668636363636</v>
      </c>
      <c r="D75" s="1" t="str">
        <f t="shared" si="20"/>
        <v>熊市</v>
      </c>
      <c r="E75" s="1" t="str">
        <f t="shared" si="21"/>
        <v>牛市</v>
      </c>
      <c r="F75" s="1" t="str">
        <f>IFERROR(VLOOKUP(A75,'货币信用框架5-货币政策目标+信用脉冲'!A:L,12,0),F76)</f>
        <v>宽货币宽信用</v>
      </c>
      <c r="G75" s="1" t="str">
        <f>VLOOKUP(A75,'信贷库存框架1-票据+贷款余额'!A:L,12,0)</f>
        <v>主动补库存</v>
      </c>
      <c r="H75" s="1" t="str">
        <f>IFERROR(VLOOKUP(A75,'财政货币框架1&amp;2底稿'!A:N,14,0),H76)</f>
        <v>双紧</v>
      </c>
      <c r="I75" s="1" t="str">
        <f>IFERROR(VLOOKUP(A75,美林时钟!A:W,23,0),I76)</f>
        <v>衰退</v>
      </c>
      <c r="J75" s="1" t="str">
        <f>VLOOKUP(A75,库存与产能周期2!A:Q,17,0)</f>
        <v>产能周期下行,主动去库存</v>
      </c>
      <c r="K75" s="1">
        <f t="shared" si="22"/>
        <v>0.26666666666666666</v>
      </c>
      <c r="L75" s="1">
        <f t="shared" si="23"/>
        <v>-0.27272727272727271</v>
      </c>
      <c r="N75" s="1">
        <f t="shared" si="24"/>
        <v>-5.2631578947368418E-2</v>
      </c>
      <c r="O75" s="1">
        <f t="shared" si="25"/>
        <v>-0.38461538461538464</v>
      </c>
      <c r="P75" s="1">
        <f t="shared" si="26"/>
        <v>0.26666666666666666</v>
      </c>
      <c r="Q75" s="1">
        <f t="shared" si="27"/>
        <v>9.0909090909090912E-2</v>
      </c>
      <c r="S75" s="1">
        <f t="shared" si="28"/>
        <v>0.26315789473684209</v>
      </c>
      <c r="T75" s="1">
        <f t="shared" si="29"/>
        <v>-0.46153846153846156</v>
      </c>
    </row>
    <row r="76" spans="1:20" x14ac:dyDescent="0.35">
      <c r="A76" s="12">
        <v>43890</v>
      </c>
      <c r="B76" s="13">
        <v>-2.7510793660733002E-2</v>
      </c>
      <c r="C76" s="88">
        <v>-26.109500000000001</v>
      </c>
      <c r="D76" s="1" t="str">
        <f t="shared" si="20"/>
        <v>震荡</v>
      </c>
      <c r="E76" s="1" t="str">
        <f t="shared" si="21"/>
        <v>牛市</v>
      </c>
      <c r="F76" s="1" t="str">
        <f>IFERROR(VLOOKUP(A76,'货币信用框架5-货币政策目标+信用脉冲'!A:L,12,0),F77)</f>
        <v>宽货币紧信用</v>
      </c>
      <c r="G76" s="1" t="str">
        <f>VLOOKUP(A76,'信贷库存框架1-票据+贷款余额'!A:L,12,0)</f>
        <v>被动去库存</v>
      </c>
      <c r="H76" s="1" t="str">
        <f>IFERROR(VLOOKUP(A76,'财政货币框架1&amp;2底稿'!A:N,14,0),H77)</f>
        <v>双宽</v>
      </c>
      <c r="I76" s="1" t="str">
        <f>IFERROR(VLOOKUP(A76,美林时钟!A:W,23,0),I77)</f>
        <v>滞涨</v>
      </c>
      <c r="J76" s="1" t="str">
        <f>VLOOKUP(A76,库存与产能周期2!A:Q,17,0)</f>
        <v>产能周期上行,主动去库存</v>
      </c>
      <c r="K76" s="1">
        <f t="shared" si="22"/>
        <v>0.21428571428571427</v>
      </c>
      <c r="L76" s="1">
        <f t="shared" si="23"/>
        <v>8.3333333333333329E-2</v>
      </c>
      <c r="N76" s="1">
        <f t="shared" si="24"/>
        <v>0.26666666666666666</v>
      </c>
      <c r="O76" s="1">
        <f t="shared" si="25"/>
        <v>0.46666666666666667</v>
      </c>
      <c r="P76" s="1">
        <f t="shared" si="26"/>
        <v>-0.14285714285714285</v>
      </c>
      <c r="Q76" s="1">
        <f t="shared" si="27"/>
        <v>-0.16666666666666666</v>
      </c>
      <c r="S76" s="1">
        <f t="shared" si="28"/>
        <v>-6.6666666666666666E-2</v>
      </c>
      <c r="T76" s="1">
        <f t="shared" si="29"/>
        <v>0.2</v>
      </c>
    </row>
    <row r="77" spans="1:20" x14ac:dyDescent="0.35">
      <c r="A77" s="12">
        <v>43861</v>
      </c>
      <c r="B77" s="13">
        <v>-0.25268447865475102</v>
      </c>
      <c r="C77" s="88">
        <v>-8.0195454545455007</v>
      </c>
      <c r="D77" s="1" t="str">
        <f t="shared" si="20"/>
        <v>震荡</v>
      </c>
      <c r="E77" s="1" t="str">
        <f t="shared" si="21"/>
        <v>牛市</v>
      </c>
      <c r="F77" s="1" t="str">
        <f>IFERROR(VLOOKUP(A77,'货币信用框架5-货币政策目标+信用脉冲'!A:L,12,0),F78)</f>
        <v>宽货币宽信用</v>
      </c>
      <c r="G77" s="1" t="str">
        <f>VLOOKUP(A77,'信贷库存框架1-票据+贷款余额'!A:L,12,0)</f>
        <v>主动去库存</v>
      </c>
      <c r="H77" s="1" t="str">
        <f>IFERROR(VLOOKUP(A77,'财政货币框架1&amp;2底稿'!A:N,14,0),H78)</f>
        <v>双紧</v>
      </c>
      <c r="I77" s="1" t="str">
        <f>IFERROR(VLOOKUP(A77,美林时钟!A:W,23,0),I78)</f>
        <v>过热</v>
      </c>
      <c r="J77" s="1" t="str">
        <f>VLOOKUP(A77,库存与产能周期2!A:Q,17,0)</f>
        <v>产能周期上行,主动去库存</v>
      </c>
      <c r="K77" s="1">
        <f t="shared" si="22"/>
        <v>0.2857142857142857</v>
      </c>
      <c r="L77" s="1">
        <f t="shared" si="23"/>
        <v>0.2857142857142857</v>
      </c>
      <c r="N77" s="1">
        <f t="shared" si="24"/>
        <v>0.3</v>
      </c>
      <c r="O77" s="1">
        <f t="shared" si="25"/>
        <v>0.42857142857142855</v>
      </c>
      <c r="P77" s="1">
        <f t="shared" si="26"/>
        <v>0.21428571428571427</v>
      </c>
      <c r="Q77" s="1">
        <f t="shared" si="27"/>
        <v>4.7619047619047616E-2</v>
      </c>
      <c r="S77" s="1">
        <f t="shared" si="28"/>
        <v>-0.2</v>
      </c>
      <c r="T77" s="1">
        <f t="shared" si="29"/>
        <v>0.14285714285714285</v>
      </c>
    </row>
    <row r="78" spans="1:20" x14ac:dyDescent="0.35">
      <c r="A78" s="12">
        <v>43830</v>
      </c>
      <c r="B78" s="13">
        <v>7.5465408651152188</v>
      </c>
      <c r="C78" s="88">
        <v>-4.7456926406926003</v>
      </c>
      <c r="D78" s="1" t="str">
        <f t="shared" si="20"/>
        <v>牛市</v>
      </c>
      <c r="E78" s="1" t="str">
        <f t="shared" si="21"/>
        <v>牛市</v>
      </c>
      <c r="F78" s="1" t="str">
        <f>IFERROR(VLOOKUP(A78,'货币信用框架5-货币政策目标+信用脉冲'!A:L,12,0),F79)</f>
        <v>紧货币紧信用</v>
      </c>
      <c r="G78" s="1" t="str">
        <f>VLOOKUP(A78,'信贷库存框架1-票据+贷款余额'!A:L,12,0)</f>
        <v>主动去库存</v>
      </c>
      <c r="H78" s="1" t="str">
        <f>IFERROR(VLOOKUP(A78,'财政货币框架1&amp;2底稿'!A:N,14,0),H79)</f>
        <v>双宽</v>
      </c>
      <c r="I78" s="1" t="str">
        <f>IFERROR(VLOOKUP(A78,美林时钟!A:W,23,0),I79)</f>
        <v>衰退</v>
      </c>
      <c r="J78" s="1" t="str">
        <f>VLOOKUP(A78,库存与产能周期2!A:Q,17,0)</f>
        <v>产能周期上行,主动去库存</v>
      </c>
      <c r="K78" s="1">
        <f t="shared" si="22"/>
        <v>5.2631578947368418E-2</v>
      </c>
      <c r="L78" s="1">
        <f t="shared" si="23"/>
        <v>0.2857142857142857</v>
      </c>
      <c r="N78" s="1">
        <f t="shared" si="24"/>
        <v>5.2631578947368418E-2</v>
      </c>
      <c r="O78" s="1">
        <f t="shared" si="25"/>
        <v>0.42857142857142855</v>
      </c>
      <c r="P78" s="1">
        <f t="shared" si="26"/>
        <v>0.15789473684210525</v>
      </c>
      <c r="Q78" s="1">
        <f t="shared" si="27"/>
        <v>4.7619047619047616E-2</v>
      </c>
      <c r="S78" s="1">
        <f t="shared" si="28"/>
        <v>0.21052631578947367</v>
      </c>
      <c r="T78" s="1">
        <f t="shared" si="29"/>
        <v>0.14285714285714285</v>
      </c>
    </row>
    <row r="79" spans="1:20" x14ac:dyDescent="0.35">
      <c r="A79" s="12">
        <v>43799</v>
      </c>
      <c r="B79" s="13">
        <v>-1.5069290762109431</v>
      </c>
      <c r="C79" s="88">
        <v>1.8189223057643999</v>
      </c>
      <c r="D79" s="1" t="str">
        <f t="shared" si="20"/>
        <v>熊市</v>
      </c>
      <c r="E79" s="1" t="str">
        <f t="shared" si="21"/>
        <v>震荡</v>
      </c>
      <c r="F79" s="1" t="str">
        <f>IFERROR(VLOOKUP(A79,'货币信用框架5-货币政策目标+信用脉冲'!A:L,12,0),F80)</f>
        <v>紧货币宽信用</v>
      </c>
      <c r="G79" s="1" t="str">
        <f>VLOOKUP(A79,'信贷库存框架1-票据+贷款余额'!A:L,12,0)</f>
        <v>被动去库存</v>
      </c>
      <c r="H79" s="1" t="str">
        <f>IFERROR(VLOOKUP(A79,'财政货币框架1&amp;2底稿'!A:N,14,0),H80)</f>
        <v>双宽</v>
      </c>
      <c r="I79" s="1" t="str">
        <f>IFERROR(VLOOKUP(A79,美林时钟!A:W,23,0),I80)</f>
        <v>衰退</v>
      </c>
      <c r="J79" s="1" t="str">
        <f>VLOOKUP(A79,库存与产能周期2!A:Q,17,0)</f>
        <v>产能周期下行,主动去库存</v>
      </c>
      <c r="K79" s="1">
        <f t="shared" si="22"/>
        <v>-8.3333333333333329E-2</v>
      </c>
      <c r="L79" s="1">
        <f t="shared" si="23"/>
        <v>0.25</v>
      </c>
      <c r="N79" s="1">
        <f t="shared" si="24"/>
        <v>5.2631578947368418E-2</v>
      </c>
      <c r="O79" s="1">
        <f t="shared" si="25"/>
        <v>-0.36363636363636365</v>
      </c>
      <c r="P79" s="1">
        <f t="shared" si="26"/>
        <v>0</v>
      </c>
      <c r="Q79" s="1">
        <f t="shared" si="27"/>
        <v>-0.25</v>
      </c>
      <c r="S79" s="1">
        <f t="shared" si="28"/>
        <v>0.21052631578947367</v>
      </c>
      <c r="T79" s="1">
        <f t="shared" si="29"/>
        <v>-0.45454545454545453</v>
      </c>
    </row>
    <row r="80" spans="1:20" x14ac:dyDescent="0.35">
      <c r="A80" s="12">
        <v>43769</v>
      </c>
      <c r="B80" s="13">
        <v>0.816186188540583</v>
      </c>
      <c r="C80" s="88">
        <v>11.234887218045101</v>
      </c>
      <c r="D80" s="1" t="str">
        <f t="shared" si="20"/>
        <v>震荡</v>
      </c>
      <c r="E80" s="1" t="str">
        <f t="shared" si="21"/>
        <v>熊市</v>
      </c>
      <c r="F80" s="1" t="str">
        <f>IFERROR(VLOOKUP(A80,'货币信用框架5-货币政策目标+信用脉冲'!A:L,12,0),F81)</f>
        <v>紧货币紧信用</v>
      </c>
      <c r="G80" s="1" t="str">
        <f>VLOOKUP(A80,'信贷库存框架1-票据+贷款余额'!A:L,12,0)</f>
        <v>主动去库存</v>
      </c>
      <c r="H80" s="1" t="str">
        <f>IFERROR(VLOOKUP(A80,'财政货币框架1&amp;2底稿'!A:N,14,0),H81)</f>
        <v>双宽</v>
      </c>
      <c r="I80" s="1" t="str">
        <f>IFERROR(VLOOKUP(A80,美林时钟!A:W,23,0),I81)</f>
        <v>复苏</v>
      </c>
      <c r="J80" s="1" t="str">
        <f>VLOOKUP(A80,库存与产能周期2!A:Q,17,0)</f>
        <v>产能周期下行,主动去库存</v>
      </c>
      <c r="K80" s="1">
        <f t="shared" si="22"/>
        <v>5.8823529411764705E-2</v>
      </c>
      <c r="L80" s="1">
        <f t="shared" si="23"/>
        <v>0.3</v>
      </c>
      <c r="N80" s="1">
        <f t="shared" si="24"/>
        <v>0</v>
      </c>
      <c r="O80" s="1">
        <f t="shared" si="25"/>
        <v>-0.4</v>
      </c>
      <c r="P80" s="1">
        <f t="shared" si="26"/>
        <v>0.29411764705882354</v>
      </c>
      <c r="Q80" s="1">
        <f t="shared" si="27"/>
        <v>0.1</v>
      </c>
      <c r="S80" s="1">
        <f t="shared" si="28"/>
        <v>0.33333333333333331</v>
      </c>
      <c r="T80" s="1">
        <f t="shared" si="29"/>
        <v>-0.4</v>
      </c>
    </row>
    <row r="81" spans="1:20" x14ac:dyDescent="0.35">
      <c r="A81" s="12">
        <v>43738</v>
      </c>
      <c r="B81" s="13">
        <v>0.76953208302911902</v>
      </c>
      <c r="C81" s="88">
        <v>4.1755194805195002</v>
      </c>
      <c r="D81" s="1" t="str">
        <f t="shared" si="20"/>
        <v>震荡</v>
      </c>
      <c r="E81" s="1" t="str">
        <f t="shared" si="21"/>
        <v>熊市</v>
      </c>
      <c r="F81" s="1" t="str">
        <f>IFERROR(VLOOKUP(A81,'货币信用框架5-货币政策目标+信用脉冲'!A:L,12,0),F82)</f>
        <v>紧货币紧信用</v>
      </c>
      <c r="G81" s="1" t="str">
        <f>VLOOKUP(A81,'信贷库存框架1-票据+贷款余额'!A:L,12,0)</f>
        <v>被动去库存</v>
      </c>
      <c r="H81" s="1" t="str">
        <f>IFERROR(VLOOKUP(A81,'财政货币框架1&amp;2底稿'!A:N,14,0),H82)</f>
        <v>双宽</v>
      </c>
      <c r="I81" s="1" t="str">
        <f>IFERROR(VLOOKUP(A81,美林时钟!A:W,23,0),I82)</f>
        <v>衰退</v>
      </c>
      <c r="J81" s="1" t="str">
        <f>VLOOKUP(A81,库存与产能周期2!A:Q,17,0)</f>
        <v>产能周期下行,主动去库存</v>
      </c>
      <c r="K81" s="1">
        <f t="shared" si="22"/>
        <v>6.25E-2</v>
      </c>
      <c r="L81" s="1">
        <f t="shared" si="23"/>
        <v>0.27272727272727271</v>
      </c>
      <c r="N81" s="1">
        <f t="shared" si="24"/>
        <v>5.5555555555555552E-2</v>
      </c>
      <c r="O81" s="1">
        <f t="shared" si="25"/>
        <v>-0.4</v>
      </c>
      <c r="P81" s="1">
        <f t="shared" si="26"/>
        <v>0.25</v>
      </c>
      <c r="Q81" s="1">
        <f t="shared" si="27"/>
        <v>-0.18181818181818182</v>
      </c>
      <c r="S81" s="1">
        <f t="shared" si="28"/>
        <v>0.27777777777777779</v>
      </c>
      <c r="T81" s="1">
        <f t="shared" si="29"/>
        <v>-0.4</v>
      </c>
    </row>
    <row r="82" spans="1:20" x14ac:dyDescent="0.35">
      <c r="A82" s="12">
        <v>43708</v>
      </c>
      <c r="B82" s="13">
        <v>-0.74154715479026001</v>
      </c>
      <c r="C82" s="88">
        <v>-12.1123517786561</v>
      </c>
      <c r="D82" s="1" t="str">
        <f t="shared" si="20"/>
        <v>震荡</v>
      </c>
      <c r="E82" s="1" t="str">
        <f t="shared" si="21"/>
        <v>牛市</v>
      </c>
      <c r="F82" s="1" t="str">
        <f>IFERROR(VLOOKUP(A82,'货币信用框架5-货币政策目标+信用脉冲'!A:L,12,0),F83)</f>
        <v>紧货币紧信用</v>
      </c>
      <c r="G82" s="1" t="str">
        <f>VLOOKUP(A82,'信贷库存框架1-票据+贷款余额'!A:L,12,0)</f>
        <v>主动去库存</v>
      </c>
      <c r="H82" s="1" t="str">
        <f>IFERROR(VLOOKUP(A82,'财政货币框架1&amp;2底稿'!A:N,14,0),H83)</f>
        <v>双紧</v>
      </c>
      <c r="I82" s="1" t="str">
        <f>IFERROR(VLOOKUP(A82,美林时钟!A:W,23,0),I83)</f>
        <v>复苏</v>
      </c>
      <c r="J82" s="1" t="str">
        <f>VLOOKUP(A82,库存与产能周期2!A:Q,17,0)</f>
        <v>产能周期上行,主动去库存</v>
      </c>
      <c r="K82" s="1">
        <f t="shared" si="22"/>
        <v>6.25E-2</v>
      </c>
      <c r="L82" s="1">
        <f t="shared" si="23"/>
        <v>0.33333333333333331</v>
      </c>
      <c r="N82" s="1">
        <f t="shared" si="24"/>
        <v>6.6666666666666666E-2</v>
      </c>
      <c r="O82" s="1">
        <f t="shared" si="25"/>
        <v>0.5</v>
      </c>
      <c r="P82" s="1">
        <f t="shared" si="26"/>
        <v>0.25</v>
      </c>
      <c r="Q82" s="1">
        <f t="shared" si="27"/>
        <v>0</v>
      </c>
      <c r="S82" s="1">
        <f t="shared" si="28"/>
        <v>0.2</v>
      </c>
      <c r="T82" s="1">
        <f t="shared" si="29"/>
        <v>0</v>
      </c>
    </row>
    <row r="83" spans="1:20" x14ac:dyDescent="0.35">
      <c r="A83" s="12">
        <v>43677</v>
      </c>
      <c r="B83" s="13">
        <v>-0.112433862270385</v>
      </c>
      <c r="C83" s="88">
        <v>-6.7159496567505998</v>
      </c>
      <c r="D83" s="1" t="str">
        <f t="shared" si="20"/>
        <v>震荡</v>
      </c>
      <c r="E83" s="1" t="str">
        <f t="shared" si="21"/>
        <v>牛市</v>
      </c>
      <c r="F83" s="1" t="str">
        <f>IFERROR(VLOOKUP(A83,'货币信用框架5-货币政策目标+信用脉冲'!A:L,12,0),F84)</f>
        <v>宽货币紧信用</v>
      </c>
      <c r="G83" s="1" t="str">
        <f>VLOOKUP(A83,'信贷库存框架1-票据+贷款余额'!A:L,12,0)</f>
        <v>主动去库存</v>
      </c>
      <c r="H83" s="1" t="str">
        <f>IFERROR(VLOOKUP(A83,'财政货币框架1&amp;2底稿'!A:N,14,0),H84)</f>
        <v>双紧</v>
      </c>
      <c r="I83" s="1" t="str">
        <f>IFERROR(VLOOKUP(A83,美林时钟!A:W,23,0),I84)</f>
        <v>衰退</v>
      </c>
      <c r="J83" s="1" t="str">
        <f>VLOOKUP(A83,库存与产能周期2!A:Q,17,0)</f>
        <v>产能周期上行,主动去库存</v>
      </c>
      <c r="K83" s="1">
        <f t="shared" si="22"/>
        <v>0.44444444444444442</v>
      </c>
      <c r="L83" s="1">
        <f t="shared" si="23"/>
        <v>0.29411764705882354</v>
      </c>
      <c r="N83" s="1">
        <f t="shared" si="24"/>
        <v>5.8823529411764705E-2</v>
      </c>
      <c r="O83" s="1">
        <f t="shared" si="25"/>
        <v>0.45454545454545453</v>
      </c>
      <c r="P83" s="1">
        <f t="shared" si="26"/>
        <v>-0.1111111111111111</v>
      </c>
      <c r="Q83" s="1">
        <f t="shared" si="27"/>
        <v>-5.8823529411764705E-2</v>
      </c>
      <c r="S83" s="1">
        <f t="shared" si="28"/>
        <v>0.23529411764705882</v>
      </c>
      <c r="T83" s="1">
        <f t="shared" si="29"/>
        <v>-9.0909090909090912E-2</v>
      </c>
    </row>
    <row r="84" spans="1:20" x14ac:dyDescent="0.35">
      <c r="A84" s="12">
        <v>43646</v>
      </c>
      <c r="B84" s="13">
        <v>3.3729461944282559</v>
      </c>
      <c r="C84" s="88">
        <v>-7.1129323308270997</v>
      </c>
      <c r="D84" s="1" t="str">
        <f t="shared" si="20"/>
        <v>牛市</v>
      </c>
      <c r="E84" s="1" t="str">
        <f t="shared" si="21"/>
        <v>牛市</v>
      </c>
      <c r="F84" s="1" t="str">
        <f>IFERROR(VLOOKUP(A84,'货币信用框架5-货币政策目标+信用脉冲'!A:L,12,0),F85)</f>
        <v>宽货币宽信用</v>
      </c>
      <c r="G84" s="1" t="str">
        <f>VLOOKUP(A84,'信贷库存框架1-票据+贷款余额'!A:L,12,0)</f>
        <v>主动去库存</v>
      </c>
      <c r="H84" s="1" t="str">
        <f>IFERROR(VLOOKUP(A84,'财政货币框架1&amp;2底稿'!A:N,14,0),H85)</f>
        <v>双宽</v>
      </c>
      <c r="I84" s="1" t="str">
        <f>IFERROR(VLOOKUP(A84,美林时钟!A:W,23,0),I85)</f>
        <v>复苏</v>
      </c>
      <c r="J84" s="1" t="str">
        <f>VLOOKUP(A84,库存与产能周期2!A:Q,17,0)</f>
        <v>产能周期上行,主动去库存</v>
      </c>
      <c r="K84" s="1">
        <f t="shared" si="22"/>
        <v>0.33333333333333331</v>
      </c>
      <c r="L84" s="1">
        <f t="shared" si="23"/>
        <v>0.375</v>
      </c>
      <c r="N84" s="1">
        <f t="shared" si="24"/>
        <v>0</v>
      </c>
      <c r="O84" s="1">
        <f t="shared" si="25"/>
        <v>0.45454545454545453</v>
      </c>
      <c r="P84" s="1">
        <f t="shared" si="26"/>
        <v>0.26666666666666666</v>
      </c>
      <c r="Q84" s="1">
        <f t="shared" si="27"/>
        <v>-0.125</v>
      </c>
      <c r="S84" s="1">
        <f t="shared" si="28"/>
        <v>0.14285714285714285</v>
      </c>
      <c r="T84" s="1">
        <f t="shared" si="29"/>
        <v>-9.0909090909090912E-2</v>
      </c>
    </row>
    <row r="85" spans="1:20" x14ac:dyDescent="0.35">
      <c r="A85" s="12">
        <v>43616</v>
      </c>
      <c r="B85" s="13">
        <v>-6.3814701762601338</v>
      </c>
      <c r="C85" s="88">
        <v>-3.0996753246752999</v>
      </c>
      <c r="D85" s="1" t="str">
        <f t="shared" si="20"/>
        <v>熊市</v>
      </c>
      <c r="E85" s="1" t="str">
        <f t="shared" si="21"/>
        <v>牛市</v>
      </c>
      <c r="F85" s="1" t="str">
        <f>IFERROR(VLOOKUP(A85,'货币信用框架5-货币政策目标+信用脉冲'!A:L,12,0),F86)</f>
        <v>紧货币宽信用</v>
      </c>
      <c r="G85" s="1" t="str">
        <f>VLOOKUP(A85,'信贷库存框架1-票据+贷款余额'!A:L,12,0)</f>
        <v>主动去库存</v>
      </c>
      <c r="H85" s="1" t="str">
        <f>IFERROR(VLOOKUP(A85,'财政货币框架1&amp;2底稿'!A:N,14,0),H86)</f>
        <v>双宽</v>
      </c>
      <c r="I85" s="1" t="str">
        <f>IFERROR(VLOOKUP(A85,美林时钟!A:W,23,0),I86)</f>
        <v>衰退</v>
      </c>
      <c r="J85" s="1" t="str">
        <f>VLOOKUP(A85,库存与产能周期2!A:Q,17,0)</f>
        <v>产能周期下行,主动去库存</v>
      </c>
      <c r="K85" s="1">
        <f t="shared" si="22"/>
        <v>0</v>
      </c>
      <c r="L85" s="1">
        <f t="shared" si="23"/>
        <v>0.35294117647058826</v>
      </c>
      <c r="N85" s="1">
        <f t="shared" si="24"/>
        <v>0.125</v>
      </c>
      <c r="O85" s="1">
        <f t="shared" si="25"/>
        <v>-0.25</v>
      </c>
      <c r="P85" s="1">
        <f t="shared" si="26"/>
        <v>-9.0909090909090912E-2</v>
      </c>
      <c r="Q85" s="1">
        <f t="shared" si="27"/>
        <v>-5.8823529411764705E-2</v>
      </c>
      <c r="S85" s="1">
        <f t="shared" si="28"/>
        <v>0.1875</v>
      </c>
      <c r="T85" s="1">
        <f t="shared" si="29"/>
        <v>-0.5</v>
      </c>
    </row>
    <row r="86" spans="1:20" x14ac:dyDescent="0.35">
      <c r="A86" s="12">
        <v>43585</v>
      </c>
      <c r="B86" s="13">
        <v>-1.4403164596743501</v>
      </c>
      <c r="C86" s="88">
        <v>20.249675324675302</v>
      </c>
      <c r="D86" s="1" t="str">
        <f t="shared" si="20"/>
        <v>熊市</v>
      </c>
      <c r="E86" s="1" t="str">
        <f t="shared" si="21"/>
        <v>熊市</v>
      </c>
      <c r="F86" s="1" t="str">
        <f>IFERROR(VLOOKUP(A86,'货币信用框架5-货币政策目标+信用脉冲'!A:L,12,0),F87)</f>
        <v>紧货币紧信用</v>
      </c>
      <c r="G86" s="1" t="str">
        <f>VLOOKUP(A86,'信贷库存框架1-票据+贷款余额'!A:L,12,0)</f>
        <v>被动补库存</v>
      </c>
      <c r="H86" s="1" t="str">
        <f>IFERROR(VLOOKUP(A86,'财政货币框架1&amp;2底稿'!A:N,14,0),H87)</f>
        <v>双紧</v>
      </c>
      <c r="I86" s="1" t="str">
        <f>IFERROR(VLOOKUP(A86,美林时钟!A:W,23,0),I87)</f>
        <v>滞涨</v>
      </c>
      <c r="J86" s="1" t="str">
        <f>VLOOKUP(A86,库存与产能周期2!A:Q,17,0)</f>
        <v>产能周期下行,主动去库存</v>
      </c>
      <c r="K86" s="1">
        <f t="shared" si="22"/>
        <v>0.13333333333333333</v>
      </c>
      <c r="L86" s="1">
        <f t="shared" si="23"/>
        <v>0.29411764705882354</v>
      </c>
      <c r="N86" s="1">
        <f t="shared" si="24"/>
        <v>0.41176470588235292</v>
      </c>
      <c r="O86" s="1">
        <f t="shared" si="25"/>
        <v>-0.42857142857142855</v>
      </c>
      <c r="P86" s="1">
        <f t="shared" si="26"/>
        <v>0.33333333333333331</v>
      </c>
      <c r="Q86" s="1">
        <f t="shared" si="27"/>
        <v>0.29411764705882354</v>
      </c>
      <c r="S86" s="1">
        <f t="shared" si="28"/>
        <v>0.11764705882352941</v>
      </c>
      <c r="T86" s="1">
        <f t="shared" si="29"/>
        <v>-0.5714285714285714</v>
      </c>
    </row>
    <row r="87" spans="1:20" x14ac:dyDescent="0.35">
      <c r="A87" s="12">
        <v>43555</v>
      </c>
      <c r="B87" s="13">
        <v>7.9750437268859988</v>
      </c>
      <c r="C87" s="88">
        <v>1.6636134453782001</v>
      </c>
      <c r="D87" s="1" t="str">
        <f t="shared" si="20"/>
        <v>牛市</v>
      </c>
      <c r="E87" s="1" t="str">
        <f t="shared" si="21"/>
        <v>震荡</v>
      </c>
      <c r="F87" s="1" t="str">
        <f>IFERROR(VLOOKUP(A87,'货币信用框架5-货币政策目标+信用脉冲'!A:L,12,0),F88)</f>
        <v>宽货币宽信用</v>
      </c>
      <c r="G87" s="1" t="str">
        <f>VLOOKUP(A87,'信贷库存框架1-票据+贷款余额'!A:L,12,0)</f>
        <v>主动补库存</v>
      </c>
      <c r="H87" s="1" t="str">
        <f>IFERROR(VLOOKUP(A87,'财政货币框架1&amp;2底稿'!A:N,14,0),H88)</f>
        <v>双紧</v>
      </c>
      <c r="I87" s="1" t="str">
        <f>IFERROR(VLOOKUP(A87,美林时钟!A:W,23,0),I88)</f>
        <v>滞涨</v>
      </c>
      <c r="J87" s="1" t="str">
        <f>VLOOKUP(A87,库存与产能周期2!A:Q,17,0)</f>
        <v>产能周期下行,主动去库存</v>
      </c>
      <c r="K87" s="1">
        <f t="shared" si="22"/>
        <v>0.2857142857142857</v>
      </c>
      <c r="L87" s="1">
        <f t="shared" si="23"/>
        <v>0</v>
      </c>
      <c r="N87" s="1">
        <f t="shared" si="24"/>
        <v>0.41176470588235292</v>
      </c>
      <c r="O87" s="1">
        <f t="shared" si="25"/>
        <v>-0.42857142857142855</v>
      </c>
      <c r="P87" s="1">
        <f t="shared" si="26"/>
        <v>0.2857142857142857</v>
      </c>
      <c r="Q87" s="1">
        <f t="shared" si="27"/>
        <v>0.35714285714285715</v>
      </c>
      <c r="S87" s="1">
        <f t="shared" si="28"/>
        <v>0.11764705882352941</v>
      </c>
      <c r="T87" s="1">
        <f t="shared" si="29"/>
        <v>-0.5714285714285714</v>
      </c>
    </row>
    <row r="88" spans="1:20" x14ac:dyDescent="0.35">
      <c r="A88" s="12">
        <v>43524</v>
      </c>
      <c r="B88" s="13">
        <v>17.842749211406151</v>
      </c>
      <c r="C88" s="88">
        <v>-0.2241978609626</v>
      </c>
      <c r="D88" s="1" t="str">
        <f t="shared" si="20"/>
        <v>牛市</v>
      </c>
      <c r="E88" s="1" t="str">
        <f t="shared" si="21"/>
        <v>震荡</v>
      </c>
      <c r="F88" s="1" t="str">
        <f>IFERROR(VLOOKUP(A88,'货币信用框架5-货币政策目标+信用脉冲'!A:L,12,0),F89)</f>
        <v>宽货币紧信用</v>
      </c>
      <c r="G88" s="1" t="str">
        <f>VLOOKUP(A88,'信贷库存框架1-票据+贷款余额'!A:L,12,0)</f>
        <v>被动补库存</v>
      </c>
      <c r="H88" s="1" t="str">
        <f>IFERROR(VLOOKUP(A88,'财政货币框架1&amp;2底稿'!A:N,14,0),H89)</f>
        <v>双紧</v>
      </c>
      <c r="I88" s="1" t="str">
        <f>IFERROR(VLOOKUP(A88,美林时钟!A:W,23,0),I89)</f>
        <v>过热</v>
      </c>
      <c r="J88" s="1" t="str">
        <f>VLOOKUP(A88,库存与产能周期2!A:Q,17,0)</f>
        <v>产能周期上行,被动去库存</v>
      </c>
      <c r="K88" s="1">
        <f t="shared" si="22"/>
        <v>0.3</v>
      </c>
      <c r="L88" s="1">
        <f t="shared" si="23"/>
        <v>0.2</v>
      </c>
      <c r="N88" s="1">
        <f t="shared" si="24"/>
        <v>0.36363636363636365</v>
      </c>
      <c r="O88" s="1">
        <f t="shared" si="25"/>
        <v>0.63636363636363635</v>
      </c>
      <c r="P88" s="1">
        <f t="shared" si="26"/>
        <v>-0.05</v>
      </c>
      <c r="Q88" s="1">
        <f t="shared" si="27"/>
        <v>0.26666666666666666</v>
      </c>
      <c r="S88" s="1">
        <f t="shared" si="28"/>
        <v>0</v>
      </c>
      <c r="T88" s="1">
        <f t="shared" si="29"/>
        <v>0</v>
      </c>
    </row>
    <row r="89" spans="1:20" x14ac:dyDescent="0.35">
      <c r="A89" s="12">
        <v>43496</v>
      </c>
      <c r="B89" s="13">
        <v>2.7295023830505478</v>
      </c>
      <c r="C89" s="88">
        <v>-17.583577075098798</v>
      </c>
      <c r="D89" s="1" t="str">
        <f t="shared" si="20"/>
        <v>牛市</v>
      </c>
      <c r="E89" s="1" t="str">
        <f t="shared" si="21"/>
        <v>牛市</v>
      </c>
      <c r="F89" s="1" t="str">
        <f>IFERROR(VLOOKUP(A89,'货币信用框架5-货币政策目标+信用脉冲'!A:L,12,0),F90)</f>
        <v>宽货币宽信用</v>
      </c>
      <c r="G89" s="1" t="str">
        <f>VLOOKUP(A89,'信贷库存框架1-票据+贷款余额'!A:L,12,0)</f>
        <v>被动补库存</v>
      </c>
      <c r="H89" s="1" t="str">
        <f>IFERROR(VLOOKUP(A89,'财政货币框架1&amp;2底稿'!A:N,14,0),H90)</f>
        <v>双宽</v>
      </c>
      <c r="I89" s="1" t="str">
        <f>IFERROR(VLOOKUP(A89,美林时钟!A:W,23,0),I90)</f>
        <v>衰退</v>
      </c>
      <c r="J89" s="1" t="str">
        <f>VLOOKUP(A89,库存与产能周期2!A:Q,17,0)</f>
        <v>产能周期上行,被动去库存</v>
      </c>
      <c r="K89" s="1">
        <f t="shared" si="22"/>
        <v>0.23076923076923078</v>
      </c>
      <c r="L89" s="1">
        <f t="shared" si="23"/>
        <v>0.125</v>
      </c>
      <c r="N89" s="1">
        <f t="shared" si="24"/>
        <v>-5.8823529411764705E-2</v>
      </c>
      <c r="O89" s="1">
        <f t="shared" si="25"/>
        <v>0.8</v>
      </c>
      <c r="P89" s="1">
        <f t="shared" si="26"/>
        <v>0.23076923076923078</v>
      </c>
      <c r="Q89" s="1">
        <f t="shared" si="27"/>
        <v>0.1875</v>
      </c>
      <c r="S89" s="1">
        <f t="shared" si="28"/>
        <v>5.8823529411764705E-2</v>
      </c>
      <c r="T89" s="1">
        <f t="shared" si="29"/>
        <v>-0.1</v>
      </c>
    </row>
    <row r="90" spans="1:20" x14ac:dyDescent="0.35">
      <c r="A90" s="12">
        <v>43465</v>
      </c>
      <c r="B90" s="13">
        <v>-4.8358215486030263</v>
      </c>
      <c r="C90" s="88">
        <v>-13.349604743083001</v>
      </c>
      <c r="D90" s="1" t="str">
        <f t="shared" si="20"/>
        <v>熊市</v>
      </c>
      <c r="E90" s="1" t="str">
        <f t="shared" si="21"/>
        <v>牛市</v>
      </c>
      <c r="F90" s="1" t="str">
        <f>IFERROR(VLOOKUP(A90,'货币信用框架5-货币政策目标+信用脉冲'!A:L,12,0),F91)</f>
        <v>紧货币紧信用</v>
      </c>
      <c r="G90" s="1" t="str">
        <f>VLOOKUP(A90,'信贷库存框架1-票据+贷款余额'!A:L,12,0)</f>
        <v>主动补库存</v>
      </c>
      <c r="H90" s="1" t="str">
        <f>IFERROR(VLOOKUP(A90,'财政货币框架1&amp;2底稿'!A:N,14,0),H91)</f>
        <v>双紧</v>
      </c>
      <c r="I90" s="1" t="str">
        <f>IFERROR(VLOOKUP(A90,美林时钟!A:W,23,0),I91)</f>
        <v>复苏</v>
      </c>
      <c r="J90" s="1" t="str">
        <f>VLOOKUP(A90,库存与产能周期2!A:Q,17,0)</f>
        <v>产能周期上行,被动去库存</v>
      </c>
      <c r="K90" s="1">
        <f t="shared" si="22"/>
        <v>7.1428571428571425E-2</v>
      </c>
      <c r="L90" s="1">
        <f t="shared" si="23"/>
        <v>7.6923076923076927E-2</v>
      </c>
      <c r="N90" s="1">
        <f t="shared" si="24"/>
        <v>0</v>
      </c>
      <c r="O90" s="1">
        <f t="shared" si="25"/>
        <v>0.8</v>
      </c>
      <c r="P90" s="1">
        <f t="shared" si="26"/>
        <v>0.14285714285714285</v>
      </c>
      <c r="Q90" s="1">
        <f t="shared" si="27"/>
        <v>0.30769230769230771</v>
      </c>
      <c r="S90" s="1">
        <f t="shared" si="28"/>
        <v>7.6923076923076927E-2</v>
      </c>
      <c r="T90" s="1">
        <f t="shared" si="29"/>
        <v>-0.1</v>
      </c>
    </row>
    <row r="91" spans="1:20" x14ac:dyDescent="0.35">
      <c r="A91" s="12">
        <v>43434</v>
      </c>
      <c r="B91" s="13">
        <v>2.1249977349894191</v>
      </c>
      <c r="C91" s="88">
        <v>-13.627979797979799</v>
      </c>
      <c r="D91" s="1" t="str">
        <f t="shared" si="20"/>
        <v>牛市</v>
      </c>
      <c r="E91" s="1" t="str">
        <f t="shared" si="21"/>
        <v>牛市</v>
      </c>
      <c r="F91" s="1" t="str">
        <f>IFERROR(VLOOKUP(A91,'货币信用框架5-货币政策目标+信用脉冲'!A:L,12,0),F92)</f>
        <v>紧货币紧信用</v>
      </c>
      <c r="G91" s="1" t="str">
        <f>VLOOKUP(A91,'信贷库存框架1-票据+贷款余额'!A:L,12,0)</f>
        <v>被动补库存</v>
      </c>
      <c r="H91" s="1" t="str">
        <f>IFERROR(VLOOKUP(A91,'财政货币框架1&amp;2底稿'!A:N,14,0),H92)</f>
        <v>双紧</v>
      </c>
      <c r="I91" s="1" t="str">
        <f>IFERROR(VLOOKUP(A91,美林时钟!A:W,23,0),I92)</f>
        <v>复苏</v>
      </c>
      <c r="J91" s="1" t="str">
        <f>VLOOKUP(A91,库存与产能周期2!A:Q,17,0)</f>
        <v>产能周期下行,被动去库存</v>
      </c>
      <c r="K91" s="1">
        <f t="shared" si="22"/>
        <v>7.1428571428571425E-2</v>
      </c>
      <c r="L91" s="1">
        <f t="shared" si="23"/>
        <v>0.2</v>
      </c>
      <c r="N91" s="1">
        <f t="shared" si="24"/>
        <v>8.3333333333333329E-2</v>
      </c>
      <c r="O91" s="1">
        <f t="shared" si="25"/>
        <v>0.4</v>
      </c>
      <c r="P91" s="1">
        <f t="shared" si="26"/>
        <v>0</v>
      </c>
      <c r="Q91" s="1">
        <f t="shared" si="27"/>
        <v>0</v>
      </c>
      <c r="S91" s="1">
        <f t="shared" si="28"/>
        <v>0</v>
      </c>
      <c r="T91" s="1">
        <f t="shared" si="29"/>
        <v>0.2</v>
      </c>
    </row>
    <row r="92" spans="1:20" x14ac:dyDescent="0.35">
      <c r="A92" s="12">
        <v>43404</v>
      </c>
      <c r="B92" s="13">
        <v>-9.1413403552184267</v>
      </c>
      <c r="C92" s="88">
        <v>-7.3987301587300998</v>
      </c>
      <c r="D92" s="1" t="str">
        <f t="shared" si="20"/>
        <v>熊市</v>
      </c>
      <c r="E92" s="1" t="str">
        <f t="shared" si="21"/>
        <v>牛市</v>
      </c>
      <c r="F92" s="1" t="str">
        <f>IFERROR(VLOOKUP(A92,'货币信用框架5-货币政策目标+信用脉冲'!A:L,12,0),F93)</f>
        <v>紧货币紧信用</v>
      </c>
      <c r="G92" s="1" t="str">
        <f>VLOOKUP(A92,'信贷库存框架1-票据+贷款余额'!A:L,12,0)</f>
        <v>被动补库存</v>
      </c>
      <c r="H92" s="1" t="str">
        <f>IFERROR(VLOOKUP(A92,'财政货币框架1&amp;2底稿'!A:N,14,0),H93)</f>
        <v>双宽</v>
      </c>
      <c r="I92" s="1" t="str">
        <f>IFERROR(VLOOKUP(A92,美林时钟!A:W,23,0),I93)</f>
        <v>复苏</v>
      </c>
      <c r="J92" s="1" t="str">
        <f>VLOOKUP(A92,库存与产能周期2!A:Q,17,0)</f>
        <v>产能周期下行,主动补库存</v>
      </c>
      <c r="K92" s="1">
        <f t="shared" si="22"/>
        <v>0.13333333333333333</v>
      </c>
      <c r="L92" s="1">
        <f t="shared" si="23"/>
        <v>0.2</v>
      </c>
      <c r="N92" s="1">
        <f t="shared" si="24"/>
        <v>8.3333333333333329E-2</v>
      </c>
      <c r="O92" s="1">
        <f t="shared" si="25"/>
        <v>0.45454545454545453</v>
      </c>
      <c r="P92" s="1">
        <f t="shared" si="26"/>
        <v>-6.6666666666666666E-2</v>
      </c>
      <c r="Q92" s="1">
        <f t="shared" si="27"/>
        <v>0</v>
      </c>
      <c r="S92" s="1">
        <f t="shared" si="28"/>
        <v>0</v>
      </c>
      <c r="T92" s="1">
        <f t="shared" si="29"/>
        <v>0.36363636363636365</v>
      </c>
    </row>
    <row r="93" spans="1:20" x14ac:dyDescent="0.35">
      <c r="A93" s="12">
        <v>43373</v>
      </c>
      <c r="B93" s="13">
        <v>1.347159041564137</v>
      </c>
      <c r="C93" s="88">
        <v>7.2419668737059997</v>
      </c>
      <c r="D93" s="1" t="str">
        <f t="shared" si="20"/>
        <v>牛市</v>
      </c>
      <c r="E93" s="1" t="str">
        <f t="shared" si="21"/>
        <v>熊市</v>
      </c>
      <c r="F93" s="1" t="str">
        <f>IFERROR(VLOOKUP(A93,'货币信用框架5-货币政策目标+信用脉冲'!A:L,12,0),F94)</f>
        <v>宽货币紧信用</v>
      </c>
      <c r="G93" s="1" t="str">
        <f>VLOOKUP(A93,'信贷库存框架1-票据+贷款余额'!A:L,12,0)</f>
        <v>被动补库存</v>
      </c>
      <c r="H93" s="1" t="str">
        <f>IFERROR(VLOOKUP(A93,'财政货币框架1&amp;2底稿'!A:N,14,0),H94)</f>
        <v>双紧</v>
      </c>
      <c r="I93" s="1" t="str">
        <f>IFERROR(VLOOKUP(A93,美林时钟!A:W,23,0),I94)</f>
        <v>衰退</v>
      </c>
      <c r="J93" s="1" t="str">
        <f>VLOOKUP(A93,库存与产能周期2!A:Q,17,0)</f>
        <v>产能周期下行,主动补库存</v>
      </c>
      <c r="K93" s="1">
        <f t="shared" si="22"/>
        <v>0.26315789473684209</v>
      </c>
      <c r="L93" s="1">
        <f t="shared" si="23"/>
        <v>0.2</v>
      </c>
      <c r="N93" s="1">
        <f t="shared" si="24"/>
        <v>-6.6666666666666666E-2</v>
      </c>
      <c r="O93" s="1">
        <f t="shared" si="25"/>
        <v>0.45454545454545453</v>
      </c>
      <c r="P93" s="1">
        <f t="shared" si="26"/>
        <v>0</v>
      </c>
      <c r="Q93" s="1">
        <f t="shared" si="27"/>
        <v>0</v>
      </c>
      <c r="S93" s="1">
        <f t="shared" si="28"/>
        <v>0.2</v>
      </c>
      <c r="T93" s="1">
        <f t="shared" si="29"/>
        <v>0.36363636363636365</v>
      </c>
    </row>
    <row r="94" spans="1:20" x14ac:dyDescent="0.35">
      <c r="A94" s="12">
        <v>43343</v>
      </c>
      <c r="B94" s="13">
        <v>-6.3558640589851523</v>
      </c>
      <c r="C94" s="88">
        <v>5.9197430830039002</v>
      </c>
      <c r="D94" s="1" t="str">
        <f t="shared" si="20"/>
        <v>熊市</v>
      </c>
      <c r="E94" s="1" t="str">
        <f t="shared" si="21"/>
        <v>熊市</v>
      </c>
      <c r="F94" s="1" t="str">
        <f>IFERROR(VLOOKUP(A94,'货币信用框架5-货币政策目标+信用脉冲'!A:L,12,0),F95)</f>
        <v>宽货币宽信用</v>
      </c>
      <c r="G94" s="1" t="str">
        <f>VLOOKUP(A94,'信贷库存框架1-票据+贷款余额'!A:L,12,0)</f>
        <v>主动补库存</v>
      </c>
      <c r="H94" s="1" t="str">
        <f>IFERROR(VLOOKUP(A94,'财政货币框架1&amp;2底稿'!A:N,14,0),H95)</f>
        <v>双宽</v>
      </c>
      <c r="I94" s="1" t="str">
        <f>IFERROR(VLOOKUP(A94,美林时钟!A:W,23,0),I95)</f>
        <v>衰退</v>
      </c>
      <c r="J94" s="1" t="str">
        <f>VLOOKUP(A94,库存与产能周期2!A:Q,17,0)</f>
        <v>产能周期上行,主动补库存</v>
      </c>
      <c r="K94" s="1">
        <f t="shared" si="22"/>
        <v>0.38461538461538464</v>
      </c>
      <c r="L94" s="1">
        <f t="shared" si="23"/>
        <v>0.18181818181818182</v>
      </c>
      <c r="N94" s="1">
        <f t="shared" si="24"/>
        <v>-6.6666666666666666E-2</v>
      </c>
      <c r="O94" s="1">
        <f t="shared" si="25"/>
        <v>-0.5714285714285714</v>
      </c>
      <c r="P94" s="1">
        <f t="shared" si="26"/>
        <v>0.23076923076923078</v>
      </c>
      <c r="Q94" s="1">
        <f t="shared" si="27"/>
        <v>0.36363636363636365</v>
      </c>
      <c r="S94" s="1">
        <f t="shared" si="28"/>
        <v>0.2</v>
      </c>
      <c r="T94" s="1">
        <f t="shared" si="29"/>
        <v>0.42857142857142855</v>
      </c>
    </row>
    <row r="95" spans="1:20" x14ac:dyDescent="0.35">
      <c r="A95" s="12">
        <v>43312</v>
      </c>
      <c r="B95" s="13">
        <v>0.30242176771500701</v>
      </c>
      <c r="C95" s="88">
        <v>-9.9240909090909</v>
      </c>
      <c r="D95" s="1" t="str">
        <f t="shared" si="20"/>
        <v>震荡</v>
      </c>
      <c r="E95" s="1" t="str">
        <f t="shared" si="21"/>
        <v>牛市</v>
      </c>
      <c r="F95" s="1" t="str">
        <f>IFERROR(VLOOKUP(A95,'货币信用框架5-货币政策目标+信用脉冲'!A:L,12,0),F96)</f>
        <v>宽货币紧信用</v>
      </c>
      <c r="G95" s="1" t="str">
        <f>VLOOKUP(A95,'信贷库存框架1-票据+贷款余额'!A:L,12,0)</f>
        <v>主动补库存</v>
      </c>
      <c r="H95" s="1" t="str">
        <f>IFERROR(VLOOKUP(A95,'财政货币框架1&amp;2底稿'!A:N,14,0),H96)</f>
        <v>双宽</v>
      </c>
      <c r="I95" s="1" t="str">
        <f>IFERROR(VLOOKUP(A95,美林时钟!A:W,23,0),I96)</f>
        <v>过热</v>
      </c>
      <c r="J95" s="1" t="str">
        <f>VLOOKUP(A95,库存与产能周期2!A:Q,17,0)</f>
        <v>产能周期上行,主动补库存</v>
      </c>
      <c r="K95" s="1">
        <f t="shared" si="22"/>
        <v>0.31578947368421051</v>
      </c>
      <c r="L95" s="1">
        <f t="shared" si="23"/>
        <v>0.3</v>
      </c>
      <c r="N95" s="1">
        <f t="shared" si="24"/>
        <v>0.38461538461538464</v>
      </c>
      <c r="O95" s="1">
        <f t="shared" si="25"/>
        <v>-0.5</v>
      </c>
      <c r="P95" s="1">
        <f t="shared" si="26"/>
        <v>-0.10526315789473684</v>
      </c>
      <c r="Q95" s="1">
        <f t="shared" si="27"/>
        <v>0.3</v>
      </c>
      <c r="S95" s="1">
        <f t="shared" si="28"/>
        <v>-0.30769230769230771</v>
      </c>
      <c r="T95" s="1">
        <f t="shared" si="29"/>
        <v>0.33333333333333331</v>
      </c>
    </row>
    <row r="96" spans="1:20" x14ac:dyDescent="0.35">
      <c r="A96" s="12">
        <v>43281</v>
      </c>
      <c r="B96" s="13">
        <v>-8.3259614608934065</v>
      </c>
      <c r="C96" s="88">
        <v>-5.6059090909091003</v>
      </c>
      <c r="D96" s="1" t="str">
        <f t="shared" si="20"/>
        <v>熊市</v>
      </c>
      <c r="E96" s="1" t="str">
        <f t="shared" si="21"/>
        <v>牛市</v>
      </c>
      <c r="F96" s="1" t="str">
        <f>IFERROR(VLOOKUP(A96,'货币信用框架5-货币政策目标+信用脉冲'!A:L,12,0),F97)</f>
        <v>紧货币紧信用</v>
      </c>
      <c r="G96" s="1" t="str">
        <f>VLOOKUP(A96,'信贷库存框架1-票据+贷款余额'!A:L,12,0)</f>
        <v>主动补库存</v>
      </c>
      <c r="H96" s="1" t="str">
        <f>IFERROR(VLOOKUP(A96,'财政货币框架1&amp;2底稿'!A:N,14,0),H97)</f>
        <v>双紧</v>
      </c>
      <c r="I96" s="1" t="str">
        <f>IFERROR(VLOOKUP(A96,美林时钟!A:W,23,0),I97)</f>
        <v>滞涨</v>
      </c>
      <c r="J96" s="1" t="str">
        <f>VLOOKUP(A96,库存与产能周期2!A:Q,17,0)</f>
        <v>产能周期上行,主动补库存</v>
      </c>
      <c r="K96" s="1">
        <f t="shared" si="22"/>
        <v>0.13333333333333333</v>
      </c>
      <c r="L96" s="1">
        <f t="shared" si="23"/>
        <v>0.33333333333333331</v>
      </c>
      <c r="N96" s="1">
        <f t="shared" si="24"/>
        <v>0.44444444444444442</v>
      </c>
      <c r="O96" s="1">
        <f t="shared" si="25"/>
        <v>-0.5</v>
      </c>
      <c r="P96" s="1">
        <f t="shared" si="26"/>
        <v>-0.2</v>
      </c>
      <c r="Q96" s="1">
        <f t="shared" si="27"/>
        <v>0.33333333333333331</v>
      </c>
      <c r="S96" s="1">
        <f t="shared" si="28"/>
        <v>-5.5555555555555552E-2</v>
      </c>
      <c r="T96" s="1">
        <f t="shared" si="29"/>
        <v>0.33333333333333331</v>
      </c>
    </row>
    <row r="97" spans="1:20" x14ac:dyDescent="0.35">
      <c r="A97" s="12">
        <v>43251</v>
      </c>
      <c r="B97" s="13">
        <v>-5.8721997905498001E-2</v>
      </c>
      <c r="C97" s="88">
        <v>1.4829090909091001</v>
      </c>
      <c r="D97" s="1" t="str">
        <f t="shared" si="20"/>
        <v>震荡</v>
      </c>
      <c r="E97" s="1" t="str">
        <f t="shared" si="21"/>
        <v>震荡</v>
      </c>
      <c r="F97" s="1" t="str">
        <f>IFERROR(VLOOKUP(A97,'货币信用框架5-货币政策目标+信用脉冲'!A:L,12,0),F98)</f>
        <v>宽货币紧信用</v>
      </c>
      <c r="G97" s="1" t="str">
        <f>VLOOKUP(A97,'信贷库存框架1-票据+贷款余额'!A:L,12,0)</f>
        <v>主动补库存</v>
      </c>
      <c r="H97" s="1" t="str">
        <f>IFERROR(VLOOKUP(A97,'财政货币框架1&amp;2底稿'!A:N,14,0),H98)</f>
        <v>双宽</v>
      </c>
      <c r="I97" s="1" t="str">
        <f>IFERROR(VLOOKUP(A97,美林时钟!A:W,23,0),I98)</f>
        <v>衰退</v>
      </c>
      <c r="J97" s="1" t="str">
        <f>VLOOKUP(A97,库存与产能周期2!A:Q,17,0)</f>
        <v>产能周期下行,主动补库存</v>
      </c>
      <c r="K97" s="1">
        <f t="shared" si="22"/>
        <v>0.33333333333333331</v>
      </c>
      <c r="L97" s="1">
        <f t="shared" si="23"/>
        <v>0.33333333333333331</v>
      </c>
      <c r="N97" s="1">
        <f t="shared" si="24"/>
        <v>-0.11764705882352941</v>
      </c>
      <c r="O97" s="1">
        <f t="shared" si="25"/>
        <v>0.66666666666666663</v>
      </c>
      <c r="P97" s="1">
        <f t="shared" si="26"/>
        <v>-0.1111111111111111</v>
      </c>
      <c r="Q97" s="1">
        <f t="shared" si="27"/>
        <v>0.33333333333333331</v>
      </c>
      <c r="S97" s="1">
        <f t="shared" si="28"/>
        <v>0.23529411764705882</v>
      </c>
      <c r="T97" s="1">
        <f t="shared" si="29"/>
        <v>0.33333333333333331</v>
      </c>
    </row>
    <row r="98" spans="1:20" x14ac:dyDescent="0.35">
      <c r="A98" s="12">
        <v>43220</v>
      </c>
      <c r="B98" s="13">
        <v>-3.7209346751427521</v>
      </c>
      <c r="C98" s="88">
        <v>-14.4274545454545</v>
      </c>
      <c r="D98" s="1" t="str">
        <f t="shared" si="20"/>
        <v>熊市</v>
      </c>
      <c r="E98" s="1" t="str">
        <f t="shared" si="21"/>
        <v>牛市</v>
      </c>
      <c r="F98" s="1" t="str">
        <f>IFERROR(VLOOKUP(A98,'货币信用框架5-货币政策目标+信用脉冲'!A:L,12,0),F99)</f>
        <v>宽货币宽信用</v>
      </c>
      <c r="G98" s="1" t="str">
        <f>VLOOKUP(A98,'信贷库存框架1-票据+贷款余额'!A:L,12,0)</f>
        <v>被动补库存</v>
      </c>
      <c r="H98" s="1" t="str">
        <f>IFERROR(VLOOKUP(A98,'财政货币框架1&amp;2底稿'!A:N,14,0),H99)</f>
        <v>双宽</v>
      </c>
      <c r="I98" s="1" t="str">
        <f>IFERROR(VLOOKUP(A98,美林时钟!A:W,23,0),I99)</f>
        <v>复苏</v>
      </c>
      <c r="J98" s="1" t="str">
        <f>VLOOKUP(A98,库存与产能周期2!A:Q,17,0)</f>
        <v>产能周期下行,主动补库存</v>
      </c>
      <c r="K98" s="1">
        <f t="shared" si="22"/>
        <v>0.2857142857142857</v>
      </c>
      <c r="L98" s="1">
        <f t="shared" si="23"/>
        <v>0.30769230769230771</v>
      </c>
      <c r="N98" s="1">
        <f t="shared" si="24"/>
        <v>0.15384615384615385</v>
      </c>
      <c r="O98" s="1">
        <f t="shared" si="25"/>
        <v>0.75</v>
      </c>
      <c r="P98" s="1">
        <f t="shared" si="26"/>
        <v>0.21428571428571427</v>
      </c>
      <c r="Q98" s="1">
        <f t="shared" si="27"/>
        <v>-0.15384615384615385</v>
      </c>
      <c r="S98" s="1">
        <f t="shared" si="28"/>
        <v>-0.15384615384615385</v>
      </c>
      <c r="T98" s="1">
        <f t="shared" si="29"/>
        <v>0.25</v>
      </c>
    </row>
    <row r="99" spans="1:20" x14ac:dyDescent="0.35">
      <c r="A99" s="12">
        <v>43190</v>
      </c>
      <c r="B99" s="13">
        <v>-9.9360761447768994E-2</v>
      </c>
      <c r="C99" s="88">
        <v>-7.9377807486630996</v>
      </c>
      <c r="D99" s="1" t="str">
        <f t="shared" si="20"/>
        <v>震荡</v>
      </c>
      <c r="E99" s="1" t="str">
        <f t="shared" si="21"/>
        <v>牛市</v>
      </c>
      <c r="F99" s="1" t="str">
        <f>IFERROR(VLOOKUP(A99,'货币信用框架5-货币政策目标+信用脉冲'!A:L,12,0),F100)</f>
        <v>宽货币紧信用</v>
      </c>
      <c r="G99" s="1" t="str">
        <f>VLOOKUP(A99,'信贷库存框架1-票据+贷款余额'!A:L,12,0)</f>
        <v>被动补库存</v>
      </c>
      <c r="H99" s="1" t="str">
        <f>IFERROR(VLOOKUP(A99,'财政货币框架1&amp;2底稿'!A:N,14,0),H100)</f>
        <v>双紧</v>
      </c>
      <c r="I99" s="1" t="str">
        <f>IFERROR(VLOOKUP(A99,美林时钟!A:W,23,0),I100)</f>
        <v>衰退</v>
      </c>
      <c r="J99" s="1" t="str">
        <f>VLOOKUP(A99,库存与产能周期2!A:Q,17,0)</f>
        <v>产能周期下行,主动补库存</v>
      </c>
      <c r="K99" s="1">
        <f t="shared" si="22"/>
        <v>0.3888888888888889</v>
      </c>
      <c r="L99" s="1">
        <f t="shared" si="23"/>
        <v>0.41666666666666669</v>
      </c>
      <c r="N99" s="1">
        <f t="shared" si="24"/>
        <v>0</v>
      </c>
      <c r="O99" s="1">
        <f t="shared" si="25"/>
        <v>0.75</v>
      </c>
      <c r="P99" s="1">
        <f t="shared" si="26"/>
        <v>-0.16666666666666666</v>
      </c>
      <c r="Q99" s="1">
        <f t="shared" si="27"/>
        <v>-0.25</v>
      </c>
      <c r="S99" s="1">
        <f t="shared" si="28"/>
        <v>0.125</v>
      </c>
      <c r="T99" s="1">
        <f t="shared" si="29"/>
        <v>0.25</v>
      </c>
    </row>
    <row r="100" spans="1:20" x14ac:dyDescent="0.35">
      <c r="A100" s="12">
        <v>43159</v>
      </c>
      <c r="B100" s="13">
        <v>-4.8505678434330299</v>
      </c>
      <c r="C100" s="88">
        <v>-6.4876737967915004</v>
      </c>
      <c r="D100" s="1" t="str">
        <f t="shared" si="20"/>
        <v>熊市</v>
      </c>
      <c r="E100" s="1" t="str">
        <f t="shared" si="21"/>
        <v>牛市</v>
      </c>
      <c r="F100" s="1" t="str">
        <f>IFERROR(VLOOKUP(A100,'货币信用框架5-货币政策目标+信用脉冲'!A:L,12,0),F101)</f>
        <v>紧货币宽信用</v>
      </c>
      <c r="G100" s="1" t="str">
        <f>VLOOKUP(A100,'信贷库存框架1-票据+贷款余额'!A:L,12,0)</f>
        <v>被动补库存</v>
      </c>
      <c r="H100" s="1" t="str">
        <f>IFERROR(VLOOKUP(A100,'财政货币框架1&amp;2底稿'!A:N,14,0),H101)</f>
        <v>双宽</v>
      </c>
      <c r="I100" s="1" t="str">
        <f>IFERROR(VLOOKUP(A100,美林时钟!A:W,23,0),I101)</f>
        <v>衰退</v>
      </c>
      <c r="J100" s="1" t="str">
        <f>VLOOKUP(A100,库存与产能周期2!A:Q,17,0)</f>
        <v>产能周期上行,主动补库存</v>
      </c>
      <c r="K100" s="1">
        <f t="shared" si="22"/>
        <v>0.21428571428571427</v>
      </c>
      <c r="L100" s="1">
        <f t="shared" si="23"/>
        <v>0.41666666666666669</v>
      </c>
      <c r="N100" s="1">
        <f t="shared" si="24"/>
        <v>0</v>
      </c>
      <c r="O100" s="1">
        <f t="shared" si="25"/>
        <v>-0.75</v>
      </c>
      <c r="P100" s="1">
        <f t="shared" si="26"/>
        <v>-0.14285714285714285</v>
      </c>
      <c r="Q100" s="1">
        <f t="shared" si="27"/>
        <v>-0.25</v>
      </c>
      <c r="S100" s="1">
        <f t="shared" si="28"/>
        <v>0.125</v>
      </c>
      <c r="T100" s="1">
        <f t="shared" si="29"/>
        <v>0.5</v>
      </c>
    </row>
    <row r="101" spans="1:20" x14ac:dyDescent="0.35">
      <c r="A101" s="12">
        <v>43131</v>
      </c>
      <c r="B101" s="13">
        <v>1.7953015111120469</v>
      </c>
      <c r="C101" s="88">
        <v>4.2572134387352003</v>
      </c>
      <c r="D101" s="1" t="str">
        <f t="shared" si="20"/>
        <v>牛市</v>
      </c>
      <c r="E101" s="1" t="str">
        <f t="shared" si="21"/>
        <v>熊市</v>
      </c>
      <c r="F101" s="1" t="str">
        <f>IFERROR(VLOOKUP(A101,'货币信用框架5-货币政策目标+信用脉冲'!A:L,12,0),F102)</f>
        <v>宽货币紧信用</v>
      </c>
      <c r="G101" s="1" t="str">
        <f>VLOOKUP(A101,'信贷库存框架1-票据+贷款余额'!A:L,12,0)</f>
        <v>主动补库存</v>
      </c>
      <c r="H101" s="1" t="str">
        <f>IFERROR(VLOOKUP(A101,'财政货币框架1&amp;2底稿'!A:N,14,0),H102)</f>
        <v>双宽</v>
      </c>
      <c r="I101" s="1" t="str">
        <f>IFERROR(VLOOKUP(A101,美林时钟!A:W,23,0),I102)</f>
        <v>复苏</v>
      </c>
      <c r="J101" s="1" t="str">
        <f>VLOOKUP(A101,库存与产能周期2!A:Q,17,0)</f>
        <v>产能周期上行,主动补库存</v>
      </c>
      <c r="K101" s="1">
        <f t="shared" si="22"/>
        <v>0.35294117647058826</v>
      </c>
      <c r="L101" s="1">
        <f t="shared" si="23"/>
        <v>0.25</v>
      </c>
      <c r="N101" s="1">
        <f t="shared" si="24"/>
        <v>0.15384615384615385</v>
      </c>
      <c r="O101" s="1">
        <f t="shared" si="25"/>
        <v>-1</v>
      </c>
      <c r="P101" s="1">
        <f t="shared" si="26"/>
        <v>-0.11764705882352941</v>
      </c>
      <c r="Q101" s="1">
        <f t="shared" si="27"/>
        <v>0.5</v>
      </c>
      <c r="S101" s="1">
        <f t="shared" si="28"/>
        <v>-7.6923076923076927E-2</v>
      </c>
      <c r="T101" s="1">
        <f t="shared" si="29"/>
        <v>0.33333333333333331</v>
      </c>
    </row>
    <row r="102" spans="1:20" x14ac:dyDescent="0.35">
      <c r="A102" s="12">
        <v>43100</v>
      </c>
      <c r="B102" s="13">
        <v>-0.26932464469894701</v>
      </c>
      <c r="C102" s="88">
        <v>-2.5008498023715999</v>
      </c>
      <c r="D102" s="1" t="str">
        <f t="shared" si="20"/>
        <v>震荡</v>
      </c>
      <c r="E102" s="1" t="str">
        <f t="shared" si="21"/>
        <v>牛市</v>
      </c>
      <c r="F102" s="1" t="str">
        <f>IFERROR(VLOOKUP(A102,'货币信用框架5-货币政策目标+信用脉冲'!A:L,12,0),F103)</f>
        <v>紧货币紧信用</v>
      </c>
      <c r="G102" s="1" t="str">
        <f>VLOOKUP(A102,'信贷库存框架1-票据+贷款余额'!A:L,12,0)</f>
        <v>被动补库存</v>
      </c>
      <c r="H102" s="1">
        <f>IFERROR(VLOOKUP(A102,'财政货币框架1&amp;2底稿'!A:N,14,0),H103)</f>
        <v>0</v>
      </c>
      <c r="I102" s="1" t="str">
        <f>IFERROR(VLOOKUP(A102,美林时钟!A:W,23,0),I103)</f>
        <v>过热</v>
      </c>
      <c r="J102" s="1" t="str">
        <f>VLOOKUP(A102,库存与产能周期2!A:Q,17,0)</f>
        <v>产能周期上行,主动补库存</v>
      </c>
      <c r="K102" s="1">
        <f t="shared" si="22"/>
        <v>0.2857142857142857</v>
      </c>
      <c r="L102" s="1">
        <f t="shared" si="23"/>
        <v>0.45454545454545453</v>
      </c>
      <c r="N102" s="1">
        <f t="shared" si="24"/>
        <v>0.54545454545454541</v>
      </c>
      <c r="O102" s="1">
        <f t="shared" si="25"/>
        <v>-1</v>
      </c>
      <c r="P102" s="1">
        <f t="shared" si="26"/>
        <v>-0.2857142857142857</v>
      </c>
      <c r="Q102" s="1">
        <f t="shared" si="27"/>
        <v>-0.36363636363636365</v>
      </c>
      <c r="S102" s="1">
        <f t="shared" si="28"/>
        <v>-0.36363636363636365</v>
      </c>
      <c r="T102" s="1">
        <f t="shared" si="29"/>
        <v>0.33333333333333331</v>
      </c>
    </row>
    <row r="103" spans="1:20" x14ac:dyDescent="0.35">
      <c r="A103" s="12">
        <v>43069</v>
      </c>
      <c r="B103" s="13">
        <v>-2.9514746234314191</v>
      </c>
      <c r="C103" s="88">
        <v>18.1713101604279</v>
      </c>
      <c r="D103" s="1" t="str">
        <f t="shared" si="20"/>
        <v>熊市</v>
      </c>
      <c r="E103" s="1" t="str">
        <f t="shared" si="21"/>
        <v>熊市</v>
      </c>
      <c r="F103" s="1" t="str">
        <f>IFERROR(VLOOKUP(A103,'货币信用框架5-货币政策目标+信用脉冲'!A:L,12,0),F104)</f>
        <v>紧货币紧信用</v>
      </c>
      <c r="G103" s="1" t="str">
        <f>VLOOKUP(A103,'信贷库存框架1-票据+贷款余额'!A:L,12,0)</f>
        <v>主动补库存</v>
      </c>
      <c r="H103" s="1">
        <f>IFERROR(VLOOKUP(A103,'财政货币框架1&amp;2底稿'!A:N,14,0),H104)</f>
        <v>0</v>
      </c>
      <c r="I103" s="1" t="str">
        <f>IFERROR(VLOOKUP(A103,美林时钟!A:W,23,0),I104)</f>
        <v>过热</v>
      </c>
      <c r="J103" s="1" t="str">
        <f>VLOOKUP(A103,库存与产能周期2!A:Q,17,0)</f>
        <v>产能周期上行,被动去库存</v>
      </c>
      <c r="K103" s="1">
        <f t="shared" ref="K103:K117" si="30">IFERROR((COUNTIFS($D105:$D164,"牛市",F105:F164,F103)-COUNTIFS($D105:$D164,"熊市",F105:F164,F103))/COUNTIFS(F105:F164,F103),K104)</f>
        <v>0.2857142857142857</v>
      </c>
      <c r="L103" s="1">
        <f t="shared" ref="L103:L117" si="31">IFERROR((COUNTIFS($D105:$D164,"牛市",G105:G164,G103)-COUNTIFS($D105:$D164,"熊市",G105:G164,G103))/COUNTIFS(G105:G164,G103),L104)</f>
        <v>0.42857142857142855</v>
      </c>
      <c r="N103" s="1">
        <f t="shared" ref="N103:N117" si="32">IFERROR((COUNTIFS($D105:$D164,"牛市",I105:I164,I103)-COUNTIFS($D105:$D164,"熊市",I105:I164,I103))/COUNTIFS(I105:I164,I103),N104)</f>
        <v>0.54545454545454541</v>
      </c>
      <c r="O103" s="1">
        <f t="shared" ref="O103:O117" si="33">IFERROR((COUNTIFS($D105:$D164,"牛市",J105:J164,J103)-COUNTIFS($D105:$D164,"熊市",J105:J164,J103))/COUNTIFS(J105:J164,J103),O104)</f>
        <v>1</v>
      </c>
      <c r="P103" s="1">
        <f t="shared" ref="P103:P117" si="34">IFERROR((COUNTIFS($E105:$E164,"牛市",F105:F164,F103)-COUNTIFS($E105:$E164,"熊市",F105:F164,F103))/COUNTIFS(F105:F164,F103),P104)</f>
        <v>-0.2857142857142857</v>
      </c>
      <c r="Q103" s="1">
        <f t="shared" ref="Q103:Q117" si="35">IFERROR((COUNTIFS($E105:$E164,"牛市",G105:G164,G103)-COUNTIFS($E105:$E164,"熊市",G105:G164,G103))/COUNTIFS(G105:G164,G103),Q104)</f>
        <v>0.7142857142857143</v>
      </c>
      <c r="S103" s="1">
        <f t="shared" ref="S103:S117" si="36">IFERROR((COUNTIFS($E105:$E164,"牛市",I105:I164,I103)-COUNTIFS($E105:$E164,"熊市",I105:I164,I103))/COUNTIFS(I105:I164,I103),S104)</f>
        <v>-0.36363636363636365</v>
      </c>
      <c r="T103" s="1">
        <f t="shared" ref="T103:T117" si="37">IFERROR((COUNTIFS($E105:$E164,"牛市",J105:J164,J103)-COUNTIFS($E105:$E164,"熊市",J105:J164,J103))/COUNTIFS(J105:J164,J103),T104)</f>
        <v>0.125</v>
      </c>
    </row>
    <row r="104" spans="1:20" x14ac:dyDescent="0.35">
      <c r="A104" s="12">
        <v>43039</v>
      </c>
      <c r="B104" s="13">
        <v>1.1056714719000751</v>
      </c>
      <c r="C104" s="88">
        <v>11.6595989304812</v>
      </c>
      <c r="D104" s="1" t="str">
        <f t="shared" si="20"/>
        <v>牛市</v>
      </c>
      <c r="E104" s="1" t="str">
        <f t="shared" si="21"/>
        <v>熊市</v>
      </c>
      <c r="F104" s="1" t="str">
        <f>IFERROR(VLOOKUP(A104,'货币信用框架5-货币政策目标+信用脉冲'!A:L,12,0),F105)</f>
        <v>宽货币宽信用</v>
      </c>
      <c r="G104" s="1" t="str">
        <f>VLOOKUP(A104,'信贷库存框架1-票据+贷款余额'!A:L,12,0)</f>
        <v>主动去库存</v>
      </c>
      <c r="H104" s="1">
        <f>IFERROR(VLOOKUP(A104,'财政货币框架1&amp;2底稿'!A:N,14,0),H105)</f>
        <v>0</v>
      </c>
      <c r="I104" s="1" t="str">
        <f>IFERROR(VLOOKUP(A104,美林时钟!A:W,23,0),I105)</f>
        <v>滞涨</v>
      </c>
      <c r="J104" s="1" t="str">
        <f>VLOOKUP(A104,库存与产能周期2!A:Q,17,0)</f>
        <v>产能周期上行,被动去库存</v>
      </c>
      <c r="K104" s="1">
        <f t="shared" si="30"/>
        <v>0.23076923076923078</v>
      </c>
      <c r="L104" s="1">
        <f t="shared" si="31"/>
        <v>0.15384615384615385</v>
      </c>
      <c r="N104" s="1">
        <f t="shared" si="32"/>
        <v>0.41176470588235292</v>
      </c>
      <c r="O104" s="1">
        <f t="shared" si="33"/>
        <v>1</v>
      </c>
      <c r="P104" s="1">
        <f t="shared" si="34"/>
        <v>0.30769230769230771</v>
      </c>
      <c r="Q104" s="1">
        <f t="shared" si="35"/>
        <v>-0.19230769230769232</v>
      </c>
      <c r="S104" s="1">
        <f t="shared" si="36"/>
        <v>0</v>
      </c>
      <c r="T104" s="1">
        <f t="shared" si="37"/>
        <v>0.14285714285714285</v>
      </c>
    </row>
    <row r="105" spans="1:20" x14ac:dyDescent="0.35">
      <c r="A105" s="12">
        <v>43008</v>
      </c>
      <c r="B105" s="13">
        <v>1.2790661771848739</v>
      </c>
      <c r="C105" s="88">
        <v>-0.2704940711462</v>
      </c>
      <c r="D105" s="1" t="str">
        <f t="shared" si="20"/>
        <v>牛市</v>
      </c>
      <c r="E105" s="1" t="str">
        <f t="shared" si="21"/>
        <v>震荡</v>
      </c>
      <c r="F105" s="1" t="str">
        <f>IFERROR(VLOOKUP(A105,'货币信用框架5-货币政策目标+信用脉冲'!A:L,12,0),F106)</f>
        <v>紧货币紧信用</v>
      </c>
      <c r="G105" s="1" t="str">
        <f>VLOOKUP(A105,'信贷库存框架1-票据+贷款余额'!A:L,12,0)</f>
        <v>主动去库存</v>
      </c>
      <c r="H105" s="1">
        <f>IFERROR(VLOOKUP(A105,'财政货币框架1&amp;2底稿'!A:N,14,0),H106)</f>
        <v>0</v>
      </c>
      <c r="I105" s="1" t="str">
        <f>IFERROR(VLOOKUP(A105,美林时钟!A:W,23,0),I106)</f>
        <v>过热</v>
      </c>
      <c r="J105" s="1" t="str">
        <f>VLOOKUP(A105,库存与产能周期2!A:Q,17,0)</f>
        <v>产能周期上行,被动去库存</v>
      </c>
      <c r="K105" s="1">
        <f t="shared" si="30"/>
        <v>0.16666666666666666</v>
      </c>
      <c r="L105" s="1">
        <f t="shared" si="31"/>
        <v>0.12</v>
      </c>
      <c r="N105" s="1">
        <f t="shared" si="32"/>
        <v>0.5</v>
      </c>
      <c r="O105" s="1">
        <f t="shared" si="33"/>
        <v>1</v>
      </c>
      <c r="P105" s="1">
        <f t="shared" si="34"/>
        <v>-0.25</v>
      </c>
      <c r="Q105" s="1">
        <f t="shared" si="35"/>
        <v>-0.16</v>
      </c>
      <c r="S105" s="1">
        <f t="shared" si="36"/>
        <v>-0.4</v>
      </c>
      <c r="T105" s="1">
        <f t="shared" si="37"/>
        <v>0.33333333333333331</v>
      </c>
    </row>
    <row r="106" spans="1:20" x14ac:dyDescent="0.35">
      <c r="A106" s="12">
        <v>42978</v>
      </c>
      <c r="B106" s="13">
        <v>3.0501730376899538</v>
      </c>
      <c r="C106" s="88">
        <v>3.7357971014492999</v>
      </c>
      <c r="D106" s="1" t="str">
        <f t="shared" si="20"/>
        <v>牛市</v>
      </c>
      <c r="E106" s="1" t="str">
        <f t="shared" si="21"/>
        <v>熊市</v>
      </c>
      <c r="F106" s="1" t="str">
        <f>IFERROR(VLOOKUP(A106,'货币信用框架5-货币政策目标+信用脉冲'!A:L,12,0),F107)</f>
        <v>紧货币紧信用</v>
      </c>
      <c r="G106" s="1" t="str">
        <f>VLOOKUP(A106,'信贷库存框架1-票据+贷款余额'!A:L,12,0)</f>
        <v>主动去库存</v>
      </c>
      <c r="I106" s="1" t="str">
        <f>IFERROR(VLOOKUP(A106,美林时钟!A:W,23,0),I107)</f>
        <v>滞涨</v>
      </c>
      <c r="J106" s="1" t="str">
        <f>VLOOKUP(A106,库存与产能周期2!A:Q,17,0)</f>
        <v>产能周期上行,被动去库存</v>
      </c>
      <c r="K106" s="1">
        <f t="shared" si="30"/>
        <v>0.16666666666666666</v>
      </c>
      <c r="L106" s="1">
        <f t="shared" si="31"/>
        <v>0.12</v>
      </c>
      <c r="N106" s="1">
        <f t="shared" si="32"/>
        <v>0.33333333333333331</v>
      </c>
      <c r="O106" s="1">
        <f t="shared" si="33"/>
        <v>1</v>
      </c>
      <c r="P106" s="1">
        <f t="shared" si="34"/>
        <v>-0.25</v>
      </c>
      <c r="Q106" s="1">
        <f t="shared" si="35"/>
        <v>-0.16</v>
      </c>
      <c r="S106" s="1">
        <f t="shared" si="36"/>
        <v>6.6666666666666666E-2</v>
      </c>
      <c r="T106" s="1">
        <f t="shared" si="37"/>
        <v>0.33333333333333331</v>
      </c>
    </row>
    <row r="107" spans="1:20" x14ac:dyDescent="0.35">
      <c r="A107" s="12">
        <v>42947</v>
      </c>
      <c r="B107" s="13">
        <v>1.613822414068381</v>
      </c>
      <c r="C107" s="88">
        <v>1.7051515151515</v>
      </c>
      <c r="D107" s="1" t="str">
        <f t="shared" si="20"/>
        <v>牛市</v>
      </c>
      <c r="E107" s="1" t="str">
        <f t="shared" si="21"/>
        <v>震荡</v>
      </c>
      <c r="F107" s="1" t="str">
        <f>IFERROR(VLOOKUP(A107,'货币信用框架5-货币政策目标+信用脉冲'!A:L,12,0),F108)</f>
        <v>宽货币宽信用</v>
      </c>
      <c r="G107" s="1" t="str">
        <f>VLOOKUP(A107,'信贷库存框架1-票据+贷款余额'!A:L,12,0)</f>
        <v>被动去库存</v>
      </c>
      <c r="I107" s="1" t="str">
        <f>IFERROR(VLOOKUP(A107,美林时钟!A:W,23,0),I108)</f>
        <v>滞涨</v>
      </c>
      <c r="J107" s="1" t="str">
        <f>VLOOKUP(A107,库存与产能周期2!A:Q,17,0)</f>
        <v>产能周期上行,主动去库存</v>
      </c>
      <c r="K107" s="1">
        <f t="shared" si="30"/>
        <v>-6.6666666666666666E-2</v>
      </c>
      <c r="L107" s="1">
        <f t="shared" si="31"/>
        <v>0</v>
      </c>
      <c r="N107" s="1">
        <f t="shared" si="32"/>
        <v>0.33333333333333331</v>
      </c>
      <c r="O107" s="1">
        <f t="shared" si="33"/>
        <v>0.13333333333333333</v>
      </c>
      <c r="P107" s="1">
        <f t="shared" si="34"/>
        <v>0.33333333333333331</v>
      </c>
      <c r="Q107" s="1">
        <f t="shared" si="35"/>
        <v>-0.125</v>
      </c>
      <c r="S107" s="1">
        <f t="shared" si="36"/>
        <v>6.6666666666666666E-2</v>
      </c>
      <c r="T107" s="1">
        <f t="shared" si="37"/>
        <v>-0.33333333333333331</v>
      </c>
    </row>
    <row r="108" spans="1:20" x14ac:dyDescent="0.35">
      <c r="A108" s="12">
        <v>42916</v>
      </c>
      <c r="B108" s="13">
        <v>4.8025213692304476</v>
      </c>
      <c r="C108" s="88">
        <v>-4.8308658008657996</v>
      </c>
      <c r="D108" s="1" t="str">
        <f t="shared" si="20"/>
        <v>牛市</v>
      </c>
      <c r="E108" s="1" t="str">
        <f t="shared" si="21"/>
        <v>牛市</v>
      </c>
      <c r="F108" s="1" t="str">
        <f>IFERROR(VLOOKUP(A108,'货币信用框架5-货币政策目标+信用脉冲'!A:L,12,0),F109)</f>
        <v>紧货币紧信用</v>
      </c>
      <c r="G108" s="1" t="str">
        <f>VLOOKUP(A108,'信贷库存框架1-票据+贷款余额'!A:L,12,0)</f>
        <v>主动去库存</v>
      </c>
      <c r="I108" s="1" t="str">
        <f>IFERROR(VLOOKUP(A108,美林时钟!A:W,23,0),I109)</f>
        <v>过热</v>
      </c>
      <c r="J108" s="1" t="str">
        <f>VLOOKUP(A108,库存与产能周期2!A:Q,17,0)</f>
        <v>产能周期上行,主动去库存</v>
      </c>
      <c r="K108" s="1">
        <f t="shared" si="30"/>
        <v>9.0909090909090912E-2</v>
      </c>
      <c r="L108" s="1">
        <f t="shared" si="31"/>
        <v>0.13043478260869565</v>
      </c>
      <c r="N108" s="1">
        <f t="shared" si="32"/>
        <v>0.44444444444444442</v>
      </c>
      <c r="O108" s="1">
        <f t="shared" si="33"/>
        <v>0.13333333333333333</v>
      </c>
      <c r="P108" s="1">
        <f t="shared" si="34"/>
        <v>-0.36363636363636365</v>
      </c>
      <c r="Q108" s="1">
        <f t="shared" si="35"/>
        <v>-0.17391304347826086</v>
      </c>
      <c r="S108" s="1">
        <f t="shared" si="36"/>
        <v>-0.55555555555555558</v>
      </c>
      <c r="T108" s="1">
        <f t="shared" si="37"/>
        <v>-0.33333333333333331</v>
      </c>
    </row>
    <row r="109" spans="1:20" x14ac:dyDescent="0.35">
      <c r="A109" s="12">
        <v>42886</v>
      </c>
      <c r="B109" s="13">
        <v>-2.8386492641341601</v>
      </c>
      <c r="C109" s="88">
        <v>23.520626566415999</v>
      </c>
      <c r="D109" s="1" t="str">
        <f t="shared" si="20"/>
        <v>熊市</v>
      </c>
      <c r="E109" s="1" t="str">
        <f t="shared" si="21"/>
        <v>熊市</v>
      </c>
      <c r="F109" s="1" t="str">
        <f>IFERROR(VLOOKUP(A109,'货币信用框架5-货币政策目标+信用脉冲'!A:L,12,0),F110)</f>
        <v>紧货币宽信用</v>
      </c>
      <c r="G109" s="1" t="str">
        <f>VLOOKUP(A109,'信贷库存框架1-票据+贷款余额'!A:L,12,0)</f>
        <v>主动去库存</v>
      </c>
      <c r="I109" s="1" t="str">
        <f>IFERROR(VLOOKUP(A109,美林时钟!A:W,23,0),I110)</f>
        <v>滞涨</v>
      </c>
      <c r="J109" s="1" t="str">
        <f>VLOOKUP(A109,库存与产能周期2!A:Q,17,0)</f>
        <v>产能周期下行,主动去库存</v>
      </c>
      <c r="K109" s="1">
        <f t="shared" si="30"/>
        <v>0.25</v>
      </c>
      <c r="L109" s="1">
        <f t="shared" si="31"/>
        <v>0.13043478260869565</v>
      </c>
      <c r="N109" s="1">
        <f t="shared" si="32"/>
        <v>0.4</v>
      </c>
      <c r="O109" s="1">
        <f t="shared" si="33"/>
        <v>-9.0909090909090912E-2</v>
      </c>
      <c r="P109" s="1">
        <f t="shared" si="34"/>
        <v>-0.25</v>
      </c>
      <c r="Q109" s="1">
        <f t="shared" si="35"/>
        <v>-0.17391304347826086</v>
      </c>
      <c r="S109" s="1">
        <f t="shared" si="36"/>
        <v>0.2</v>
      </c>
      <c r="T109" s="1">
        <f t="shared" si="37"/>
        <v>-0.27272727272727271</v>
      </c>
    </row>
    <row r="110" spans="1:20" x14ac:dyDescent="0.35">
      <c r="A110" s="12">
        <v>42855</v>
      </c>
      <c r="B110" s="13">
        <v>-2.9368766318630382</v>
      </c>
      <c r="C110" s="88">
        <v>5.4232036613272996</v>
      </c>
      <c r="D110" s="1" t="str">
        <f t="shared" si="20"/>
        <v>熊市</v>
      </c>
      <c r="E110" s="1" t="str">
        <f t="shared" si="21"/>
        <v>熊市</v>
      </c>
      <c r="F110" s="1" t="str">
        <f>IFERROR(VLOOKUP(A110,'货币信用框架5-货币政策目标+信用脉冲'!A:L,12,0),F111)</f>
        <v>宽货币紧信用</v>
      </c>
      <c r="G110" s="1" t="str">
        <f>VLOOKUP(A110,'信贷库存框架1-票据+贷款余额'!A:L,12,0)</f>
        <v>被动去库存</v>
      </c>
      <c r="I110" s="1" t="str">
        <f>IFERROR(VLOOKUP(A110,美林时钟!A:W,23,0),I111)</f>
        <v>过热</v>
      </c>
      <c r="J110" s="1" t="str">
        <f>VLOOKUP(A110,库存与产能周期2!A:Q,17,0)</f>
        <v>产能周期下行,主动去库存</v>
      </c>
      <c r="K110" s="1">
        <f t="shared" si="30"/>
        <v>0.36842105263157893</v>
      </c>
      <c r="L110" s="1">
        <f t="shared" si="31"/>
        <v>6.6666666666666666E-2</v>
      </c>
      <c r="N110" s="1">
        <f t="shared" si="32"/>
        <v>0.66666666666666663</v>
      </c>
      <c r="O110" s="1">
        <f t="shared" si="33"/>
        <v>-0.1</v>
      </c>
      <c r="P110" s="1">
        <f t="shared" si="34"/>
        <v>-5.2631578947368418E-2</v>
      </c>
      <c r="Q110" s="1">
        <f t="shared" si="35"/>
        <v>-6.6666666666666666E-2</v>
      </c>
      <c r="S110" s="1">
        <f t="shared" si="36"/>
        <v>-0.44444444444444442</v>
      </c>
      <c r="T110" s="1">
        <f t="shared" si="37"/>
        <v>-0.4</v>
      </c>
    </row>
    <row r="111" spans="1:20" x14ac:dyDescent="0.35">
      <c r="A111" s="12">
        <v>42825</v>
      </c>
      <c r="B111" s="13">
        <v>-0.58223235856809996</v>
      </c>
      <c r="C111" s="88">
        <v>-4.2321510297482998</v>
      </c>
      <c r="D111" s="1" t="str">
        <f t="shared" si="20"/>
        <v>震荡</v>
      </c>
      <c r="E111" s="1" t="str">
        <f t="shared" si="21"/>
        <v>牛市</v>
      </c>
      <c r="F111" s="1" t="str">
        <f>IFERROR(VLOOKUP(A111,'货币信用框架5-货币政策目标+信用脉冲'!A:L,12,0),F112)</f>
        <v>紧货币紧信用</v>
      </c>
      <c r="G111" s="1" t="str">
        <f>VLOOKUP(A111,'信贷库存框架1-票据+贷款余额'!A:L,12,0)</f>
        <v>主动去库存</v>
      </c>
      <c r="I111" s="1" t="str">
        <f>IFERROR(VLOOKUP(A111,美林时钟!A:W,23,0),I112)</f>
        <v>滞涨</v>
      </c>
      <c r="J111" s="1" t="str">
        <f>VLOOKUP(A111,库存与产能周期2!A:Q,17,0)</f>
        <v>产能周期下行,主动去库存</v>
      </c>
      <c r="K111" s="1">
        <f t="shared" si="30"/>
        <v>0.1</v>
      </c>
      <c r="L111" s="1">
        <f t="shared" si="31"/>
        <v>0.13636363636363635</v>
      </c>
      <c r="N111" s="1">
        <f t="shared" si="32"/>
        <v>0.38461538461538464</v>
      </c>
      <c r="O111" s="1">
        <f t="shared" si="33"/>
        <v>-0.1</v>
      </c>
      <c r="P111" s="1">
        <f t="shared" si="34"/>
        <v>-0.5</v>
      </c>
      <c r="Q111" s="1">
        <f t="shared" si="35"/>
        <v>-0.22727272727272727</v>
      </c>
      <c r="S111" s="1">
        <f t="shared" si="36"/>
        <v>0.23076923076923078</v>
      </c>
      <c r="T111" s="1">
        <f t="shared" si="37"/>
        <v>-0.4</v>
      </c>
    </row>
    <row r="112" spans="1:20" x14ac:dyDescent="0.35">
      <c r="A112" s="12">
        <v>42794</v>
      </c>
      <c r="B112" s="13">
        <v>3.1579353308203442</v>
      </c>
      <c r="C112" s="88">
        <v>13.9478947368421</v>
      </c>
      <c r="D112" s="1" t="str">
        <f t="shared" si="20"/>
        <v>牛市</v>
      </c>
      <c r="E112" s="1" t="str">
        <f t="shared" si="21"/>
        <v>熊市</v>
      </c>
      <c r="F112" s="1" t="str">
        <f>IFERROR(VLOOKUP(A112,'货币信用框架5-货币政策目标+信用脉冲'!A:L,12,0),F113)</f>
        <v>紧货币宽信用</v>
      </c>
      <c r="G112" s="1" t="str">
        <f>VLOOKUP(A112,'信贷库存框架1-票据+贷款余额'!A:L,12,0)</f>
        <v>被动去库存</v>
      </c>
      <c r="I112" s="1" t="str">
        <f>IFERROR(VLOOKUP(A112,美林时钟!A:W,23,0),I113)</f>
        <v>滞涨</v>
      </c>
      <c r="J112" s="1" t="str">
        <f>VLOOKUP(A112,库存与产能周期2!A:Q,17,0)</f>
        <v>产能周期上行,主动去库存</v>
      </c>
      <c r="K112" s="1">
        <f t="shared" si="30"/>
        <v>0.21428571428571427</v>
      </c>
      <c r="L112" s="1">
        <f t="shared" si="31"/>
        <v>0</v>
      </c>
      <c r="N112" s="1">
        <f t="shared" si="32"/>
        <v>0.38461538461538464</v>
      </c>
      <c r="O112" s="1">
        <f t="shared" si="33"/>
        <v>7.6923076923076927E-2</v>
      </c>
      <c r="P112" s="1">
        <f t="shared" si="34"/>
        <v>-0.14285714285714285</v>
      </c>
      <c r="Q112" s="1">
        <f t="shared" si="35"/>
        <v>0</v>
      </c>
      <c r="S112" s="1">
        <f t="shared" si="36"/>
        <v>0.23076923076923078</v>
      </c>
      <c r="T112" s="1">
        <f t="shared" si="37"/>
        <v>-0.23076923076923078</v>
      </c>
    </row>
    <row r="113" spans="1:20" x14ac:dyDescent="0.35">
      <c r="A113" s="12">
        <v>42766</v>
      </c>
      <c r="B113" s="13">
        <v>-0.25309818548894603</v>
      </c>
      <c r="C113" s="88">
        <v>8.3772997711669994</v>
      </c>
      <c r="D113" s="1" t="str">
        <f t="shared" si="20"/>
        <v>震荡</v>
      </c>
      <c r="E113" s="1" t="str">
        <f t="shared" si="21"/>
        <v>熊市</v>
      </c>
      <c r="F113" s="1" t="str">
        <f>IFERROR(VLOOKUP(A113,'货币信用框架5-货币政策目标+信用脉冲'!A:L,12,0),F114)</f>
        <v>紧货币宽信用</v>
      </c>
      <c r="G113" s="1" t="str">
        <f>VLOOKUP(A113,'信贷库存框架1-票据+贷款余额'!A:L,12,0)</f>
        <v>主动去库存</v>
      </c>
      <c r="I113" s="1" t="str">
        <f>IFERROR(VLOOKUP(A113,美林时钟!A:W,23,0),I114)</f>
        <v>过热</v>
      </c>
      <c r="J113" s="1" t="str">
        <f>VLOOKUP(A113,库存与产能周期2!A:Q,17,0)</f>
        <v>产能周期上行,主动去库存</v>
      </c>
      <c r="K113" s="1">
        <f t="shared" si="30"/>
        <v>0.21428571428571427</v>
      </c>
      <c r="L113" s="1">
        <f t="shared" si="31"/>
        <v>0.14285714285714285</v>
      </c>
      <c r="N113" s="1">
        <f t="shared" si="32"/>
        <v>0.6</v>
      </c>
      <c r="O113" s="1">
        <f t="shared" si="33"/>
        <v>0.16666666666666666</v>
      </c>
      <c r="P113" s="1">
        <f t="shared" si="34"/>
        <v>-0.14285714285714285</v>
      </c>
      <c r="Q113" s="1">
        <f t="shared" si="35"/>
        <v>-0.19047619047619047</v>
      </c>
      <c r="S113" s="1">
        <f t="shared" si="36"/>
        <v>-0.1</v>
      </c>
      <c r="T113" s="1">
        <f t="shared" si="37"/>
        <v>-0.16666666666666666</v>
      </c>
    </row>
    <row r="114" spans="1:20" x14ac:dyDescent="0.35">
      <c r="A114" s="12">
        <v>42735</v>
      </c>
      <c r="B114" s="13">
        <v>-5.3595768901968741</v>
      </c>
      <c r="C114" s="88">
        <v>32.0721739130435</v>
      </c>
      <c r="D114" s="1" t="str">
        <f t="shared" si="20"/>
        <v>熊市</v>
      </c>
      <c r="E114" s="1" t="str">
        <f t="shared" si="21"/>
        <v>熊市</v>
      </c>
      <c r="F114" s="1" t="str">
        <f>IFERROR(VLOOKUP(A114,'货币信用框架5-货币政策目标+信用脉冲'!A:L,12,0),F115)</f>
        <v>紧货币紧信用</v>
      </c>
      <c r="G114" s="1" t="str">
        <f>VLOOKUP(A114,'信贷库存框架1-票据+贷款余额'!A:L,12,0)</f>
        <v>被动去库存</v>
      </c>
      <c r="I114" s="1" t="str">
        <f>IFERROR(VLOOKUP(A114,美林时钟!A:W,23,0),I115)</f>
        <v>滞涨</v>
      </c>
      <c r="J114" s="1" t="str">
        <f>VLOOKUP(A114,库存与产能周期2!A:Q,17,0)</f>
        <v>产能周期上行,主动去库存</v>
      </c>
      <c r="K114" s="1">
        <f t="shared" si="30"/>
        <v>0.18181818181818182</v>
      </c>
      <c r="L114" s="1">
        <f t="shared" si="31"/>
        <v>0</v>
      </c>
      <c r="N114" s="1">
        <f t="shared" si="32"/>
        <v>0.45454545454545453</v>
      </c>
      <c r="O114" s="1">
        <f t="shared" si="33"/>
        <v>9.0909090909090912E-2</v>
      </c>
      <c r="P114" s="1">
        <f t="shared" si="34"/>
        <v>-0.18181818181818182</v>
      </c>
      <c r="Q114" s="1">
        <f t="shared" si="35"/>
        <v>0.16666666666666666</v>
      </c>
      <c r="S114" s="1">
        <f t="shared" si="36"/>
        <v>0.45454545454545453</v>
      </c>
      <c r="T114" s="1">
        <f t="shared" si="37"/>
        <v>-9.0909090909090912E-2</v>
      </c>
    </row>
    <row r="115" spans="1:20" x14ac:dyDescent="0.35">
      <c r="A115" s="12">
        <v>42704</v>
      </c>
      <c r="B115" s="13">
        <v>3.9409315125718249</v>
      </c>
      <c r="C115" s="88">
        <v>13.758333333333301</v>
      </c>
      <c r="D115" s="1" t="str">
        <f t="shared" si="20"/>
        <v>牛市</v>
      </c>
      <c r="E115" s="1" t="str">
        <f t="shared" si="21"/>
        <v>熊市</v>
      </c>
      <c r="F115" s="1" t="str">
        <f>IFERROR(VLOOKUP(A115,'货币信用框架5-货币政策目标+信用脉冲'!A:L,12,0),F116)</f>
        <v>紧货币宽信用</v>
      </c>
      <c r="G115" s="1" t="str">
        <f>VLOOKUP(A115,'信贷库存框架1-票据+贷款余额'!A:L,12,0)</f>
        <v>被动去库存</v>
      </c>
      <c r="I115" s="1" t="str">
        <f>IFERROR(VLOOKUP(A115,美林时钟!A:W,23,0),I116)</f>
        <v>滞涨</v>
      </c>
      <c r="J115" s="1" t="str">
        <f>VLOOKUP(A115,库存与产能周期2!A:Q,17,0)</f>
        <v>产能周期上行,主动去库存</v>
      </c>
      <c r="K115" s="1">
        <f t="shared" si="30"/>
        <v>8.3333333333333329E-2</v>
      </c>
      <c r="L115" s="1">
        <f t="shared" si="31"/>
        <v>-9.0909090909090912E-2</v>
      </c>
      <c r="N115" s="1">
        <f t="shared" si="32"/>
        <v>0.45454545454545453</v>
      </c>
      <c r="O115" s="1">
        <f t="shared" si="33"/>
        <v>0</v>
      </c>
      <c r="P115" s="1">
        <f t="shared" si="34"/>
        <v>-0.16666666666666666</v>
      </c>
      <c r="Q115" s="1">
        <f t="shared" si="35"/>
        <v>9.0909090909090912E-2</v>
      </c>
      <c r="S115" s="1">
        <f t="shared" si="36"/>
        <v>0.45454545454545453</v>
      </c>
      <c r="T115" s="1">
        <f t="shared" si="37"/>
        <v>-0.2</v>
      </c>
    </row>
    <row r="116" spans="1:20" x14ac:dyDescent="0.35">
      <c r="A116" s="12">
        <v>42674</v>
      </c>
      <c r="B116" s="13">
        <v>3.1544288452572871</v>
      </c>
      <c r="C116" s="88">
        <v>-6.0654761904761996</v>
      </c>
      <c r="D116" s="1" t="str">
        <f t="shared" si="20"/>
        <v>牛市</v>
      </c>
      <c r="E116" s="1" t="str">
        <f t="shared" si="21"/>
        <v>牛市</v>
      </c>
      <c r="F116" s="1" t="str">
        <f>IFERROR(VLOOKUP(A116,'货币信用框架5-货币政策目标+信用脉冲'!A:L,12,0),F117)</f>
        <v>紧货币宽信用</v>
      </c>
      <c r="G116" s="1" t="str">
        <f>VLOOKUP(A116,'信贷库存框架1-票据+贷款余额'!A:L,12,0)</f>
        <v>被动去库存</v>
      </c>
      <c r="I116" s="1" t="str">
        <f>IFERROR(VLOOKUP(A116,美林时钟!A:W,23,0),I117)</f>
        <v>衰退</v>
      </c>
      <c r="J116" s="1" t="str">
        <f>VLOOKUP(A116,库存与产能周期2!A:Q,17,0)</f>
        <v>产能周期上行,主动去库存</v>
      </c>
      <c r="K116" s="1">
        <f t="shared" si="30"/>
        <v>8.3333333333333329E-2</v>
      </c>
      <c r="L116" s="1">
        <f t="shared" si="31"/>
        <v>-9.0909090909090912E-2</v>
      </c>
      <c r="N116" s="1">
        <f t="shared" si="32"/>
        <v>-9.0909090909090912E-2</v>
      </c>
      <c r="O116" s="1">
        <f t="shared" si="33"/>
        <v>0.1111111111111111</v>
      </c>
      <c r="P116" s="1">
        <f t="shared" si="34"/>
        <v>-0.16666666666666666</v>
      </c>
      <c r="Q116" s="1">
        <f t="shared" si="35"/>
        <v>9.0909090909090912E-2</v>
      </c>
      <c r="S116" s="1">
        <f t="shared" si="36"/>
        <v>-0.18181818181818182</v>
      </c>
      <c r="T116" s="1">
        <f t="shared" si="37"/>
        <v>-0.1111111111111111</v>
      </c>
    </row>
    <row r="117" spans="1:20" x14ac:dyDescent="0.35">
      <c r="A117" s="12">
        <v>42643</v>
      </c>
      <c r="B117" s="13">
        <v>-1.7347421308850679</v>
      </c>
      <c r="C117" s="88">
        <v>3.3245341614906998</v>
      </c>
      <c r="D117" s="1" t="str">
        <f t="shared" si="20"/>
        <v>熊市</v>
      </c>
      <c r="E117" s="1" t="str">
        <f t="shared" si="21"/>
        <v>熊市</v>
      </c>
      <c r="F117" s="1" t="str">
        <f>IFERROR(VLOOKUP(A117,'货币信用框架5-货币政策目标+信用脉冲'!A:L,12,0),F118)</f>
        <v>宽货币紧信用</v>
      </c>
      <c r="G117" s="1" t="str">
        <f>VLOOKUP(A117,'信贷库存框架1-票据+贷款余额'!A:L,12,0)</f>
        <v>主动补库存</v>
      </c>
      <c r="I117" s="1" t="str">
        <f>IFERROR(VLOOKUP(A117,美林时钟!A:W,23,0),I118)</f>
        <v>复苏</v>
      </c>
      <c r="J117" s="1" t="str">
        <f>VLOOKUP(A117,库存与产能周期2!A:Q,17,0)</f>
        <v>产能周期上行,主动去库存</v>
      </c>
      <c r="K117" s="1">
        <f t="shared" si="30"/>
        <v>0.3</v>
      </c>
      <c r="L117" s="1">
        <f t="shared" si="31"/>
        <v>0.3</v>
      </c>
      <c r="N117" s="1">
        <f t="shared" si="32"/>
        <v>0.2</v>
      </c>
      <c r="O117" s="1">
        <f t="shared" si="33"/>
        <v>0</v>
      </c>
      <c r="P117" s="1">
        <f t="shared" si="34"/>
        <v>0</v>
      </c>
      <c r="Q117" s="1">
        <f t="shared" si="35"/>
        <v>0.6</v>
      </c>
      <c r="S117" s="1">
        <f t="shared" si="36"/>
        <v>6.6666666666666666E-2</v>
      </c>
      <c r="T117" s="1">
        <f t="shared" si="37"/>
        <v>-0.25</v>
      </c>
    </row>
    <row r="118" spans="1:20" x14ac:dyDescent="0.35">
      <c r="A118" s="12">
        <v>42613</v>
      </c>
      <c r="B118" s="13">
        <v>4.725805742378304</v>
      </c>
      <c r="C118" s="88">
        <v>-9.6735817805382993</v>
      </c>
      <c r="D118" s="1" t="str">
        <f t="shared" si="20"/>
        <v>牛市</v>
      </c>
      <c r="E118" s="1" t="str">
        <f t="shared" si="21"/>
        <v>牛市</v>
      </c>
      <c r="F118" s="1" t="str">
        <f>IFERROR(VLOOKUP(A118,'货币信用框架5-货币政策目标+信用脉冲'!A:L,12,0),F119)</f>
        <v>宽货币宽信用</v>
      </c>
      <c r="G118" s="1" t="str">
        <f>VLOOKUP(A118,'信贷库存框架1-票据+贷款余额'!A:L,12,0)</f>
        <v>主动去库存</v>
      </c>
      <c r="I118" s="1" t="str">
        <f>IFERROR(VLOOKUP(A118,美林时钟!A:W,23,0),I119)</f>
        <v>滞涨</v>
      </c>
      <c r="J118" s="1" t="str">
        <f>VLOOKUP(A118,库存与产能周期2!A:Q,17,0)</f>
        <v>产能周期上行,主动去库存</v>
      </c>
    </row>
    <row r="119" spans="1:20" x14ac:dyDescent="0.35">
      <c r="A119" s="12">
        <v>42582</v>
      </c>
      <c r="B119" s="13">
        <v>0.52687785035064605</v>
      </c>
      <c r="C119" s="88">
        <v>-13.285714285714301</v>
      </c>
      <c r="D119" s="1" t="str">
        <f t="shared" si="20"/>
        <v>震荡</v>
      </c>
      <c r="E119" s="1" t="str">
        <f t="shared" si="21"/>
        <v>牛市</v>
      </c>
      <c r="F119" s="1" t="str">
        <f>IFERROR(VLOOKUP(A119,'货币信用框架5-货币政策目标+信用脉冲'!A:L,12,0),F120)</f>
        <v>宽货币紧信用</v>
      </c>
      <c r="G119" s="1" t="str">
        <f>VLOOKUP(A119,'信贷库存框架1-票据+贷款余额'!A:L,12,0)</f>
        <v>主动去库存</v>
      </c>
      <c r="I119" s="1" t="str">
        <f>IFERROR(VLOOKUP(A119,美林时钟!A:W,23,0),I120)</f>
        <v>衰退</v>
      </c>
      <c r="J119" s="1" t="str">
        <f>VLOOKUP(A119,库存与产能周期2!A:Q,17,0)</f>
        <v>产能周期上行,主动去库存</v>
      </c>
    </row>
    <row r="120" spans="1:20" x14ac:dyDescent="0.35">
      <c r="A120" s="12">
        <v>42551</v>
      </c>
      <c r="B120" s="13">
        <v>3.4699851044972099</v>
      </c>
      <c r="C120" s="88">
        <v>1.8847619047619</v>
      </c>
      <c r="D120" s="1" t="str">
        <f t="shared" si="20"/>
        <v>牛市</v>
      </c>
      <c r="E120" s="1" t="str">
        <f t="shared" si="21"/>
        <v>震荡</v>
      </c>
      <c r="F120" s="1" t="str">
        <f>IFERROR(VLOOKUP(A120,'货币信用框架5-货币政策目标+信用脉冲'!A:L,12,0),F121)</f>
        <v>紧货币紧信用</v>
      </c>
      <c r="G120" s="1" t="str">
        <f>VLOOKUP(A120,'信贷库存框架1-票据+贷款余额'!A:L,12,0)</f>
        <v>主动去库存</v>
      </c>
      <c r="I120" s="1" t="str">
        <f>IFERROR(VLOOKUP(A120,美林时钟!A:W,23,0),I121)</f>
        <v>复苏</v>
      </c>
      <c r="J120" s="1" t="str">
        <f>VLOOKUP(A120,库存与产能周期2!A:Q,17,0)</f>
        <v>产能周期上行,主动去库存</v>
      </c>
    </row>
    <row r="121" spans="1:20" x14ac:dyDescent="0.35">
      <c r="A121" s="12">
        <v>42521</v>
      </c>
      <c r="B121" s="13">
        <v>-0.46341606450495998</v>
      </c>
      <c r="C121" s="88">
        <v>2.1371428571429001</v>
      </c>
      <c r="D121" s="1" t="str">
        <f t="shared" si="20"/>
        <v>震荡</v>
      </c>
      <c r="E121" s="1" t="str">
        <f t="shared" si="21"/>
        <v>熊市</v>
      </c>
      <c r="F121" s="1" t="str">
        <f>IFERROR(VLOOKUP(A121,'货币信用框架5-货币政策目标+信用脉冲'!A:L,12,0),F122)</f>
        <v>紧货币紧信用</v>
      </c>
      <c r="G121" s="1" t="str">
        <f>VLOOKUP(A121,'信贷库存框架1-票据+贷款余额'!A:L,12,0)</f>
        <v>主动去库存</v>
      </c>
      <c r="I121" s="1" t="str">
        <f>IFERROR(VLOOKUP(A121,美林时钟!A:W,23,0),I122)</f>
        <v>衰退</v>
      </c>
      <c r="J121" s="1" t="str">
        <f>VLOOKUP(A121,库存与产能周期2!A:Q,17,0)</f>
        <v>产能周期下行,主动去库存</v>
      </c>
    </row>
    <row r="122" spans="1:20" x14ac:dyDescent="0.35">
      <c r="A122" s="12">
        <v>42490</v>
      </c>
      <c r="B122" s="13">
        <v>-1.860109341971695</v>
      </c>
      <c r="C122" s="88">
        <v>5.0826086956522003</v>
      </c>
      <c r="D122" s="1" t="str">
        <f t="shared" si="20"/>
        <v>熊市</v>
      </c>
      <c r="E122" s="1" t="str">
        <f t="shared" si="21"/>
        <v>熊市</v>
      </c>
      <c r="F122" s="1" t="str">
        <f>IFERROR(VLOOKUP(A122,'货币信用框架5-货币政策目标+信用脉冲'!A:L,12,0),F123)</f>
        <v>紧货币宽信用</v>
      </c>
      <c r="G122" s="1" t="str">
        <f>VLOOKUP(A122,'信贷库存框架1-票据+贷款余额'!A:L,12,0)</f>
        <v>被动补库存</v>
      </c>
      <c r="I122" s="1" t="str">
        <f>IFERROR(VLOOKUP(A122,美林时钟!A:W,23,0),I123)</f>
        <v>复苏</v>
      </c>
      <c r="J122" s="1" t="str">
        <f>VLOOKUP(A122,库存与产能周期2!A:Q,17,0)</f>
        <v>产能周期下行,主动去库存</v>
      </c>
    </row>
    <row r="123" spans="1:20" x14ac:dyDescent="0.35">
      <c r="A123" s="12">
        <v>42460</v>
      </c>
      <c r="B123" s="13">
        <v>16.43022543014564</v>
      </c>
      <c r="C123" s="88">
        <v>0.60183574879220003</v>
      </c>
      <c r="D123" s="1" t="str">
        <f t="shared" si="20"/>
        <v>牛市</v>
      </c>
      <c r="E123" s="1" t="str">
        <f t="shared" si="21"/>
        <v>震荡</v>
      </c>
      <c r="F123" s="1" t="str">
        <f>IFERROR(VLOOKUP(A123,'货币信用框架5-货币政策目标+信用脉冲'!A:L,12,0),F124)</f>
        <v>宽货币宽信用</v>
      </c>
      <c r="G123" s="1" t="str">
        <f>VLOOKUP(A123,'信贷库存框架1-票据+贷款余额'!A:L,12,0)</f>
        <v>被动补库存</v>
      </c>
      <c r="I123" s="1" t="str">
        <f>IFERROR(VLOOKUP(A123,美林时钟!A:W,23,0),I124)</f>
        <v>复苏</v>
      </c>
      <c r="J123" s="1" t="str">
        <f>VLOOKUP(A123,库存与产能周期2!A:Q,17,0)</f>
        <v>产能周期下行,主动去库存</v>
      </c>
    </row>
    <row r="124" spans="1:20" x14ac:dyDescent="0.35">
      <c r="A124" s="12">
        <v>42429</v>
      </c>
      <c r="B124" s="13">
        <v>-2.6861913048833408</v>
      </c>
      <c r="C124" s="88">
        <v>2.6220555555556002</v>
      </c>
      <c r="D124" s="1" t="str">
        <f t="shared" si="20"/>
        <v>熊市</v>
      </c>
      <c r="E124" s="1" t="str">
        <f t="shared" si="21"/>
        <v>熊市</v>
      </c>
      <c r="F124" s="1" t="str">
        <f>IFERROR(VLOOKUP(A124,'货币信用框架5-货币政策目标+信用脉冲'!A:L,12,0),F125)</f>
        <v>宽货币紧信用</v>
      </c>
      <c r="G124" s="1" t="str">
        <f>VLOOKUP(A124,'信贷库存框架1-票据+贷款余额'!A:L,12,0)</f>
        <v>主动去库存</v>
      </c>
      <c r="I124" s="1" t="str">
        <f>IFERROR(VLOOKUP(A124,美林时钟!A:W,23,0),I125)</f>
        <v>复苏</v>
      </c>
      <c r="J124" s="1" t="str">
        <f>VLOOKUP(A124,库存与产能周期2!A:Q,17,0)</f>
        <v>产能周期下行,主动去库存</v>
      </c>
    </row>
    <row r="125" spans="1:20" x14ac:dyDescent="0.35">
      <c r="A125" s="12">
        <v>42400</v>
      </c>
      <c r="B125" s="13">
        <v>-27.557180861300829</v>
      </c>
      <c r="C125" s="88">
        <v>-11.5460652173913</v>
      </c>
      <c r="D125" s="1" t="str">
        <f t="shared" si="20"/>
        <v>熊市</v>
      </c>
      <c r="E125" s="1" t="str">
        <f t="shared" si="21"/>
        <v>牛市</v>
      </c>
      <c r="F125" s="1" t="str">
        <f>IFERROR(VLOOKUP(A125,'货币信用框架5-货币政策目标+信用脉冲'!A:L,12,0),F126)</f>
        <v>宽货币宽信用</v>
      </c>
      <c r="G125" s="1" t="str">
        <f>VLOOKUP(A125,'信贷库存框架1-票据+贷款余额'!A:L,12,0)</f>
        <v>主动补库存</v>
      </c>
      <c r="I125" s="1" t="str">
        <f>IFERROR(VLOOKUP(A125,美林时钟!A:W,23,0),I126)</f>
        <v>滞涨</v>
      </c>
      <c r="J125" s="1" t="str">
        <f>VLOOKUP(A125,库存与产能周期2!A:Q,17,0)</f>
        <v>产能周期下行,被动补库存</v>
      </c>
    </row>
    <row r="126" spans="1:20" x14ac:dyDescent="0.35">
      <c r="A126" s="12">
        <v>42369</v>
      </c>
      <c r="B126" s="13">
        <v>5.3346948619639996</v>
      </c>
      <c r="C126" s="88">
        <v>-17.751863354037301</v>
      </c>
      <c r="D126" s="1" t="str">
        <f t="shared" si="20"/>
        <v>牛市</v>
      </c>
      <c r="E126" s="1" t="str">
        <f t="shared" si="21"/>
        <v>牛市</v>
      </c>
      <c r="F126" s="1" t="str">
        <f>IFERROR(VLOOKUP(A126,'货币信用框架5-货币政策目标+信用脉冲'!A:L,12,0),F127)</f>
        <v>紧货币紧信用</v>
      </c>
      <c r="G126" s="1" t="str">
        <f>VLOOKUP(A126,'信贷库存框架1-票据+贷款余额'!A:L,12,0)</f>
        <v>被动补库存</v>
      </c>
      <c r="I126" s="1" t="str">
        <f>IFERROR(VLOOKUP(A126,美林时钟!A:W,23,0),I127)</f>
        <v>衰退</v>
      </c>
      <c r="J126" s="1" t="str">
        <f>VLOOKUP(A126,库存与产能周期2!A:Q,17,0)</f>
        <v>产能周期下行,主动补库存</v>
      </c>
    </row>
    <row r="127" spans="1:20" x14ac:dyDescent="0.35">
      <c r="A127" s="12">
        <v>42338</v>
      </c>
      <c r="B127" s="13">
        <v>6.2075221779242158</v>
      </c>
      <c r="C127" s="88">
        <v>3.3803174603174999</v>
      </c>
      <c r="D127" s="1" t="str">
        <f t="shared" si="20"/>
        <v>牛市</v>
      </c>
      <c r="E127" s="1" t="str">
        <f t="shared" si="21"/>
        <v>熊市</v>
      </c>
      <c r="F127" s="1" t="str">
        <f>IFERROR(VLOOKUP(A127,'货币信用框架5-货币政策目标+信用脉冲'!A:L,12,0),F128)</f>
        <v>宽货币宽信用</v>
      </c>
      <c r="G127" s="1" t="str">
        <f>VLOOKUP(A127,'信贷库存框架1-票据+贷款余额'!A:L,12,0)</f>
        <v>主动去库存</v>
      </c>
      <c r="I127" s="1" t="str">
        <f>IFERROR(VLOOKUP(A127,美林时钟!A:W,23,0),I128)</f>
        <v>衰退</v>
      </c>
      <c r="J127" s="1" t="str">
        <f>VLOOKUP(A127,库存与产能周期2!A:Q,17,0)</f>
        <v>产能周期下行,主动补库存</v>
      </c>
    </row>
    <row r="128" spans="1:20" x14ac:dyDescent="0.35">
      <c r="A128" s="12">
        <v>42308</v>
      </c>
      <c r="B128" s="13">
        <v>17.101640519707018</v>
      </c>
      <c r="C128" s="88">
        <v>-23.252222222222201</v>
      </c>
      <c r="D128" s="1" t="str">
        <f t="shared" si="20"/>
        <v>牛市</v>
      </c>
      <c r="E128" s="1" t="str">
        <f t="shared" si="21"/>
        <v>牛市</v>
      </c>
      <c r="F128" s="1" t="str">
        <f>IFERROR(VLOOKUP(A128,'货币信用框架5-货币政策目标+信用脉冲'!A:L,12,0),F129)</f>
        <v>紧货币宽信用</v>
      </c>
      <c r="G128" s="1" t="str">
        <f>VLOOKUP(A128,'信贷库存框架1-票据+贷款余额'!A:L,12,0)</f>
        <v>被动去库存</v>
      </c>
      <c r="I128" s="1" t="str">
        <f>IFERROR(VLOOKUP(A128,美林时钟!A:W,23,0),I129)</f>
        <v>复苏</v>
      </c>
      <c r="J128" s="1" t="str">
        <f>VLOOKUP(A128,库存与产能周期2!A:Q,17,0)</f>
        <v>产能周期下行,主动补库存</v>
      </c>
    </row>
    <row r="129" spans="1:10" x14ac:dyDescent="0.35">
      <c r="A129" s="12">
        <v>42277</v>
      </c>
      <c r="B129" s="13">
        <v>-5.9193731722912561</v>
      </c>
      <c r="C129" s="88">
        <v>-15.6028571428572</v>
      </c>
      <c r="D129" s="1" t="str">
        <f t="shared" si="20"/>
        <v>熊市</v>
      </c>
      <c r="E129" s="1" t="str">
        <f t="shared" si="21"/>
        <v>牛市</v>
      </c>
      <c r="F129" s="1" t="str">
        <f>IFERROR(VLOOKUP(A129,'货币信用框架5-货币政策目标+信用脉冲'!A:L,12,0),F130)</f>
        <v>紧货币宽信用</v>
      </c>
      <c r="G129" s="1" t="str">
        <f>VLOOKUP(A129,'信贷库存框架1-票据+贷款余额'!A:L,12,0)</f>
        <v>主动去库存</v>
      </c>
      <c r="I129" s="1" t="str">
        <f>IFERROR(VLOOKUP(A129,美林时钟!A:W,23,0),I130)</f>
        <v>衰退</v>
      </c>
      <c r="J129" s="1" t="str">
        <f>VLOOKUP(A129,库存与产能周期2!A:Q,17,0)</f>
        <v>产能周期下行,主动补库存</v>
      </c>
    </row>
    <row r="130" spans="1:10" x14ac:dyDescent="0.35">
      <c r="A130" s="12">
        <v>42247</v>
      </c>
      <c r="B130" s="13">
        <v>-15.34644855348151</v>
      </c>
      <c r="C130" s="88">
        <v>-2.5812008281573</v>
      </c>
      <c r="D130" s="1" t="str">
        <f t="shared" si="20"/>
        <v>熊市</v>
      </c>
      <c r="E130" s="1" t="str">
        <f t="shared" si="21"/>
        <v>牛市</v>
      </c>
      <c r="F130" s="1" t="str">
        <f>IFERROR(VLOOKUP(A130,'货币信用框架5-货币政策目标+信用脉冲'!A:L,12,0),F131)</f>
        <v>宽货币宽信用</v>
      </c>
      <c r="G130" s="1" t="str">
        <f>VLOOKUP(A130,'信贷库存框架1-票据+贷款余额'!A:L,12,0)</f>
        <v>被动去库存</v>
      </c>
      <c r="I130" s="1" t="str">
        <f>IFERROR(VLOOKUP(A130,美林时钟!A:W,23,0),I131)</f>
        <v>衰退</v>
      </c>
      <c r="J130" s="1" t="str">
        <f>VLOOKUP(A130,库存与产能周期2!A:Q,17,0)</f>
        <v>产能周期上行,主动补库存</v>
      </c>
    </row>
    <row r="131" spans="1:10" x14ac:dyDescent="0.35">
      <c r="A131" s="12">
        <v>42216</v>
      </c>
      <c r="B131" s="13">
        <v>-15.77186539178458</v>
      </c>
      <c r="C131" s="88">
        <v>-10.450227743271199</v>
      </c>
      <c r="D131" s="1" t="str">
        <f t="shared" si="20"/>
        <v>熊市</v>
      </c>
      <c r="E131" s="1" t="str">
        <f t="shared" si="21"/>
        <v>牛市</v>
      </c>
      <c r="F131" s="1" t="str">
        <f>IFERROR(VLOOKUP(A131,'货币信用框架5-货币政策目标+信用脉冲'!A:L,12,0),F132)</f>
        <v>紧货币宽信用</v>
      </c>
      <c r="G131" s="1" t="str">
        <f>VLOOKUP(A131,'信贷库存框架1-票据+贷款余额'!A:L,12,0)</f>
        <v>被动去库存</v>
      </c>
      <c r="I131" s="1" t="str">
        <f>IFERROR(VLOOKUP(A131,美林时钟!A:W,23,0),I132)</f>
        <v>复苏</v>
      </c>
      <c r="J131" s="1" t="str">
        <f>VLOOKUP(A131,库存与产能周期2!A:Q,17,0)</f>
        <v>产能周期上行,主动补库存</v>
      </c>
    </row>
    <row r="132" spans="1:10" x14ac:dyDescent="0.35">
      <c r="A132" s="12">
        <v>42185</v>
      </c>
      <c r="B132" s="13">
        <v>-10.52091608688832</v>
      </c>
      <c r="C132" s="88">
        <v>16.505619047619</v>
      </c>
      <c r="D132" s="1" t="str">
        <f t="shared" si="20"/>
        <v>熊市</v>
      </c>
      <c r="E132" s="1" t="str">
        <f t="shared" si="21"/>
        <v>熊市</v>
      </c>
      <c r="F132" s="1" t="str">
        <f>IFERROR(VLOOKUP(A132,'货币信用框架5-货币政策目标+信用脉冲'!A:L,12,0),F133)</f>
        <v>宽货币宽信用</v>
      </c>
      <c r="G132" s="1" t="str">
        <f>VLOOKUP(A132,'信贷库存框架1-票据+贷款余额'!A:L,12,0)</f>
        <v>被动补库存</v>
      </c>
      <c r="I132" s="1" t="str">
        <f>IFERROR(VLOOKUP(A132,美林时钟!A:W,23,0),I133)</f>
        <v>衰退</v>
      </c>
      <c r="J132" s="1" t="str">
        <f>VLOOKUP(A132,库存与产能周期2!A:Q,17,0)</f>
        <v>产能周期上行,主动补库存</v>
      </c>
    </row>
    <row r="133" spans="1:10" x14ac:dyDescent="0.35">
      <c r="A133" s="12">
        <v>42155</v>
      </c>
      <c r="B133" s="13">
        <v>15.04493796444957</v>
      </c>
      <c r="C133" s="88">
        <v>-9.0775238095238002</v>
      </c>
      <c r="D133" s="1" t="str">
        <f t="shared" si="20"/>
        <v>牛市</v>
      </c>
      <c r="E133" s="1" t="str">
        <f t="shared" si="21"/>
        <v>牛市</v>
      </c>
      <c r="F133" s="1" t="str">
        <f>IFERROR(VLOOKUP(A133,'货币信用框架5-货币政策目标+信用脉冲'!A:L,12,0),F134)</f>
        <v>宽货币紧信用</v>
      </c>
      <c r="G133" s="1" t="str">
        <f>VLOOKUP(A133,'信贷库存框架1-票据+贷款余额'!A:L,12,0)</f>
        <v>主动去库存</v>
      </c>
      <c r="I133" s="1" t="str">
        <f>IFERROR(VLOOKUP(A133,美林时钟!A:W,23,0),I134)</f>
        <v>滞涨</v>
      </c>
      <c r="J133" s="1" t="str">
        <f>VLOOKUP(A133,库存与产能周期2!A:Q,17,0)</f>
        <v>产能周期下行,主动补库存</v>
      </c>
    </row>
    <row r="134" spans="1:10" x14ac:dyDescent="0.35">
      <c r="A134" s="12">
        <v>42124</v>
      </c>
      <c r="B134" s="13">
        <v>18.96374696552606</v>
      </c>
      <c r="C134" s="88">
        <v>2.8731601731601999</v>
      </c>
      <c r="D134" s="1" t="str">
        <f t="shared" si="20"/>
        <v>牛市</v>
      </c>
      <c r="E134" s="1" t="str">
        <f t="shared" si="21"/>
        <v>熊市</v>
      </c>
      <c r="F134" s="1" t="str">
        <f>IFERROR(VLOOKUP(A134,'货币信用框架5-货币政策目标+信用脉冲'!A:L,12,0),F135)</f>
        <v>宽货币紧信用</v>
      </c>
      <c r="G134" s="1" t="str">
        <f>VLOOKUP(A134,'信贷库存框架1-票据+贷款余额'!A:L,12,0)</f>
        <v>被动去库存</v>
      </c>
      <c r="I134" s="1" t="str">
        <f>IFERROR(VLOOKUP(A134,美林时钟!A:W,23,0),I135)</f>
        <v>过热</v>
      </c>
      <c r="J134" s="1" t="str">
        <f>VLOOKUP(A134,库存与产能周期2!A:Q,17,0)</f>
        <v>产能周期下行,主动补库存</v>
      </c>
    </row>
    <row r="135" spans="1:10" x14ac:dyDescent="0.35">
      <c r="A135" s="12">
        <v>42094</v>
      </c>
      <c r="B135" s="13">
        <v>18.781488155255509</v>
      </c>
      <c r="C135" s="88">
        <v>10.471069518716501</v>
      </c>
      <c r="D135" s="1" t="str">
        <f t="shared" ref="D135:D198" si="38">IF(B135&gt;=1,"牛市",IF(B135&lt;=-1,"熊市","震荡"))</f>
        <v>牛市</v>
      </c>
      <c r="E135" s="1" t="str">
        <f t="shared" ref="E135:E198" si="39">IF(C135&lt;=-2,"牛市",IF(C135&gt;=2,"熊市","震荡"))</f>
        <v>熊市</v>
      </c>
      <c r="F135" s="1" t="str">
        <f>IFERROR(VLOOKUP(A135,'货币信用框架5-货币政策目标+信用脉冲'!A:L,12,0),F136)</f>
        <v>宽货币紧信用</v>
      </c>
      <c r="G135" s="1" t="str">
        <f>VLOOKUP(A135,'信贷库存框架1-票据+贷款余额'!A:L,12,0)</f>
        <v>主动去库存</v>
      </c>
      <c r="I135" s="1" t="str">
        <f>IFERROR(VLOOKUP(A135,美林时钟!A:W,23,0),I136)</f>
        <v>过热</v>
      </c>
      <c r="J135" s="1" t="str">
        <f>VLOOKUP(A135,库存与产能周期2!A:Q,17,0)</f>
        <v>产能周期下行,主动补库存</v>
      </c>
    </row>
    <row r="136" spans="1:10" x14ac:dyDescent="0.35">
      <c r="A136" s="12">
        <v>42063</v>
      </c>
      <c r="B136" s="13">
        <v>6.2532348262002788</v>
      </c>
      <c r="C136" s="88">
        <v>-14.3280392156862</v>
      </c>
      <c r="D136" s="1" t="str">
        <f t="shared" si="38"/>
        <v>牛市</v>
      </c>
      <c r="E136" s="1" t="str">
        <f t="shared" si="39"/>
        <v>牛市</v>
      </c>
      <c r="F136" s="1" t="str">
        <f>IFERROR(VLOOKUP(A136,'货币信用框架5-货币政策目标+信用脉冲'!A:L,12,0),F137)</f>
        <v>宽货币宽信用</v>
      </c>
      <c r="G136" s="1" t="str">
        <f>VLOOKUP(A136,'信贷库存框架1-票据+贷款余额'!A:L,12,0)</f>
        <v>主动补库存</v>
      </c>
      <c r="I136" s="1" t="str">
        <f>IFERROR(VLOOKUP(A136,美林时钟!A:W,23,0),I137)</f>
        <v>滞涨</v>
      </c>
      <c r="J136" s="1" t="str">
        <f>VLOOKUP(A136,库存与产能周期2!A:Q,17,0)</f>
        <v>产能周期下行,主动补库存</v>
      </c>
    </row>
    <row r="137" spans="1:10" x14ac:dyDescent="0.35">
      <c r="A137" s="12">
        <v>42035</v>
      </c>
      <c r="B137" s="13">
        <v>1.966177581590661</v>
      </c>
      <c r="C137" s="88">
        <v>-14.5844927536232</v>
      </c>
      <c r="D137" s="1" t="str">
        <f t="shared" si="38"/>
        <v>牛市</v>
      </c>
      <c r="E137" s="1" t="str">
        <f t="shared" si="39"/>
        <v>牛市</v>
      </c>
      <c r="F137" s="1" t="str">
        <f>IFERROR(VLOOKUP(A137,'货币信用框架5-货币政策目标+信用脉冲'!A:L,12,0),F138)</f>
        <v>紧货币紧信用</v>
      </c>
      <c r="G137" s="1" t="str">
        <f>VLOOKUP(A137,'信贷库存框架1-票据+贷款余额'!A:L,12,0)</f>
        <v>主动补库存</v>
      </c>
      <c r="I137" s="1" t="str">
        <f>IFERROR(VLOOKUP(A137,美林时钟!A:W,23,0),I138)</f>
        <v>复苏</v>
      </c>
      <c r="J137" s="1" t="str">
        <f>VLOOKUP(A137,库存与产能周期2!A:Q,17,0)</f>
        <v>产能周期下行,被动去库存</v>
      </c>
    </row>
    <row r="138" spans="1:10" x14ac:dyDescent="0.35">
      <c r="A138" s="12">
        <v>42004</v>
      </c>
      <c r="B138" s="13">
        <v>11.23774981655095</v>
      </c>
      <c r="C138" s="88">
        <v>9.7558260869564997</v>
      </c>
      <c r="D138" s="1" t="str">
        <f t="shared" si="38"/>
        <v>牛市</v>
      </c>
      <c r="E138" s="1" t="str">
        <f t="shared" si="39"/>
        <v>熊市</v>
      </c>
      <c r="F138" s="1" t="str">
        <f>IFERROR(VLOOKUP(A138,'货币信用框架5-货币政策目标+信用脉冲'!A:L,12,0),F139)</f>
        <v>紧货币宽信用</v>
      </c>
      <c r="G138" s="1" t="str">
        <f>VLOOKUP(A138,'信贷库存框架1-票据+贷款余额'!A:L,12,0)</f>
        <v>被动去库存</v>
      </c>
      <c r="I138" s="1" t="str">
        <f>IFERROR(VLOOKUP(A138,美林时钟!A:W,23,0),I139)</f>
        <v>衰退</v>
      </c>
      <c r="J138" s="1" t="str">
        <f>VLOOKUP(A138,库存与产能周期2!A:Q,17,0)</f>
        <v>产能周期下行,被动去库存</v>
      </c>
    </row>
    <row r="139" spans="1:10" x14ac:dyDescent="0.35">
      <c r="A139" s="12">
        <v>41973</v>
      </c>
      <c r="B139" s="13">
        <v>9.0157128204432109</v>
      </c>
      <c r="C139" s="88">
        <v>-25.628</v>
      </c>
      <c r="D139" s="1" t="str">
        <f t="shared" si="38"/>
        <v>牛市</v>
      </c>
      <c r="E139" s="1" t="str">
        <f t="shared" si="39"/>
        <v>牛市</v>
      </c>
      <c r="F139" s="1" t="str">
        <f>IFERROR(VLOOKUP(A139,'货币信用框架5-货币政策目标+信用脉冲'!A:L,12,0),F140)</f>
        <v>宽货币紧信用</v>
      </c>
      <c r="G139" s="1" t="str">
        <f>VLOOKUP(A139,'信贷库存框架1-票据+贷款余额'!A:L,12,0)</f>
        <v>主动补库存</v>
      </c>
      <c r="I139" s="1" t="str">
        <f>IFERROR(VLOOKUP(A139,美林时钟!A:W,23,0),I140)</f>
        <v>衰退</v>
      </c>
      <c r="J139" s="1" t="str">
        <f>VLOOKUP(A139,库存与产能周期2!A:Q,17,0)</f>
        <v>产能周期上行,被动去库存</v>
      </c>
    </row>
    <row r="140" spans="1:10" x14ac:dyDescent="0.35">
      <c r="A140" s="12">
        <v>41943</v>
      </c>
      <c r="B140" s="13">
        <v>2.0739901964825531</v>
      </c>
      <c r="C140" s="88">
        <v>-31.466818181818201</v>
      </c>
      <c r="D140" s="1" t="str">
        <f t="shared" si="38"/>
        <v>牛市</v>
      </c>
      <c r="E140" s="1" t="str">
        <f t="shared" si="39"/>
        <v>牛市</v>
      </c>
      <c r="F140" s="1" t="str">
        <f>IFERROR(VLOOKUP(A140,'货币信用框架5-货币政策目标+信用脉冲'!A:L,12,0),F141)</f>
        <v>宽货币紧信用</v>
      </c>
      <c r="G140" s="1" t="str">
        <f>VLOOKUP(A140,'信贷库存框架1-票据+贷款余额'!A:L,12,0)</f>
        <v>被动补库存</v>
      </c>
      <c r="I140" s="1" t="str">
        <f>IFERROR(VLOOKUP(A140,美林时钟!A:W,23,0),I141)</f>
        <v>滞涨</v>
      </c>
      <c r="J140" s="1" t="str">
        <f>VLOOKUP(A140,库存与产能周期2!A:Q,17,0)</f>
        <v>产能周期上行,被动去库存</v>
      </c>
    </row>
    <row r="141" spans="1:10" x14ac:dyDescent="0.35">
      <c r="A141" s="12">
        <v>41912</v>
      </c>
      <c r="B141" s="13">
        <v>9.6784693902478072</v>
      </c>
      <c r="C141" s="88">
        <v>-9.0484199134199006</v>
      </c>
      <c r="D141" s="1" t="str">
        <f t="shared" si="38"/>
        <v>牛市</v>
      </c>
      <c r="E141" s="1" t="str">
        <f t="shared" si="39"/>
        <v>牛市</v>
      </c>
      <c r="F141" s="1" t="str">
        <f>IFERROR(VLOOKUP(A141,'货币信用框架5-货币政策目标+信用脉冲'!A:L,12,0),F142)</f>
        <v>宽货币紧信用</v>
      </c>
      <c r="G141" s="1" t="str">
        <f>VLOOKUP(A141,'信贷库存框架1-票据+贷款余额'!A:L,12,0)</f>
        <v>被动补库存</v>
      </c>
      <c r="I141" s="1" t="str">
        <f>IFERROR(VLOOKUP(A141,美林时钟!A:W,23,0),I142)</f>
        <v>滞涨</v>
      </c>
      <c r="J141" s="1" t="str">
        <f>VLOOKUP(A141,库存与产能周期2!A:Q,17,0)</f>
        <v>产能周期上行,被动去库存</v>
      </c>
    </row>
    <row r="142" spans="1:10" x14ac:dyDescent="0.35">
      <c r="A142" s="12">
        <v>41882</v>
      </c>
      <c r="B142" s="13">
        <v>2.8302960759482589</v>
      </c>
      <c r="C142" s="88">
        <v>3.9569772256729001</v>
      </c>
      <c r="D142" s="1" t="str">
        <f t="shared" si="38"/>
        <v>牛市</v>
      </c>
      <c r="E142" s="1" t="str">
        <f t="shared" si="39"/>
        <v>熊市</v>
      </c>
      <c r="F142" s="1" t="str">
        <f>IFERROR(VLOOKUP(A142,'货币信用框架5-货币政策目标+信用脉冲'!A:L,12,0),F143)</f>
        <v>宽货币紧信用</v>
      </c>
      <c r="G142" s="1" t="str">
        <f>VLOOKUP(A142,'信贷库存框架1-票据+贷款余额'!A:L,12,0)</f>
        <v>被动补库存</v>
      </c>
      <c r="I142" s="1" t="str">
        <f>IFERROR(VLOOKUP(A142,美林时钟!A:W,23,0),I143)</f>
        <v>复苏</v>
      </c>
      <c r="J142" s="1" t="str">
        <f>VLOOKUP(A142,库存与产能周期2!A:Q,17,0)</f>
        <v>产能周期上行,被动去库存</v>
      </c>
    </row>
    <row r="143" spans="1:10" x14ac:dyDescent="0.35">
      <c r="A143" s="12">
        <v>41851</v>
      </c>
      <c r="B143" s="13">
        <v>8.5715214004806413</v>
      </c>
      <c r="C143" s="88">
        <v>15.4597608695652</v>
      </c>
      <c r="D143" s="1" t="str">
        <f t="shared" si="38"/>
        <v>牛市</v>
      </c>
      <c r="E143" s="1" t="str">
        <f t="shared" si="39"/>
        <v>熊市</v>
      </c>
      <c r="F143" s="1" t="str">
        <f>IFERROR(VLOOKUP(A143,'货币信用框架5-货币政策目标+信用脉冲'!A:L,12,0),F144)</f>
        <v>宽货币紧信用</v>
      </c>
      <c r="G143" s="1" t="str">
        <f>VLOOKUP(A143,'信贷库存框架1-票据+贷款余额'!A:L,12,0)</f>
        <v>被动补库存</v>
      </c>
      <c r="I143" s="1" t="str">
        <f>IFERROR(VLOOKUP(A143,美林时钟!A:W,23,0),I144)</f>
        <v>滞涨</v>
      </c>
      <c r="J143" s="1" t="str">
        <f>VLOOKUP(A143,库存与产能周期2!A:Q,17,0)</f>
        <v>产能周期上行,被动去库存</v>
      </c>
    </row>
    <row r="144" spans="1:10" x14ac:dyDescent="0.35">
      <c r="A144" s="12">
        <v>41820</v>
      </c>
      <c r="B144" s="13">
        <v>3.079712584468012</v>
      </c>
      <c r="C144" s="88">
        <v>-13.0643571428571</v>
      </c>
      <c r="D144" s="1" t="str">
        <f t="shared" si="38"/>
        <v>牛市</v>
      </c>
      <c r="E144" s="1" t="str">
        <f t="shared" si="39"/>
        <v>牛市</v>
      </c>
      <c r="F144" s="1" t="str">
        <f>IFERROR(VLOOKUP(A144,'货币信用框架5-货币政策目标+信用脉冲'!A:L,12,0),F145)</f>
        <v>宽货币宽信用</v>
      </c>
      <c r="G144" s="1" t="str">
        <f>VLOOKUP(A144,'信贷库存框架1-票据+贷款余额'!A:L,12,0)</f>
        <v>主动补库存</v>
      </c>
      <c r="I144" s="1" t="str">
        <f>IFERROR(VLOOKUP(A144,美林时钟!A:W,23,0),I145)</f>
        <v>过热</v>
      </c>
      <c r="J144" s="1" t="str">
        <f>VLOOKUP(A144,库存与产能周期2!A:Q,17,0)</f>
        <v>产能周期上行,被动去库存</v>
      </c>
    </row>
    <row r="145" spans="1:10" x14ac:dyDescent="0.35">
      <c r="A145" s="12">
        <v>41790</v>
      </c>
      <c r="B145" s="13">
        <v>1.492692557126873</v>
      </c>
      <c r="C145" s="88">
        <v>-20.32</v>
      </c>
      <c r="D145" s="1" t="str">
        <f t="shared" si="38"/>
        <v>牛市</v>
      </c>
      <c r="E145" s="1" t="str">
        <f t="shared" si="39"/>
        <v>牛市</v>
      </c>
      <c r="F145" s="1" t="str">
        <f>IFERROR(VLOOKUP(A145,'货币信用框架5-货币政策目标+信用脉冲'!A:L,12,0),F146)</f>
        <v>宽货币宽信用</v>
      </c>
      <c r="G145" s="1" t="str">
        <f>VLOOKUP(A145,'信贷库存框架1-票据+贷款余额'!A:L,12,0)</f>
        <v>主动补库存</v>
      </c>
      <c r="I145" s="1" t="str">
        <f>IFERROR(VLOOKUP(A145,美林时钟!A:W,23,0),I146)</f>
        <v>过热</v>
      </c>
      <c r="J145" s="1" t="str">
        <f>VLOOKUP(A145,库存与产能周期2!A:Q,17,0)</f>
        <v>产能周期下行,被动去库存</v>
      </c>
    </row>
    <row r="146" spans="1:10" x14ac:dyDescent="0.35">
      <c r="A146" s="12">
        <v>41759</v>
      </c>
      <c r="B146" s="13">
        <v>-0.76764701517843503</v>
      </c>
      <c r="C146" s="88">
        <v>-11.854761904761901</v>
      </c>
      <c r="D146" s="1" t="str">
        <f t="shared" si="38"/>
        <v>震荡</v>
      </c>
      <c r="E146" s="1" t="str">
        <f t="shared" si="39"/>
        <v>牛市</v>
      </c>
      <c r="F146" s="1" t="str">
        <f>IFERROR(VLOOKUP(A146,'货币信用框架5-货币政策目标+信用脉冲'!A:L,12,0),F147)</f>
        <v>宽货币紧信用</v>
      </c>
      <c r="G146" s="1" t="str">
        <f>VLOOKUP(A146,'信贷库存框架1-票据+贷款余额'!A:L,12,0)</f>
        <v>主动去库存</v>
      </c>
      <c r="I146" s="1" t="str">
        <f>IFERROR(VLOOKUP(A146,美林时钟!A:W,23,0),I147)</f>
        <v>滞涨</v>
      </c>
      <c r="J146" s="1" t="str">
        <f>VLOOKUP(A146,库存与产能周期2!A:Q,17,0)</f>
        <v>产能周期下行,被动去库存</v>
      </c>
    </row>
    <row r="147" spans="1:10" x14ac:dyDescent="0.35">
      <c r="A147" s="12">
        <v>41729</v>
      </c>
      <c r="B147" s="13">
        <v>-2.7917406664213411</v>
      </c>
      <c r="C147" s="88">
        <v>2.2511484593837001</v>
      </c>
      <c r="D147" s="1" t="str">
        <f t="shared" si="38"/>
        <v>熊市</v>
      </c>
      <c r="E147" s="1" t="str">
        <f t="shared" si="39"/>
        <v>熊市</v>
      </c>
      <c r="F147" s="1" t="str">
        <f>IFERROR(VLOOKUP(A147,'货币信用框架5-货币政策目标+信用脉冲'!A:L,12,0),F148)</f>
        <v>宽货币紧信用</v>
      </c>
      <c r="G147" s="1" t="str">
        <f>VLOOKUP(A147,'信贷库存框架1-票据+贷款余额'!A:L,12,0)</f>
        <v>主动去库存</v>
      </c>
      <c r="I147" s="1" t="str">
        <f>IFERROR(VLOOKUP(A147,美林时钟!A:W,23,0),I148)</f>
        <v>衰退</v>
      </c>
      <c r="J147" s="1" t="str">
        <f>VLOOKUP(A147,库存与产能周期2!A:Q,17,0)</f>
        <v>产能周期下行,被动去库存</v>
      </c>
    </row>
    <row r="148" spans="1:10" x14ac:dyDescent="0.35">
      <c r="A148" s="12">
        <v>41698</v>
      </c>
      <c r="B148" s="13">
        <v>0.86772018646912796</v>
      </c>
      <c r="C148" s="88">
        <v>-8.0112566844920003</v>
      </c>
      <c r="D148" s="1" t="str">
        <f t="shared" si="38"/>
        <v>震荡</v>
      </c>
      <c r="E148" s="1" t="str">
        <f t="shared" si="39"/>
        <v>牛市</v>
      </c>
      <c r="F148" s="1" t="str">
        <f>IFERROR(VLOOKUP(A148,'货币信用框架5-货币政策目标+信用脉冲'!A:L,12,0),F149)</f>
        <v>宽货币紧信用</v>
      </c>
      <c r="G148" s="1" t="str">
        <f>VLOOKUP(A148,'信贷库存框架1-票据+贷款余额'!A:L,12,0)</f>
        <v>主动去库存</v>
      </c>
      <c r="I148" s="1" t="str">
        <f>IFERROR(VLOOKUP(A148,美林时钟!A:W,23,0),I149)</f>
        <v>复苏</v>
      </c>
      <c r="J148" s="1" t="str">
        <f>VLOOKUP(A148,库存与产能周期2!A:Q,17,0)</f>
        <v>产能周期上行,主动去库存</v>
      </c>
    </row>
    <row r="149" spans="1:10" x14ac:dyDescent="0.35">
      <c r="A149" s="12">
        <v>41670</v>
      </c>
      <c r="B149" s="13">
        <v>-1.197924065255608</v>
      </c>
      <c r="C149" s="88">
        <v>1.3213636363637</v>
      </c>
      <c r="D149" s="1" t="str">
        <f t="shared" si="38"/>
        <v>熊市</v>
      </c>
      <c r="E149" s="1" t="str">
        <f t="shared" si="39"/>
        <v>震荡</v>
      </c>
      <c r="F149" s="1" t="str">
        <f>IFERROR(VLOOKUP(A149,'货币信用框架5-货币政策目标+信用脉冲'!A:L,12,0),F150)</f>
        <v>紧货币宽信用</v>
      </c>
      <c r="G149" s="1" t="str">
        <f>VLOOKUP(A149,'信贷库存框架1-票据+贷款余额'!A:L,12,0)</f>
        <v>被动去库存</v>
      </c>
      <c r="I149" s="1" t="str">
        <f>IFERROR(VLOOKUP(A149,美林时钟!A:W,23,0),I150)</f>
        <v>衰退</v>
      </c>
      <c r="J149" s="1" t="str">
        <f>VLOOKUP(A149,库存与产能周期2!A:Q,17,0)</f>
        <v>产能周期上行,主动去库存</v>
      </c>
    </row>
    <row r="150" spans="1:10" x14ac:dyDescent="0.35">
      <c r="A150" s="12">
        <v>41639</v>
      </c>
      <c r="B150" s="13">
        <v>-3.9460120334387301</v>
      </c>
      <c r="C150" s="88">
        <v>8.5901731601730997</v>
      </c>
      <c r="D150" s="1" t="str">
        <f t="shared" si="38"/>
        <v>熊市</v>
      </c>
      <c r="E150" s="1" t="str">
        <f t="shared" si="39"/>
        <v>熊市</v>
      </c>
      <c r="F150" s="1" t="str">
        <f>IFERROR(VLOOKUP(A150,'货币信用框架5-货币政策目标+信用脉冲'!A:L,12,0),F151)</f>
        <v>紧货币紧信用</v>
      </c>
      <c r="G150" s="1" t="str">
        <f>VLOOKUP(A150,'信贷库存框架1-票据+贷款余额'!A:L,12,0)</f>
        <v>被动补库存</v>
      </c>
      <c r="I150" s="1" t="str">
        <f>IFERROR(VLOOKUP(A150,美林时钟!A:W,23,0),I151)</f>
        <v>滞涨</v>
      </c>
      <c r="J150" s="1" t="str">
        <f>VLOOKUP(A150,库存与产能周期2!A:Q,17,0)</f>
        <v>产能周期上行,主动去库存</v>
      </c>
    </row>
    <row r="151" spans="1:10" x14ac:dyDescent="0.35">
      <c r="A151" s="12">
        <v>41608</v>
      </c>
      <c r="B151" s="13">
        <v>5.245033397032361</v>
      </c>
      <c r="C151" s="88">
        <v>34.996190476190499</v>
      </c>
      <c r="D151" s="1" t="str">
        <f t="shared" si="38"/>
        <v>牛市</v>
      </c>
      <c r="E151" s="1" t="str">
        <f t="shared" si="39"/>
        <v>熊市</v>
      </c>
      <c r="F151" s="1" t="str">
        <f>IFERROR(VLOOKUP(A151,'货币信用框架5-货币政策目标+信用脉冲'!A:L,12,0),F152)</f>
        <v>紧货币宽信用</v>
      </c>
      <c r="G151" s="1" t="str">
        <f>VLOOKUP(A151,'信贷库存框架1-票据+贷款余额'!A:L,12,0)</f>
        <v>被动补库存</v>
      </c>
      <c r="I151" s="1" t="str">
        <f>IFERROR(VLOOKUP(A151,美林时钟!A:W,23,0),I152)</f>
        <v>滞涨</v>
      </c>
      <c r="J151" s="1" t="str">
        <f>VLOOKUP(A151,库存与产能周期2!A:Q,17,0)</f>
        <v>产能周期下行,主动去库存</v>
      </c>
    </row>
    <row r="152" spans="1:10" x14ac:dyDescent="0.35">
      <c r="A152" s="12">
        <v>41578</v>
      </c>
      <c r="B152" s="13">
        <v>-2.8042317796420488</v>
      </c>
      <c r="C152" s="88">
        <v>6.48</v>
      </c>
      <c r="D152" s="1" t="str">
        <f t="shared" si="38"/>
        <v>熊市</v>
      </c>
      <c r="E152" s="1" t="str">
        <f t="shared" si="39"/>
        <v>熊市</v>
      </c>
      <c r="F152" s="1" t="str">
        <f>IFERROR(VLOOKUP(A152,'货币信用框架5-货币政策目标+信用脉冲'!A:L,12,0),F153)</f>
        <v>紧货币紧信用</v>
      </c>
      <c r="G152" s="1" t="str">
        <f>VLOOKUP(A152,'信贷库存框架1-票据+贷款余额'!A:L,12,0)</f>
        <v>主动去库存</v>
      </c>
      <c r="I152" s="1" t="str">
        <f>IFERROR(VLOOKUP(A152,美林时钟!A:W,23,0),I153)</f>
        <v>过热</v>
      </c>
      <c r="J152" s="1" t="str">
        <f>VLOOKUP(A152,库存与产能周期2!A:Q,17,0)</f>
        <v>产能周期下行,主动去库存</v>
      </c>
    </row>
    <row r="153" spans="1:10" x14ac:dyDescent="0.35">
      <c r="A153" s="12">
        <v>41547</v>
      </c>
      <c r="B153" s="13">
        <v>5.4048369096063507</v>
      </c>
      <c r="C153" s="88">
        <v>13.5490909090909</v>
      </c>
      <c r="D153" s="1" t="str">
        <f t="shared" si="38"/>
        <v>牛市</v>
      </c>
      <c r="E153" s="1" t="str">
        <f t="shared" si="39"/>
        <v>熊市</v>
      </c>
      <c r="F153" s="1" t="str">
        <f>IFERROR(VLOOKUP(A153,'货币信用框架5-货币政策目标+信用脉冲'!A:L,12,0),F154)</f>
        <v>紧货币紧信用</v>
      </c>
      <c r="G153" s="1" t="str">
        <f>VLOOKUP(A153,'信贷库存框架1-票据+贷款余额'!A:L,12,0)</f>
        <v>被动补库存</v>
      </c>
      <c r="I153" s="1" t="str">
        <f>IFERROR(VLOOKUP(A153,美林时钟!A:W,23,0),I154)</f>
        <v>过热</v>
      </c>
      <c r="J153" s="1" t="str">
        <f>VLOOKUP(A153,库存与产能周期2!A:Q,17,0)</f>
        <v>产能周期下行,主动去库存</v>
      </c>
    </row>
    <row r="154" spans="1:10" x14ac:dyDescent="0.35">
      <c r="A154" s="12">
        <v>41517</v>
      </c>
      <c r="B154" s="13">
        <v>6.6020783024532488</v>
      </c>
      <c r="C154" s="88">
        <v>27.858735177865601</v>
      </c>
      <c r="D154" s="1" t="str">
        <f t="shared" si="38"/>
        <v>牛市</v>
      </c>
      <c r="E154" s="1" t="str">
        <f t="shared" si="39"/>
        <v>熊市</v>
      </c>
      <c r="F154" s="1" t="str">
        <f>IFERROR(VLOOKUP(A154,'货币信用框架5-货币政策目标+信用脉冲'!A:L,12,0),F155)</f>
        <v>宽货币宽信用</v>
      </c>
      <c r="G154" s="1" t="str">
        <f>VLOOKUP(A154,'信贷库存框架1-票据+贷款余额'!A:L,12,0)</f>
        <v>主动去库存</v>
      </c>
      <c r="I154" s="1" t="str">
        <f>IFERROR(VLOOKUP(A154,美林时钟!A:W,23,0),I155)</f>
        <v>过热</v>
      </c>
      <c r="J154" s="1" t="str">
        <f>VLOOKUP(A154,库存与产能周期2!A:Q,17,0)</f>
        <v>产能周期上行,主动去库存</v>
      </c>
    </row>
    <row r="155" spans="1:10" x14ac:dyDescent="0.35">
      <c r="A155" s="12">
        <v>41486</v>
      </c>
      <c r="B155" s="13">
        <v>3.7627719258704171</v>
      </c>
      <c r="C155" s="88">
        <v>11.9869107551488</v>
      </c>
      <c r="D155" s="1" t="str">
        <f t="shared" si="38"/>
        <v>牛市</v>
      </c>
      <c r="E155" s="1" t="str">
        <f t="shared" si="39"/>
        <v>熊市</v>
      </c>
      <c r="F155" s="1" t="str">
        <f>IFERROR(VLOOKUP(A155,'货币信用框架5-货币政策目标+信用脉冲'!A:L,12,0),F156)</f>
        <v>宽货币紧信用</v>
      </c>
      <c r="G155" s="1" t="str">
        <f>VLOOKUP(A155,'信贷库存框架1-票据+贷款余额'!A:L,12,0)</f>
        <v>主动去库存</v>
      </c>
      <c r="I155" s="1" t="str">
        <f>IFERROR(VLOOKUP(A155,美林时钟!A:W,23,0),I156)</f>
        <v>复苏</v>
      </c>
      <c r="J155" s="1" t="str">
        <f>VLOOKUP(A155,库存与产能周期2!A:Q,17,0)</f>
        <v>产能周期上行,主动去库存</v>
      </c>
    </row>
    <row r="156" spans="1:10" x14ac:dyDescent="0.35">
      <c r="A156" s="12">
        <v>41455</v>
      </c>
      <c r="B156" s="13">
        <v>-14.997738136432121</v>
      </c>
      <c r="C156" s="88">
        <v>9.0111722488038009</v>
      </c>
      <c r="D156" s="1" t="str">
        <f t="shared" si="38"/>
        <v>熊市</v>
      </c>
      <c r="E156" s="1" t="str">
        <f t="shared" si="39"/>
        <v>熊市</v>
      </c>
      <c r="F156" s="1" t="str">
        <f>IFERROR(VLOOKUP(A156,'货币信用框架5-货币政策目标+信用脉冲'!A:L,12,0),F157)</f>
        <v>紧货币紧信用</v>
      </c>
      <c r="G156" s="1" t="str">
        <f>VLOOKUP(A156,'信贷库存框架1-票据+贷款余额'!A:L,12,0)</f>
        <v>主动去库存</v>
      </c>
      <c r="I156" s="1" t="str">
        <f>IFERROR(VLOOKUP(A156,美林时钟!A:W,23,0),I157)</f>
        <v>衰退</v>
      </c>
      <c r="J156" s="1" t="str">
        <f>VLOOKUP(A156,库存与产能周期2!A:Q,17,0)</f>
        <v>产能周期上行,主动去库存</v>
      </c>
    </row>
    <row r="157" spans="1:10" x14ac:dyDescent="0.35">
      <c r="A157" s="12">
        <v>41425</v>
      </c>
      <c r="B157" s="13">
        <v>9.7979906200596911</v>
      </c>
      <c r="C157" s="88">
        <v>-3.573051948052</v>
      </c>
      <c r="D157" s="1" t="str">
        <f t="shared" si="38"/>
        <v>牛市</v>
      </c>
      <c r="E157" s="1" t="str">
        <f t="shared" si="39"/>
        <v>牛市</v>
      </c>
      <c r="F157" s="1" t="str">
        <f>IFERROR(VLOOKUP(A157,'货币信用框架5-货币政策目标+信用脉冲'!A:L,12,0),F158)</f>
        <v>紧货币宽信用</v>
      </c>
      <c r="G157" s="1" t="str">
        <f>VLOOKUP(A157,'信贷库存框架1-票据+贷款余额'!A:L,12,0)</f>
        <v>主动去库存</v>
      </c>
      <c r="I157" s="1" t="str">
        <f>IFERROR(VLOOKUP(A157,美林时钟!A:W,23,0),I158)</f>
        <v>衰退</v>
      </c>
      <c r="J157" s="1" t="str">
        <f>VLOOKUP(A157,库存与产能周期2!A:Q,17,0)</f>
        <v>产能周期下行,主动去库存</v>
      </c>
    </row>
    <row r="158" spans="1:10" x14ac:dyDescent="0.35">
      <c r="A158" s="12">
        <v>41394</v>
      </c>
      <c r="B158" s="13">
        <v>-2.0890106033861628</v>
      </c>
      <c r="C158" s="88">
        <v>-11.8695238095238</v>
      </c>
      <c r="D158" s="1" t="str">
        <f t="shared" si="38"/>
        <v>熊市</v>
      </c>
      <c r="E158" s="1" t="str">
        <f t="shared" si="39"/>
        <v>牛市</v>
      </c>
      <c r="F158" s="1" t="str">
        <f>IFERROR(VLOOKUP(A158,'货币信用框架5-货币政策目标+信用脉冲'!A:L,12,0),F159)</f>
        <v>宽货币宽信用</v>
      </c>
      <c r="G158" s="1" t="str">
        <f>VLOOKUP(A158,'信贷库存框架1-票据+贷款余额'!A:L,12,0)</f>
        <v>被动去库存</v>
      </c>
      <c r="I158" s="1" t="str">
        <f>IFERROR(VLOOKUP(A158,美林时钟!A:W,23,0),I159)</f>
        <v>衰退</v>
      </c>
      <c r="J158" s="1" t="str">
        <f>VLOOKUP(A158,库存与产能周期2!A:Q,17,0)</f>
        <v>产能周期下行,主动去库存</v>
      </c>
    </row>
    <row r="159" spans="1:10" x14ac:dyDescent="0.35">
      <c r="A159" s="12">
        <v>41364</v>
      </c>
      <c r="B159" s="13">
        <v>-5.3591550873242388</v>
      </c>
      <c r="C159" s="88">
        <v>-0.85509803921570005</v>
      </c>
      <c r="D159" s="1" t="str">
        <f t="shared" si="38"/>
        <v>熊市</v>
      </c>
      <c r="E159" s="1" t="str">
        <f t="shared" si="39"/>
        <v>震荡</v>
      </c>
      <c r="F159" s="1" t="str">
        <f>IFERROR(VLOOKUP(A159,'货币信用框架5-货币政策目标+信用脉冲'!A:L,12,0),F160)</f>
        <v>宽货币宽信用</v>
      </c>
      <c r="G159" s="1" t="str">
        <f>VLOOKUP(A159,'信贷库存框架1-票据+贷款余额'!A:L,12,0)</f>
        <v>主动去库存</v>
      </c>
      <c r="I159" s="1" t="str">
        <f>IFERROR(VLOOKUP(A159,美林时钟!A:W,23,0),I160)</f>
        <v>复苏</v>
      </c>
      <c r="J159" s="1" t="str">
        <f>VLOOKUP(A159,库存与产能周期2!A:Q,17,0)</f>
        <v>产能周期下行,主动去库存</v>
      </c>
    </row>
    <row r="160" spans="1:10" x14ac:dyDescent="0.35">
      <c r="A160" s="12">
        <v>41333</v>
      </c>
      <c r="B160" s="13">
        <v>1.26804026638818</v>
      </c>
      <c r="C160" s="88">
        <v>-0.60732620320849995</v>
      </c>
      <c r="D160" s="1" t="str">
        <f t="shared" si="38"/>
        <v>牛市</v>
      </c>
      <c r="E160" s="1" t="str">
        <f t="shared" si="39"/>
        <v>震荡</v>
      </c>
      <c r="F160" s="1" t="str">
        <f>IFERROR(VLOOKUP(A160,'货币信用框架5-货币政策目标+信用脉冲'!A:L,12,0),F161)</f>
        <v>宽货币紧信用</v>
      </c>
      <c r="G160" s="1" t="str">
        <f>VLOOKUP(A160,'信贷库存框架1-票据+贷款余额'!A:L,12,0)</f>
        <v>主动去库存</v>
      </c>
      <c r="I160" s="1" t="str">
        <f>IFERROR(VLOOKUP(A160,美林时钟!A:W,23,0),I161)</f>
        <v>衰退</v>
      </c>
      <c r="J160" s="1" t="str">
        <f>VLOOKUP(A160,库存与产能周期2!A:Q,17,0)</f>
        <v>产能周期上行,被动补库存</v>
      </c>
    </row>
    <row r="161" spans="1:10" x14ac:dyDescent="0.35">
      <c r="A161" s="12">
        <v>41305</v>
      </c>
      <c r="B161" s="13">
        <v>5.0916680160486498</v>
      </c>
      <c r="C161" s="88">
        <v>1.6471861471861</v>
      </c>
      <c r="D161" s="1" t="str">
        <f t="shared" si="38"/>
        <v>牛市</v>
      </c>
      <c r="E161" s="1" t="str">
        <f t="shared" si="39"/>
        <v>震荡</v>
      </c>
      <c r="F161" s="1" t="str">
        <f>IFERROR(VLOOKUP(A161,'货币信用框架5-货币政策目标+信用脉冲'!A:L,12,0),F162)</f>
        <v>紧货币宽信用</v>
      </c>
      <c r="G161" s="1" t="str">
        <f>VLOOKUP(A161,'信贷库存框架1-票据+贷款余额'!A:L,12,0)</f>
        <v>被动去库存</v>
      </c>
      <c r="I161" s="1" t="str">
        <f>IFERROR(VLOOKUP(A161,美林时钟!A:W,23,0),I162)</f>
        <v>复苏</v>
      </c>
      <c r="J161" s="1" t="str">
        <f>VLOOKUP(A161,库存与产能周期2!A:Q,17,0)</f>
        <v>产能周期上行,被动补库存</v>
      </c>
    </row>
    <row r="162" spans="1:10" x14ac:dyDescent="0.35">
      <c r="A162" s="12">
        <v>41274</v>
      </c>
      <c r="B162" s="13">
        <v>15.042379459157379</v>
      </c>
      <c r="C162" s="88">
        <v>2.9205411255412002</v>
      </c>
      <c r="D162" s="1" t="str">
        <f t="shared" si="38"/>
        <v>牛市</v>
      </c>
      <c r="E162" s="1" t="str">
        <f t="shared" si="39"/>
        <v>熊市</v>
      </c>
      <c r="F162" s="1" t="str">
        <f>IFERROR(VLOOKUP(A162,'货币信用框架5-货币政策目标+信用脉冲'!A:L,12,0),F163)</f>
        <v>紧货币紧信用</v>
      </c>
      <c r="G162" s="1" t="str">
        <f>VLOOKUP(A162,'信贷库存框架1-票据+贷款余额'!A:L,12,0)</f>
        <v>主动去库存</v>
      </c>
      <c r="I162" s="1" t="str">
        <f>IFERROR(VLOOKUP(A162,美林时钟!A:W,23,0),I163)</f>
        <v>衰退</v>
      </c>
      <c r="J162" s="1" t="str">
        <f>VLOOKUP(A162,库存与产能周期2!A:Q,17,0)</f>
        <v>产能周期上行,被动补库存</v>
      </c>
    </row>
    <row r="163" spans="1:10" x14ac:dyDescent="0.35">
      <c r="A163" s="12">
        <v>41243</v>
      </c>
      <c r="B163" s="13">
        <v>-5.9600393183521332</v>
      </c>
      <c r="C163" s="88">
        <v>2.3058080808080001</v>
      </c>
      <c r="D163" s="1" t="str">
        <f t="shared" si="38"/>
        <v>熊市</v>
      </c>
      <c r="E163" s="1" t="str">
        <f t="shared" si="39"/>
        <v>熊市</v>
      </c>
      <c r="F163" s="1" t="str">
        <f>IFERROR(VLOOKUP(A163,'货币信用框架5-货币政策目标+信用脉冲'!A:L,12,0),F164)</f>
        <v>紧货币宽信用</v>
      </c>
      <c r="G163" s="1" t="str">
        <f>VLOOKUP(A163,'信贷库存框架1-票据+贷款余额'!A:L,12,0)</f>
        <v>主动去库存</v>
      </c>
      <c r="I163" s="1" t="str">
        <f>IFERROR(VLOOKUP(A163,美林时钟!A:W,23,0),I164)</f>
        <v>衰退</v>
      </c>
      <c r="J163" s="1" t="str">
        <f>VLOOKUP(A163,库存与产能周期2!A:Q,17,0)</f>
        <v>产能周期下行,被动补库存</v>
      </c>
    </row>
    <row r="164" spans="1:10" x14ac:dyDescent="0.35">
      <c r="A164" s="12">
        <v>41213</v>
      </c>
      <c r="B164" s="13">
        <v>-0.91418432193174504</v>
      </c>
      <c r="C164" s="88">
        <v>5.6088888888888997</v>
      </c>
      <c r="D164" s="1" t="str">
        <f t="shared" si="38"/>
        <v>震荡</v>
      </c>
      <c r="E164" s="1" t="str">
        <f t="shared" si="39"/>
        <v>熊市</v>
      </c>
      <c r="F164" s="1" t="str">
        <f>IFERROR(VLOOKUP(A164,'货币信用框架5-货币政策目标+信用脉冲'!A:L,12,0),F165)</f>
        <v>紧货币宽信用</v>
      </c>
      <c r="G164" s="1" t="str">
        <f>VLOOKUP(A164,'信贷库存框架1-票据+贷款余额'!A:L,12,0)</f>
        <v>被动补库存</v>
      </c>
      <c r="I164" s="1" t="str">
        <f>IFERROR(VLOOKUP(A164,美林时钟!A:W,23,0),I165)</f>
        <v>复苏</v>
      </c>
      <c r="J164" s="1" t="str">
        <f>VLOOKUP(A164,库存与产能周期2!A:Q,17,0)</f>
        <v>产能周期下行,被动补库存</v>
      </c>
    </row>
    <row r="165" spans="1:10" x14ac:dyDescent="0.35">
      <c r="A165" s="12">
        <v>41182</v>
      </c>
      <c r="B165" s="13">
        <v>2.390298400987775</v>
      </c>
      <c r="C165" s="88">
        <v>13.009275362318901</v>
      </c>
      <c r="D165" s="1" t="str">
        <f t="shared" si="38"/>
        <v>牛市</v>
      </c>
      <c r="E165" s="1" t="str">
        <f t="shared" si="39"/>
        <v>熊市</v>
      </c>
      <c r="F165" s="1" t="str">
        <f>IFERROR(VLOOKUP(A165,'货币信用框架5-货币政策目标+信用脉冲'!A:L,12,0),F166)</f>
        <v>紧货币宽信用</v>
      </c>
      <c r="G165" s="1" t="str">
        <f>VLOOKUP(A165,'信贷库存框架1-票据+贷款余额'!A:L,12,0)</f>
        <v>被动去库存</v>
      </c>
      <c r="I165" s="1" t="str">
        <f>IFERROR(VLOOKUP(A165,美林时钟!A:W,23,0),I166)</f>
        <v>衰退</v>
      </c>
      <c r="J165" s="1" t="str">
        <f>VLOOKUP(A165,库存与产能周期2!A:Q,17,0)</f>
        <v>产能周期下行,被动补库存</v>
      </c>
    </row>
    <row r="166" spans="1:10" x14ac:dyDescent="0.35">
      <c r="A166" s="12">
        <v>41152</v>
      </c>
      <c r="B166" s="13">
        <v>-2.4177296966059001</v>
      </c>
      <c r="C166" s="88">
        <v>5.5573913043478003</v>
      </c>
      <c r="D166" s="1" t="str">
        <f t="shared" si="38"/>
        <v>熊市</v>
      </c>
      <c r="E166" s="1" t="str">
        <f t="shared" si="39"/>
        <v>熊市</v>
      </c>
      <c r="F166" s="1" t="str">
        <f>IFERROR(VLOOKUP(A166,'货币信用框架5-货币政策目标+信用脉冲'!A:L,12,0),F167)</f>
        <v>宽货币宽信用</v>
      </c>
      <c r="G166" s="1" t="str">
        <f>VLOOKUP(A166,'信贷库存框架1-票据+贷款余额'!A:L,12,0)</f>
        <v>被动去库存</v>
      </c>
      <c r="I166" s="1" t="str">
        <f>IFERROR(VLOOKUP(A166,美林时钟!A:W,23,0),I167)</f>
        <v>衰退</v>
      </c>
      <c r="J166" s="1" t="str">
        <f>VLOOKUP(A166,库存与产能周期2!A:Q,17,0)</f>
        <v>产能周期上行,被动补库存</v>
      </c>
    </row>
    <row r="167" spans="1:10" x14ac:dyDescent="0.35">
      <c r="A167" s="12">
        <v>41121</v>
      </c>
      <c r="B167" s="13">
        <v>-5.5393318802712788</v>
      </c>
      <c r="C167" s="88">
        <v>-8.3915000000000006</v>
      </c>
      <c r="D167" s="1" t="str">
        <f t="shared" si="38"/>
        <v>熊市</v>
      </c>
      <c r="E167" s="1" t="str">
        <f t="shared" si="39"/>
        <v>牛市</v>
      </c>
      <c r="F167" s="1" t="str">
        <f>IFERROR(VLOOKUP(A167,'货币信用框架5-货币政策目标+信用脉冲'!A:L,12,0),F168)</f>
        <v>宽货币宽信用</v>
      </c>
      <c r="G167" s="1" t="str">
        <f>VLOOKUP(A167,'信贷库存框架1-票据+贷款余额'!A:L,12,0)</f>
        <v>被动补库存</v>
      </c>
      <c r="I167" s="1" t="str">
        <f>IFERROR(VLOOKUP(A167,美林时钟!A:W,23,0),I168)</f>
        <v>复苏</v>
      </c>
      <c r="J167" s="1" t="str">
        <f>VLOOKUP(A167,库存与产能周期2!A:Q,17,0)</f>
        <v>产能周期上行,被动补库存</v>
      </c>
    </row>
    <row r="168" spans="1:10" x14ac:dyDescent="0.35">
      <c r="A168" s="12">
        <v>41090</v>
      </c>
      <c r="B168" s="13">
        <v>-5.0787622195509101</v>
      </c>
      <c r="C168" s="88">
        <v>-6.7366818181817996</v>
      </c>
      <c r="D168" s="1" t="str">
        <f t="shared" si="38"/>
        <v>熊市</v>
      </c>
      <c r="E168" s="1" t="str">
        <f t="shared" si="39"/>
        <v>牛市</v>
      </c>
      <c r="F168" s="1" t="str">
        <f>IFERROR(VLOOKUP(A168,'货币信用框架5-货币政策目标+信用脉冲'!A:L,12,0),F169)</f>
        <v>宽货币宽信用</v>
      </c>
      <c r="G168" s="1" t="str">
        <f>VLOOKUP(A168,'信贷库存框架1-票据+贷款余额'!A:L,12,0)</f>
        <v>被动去库存</v>
      </c>
      <c r="I168" s="1" t="str">
        <f>IFERROR(VLOOKUP(A168,美林时钟!A:W,23,0),I169)</f>
        <v>衰退</v>
      </c>
      <c r="J168" s="1" t="str">
        <f>VLOOKUP(A168,库存与产能周期2!A:Q,17,0)</f>
        <v>产能周期上行,被动补库存</v>
      </c>
    </row>
    <row r="169" spans="1:10" x14ac:dyDescent="0.35">
      <c r="A169" s="12">
        <v>41060</v>
      </c>
      <c r="B169" s="13">
        <v>-4.2343992804932E-2</v>
      </c>
      <c r="C169" s="88">
        <v>-9.9560287081339993</v>
      </c>
      <c r="D169" s="1" t="str">
        <f t="shared" si="38"/>
        <v>震荡</v>
      </c>
      <c r="E169" s="1" t="str">
        <f t="shared" si="39"/>
        <v>牛市</v>
      </c>
      <c r="F169" s="1" t="str">
        <f>IFERROR(VLOOKUP(A169,'货币信用框架5-货币政策目标+信用脉冲'!A:L,12,0),F170)</f>
        <v>宽货币紧信用</v>
      </c>
      <c r="G169" s="1" t="str">
        <f>VLOOKUP(A169,'信贷库存框架1-票据+贷款余额'!A:L,12,0)</f>
        <v>主动补库存</v>
      </c>
      <c r="I169" s="1" t="str">
        <f>IFERROR(VLOOKUP(A169,美林时钟!A:W,23,0),I170)</f>
        <v>滞涨</v>
      </c>
      <c r="J169" s="1" t="str">
        <f>VLOOKUP(A169,库存与产能周期2!A:Q,17,0)</f>
        <v>产能周期下行,被动补库存</v>
      </c>
    </row>
    <row r="170" spans="1:10" x14ac:dyDescent="0.35">
      <c r="A170" s="12">
        <v>41029</v>
      </c>
      <c r="B170" s="13">
        <v>5.9095212802808117</v>
      </c>
      <c r="C170" s="88">
        <v>-0.52970251716250005</v>
      </c>
      <c r="D170" s="1" t="str">
        <f t="shared" si="38"/>
        <v>牛市</v>
      </c>
      <c r="E170" s="1" t="str">
        <f t="shared" si="39"/>
        <v>震荡</v>
      </c>
      <c r="F170" s="1" t="str">
        <f>IFERROR(VLOOKUP(A170,'货币信用框架5-货币政策目标+信用脉冲'!A:L,12,0),F171)</f>
        <v>宽货币紧信用</v>
      </c>
      <c r="G170" s="1" t="str">
        <f>VLOOKUP(A170,'信贷库存框架1-票据+贷款余额'!A:L,12,0)</f>
        <v>被动补库存</v>
      </c>
      <c r="I170" s="1" t="str">
        <f>IFERROR(VLOOKUP(A170,美林时钟!A:W,23,0),I171)</f>
        <v>过热</v>
      </c>
      <c r="J170" s="1" t="str">
        <f>VLOOKUP(A170,库存与产能周期2!A:Q,17,0)</f>
        <v>产能周期下行,被动补库存</v>
      </c>
    </row>
    <row r="171" spans="1:10" x14ac:dyDescent="0.35">
      <c r="A171" s="12">
        <v>40999</v>
      </c>
      <c r="B171" s="13">
        <v>-6.8880762914331379</v>
      </c>
      <c r="C171" s="88">
        <v>2.9405797101450002</v>
      </c>
      <c r="D171" s="1" t="str">
        <f t="shared" si="38"/>
        <v>熊市</v>
      </c>
      <c r="E171" s="1" t="str">
        <f t="shared" si="39"/>
        <v>熊市</v>
      </c>
      <c r="F171" s="1" t="str">
        <f>IFERROR(VLOOKUP(A171,'货币信用框架5-货币政策目标+信用脉冲'!A:L,12,0),F172)</f>
        <v>宽货币紧信用</v>
      </c>
      <c r="G171" s="1" t="str">
        <f>VLOOKUP(A171,'信贷库存框架1-票据+贷款余额'!A:L,12,0)</f>
        <v>主动补库存</v>
      </c>
      <c r="I171" s="1" t="str">
        <f>IFERROR(VLOOKUP(A171,美林时钟!A:W,23,0),I172)</f>
        <v>衰退</v>
      </c>
      <c r="J171" s="1" t="str">
        <f>VLOOKUP(A171,库存与产能周期2!A:Q,17,0)</f>
        <v>产能周期下行,被动补库存</v>
      </c>
    </row>
    <row r="172" spans="1:10" x14ac:dyDescent="0.35">
      <c r="A172" s="12">
        <v>40968</v>
      </c>
      <c r="B172" s="13">
        <v>7.1089637588007557</v>
      </c>
      <c r="C172" s="88">
        <v>10.776862745098001</v>
      </c>
      <c r="D172" s="1" t="str">
        <f t="shared" si="38"/>
        <v>牛市</v>
      </c>
      <c r="E172" s="1" t="str">
        <f t="shared" si="39"/>
        <v>熊市</v>
      </c>
      <c r="F172" s="1" t="str">
        <f>IFERROR(VLOOKUP(A172,'货币信用框架5-货币政策目标+信用脉冲'!A:L,12,0),F173)</f>
        <v>宽货币宽信用</v>
      </c>
      <c r="G172" s="1" t="str">
        <f>VLOOKUP(A172,'信贷库存框架1-票据+贷款余额'!A:L,12,0)</f>
        <v>主动补库存</v>
      </c>
      <c r="I172" s="1" t="str">
        <f>IFERROR(VLOOKUP(A172,美林时钟!A:W,23,0),I173)</f>
        <v>衰退</v>
      </c>
      <c r="J172" s="1" t="str">
        <f>VLOOKUP(A172,库存与产能周期2!A:Q,17,0)</f>
        <v>产能周期下行,被动补库存</v>
      </c>
    </row>
    <row r="173" spans="1:10" x14ac:dyDescent="0.35">
      <c r="A173" s="12">
        <v>40939</v>
      </c>
      <c r="B173" s="13">
        <v>3.2413778166379692</v>
      </c>
      <c r="C173" s="88">
        <v>-6.8839641943733998</v>
      </c>
      <c r="D173" s="1" t="str">
        <f t="shared" si="38"/>
        <v>牛市</v>
      </c>
      <c r="E173" s="1" t="str">
        <f t="shared" si="39"/>
        <v>牛市</v>
      </c>
      <c r="F173" s="1" t="str">
        <f>IFERROR(VLOOKUP(A173,'货币信用框架5-货币政策目标+信用脉冲'!A:L,12,0),F174)</f>
        <v>紧货币紧信用</v>
      </c>
      <c r="G173" s="1" t="str">
        <f>VLOOKUP(A173,'信贷库存框架1-票据+贷款余额'!A:L,12,0)</f>
        <v>被动补库存</v>
      </c>
      <c r="I173" s="1" t="str">
        <f>IFERROR(VLOOKUP(A173,美林时钟!A:W,23,0),I174)</f>
        <v>过热</v>
      </c>
      <c r="J173" s="1" t="str">
        <f>VLOOKUP(A173,库存与产能周期2!A:Q,17,0)</f>
        <v>产能周期下行,被动补库存</v>
      </c>
    </row>
    <row r="174" spans="1:10" x14ac:dyDescent="0.35">
      <c r="A174" s="12">
        <v>40908</v>
      </c>
      <c r="B174" s="13">
        <v>-7.2623860987349298</v>
      </c>
      <c r="C174" s="88">
        <v>-17.729565217391301</v>
      </c>
      <c r="D174" s="1" t="str">
        <f t="shared" si="38"/>
        <v>熊市</v>
      </c>
      <c r="E174" s="1" t="str">
        <f t="shared" si="39"/>
        <v>牛市</v>
      </c>
      <c r="F174" s="1" t="str">
        <f>IFERROR(VLOOKUP(A174,'货币信用框架5-货币政策目标+信用脉冲'!A:L,12,0),F175)</f>
        <v>宽货币紧信用</v>
      </c>
      <c r="G174" s="1" t="str">
        <f>VLOOKUP(A174,'信贷库存框架1-票据+贷款余额'!A:L,12,0)</f>
        <v>主动补库存</v>
      </c>
      <c r="I174" s="1" t="str">
        <f>IFERROR(VLOOKUP(A174,美林时钟!A:W,23,0),I175)</f>
        <v>过热</v>
      </c>
      <c r="J174" s="1" t="str">
        <f>VLOOKUP(A174,库存与产能周期2!A:Q,17,0)</f>
        <v>产能周期下行,被动补库存</v>
      </c>
    </row>
    <row r="175" spans="1:10" x14ac:dyDescent="0.35">
      <c r="A175" s="12">
        <v>40877</v>
      </c>
      <c r="B175" s="13">
        <v>-5.050242012244353</v>
      </c>
      <c r="C175" s="88">
        <v>-13.0077777777778</v>
      </c>
      <c r="D175" s="1" t="str">
        <f t="shared" si="38"/>
        <v>熊市</v>
      </c>
      <c r="E175" s="1" t="str">
        <f t="shared" si="39"/>
        <v>牛市</v>
      </c>
      <c r="F175" s="1" t="str">
        <f>IFERROR(VLOOKUP(A175,'货币信用框架5-货币政策目标+信用脉冲'!A:L,12,0),F176)</f>
        <v>紧货币紧信用</v>
      </c>
      <c r="G175" s="1" t="str">
        <f>VLOOKUP(A175,'信贷库存框架1-票据+贷款余额'!A:L,12,0)</f>
        <v>被动补库存</v>
      </c>
      <c r="I175" s="1" t="str">
        <f>IFERROR(VLOOKUP(A175,美林时钟!A:W,23,0),I176)</f>
        <v>过热</v>
      </c>
      <c r="J175" s="1" t="str">
        <f>VLOOKUP(A175,库存与产能周期2!A:Q,17,0)</f>
        <v>产能周期下行,被动补库存</v>
      </c>
    </row>
    <row r="176" spans="1:10" x14ac:dyDescent="0.35">
      <c r="A176" s="12">
        <v>40847</v>
      </c>
      <c r="B176" s="13">
        <v>4.3136687758885541</v>
      </c>
      <c r="C176" s="88">
        <v>-23.5226984126984</v>
      </c>
      <c r="D176" s="1" t="str">
        <f t="shared" si="38"/>
        <v>牛市</v>
      </c>
      <c r="E176" s="1" t="str">
        <f t="shared" si="39"/>
        <v>牛市</v>
      </c>
      <c r="F176" s="1" t="str">
        <f>IFERROR(VLOOKUP(A176,'货币信用框架5-货币政策目标+信用脉冲'!A:L,12,0),F177)</f>
        <v>紧货币紧信用</v>
      </c>
      <c r="G176" s="1" t="str">
        <f>VLOOKUP(A176,'信贷库存框架1-票据+贷款余额'!A:L,12,0)</f>
        <v>主动去库存</v>
      </c>
      <c r="I176" s="1" t="str">
        <f>IFERROR(VLOOKUP(A176,美林时钟!A:W,23,0),I177)</f>
        <v>复苏</v>
      </c>
      <c r="J176" s="1" t="str">
        <f>VLOOKUP(A176,库存与产能周期2!A:Q,17,0)</f>
        <v>产能周期下行,被动补库存</v>
      </c>
    </row>
    <row r="177" spans="1:10" x14ac:dyDescent="0.35">
      <c r="A177" s="12">
        <v>40816</v>
      </c>
      <c r="B177" s="13">
        <v>-8.8790554461960749</v>
      </c>
      <c r="C177" s="88">
        <v>1.5048240165632001</v>
      </c>
      <c r="D177" s="1" t="str">
        <f t="shared" si="38"/>
        <v>熊市</v>
      </c>
      <c r="E177" s="1" t="str">
        <f t="shared" si="39"/>
        <v>震荡</v>
      </c>
      <c r="F177" s="1" t="str">
        <f>IFERROR(VLOOKUP(A177,'货币信用框架5-货币政策目标+信用脉冲'!A:L,12,0),F178)</f>
        <v>紧货币紧信用</v>
      </c>
      <c r="G177" s="1" t="str">
        <f>VLOOKUP(A177,'信贷库存框架1-票据+贷款余额'!A:L,12,0)</f>
        <v>被动补库存</v>
      </c>
      <c r="I177" s="1" t="str">
        <f>IFERROR(VLOOKUP(A177,美林时钟!A:W,23,0),I178)</f>
        <v>过热</v>
      </c>
      <c r="J177" s="1" t="str">
        <f>VLOOKUP(A177,库存与产能周期2!A:Q,17,0)</f>
        <v>产能周期下行,被动补库存</v>
      </c>
    </row>
    <row r="178" spans="1:10" x14ac:dyDescent="0.35">
      <c r="A178" s="12">
        <v>40786</v>
      </c>
      <c r="B178" s="13">
        <v>-4.5905219015482999</v>
      </c>
      <c r="C178" s="88">
        <v>2.6656521739130001</v>
      </c>
      <c r="D178" s="1" t="str">
        <f t="shared" si="38"/>
        <v>熊市</v>
      </c>
      <c r="E178" s="1" t="str">
        <f t="shared" si="39"/>
        <v>熊市</v>
      </c>
      <c r="F178" s="1" t="str">
        <f>IFERROR(VLOOKUP(A178,'货币信用框架5-货币政策目标+信用脉冲'!A:L,12,0),F179)</f>
        <v>宽货币紧信用</v>
      </c>
      <c r="G178" s="1" t="str">
        <f>VLOOKUP(A178,'信贷库存框架1-票据+贷款余额'!A:L,12,0)</f>
        <v>被动去库存</v>
      </c>
      <c r="I178" s="1" t="str">
        <f>IFERROR(VLOOKUP(A178,美林时钟!A:W,23,0),I179)</f>
        <v>滞涨</v>
      </c>
      <c r="J178" s="1" t="str">
        <f>VLOOKUP(A178,库存与产能周期2!A:Q,17,0)</f>
        <v>产能周期上行,被动补库存</v>
      </c>
    </row>
    <row r="179" spans="1:10" x14ac:dyDescent="0.35">
      <c r="A179" s="12">
        <v>40755</v>
      </c>
      <c r="B179" s="13">
        <v>-1.0225879085944509</v>
      </c>
      <c r="C179" s="88">
        <v>6.9547619047618996</v>
      </c>
      <c r="D179" s="1" t="str">
        <f t="shared" si="38"/>
        <v>熊市</v>
      </c>
      <c r="E179" s="1" t="str">
        <f t="shared" si="39"/>
        <v>熊市</v>
      </c>
    </row>
    <row r="180" spans="1:10" x14ac:dyDescent="0.35">
      <c r="A180" s="12">
        <v>40724</v>
      </c>
      <c r="B180" s="13">
        <v>2.4037830723389071</v>
      </c>
      <c r="C180" s="88">
        <v>6.2547619047619003</v>
      </c>
      <c r="D180" s="1" t="str">
        <f t="shared" si="38"/>
        <v>牛市</v>
      </c>
      <c r="E180" s="1" t="str">
        <f t="shared" si="39"/>
        <v>熊市</v>
      </c>
    </row>
    <row r="181" spans="1:10" x14ac:dyDescent="0.35">
      <c r="A181" s="12">
        <v>40694</v>
      </c>
      <c r="B181" s="13">
        <v>-5.9862132546239959</v>
      </c>
      <c r="C181" s="88">
        <v>-5.1445238095238004</v>
      </c>
      <c r="D181" s="1" t="str">
        <f t="shared" si="38"/>
        <v>熊市</v>
      </c>
      <c r="E181" s="1" t="str">
        <f t="shared" si="39"/>
        <v>牛市</v>
      </c>
    </row>
    <row r="182" spans="1:10" x14ac:dyDescent="0.35">
      <c r="A182" s="12">
        <v>40663</v>
      </c>
      <c r="B182" s="13">
        <v>-1.3641957482069329</v>
      </c>
      <c r="C182" s="88">
        <v>-0.71152173913039996</v>
      </c>
      <c r="D182" s="1" t="str">
        <f t="shared" si="38"/>
        <v>熊市</v>
      </c>
      <c r="E182" s="1" t="str">
        <f t="shared" si="39"/>
        <v>震荡</v>
      </c>
    </row>
    <row r="183" spans="1:10" x14ac:dyDescent="0.35">
      <c r="A183" s="12">
        <v>40633</v>
      </c>
      <c r="B183" s="13">
        <v>0.19017037510877199</v>
      </c>
      <c r="C183" s="88">
        <v>-13.8797282608696</v>
      </c>
      <c r="D183" s="1" t="str">
        <f t="shared" si="38"/>
        <v>震荡</v>
      </c>
      <c r="E183" s="1" t="str">
        <f t="shared" si="39"/>
        <v>牛市</v>
      </c>
    </row>
    <row r="184" spans="1:10" x14ac:dyDescent="0.35">
      <c r="A184" s="12">
        <v>40602</v>
      </c>
      <c r="B184" s="13">
        <v>5.3113636155169379</v>
      </c>
      <c r="C184" s="88">
        <v>10.1495833333333</v>
      </c>
      <c r="D184" s="1" t="str">
        <f t="shared" si="38"/>
        <v>牛市</v>
      </c>
      <c r="E184" s="1" t="str">
        <f t="shared" si="39"/>
        <v>熊市</v>
      </c>
    </row>
    <row r="185" spans="1:10" x14ac:dyDescent="0.35">
      <c r="A185" s="12">
        <v>40574</v>
      </c>
      <c r="B185" s="13">
        <v>-2.0329280515564072</v>
      </c>
      <c r="C185" s="88">
        <v>8.3888405797101999</v>
      </c>
      <c r="D185" s="1" t="str">
        <f t="shared" si="38"/>
        <v>熊市</v>
      </c>
      <c r="E185" s="1" t="str">
        <f t="shared" si="39"/>
        <v>熊市</v>
      </c>
    </row>
    <row r="186" spans="1:10" x14ac:dyDescent="0.35">
      <c r="A186" s="12">
        <v>40543</v>
      </c>
      <c r="B186" s="13">
        <v>-0.88950301865811998</v>
      </c>
      <c r="C186" s="88">
        <v>-4.0130830039526</v>
      </c>
      <c r="D186" s="1" t="str">
        <f t="shared" si="38"/>
        <v>震荡</v>
      </c>
      <c r="E186" s="1" t="str">
        <f t="shared" si="39"/>
        <v>牛市</v>
      </c>
    </row>
    <row r="187" spans="1:10" x14ac:dyDescent="0.35">
      <c r="A187" s="12">
        <v>40512</v>
      </c>
      <c r="B187" s="13">
        <v>-4.2456609191278147</v>
      </c>
      <c r="C187" s="88">
        <v>36.662673796791502</v>
      </c>
      <c r="D187" s="1" t="str">
        <f t="shared" si="38"/>
        <v>熊市</v>
      </c>
      <c r="E187" s="1" t="str">
        <f t="shared" si="39"/>
        <v>熊市</v>
      </c>
    </row>
    <row r="188" spans="1:10" x14ac:dyDescent="0.35">
      <c r="A188" s="12">
        <v>40482</v>
      </c>
      <c r="B188" s="13">
        <v>12.009215124344189</v>
      </c>
      <c r="C188" s="88">
        <v>21.6250534759358</v>
      </c>
      <c r="D188" s="1" t="str">
        <f t="shared" si="38"/>
        <v>牛市</v>
      </c>
      <c r="E188" s="1" t="str">
        <f t="shared" si="39"/>
        <v>熊市</v>
      </c>
    </row>
    <row r="189" spans="1:10" x14ac:dyDescent="0.35">
      <c r="A189" s="12">
        <v>40451</v>
      </c>
      <c r="B189" s="13">
        <v>1.064926308036618</v>
      </c>
      <c r="C189" s="88">
        <v>5.1231818181818003</v>
      </c>
      <c r="D189" s="1" t="str">
        <f t="shared" si="38"/>
        <v>牛市</v>
      </c>
      <c r="E189" s="1" t="str">
        <f t="shared" si="39"/>
        <v>熊市</v>
      </c>
    </row>
    <row r="190" spans="1:10" x14ac:dyDescent="0.35">
      <c r="A190" s="12">
        <v>40421</v>
      </c>
      <c r="B190" s="13">
        <v>2.5407969860142732</v>
      </c>
      <c r="C190" s="88">
        <v>2.11</v>
      </c>
      <c r="D190" s="1" t="str">
        <f t="shared" si="38"/>
        <v>牛市</v>
      </c>
      <c r="E190" s="1" t="str">
        <f t="shared" si="39"/>
        <v>熊市</v>
      </c>
    </row>
    <row r="191" spans="1:10" x14ac:dyDescent="0.35">
      <c r="A191" s="12">
        <v>40390</v>
      </c>
      <c r="B191" s="13">
        <v>11.866384340456669</v>
      </c>
      <c r="C191" s="88">
        <v>-8.2090476190476007</v>
      </c>
      <c r="D191" s="1" t="str">
        <f t="shared" si="38"/>
        <v>牛市</v>
      </c>
      <c r="E191" s="1" t="str">
        <f t="shared" si="39"/>
        <v>牛市</v>
      </c>
    </row>
    <row r="192" spans="1:10" x14ac:dyDescent="0.35">
      <c r="A192" s="12">
        <v>40359</v>
      </c>
      <c r="B192" s="13">
        <v>-7.6506119310571838</v>
      </c>
      <c r="C192" s="88">
        <v>5.8210476190475999</v>
      </c>
      <c r="D192" s="1" t="str">
        <f t="shared" si="38"/>
        <v>熊市</v>
      </c>
      <c r="E192" s="1" t="str">
        <f t="shared" si="39"/>
        <v>熊市</v>
      </c>
    </row>
    <row r="193" spans="1:5" x14ac:dyDescent="0.35">
      <c r="A193" s="12">
        <v>40329</v>
      </c>
      <c r="B193" s="13">
        <v>-8.3030861037104398</v>
      </c>
      <c r="C193" s="88">
        <v>-19.166285714285699</v>
      </c>
      <c r="D193" s="1" t="str">
        <f t="shared" si="38"/>
        <v>熊市</v>
      </c>
      <c r="E193" s="1" t="str">
        <f t="shared" si="39"/>
        <v>牛市</v>
      </c>
    </row>
    <row r="194" spans="1:5" x14ac:dyDescent="0.35">
      <c r="A194" s="12">
        <v>40298</v>
      </c>
      <c r="B194" s="13">
        <v>-7.6926722890442809</v>
      </c>
      <c r="C194" s="88">
        <v>4.5855900621118</v>
      </c>
      <c r="D194" s="1" t="str">
        <f t="shared" si="38"/>
        <v>熊市</v>
      </c>
      <c r="E194" s="1" t="str">
        <f t="shared" si="39"/>
        <v>熊市</v>
      </c>
    </row>
    <row r="195" spans="1:5" x14ac:dyDescent="0.35">
      <c r="A195" s="12">
        <v>40268</v>
      </c>
      <c r="B195" s="13">
        <v>2.5550184672956551</v>
      </c>
      <c r="C195" s="88">
        <v>-6.8665984654732002</v>
      </c>
      <c r="D195" s="1" t="str">
        <f t="shared" si="38"/>
        <v>牛市</v>
      </c>
      <c r="E195" s="1" t="str">
        <f t="shared" si="39"/>
        <v>牛市</v>
      </c>
    </row>
    <row r="196" spans="1:5" x14ac:dyDescent="0.35">
      <c r="A196" s="12">
        <v>40237</v>
      </c>
      <c r="B196" s="13">
        <v>3.0999694842707819</v>
      </c>
      <c r="C196" s="88">
        <v>-16.9182058823529</v>
      </c>
      <c r="D196" s="1" t="str">
        <f t="shared" si="38"/>
        <v>牛市</v>
      </c>
      <c r="E196" s="1" t="str">
        <f t="shared" si="39"/>
        <v>牛市</v>
      </c>
    </row>
    <row r="197" spans="1:5" x14ac:dyDescent="0.35">
      <c r="A197" s="12">
        <v>40209</v>
      </c>
      <c r="B197" s="13">
        <v>-8.5718015819445963</v>
      </c>
      <c r="C197" s="88">
        <v>1.4182826086957001</v>
      </c>
      <c r="D197" s="1" t="str">
        <f t="shared" si="38"/>
        <v>熊市</v>
      </c>
      <c r="E197" s="1" t="str">
        <f t="shared" si="39"/>
        <v>震荡</v>
      </c>
    </row>
    <row r="198" spans="1:5" x14ac:dyDescent="0.35">
      <c r="A198" s="12">
        <v>40178</v>
      </c>
      <c r="B198" s="13">
        <v>2.9649181150660331</v>
      </c>
      <c r="C198" s="88">
        <v>-4.9476397515528001</v>
      </c>
      <c r="D198" s="1" t="str">
        <f t="shared" si="38"/>
        <v>牛市</v>
      </c>
      <c r="E198" s="1" t="str">
        <f t="shared" si="39"/>
        <v>牛市</v>
      </c>
    </row>
    <row r="199" spans="1:5" x14ac:dyDescent="0.35">
      <c r="A199" s="12">
        <v>40147</v>
      </c>
      <c r="B199" s="13">
        <v>8.4831374991479436</v>
      </c>
      <c r="C199" s="88">
        <v>1.6581512605041999</v>
      </c>
      <c r="D199" s="1" t="str">
        <f t="shared" ref="D199:D262" si="40">IF(B199&gt;=1,"牛市",IF(B199&lt;=-1,"熊市","震荡"))</f>
        <v>牛市</v>
      </c>
      <c r="E199" s="1" t="str">
        <f t="shared" ref="E199:E262" si="41">IF(C199&lt;=-2,"牛市",IF(C199&gt;=2,"熊市","震荡"))</f>
        <v>震荡</v>
      </c>
    </row>
    <row r="200" spans="1:5" x14ac:dyDescent="0.35">
      <c r="A200" s="12">
        <v>40117</v>
      </c>
      <c r="B200" s="13">
        <v>9.361587919299609</v>
      </c>
      <c r="C200" s="88">
        <v>18.289923273657202</v>
      </c>
      <c r="D200" s="1" t="str">
        <f t="shared" si="40"/>
        <v>牛市</v>
      </c>
      <c r="E200" s="1" t="str">
        <f t="shared" si="41"/>
        <v>熊市</v>
      </c>
    </row>
    <row r="201" spans="1:5" x14ac:dyDescent="0.35">
      <c r="A201" s="12">
        <v>40086</v>
      </c>
      <c r="B201" s="13">
        <v>5.0738071703708263</v>
      </c>
      <c r="C201" s="88">
        <v>-2.9375983436853002</v>
      </c>
      <c r="D201" s="1" t="str">
        <f t="shared" si="40"/>
        <v>牛市</v>
      </c>
      <c r="E201" s="1" t="str">
        <f t="shared" si="41"/>
        <v>牛市</v>
      </c>
    </row>
    <row r="202" spans="1:5" x14ac:dyDescent="0.35">
      <c r="A202" s="12">
        <v>40056</v>
      </c>
      <c r="B202" s="13">
        <v>-21.213033418416511</v>
      </c>
      <c r="C202" s="88">
        <v>12.448033126294</v>
      </c>
      <c r="D202" s="1" t="str">
        <f t="shared" si="40"/>
        <v>熊市</v>
      </c>
      <c r="E202" s="1" t="str">
        <f t="shared" si="41"/>
        <v>熊市</v>
      </c>
    </row>
    <row r="203" spans="1:5" x14ac:dyDescent="0.35">
      <c r="A203" s="12">
        <v>40025</v>
      </c>
      <c r="B203" s="13">
        <v>16.251667871823951</v>
      </c>
      <c r="C203" s="88">
        <v>21.5202569169961</v>
      </c>
      <c r="D203" s="1" t="str">
        <f t="shared" si="40"/>
        <v>牛市</v>
      </c>
      <c r="E203" s="1" t="str">
        <f t="shared" si="41"/>
        <v>熊市</v>
      </c>
    </row>
    <row r="204" spans="1:5" x14ac:dyDescent="0.35">
      <c r="A204" s="12">
        <v>39994</v>
      </c>
      <c r="B204" s="13">
        <v>11.57404538211598</v>
      </c>
      <c r="C204" s="88">
        <v>11.4898803827751</v>
      </c>
      <c r="D204" s="1" t="str">
        <f t="shared" si="40"/>
        <v>牛市</v>
      </c>
      <c r="E204" s="1" t="str">
        <f t="shared" si="41"/>
        <v>熊市</v>
      </c>
    </row>
    <row r="205" spans="1:5" x14ac:dyDescent="0.35">
      <c r="A205" s="12">
        <v>39964</v>
      </c>
      <c r="B205" s="13">
        <v>5.4172014571134746</v>
      </c>
      <c r="C205" s="88">
        <v>-11.4857894736842</v>
      </c>
      <c r="D205" s="1" t="str">
        <f t="shared" si="40"/>
        <v>牛市</v>
      </c>
      <c r="E205" s="1" t="str">
        <f t="shared" si="41"/>
        <v>牛市</v>
      </c>
    </row>
    <row r="206" spans="1:5" x14ac:dyDescent="0.35">
      <c r="A206" s="12">
        <v>39933</v>
      </c>
      <c r="B206" s="13">
        <v>4.9179933081584073</v>
      </c>
      <c r="C206" s="88">
        <v>1.8</v>
      </c>
      <c r="D206" s="1" t="str">
        <f t="shared" si="40"/>
        <v>牛市</v>
      </c>
      <c r="E206" s="1" t="str">
        <f t="shared" si="41"/>
        <v>震荡</v>
      </c>
    </row>
    <row r="207" spans="1:5" x14ac:dyDescent="0.35">
      <c r="A207" s="12">
        <v>39903</v>
      </c>
      <c r="B207" s="13">
        <v>18.38774091015075</v>
      </c>
      <c r="C207" s="88">
        <v>-3.7919047619047999</v>
      </c>
      <c r="D207" s="1" t="str">
        <f t="shared" si="40"/>
        <v>牛市</v>
      </c>
      <c r="E207" s="1" t="str">
        <f t="shared" si="41"/>
        <v>牛市</v>
      </c>
    </row>
    <row r="208" spans="1:5" x14ac:dyDescent="0.35">
      <c r="A208" s="12">
        <v>39872</v>
      </c>
      <c r="B208" s="13">
        <v>5.7331828074874007</v>
      </c>
      <c r="C208" s="88">
        <v>31.152492997198902</v>
      </c>
      <c r="D208" s="1" t="str">
        <f t="shared" si="40"/>
        <v>牛市</v>
      </c>
      <c r="E208" s="1" t="str">
        <f t="shared" si="41"/>
        <v>熊市</v>
      </c>
    </row>
    <row r="209" spans="1:5" x14ac:dyDescent="0.35">
      <c r="A209" s="12">
        <v>39844</v>
      </c>
      <c r="B209" s="13">
        <v>13.14412357343096</v>
      </c>
      <c r="C209" s="88">
        <v>2.4159335038363001</v>
      </c>
      <c r="D209" s="1" t="str">
        <f t="shared" si="40"/>
        <v>牛市</v>
      </c>
      <c r="E209" s="1" t="str">
        <f t="shared" si="41"/>
        <v>熊市</v>
      </c>
    </row>
    <row r="210" spans="1:5" x14ac:dyDescent="0.35">
      <c r="A210" s="12">
        <v>39813</v>
      </c>
      <c r="B210" s="13">
        <v>1.4628722997557519</v>
      </c>
      <c r="C210" s="88">
        <v>-15.1730217391304</v>
      </c>
      <c r="D210" s="1" t="str">
        <f t="shared" si="40"/>
        <v>牛市</v>
      </c>
      <c r="E210" s="1" t="str">
        <f t="shared" si="41"/>
        <v>牛市</v>
      </c>
    </row>
    <row r="211" spans="1:5" x14ac:dyDescent="0.35">
      <c r="A211" s="12">
        <v>39782</v>
      </c>
      <c r="B211" s="13">
        <v>12.63705375756617</v>
      </c>
      <c r="C211" s="88">
        <v>-18.836500000000001</v>
      </c>
      <c r="D211" s="1" t="str">
        <f t="shared" si="40"/>
        <v>牛市</v>
      </c>
      <c r="E211" s="1" t="str">
        <f t="shared" si="41"/>
        <v>牛市</v>
      </c>
    </row>
    <row r="212" spans="1:5" x14ac:dyDescent="0.35">
      <c r="A212" s="12">
        <v>39752</v>
      </c>
      <c r="B212" s="13">
        <v>-25.748628997696581</v>
      </c>
      <c r="C212" s="88">
        <v>-72.582714285714303</v>
      </c>
      <c r="D212" s="1" t="str">
        <f t="shared" si="40"/>
        <v>熊市</v>
      </c>
      <c r="E212" s="1" t="str">
        <f t="shared" si="41"/>
        <v>牛市</v>
      </c>
    </row>
    <row r="213" spans="1:5" x14ac:dyDescent="0.35">
      <c r="A213" s="12">
        <v>39721</v>
      </c>
      <c r="B213" s="13">
        <v>-6.61651660953875</v>
      </c>
      <c r="C213" s="88">
        <v>-49.573809523809501</v>
      </c>
      <c r="D213" s="1" t="str">
        <f t="shared" si="40"/>
        <v>熊市</v>
      </c>
      <c r="E213" s="1" t="str">
        <f t="shared" si="41"/>
        <v>牛市</v>
      </c>
    </row>
    <row r="214" spans="1:5" x14ac:dyDescent="0.35">
      <c r="A214" s="12">
        <v>39691</v>
      </c>
      <c r="B214" s="13">
        <v>-17.10106888997937</v>
      </c>
      <c r="C214" s="88">
        <v>-4.7817805383023</v>
      </c>
      <c r="D214" s="1" t="str">
        <f t="shared" si="40"/>
        <v>熊市</v>
      </c>
      <c r="E214" s="1" t="str">
        <f t="shared" si="41"/>
        <v>牛市</v>
      </c>
    </row>
    <row r="215" spans="1:5" x14ac:dyDescent="0.35">
      <c r="A215" s="12">
        <v>39660</v>
      </c>
      <c r="B215" s="13">
        <v>3.0455231961990541</v>
      </c>
      <c r="C215" s="88">
        <v>12.900804347826099</v>
      </c>
      <c r="D215" s="1" t="str">
        <f t="shared" si="40"/>
        <v>牛市</v>
      </c>
      <c r="E215" s="1" t="str">
        <f t="shared" si="41"/>
        <v>熊市</v>
      </c>
    </row>
    <row r="216" spans="1:5" x14ac:dyDescent="0.35">
      <c r="A216" s="12">
        <v>39629</v>
      </c>
      <c r="B216" s="13">
        <v>-22.414807405538092</v>
      </c>
      <c r="C216" s="88">
        <v>19.106214285714302</v>
      </c>
      <c r="D216" s="1" t="str">
        <f t="shared" si="40"/>
        <v>熊市</v>
      </c>
      <c r="E216" s="1" t="str">
        <f t="shared" si="41"/>
        <v>熊市</v>
      </c>
    </row>
    <row r="217" spans="1:5" x14ac:dyDescent="0.35">
      <c r="A217" s="12">
        <v>39599</v>
      </c>
      <c r="B217" s="13">
        <v>-7.5468323049154806</v>
      </c>
      <c r="C217" s="88">
        <v>10.163809523809499</v>
      </c>
      <c r="D217" s="1" t="str">
        <f t="shared" si="40"/>
        <v>熊市</v>
      </c>
      <c r="E217" s="1" t="str">
        <f t="shared" si="41"/>
        <v>熊市</v>
      </c>
    </row>
    <row r="218" spans="1:5" x14ac:dyDescent="0.35">
      <c r="A218" s="12">
        <v>39568</v>
      </c>
      <c r="B218" s="13">
        <v>2.6680251701053099</v>
      </c>
      <c r="C218" s="88">
        <v>-7.2123809523808999</v>
      </c>
      <c r="D218" s="1" t="str">
        <f t="shared" si="40"/>
        <v>牛市</v>
      </c>
      <c r="E218" s="1" t="str">
        <f t="shared" si="41"/>
        <v>牛市</v>
      </c>
    </row>
    <row r="219" spans="1:5" x14ac:dyDescent="0.35">
      <c r="A219" s="12">
        <v>39538</v>
      </c>
      <c r="B219" s="13">
        <v>-19.11566884014794</v>
      </c>
      <c r="C219" s="88">
        <v>-4.0371428571429</v>
      </c>
      <c r="D219" s="1" t="str">
        <f t="shared" si="40"/>
        <v>熊市</v>
      </c>
      <c r="E219" s="1" t="str">
        <f t="shared" si="41"/>
        <v>牛市</v>
      </c>
    </row>
    <row r="220" spans="1:5" x14ac:dyDescent="0.35">
      <c r="A220" s="12">
        <v>39507</v>
      </c>
      <c r="B220" s="13">
        <v>3.424329356043355</v>
      </c>
      <c r="C220" s="88">
        <v>-19.639545454545502</v>
      </c>
      <c r="D220" s="1" t="str">
        <f t="shared" si="40"/>
        <v>牛市</v>
      </c>
      <c r="E220" s="1" t="str">
        <f t="shared" si="41"/>
        <v>牛市</v>
      </c>
    </row>
    <row r="221" spans="1:5" x14ac:dyDescent="0.35">
      <c r="A221" s="12">
        <v>39478</v>
      </c>
      <c r="B221" s="13">
        <v>-11.08793550407114</v>
      </c>
      <c r="C221" s="88">
        <v>-11.505692640692599</v>
      </c>
      <c r="D221" s="1" t="str">
        <f t="shared" si="40"/>
        <v>熊市</v>
      </c>
      <c r="E221" s="1" t="str">
        <f t="shared" si="41"/>
        <v>牛市</v>
      </c>
    </row>
    <row r="222" spans="1:5" x14ac:dyDescent="0.35">
      <c r="A222" s="12">
        <v>39447</v>
      </c>
      <c r="B222" s="13">
        <v>14.859034207454521</v>
      </c>
      <c r="C222" s="88">
        <v>-8.1483982683982994</v>
      </c>
      <c r="D222" s="1" t="str">
        <f t="shared" si="40"/>
        <v>牛市</v>
      </c>
      <c r="E222" s="1" t="str">
        <f t="shared" si="41"/>
        <v>牛市</v>
      </c>
    </row>
    <row r="223" spans="1:5" x14ac:dyDescent="0.35">
      <c r="A223" s="12">
        <v>39416</v>
      </c>
      <c r="B223" s="13">
        <v>-14.53131517454452</v>
      </c>
      <c r="C223" s="88">
        <v>11.0147474747475</v>
      </c>
      <c r="D223" s="1" t="str">
        <f t="shared" si="40"/>
        <v>熊市</v>
      </c>
      <c r="E223" s="1" t="str">
        <f t="shared" si="41"/>
        <v>熊市</v>
      </c>
    </row>
    <row r="224" spans="1:5" x14ac:dyDescent="0.35">
      <c r="A224" s="12">
        <v>39386</v>
      </c>
      <c r="B224" s="13">
        <v>-1.4492371373879771</v>
      </c>
      <c r="C224" s="88">
        <v>3.3447979797979999</v>
      </c>
      <c r="D224" s="1" t="str">
        <f t="shared" si="40"/>
        <v>熊市</v>
      </c>
      <c r="E224" s="1" t="str">
        <f t="shared" si="41"/>
        <v>熊市</v>
      </c>
    </row>
    <row r="225" spans="1:5" x14ac:dyDescent="0.35">
      <c r="A225" s="12">
        <v>39355</v>
      </c>
      <c r="B225" s="13">
        <v>4.8266799083907337</v>
      </c>
      <c r="C225" s="88">
        <v>11.5749604743083</v>
      </c>
      <c r="D225" s="1" t="str">
        <f t="shared" si="40"/>
        <v>牛市</v>
      </c>
      <c r="E225" s="1" t="str">
        <f t="shared" si="41"/>
        <v>熊市</v>
      </c>
    </row>
    <row r="226" spans="1:5" x14ac:dyDescent="0.35">
      <c r="A226" s="12">
        <v>39325</v>
      </c>
      <c r="B226" s="13">
        <v>15.61178914084773</v>
      </c>
      <c r="C226" s="88">
        <v>-14.1585968379447</v>
      </c>
      <c r="D226" s="1" t="str">
        <f t="shared" si="40"/>
        <v>牛市</v>
      </c>
      <c r="E226" s="1" t="str">
        <f t="shared" si="41"/>
        <v>牛市</v>
      </c>
    </row>
    <row r="227" spans="1:5" x14ac:dyDescent="0.35">
      <c r="A227" s="12">
        <v>39294</v>
      </c>
      <c r="B227" s="13">
        <v>19.487496614026711</v>
      </c>
      <c r="C227" s="88">
        <v>13.2805844155844</v>
      </c>
      <c r="D227" s="1" t="str">
        <f t="shared" si="40"/>
        <v>牛市</v>
      </c>
      <c r="E227" s="1" t="str">
        <f t="shared" si="41"/>
        <v>熊市</v>
      </c>
    </row>
    <row r="228" spans="1:5" x14ac:dyDescent="0.35">
      <c r="A228" s="12">
        <v>39263</v>
      </c>
      <c r="B228" s="13">
        <v>-8.7839079269089098</v>
      </c>
      <c r="C228" s="88">
        <v>41.175476190476203</v>
      </c>
      <c r="D228" s="1" t="str">
        <f t="shared" si="40"/>
        <v>熊市</v>
      </c>
      <c r="E228" s="1" t="str">
        <f t="shared" si="41"/>
        <v>熊市</v>
      </c>
    </row>
    <row r="229" spans="1:5" x14ac:dyDescent="0.35">
      <c r="A229" s="12">
        <v>39233</v>
      </c>
      <c r="B229" s="13">
        <v>10.03251689576971</v>
      </c>
      <c r="C229" s="88">
        <v>35.2181884057971</v>
      </c>
      <c r="D229" s="1" t="str">
        <f t="shared" si="40"/>
        <v>牛市</v>
      </c>
      <c r="E229" s="1" t="str">
        <f t="shared" si="41"/>
        <v>熊市</v>
      </c>
    </row>
    <row r="230" spans="1:5" x14ac:dyDescent="0.35">
      <c r="A230" s="12">
        <v>39202</v>
      </c>
      <c r="B230" s="13">
        <v>29.154446009859861</v>
      </c>
      <c r="C230" s="88">
        <v>23.1630237154151</v>
      </c>
      <c r="D230" s="1" t="str">
        <f t="shared" si="40"/>
        <v>牛市</v>
      </c>
      <c r="E230" s="1" t="str">
        <f t="shared" si="41"/>
        <v>熊市</v>
      </c>
    </row>
    <row r="231" spans="1:5" x14ac:dyDescent="0.35">
      <c r="A231" s="12">
        <v>39172</v>
      </c>
      <c r="B231" s="13">
        <v>12.00026397433925</v>
      </c>
      <c r="C231" s="88">
        <v>19.148101604278001</v>
      </c>
      <c r="D231" s="1" t="str">
        <f t="shared" si="40"/>
        <v>牛市</v>
      </c>
      <c r="E231" s="1" t="str">
        <f t="shared" si="41"/>
        <v>熊市</v>
      </c>
    </row>
    <row r="232" spans="1:5" x14ac:dyDescent="0.35">
      <c r="A232" s="12">
        <v>39141</v>
      </c>
      <c r="B232" s="13">
        <v>10.35012291086144</v>
      </c>
      <c r="C232" s="88">
        <v>8.0488529411765004</v>
      </c>
      <c r="D232" s="1" t="str">
        <f t="shared" si="40"/>
        <v>牛市</v>
      </c>
      <c r="E232" s="1" t="str">
        <f t="shared" si="41"/>
        <v>熊市</v>
      </c>
    </row>
    <row r="233" spans="1:5" x14ac:dyDescent="0.35">
      <c r="A233" s="12">
        <v>39113</v>
      </c>
      <c r="B233" s="13">
        <v>18.606424013833081</v>
      </c>
      <c r="C233" s="88">
        <v>0.47089130434780002</v>
      </c>
      <c r="D233" s="1" t="str">
        <f t="shared" si="40"/>
        <v>牛市</v>
      </c>
      <c r="E233" s="1" t="str">
        <f t="shared" si="41"/>
        <v>震荡</v>
      </c>
    </row>
    <row r="234" spans="1:5" x14ac:dyDescent="0.35">
      <c r="A234" s="12">
        <v>39082</v>
      </c>
      <c r="B234" s="13">
        <v>13.990770711636641</v>
      </c>
      <c r="C234" s="88">
        <v>3.8830632411066999</v>
      </c>
      <c r="D234" s="1" t="str">
        <f t="shared" si="40"/>
        <v>牛市</v>
      </c>
      <c r="E234" s="1" t="str">
        <f t="shared" si="41"/>
        <v>熊市</v>
      </c>
    </row>
    <row r="235" spans="1:5" x14ac:dyDescent="0.35">
      <c r="A235" s="12">
        <v>39051</v>
      </c>
      <c r="B235" s="13">
        <v>11.987553533202361</v>
      </c>
      <c r="C235" s="88">
        <v>2.7212121212121998</v>
      </c>
      <c r="D235" s="1" t="str">
        <f t="shared" si="40"/>
        <v>牛市</v>
      </c>
      <c r="E235" s="1" t="str">
        <f t="shared" si="41"/>
        <v>熊市</v>
      </c>
    </row>
    <row r="236" spans="1:5" x14ac:dyDescent="0.35">
      <c r="A236" s="12">
        <v>39021</v>
      </c>
      <c r="B236" s="13">
        <v>2.2219003338026919</v>
      </c>
      <c r="C236" s="88">
        <v>-16.8825757575758</v>
      </c>
      <c r="D236" s="1" t="str">
        <f t="shared" si="40"/>
        <v>牛市</v>
      </c>
      <c r="E236" s="1" t="str">
        <f t="shared" si="41"/>
        <v>牛市</v>
      </c>
    </row>
    <row r="237" spans="1:5" x14ac:dyDescent="0.35">
      <c r="A237" s="12">
        <v>38990</v>
      </c>
      <c r="B237" s="13">
        <v>4.7396317461610602</v>
      </c>
      <c r="C237" s="88">
        <v>-11.965177865612601</v>
      </c>
      <c r="D237" s="1" t="str">
        <f t="shared" si="40"/>
        <v>牛市</v>
      </c>
      <c r="E237" s="1" t="str">
        <f t="shared" si="41"/>
        <v>牛市</v>
      </c>
    </row>
    <row r="238" spans="1:5" x14ac:dyDescent="0.35">
      <c r="A238" s="12">
        <v>38960</v>
      </c>
      <c r="B238" s="13">
        <v>3.7282663042330091</v>
      </c>
      <c r="C238" s="88">
        <v>3.8808488612835998</v>
      </c>
      <c r="D238" s="1" t="str">
        <f t="shared" si="40"/>
        <v>牛市</v>
      </c>
      <c r="E238" s="1" t="str">
        <f t="shared" si="41"/>
        <v>熊市</v>
      </c>
    </row>
    <row r="239" spans="1:5" x14ac:dyDescent="0.35">
      <c r="A239" s="12">
        <v>38929</v>
      </c>
      <c r="B239" s="13">
        <v>-5.3855439124323947</v>
      </c>
      <c r="C239" s="88">
        <v>11.388874458874501</v>
      </c>
      <c r="D239" s="1" t="str">
        <f t="shared" si="40"/>
        <v>熊市</v>
      </c>
      <c r="E239" s="1" t="str">
        <f t="shared" si="41"/>
        <v>熊市</v>
      </c>
    </row>
    <row r="240" spans="1:5" x14ac:dyDescent="0.35">
      <c r="A240" s="12">
        <v>38898</v>
      </c>
      <c r="B240" s="13">
        <v>3.7753559040965681</v>
      </c>
      <c r="C240" s="88">
        <v>8.4419191919191992</v>
      </c>
      <c r="D240" s="1" t="str">
        <f t="shared" si="40"/>
        <v>牛市</v>
      </c>
      <c r="E240" s="1" t="str">
        <f t="shared" si="41"/>
        <v>熊市</v>
      </c>
    </row>
    <row r="241" spans="1:5" x14ac:dyDescent="0.35">
      <c r="A241" s="12">
        <v>38868</v>
      </c>
      <c r="B241" s="13">
        <v>19.749219184930151</v>
      </c>
      <c r="C241" s="88">
        <v>2.8644444444444002</v>
      </c>
      <c r="D241" s="1" t="str">
        <f t="shared" si="40"/>
        <v>牛市</v>
      </c>
      <c r="E241" s="1" t="str">
        <f t="shared" si="41"/>
        <v>熊市</v>
      </c>
    </row>
    <row r="242" spans="1:5" x14ac:dyDescent="0.35">
      <c r="A242" s="12">
        <v>38837</v>
      </c>
      <c r="B242" s="13">
        <v>11.04557049832149</v>
      </c>
      <c r="C242" s="88">
        <v>7.0278260869564999</v>
      </c>
      <c r="D242" s="1" t="str">
        <f t="shared" si="40"/>
        <v>牛市</v>
      </c>
      <c r="E242" s="1" t="str">
        <f t="shared" si="41"/>
        <v>熊市</v>
      </c>
    </row>
    <row r="243" spans="1:5" x14ac:dyDescent="0.35">
      <c r="A243" s="12">
        <v>38807</v>
      </c>
      <c r="B243" s="13">
        <v>2.0414763784119132</v>
      </c>
      <c r="C243" s="88">
        <v>-1.7578260869564999</v>
      </c>
      <c r="D243" s="1" t="str">
        <f t="shared" si="40"/>
        <v>牛市</v>
      </c>
      <c r="E243" s="1" t="str">
        <f t="shared" si="41"/>
        <v>震荡</v>
      </c>
    </row>
    <row r="244" spans="1:5" x14ac:dyDescent="0.35">
      <c r="A244" s="12">
        <v>38776</v>
      </c>
      <c r="B244" s="13">
        <v>3.1450484320926519</v>
      </c>
      <c r="C244" s="88">
        <v>-9.2668421052631995</v>
      </c>
      <c r="D244" s="1" t="str">
        <f t="shared" si="40"/>
        <v>牛市</v>
      </c>
      <c r="E244" s="1" t="str">
        <f t="shared" si="41"/>
        <v>牛市</v>
      </c>
    </row>
    <row r="245" spans="1:5" x14ac:dyDescent="0.35">
      <c r="A245" s="12">
        <v>38748</v>
      </c>
      <c r="B245" s="13">
        <v>8.7632366884648025</v>
      </c>
      <c r="C245" s="88">
        <v>-20.6931578947368</v>
      </c>
      <c r="D245" s="1" t="str">
        <f t="shared" si="40"/>
        <v>牛市</v>
      </c>
      <c r="E245" s="1" t="str">
        <f t="shared" si="41"/>
        <v>牛市</v>
      </c>
    </row>
    <row r="246" spans="1:5" x14ac:dyDescent="0.35">
      <c r="A246" s="12">
        <v>38717</v>
      </c>
      <c r="B246" s="13">
        <v>4.5096546190432827</v>
      </c>
      <c r="C246" s="88">
        <v>-3.4313636363636002</v>
      </c>
      <c r="D246" s="1" t="str">
        <f t="shared" si="40"/>
        <v>牛市</v>
      </c>
      <c r="E246" s="1" t="str">
        <f t="shared" si="41"/>
        <v>牛市</v>
      </c>
    </row>
    <row r="247" spans="1:5" x14ac:dyDescent="0.35">
      <c r="A247" s="12">
        <v>38686</v>
      </c>
      <c r="B247" s="13">
        <v>0.207151416187878</v>
      </c>
      <c r="C247" s="88">
        <v>28.004696969696901</v>
      </c>
      <c r="D247" s="1" t="str">
        <f t="shared" si="40"/>
        <v>震荡</v>
      </c>
      <c r="E247" s="1" t="str">
        <f t="shared" si="41"/>
        <v>熊市</v>
      </c>
    </row>
    <row r="248" spans="1:5" x14ac:dyDescent="0.35">
      <c r="A248" s="12">
        <v>38656</v>
      </c>
      <c r="B248" s="13">
        <v>-5.5253453268511787</v>
      </c>
      <c r="C248" s="88">
        <v>-35.828333333333298</v>
      </c>
      <c r="D248" s="1" t="str">
        <f t="shared" si="40"/>
        <v>熊市</v>
      </c>
      <c r="E248" s="1" t="str">
        <f t="shared" si="41"/>
        <v>牛市</v>
      </c>
    </row>
    <row r="249" spans="1:5" x14ac:dyDescent="0.35">
      <c r="A249" s="12">
        <v>38625</v>
      </c>
      <c r="B249" s="13">
        <v>0.449658121806356</v>
      </c>
      <c r="C249" s="88">
        <v>2.3032608695652002</v>
      </c>
      <c r="D249" s="1" t="str">
        <f t="shared" si="40"/>
        <v>震荡</v>
      </c>
      <c r="E249" s="1" t="str">
        <f t="shared" si="41"/>
        <v>熊市</v>
      </c>
    </row>
    <row r="250" spans="1:5" x14ac:dyDescent="0.35">
      <c r="A250" s="12">
        <v>38595</v>
      </c>
      <c r="B250" s="13">
        <v>9.8016584931009927</v>
      </c>
      <c r="C250" s="88">
        <v>-7.6387370600414002</v>
      </c>
      <c r="D250" s="1" t="str">
        <f t="shared" si="40"/>
        <v>牛市</v>
      </c>
      <c r="E250" s="1" t="str">
        <f t="shared" si="41"/>
        <v>牛市</v>
      </c>
    </row>
    <row r="251" spans="1:5" x14ac:dyDescent="0.35">
      <c r="A251" s="12">
        <v>38564</v>
      </c>
      <c r="B251" s="13">
        <v>-2.4235108241786039</v>
      </c>
      <c r="C251" s="88">
        <v>-25.5195238095238</v>
      </c>
      <c r="D251" s="1" t="str">
        <f t="shared" si="40"/>
        <v>熊市</v>
      </c>
      <c r="E251" s="1" t="str">
        <f t="shared" si="41"/>
        <v>牛市</v>
      </c>
    </row>
    <row r="252" spans="1:5" x14ac:dyDescent="0.35">
      <c r="A252" s="12">
        <v>38533</v>
      </c>
      <c r="B252" s="13">
        <v>1.0757244092617519</v>
      </c>
      <c r="C252" s="88">
        <v>-20.870555555555601</v>
      </c>
      <c r="D252" s="1" t="str">
        <f t="shared" si="40"/>
        <v>牛市</v>
      </c>
      <c r="E252" s="1" t="str">
        <f t="shared" si="41"/>
        <v>牛市</v>
      </c>
    </row>
    <row r="253" spans="1:5" x14ac:dyDescent="0.35">
      <c r="A253" s="12">
        <v>38503</v>
      </c>
      <c r="B253" s="13">
        <v>-6.6532597396532021</v>
      </c>
      <c r="C253" s="88">
        <v>-20.399444444444399</v>
      </c>
      <c r="D253" s="1" t="str">
        <f t="shared" si="40"/>
        <v>熊市</v>
      </c>
      <c r="E253" s="1" t="str">
        <f t="shared" si="41"/>
        <v>牛市</v>
      </c>
    </row>
    <row r="254" spans="1:5" x14ac:dyDescent="0.35">
      <c r="A254" s="12">
        <v>38472</v>
      </c>
      <c r="B254" s="13">
        <v>-3.5041496266320982</v>
      </c>
      <c r="C254" s="88">
        <v>-46.693913043478297</v>
      </c>
      <c r="D254" s="1" t="str">
        <f t="shared" si="40"/>
        <v>熊市</v>
      </c>
      <c r="E254" s="1" t="str">
        <f t="shared" si="41"/>
        <v>牛市</v>
      </c>
    </row>
    <row r="255" spans="1:5" x14ac:dyDescent="0.35">
      <c r="A255" s="12">
        <v>38442</v>
      </c>
      <c r="B255" s="13">
        <v>-11.033767738899741</v>
      </c>
      <c r="C255" s="88">
        <v>-29.136086956521702</v>
      </c>
      <c r="D255" s="1" t="str">
        <f t="shared" si="40"/>
        <v>熊市</v>
      </c>
      <c r="E255" s="1" t="str">
        <f t="shared" si="41"/>
        <v>牛市</v>
      </c>
    </row>
    <row r="256" spans="1:5" x14ac:dyDescent="0.35">
      <c r="A256" s="12">
        <v>38411</v>
      </c>
      <c r="B256" s="13">
        <v>9.8261264751749113</v>
      </c>
      <c r="C256" s="88">
        <v>-22.86</v>
      </c>
      <c r="D256" s="1" t="str">
        <f t="shared" si="40"/>
        <v>牛市</v>
      </c>
      <c r="E256" s="1" t="str">
        <f t="shared" si="41"/>
        <v>牛市</v>
      </c>
    </row>
    <row r="257" spans="1:5" x14ac:dyDescent="0.35">
      <c r="A257" s="12">
        <v>38383</v>
      </c>
      <c r="B257" s="13">
        <v>-6.5926808522967137</v>
      </c>
      <c r="C257" s="88">
        <v>-14.762173913043499</v>
      </c>
      <c r="D257" s="1" t="str">
        <f t="shared" si="40"/>
        <v>熊市</v>
      </c>
      <c r="E257" s="1" t="str">
        <f t="shared" si="41"/>
        <v>牛市</v>
      </c>
    </row>
    <row r="258" spans="1:5" x14ac:dyDescent="0.35">
      <c r="A258" s="12">
        <v>38352</v>
      </c>
      <c r="B258" s="13">
        <v>-7.0597806957649007</v>
      </c>
      <c r="C258" s="88">
        <v>-4.4555533596838002</v>
      </c>
      <c r="D258" s="1" t="str">
        <f t="shared" si="40"/>
        <v>熊市</v>
      </c>
      <c r="E258" s="1" t="str">
        <f t="shared" si="41"/>
        <v>牛市</v>
      </c>
    </row>
    <row r="259" spans="1:5" x14ac:dyDescent="0.35">
      <c r="A259" s="12">
        <v>38321</v>
      </c>
      <c r="B259" s="13">
        <v>2.7561575216792051</v>
      </c>
      <c r="C259" s="88">
        <v>21.7471717171717</v>
      </c>
      <c r="D259" s="1" t="str">
        <f t="shared" si="40"/>
        <v>牛市</v>
      </c>
      <c r="E259" s="1" t="str">
        <f t="shared" si="41"/>
        <v>熊市</v>
      </c>
    </row>
    <row r="260" spans="1:5" x14ac:dyDescent="0.35">
      <c r="A260" s="12">
        <v>38291</v>
      </c>
      <c r="B260" s="13">
        <v>-5.7268996407965496</v>
      </c>
      <c r="C260" s="88">
        <v>-14.425808080808</v>
      </c>
      <c r="D260" s="1" t="str">
        <f t="shared" si="40"/>
        <v>熊市</v>
      </c>
      <c r="E260" s="1" t="str">
        <f t="shared" si="41"/>
        <v>牛市</v>
      </c>
    </row>
    <row r="261" spans="1:5" x14ac:dyDescent="0.35">
      <c r="A261" s="12">
        <v>38260</v>
      </c>
      <c r="B261" s="13">
        <v>5.1577329134208467</v>
      </c>
      <c r="C261" s="88">
        <v>33.138636363636301</v>
      </c>
      <c r="D261" s="1" t="str">
        <f t="shared" si="40"/>
        <v>牛市</v>
      </c>
      <c r="E261" s="1" t="str">
        <f t="shared" si="41"/>
        <v>熊市</v>
      </c>
    </row>
    <row r="262" spans="1:5" x14ac:dyDescent="0.35">
      <c r="A262" s="12">
        <v>38230</v>
      </c>
      <c r="B262" s="13">
        <v>-4.8801460015897291</v>
      </c>
      <c r="C262" s="88">
        <v>18.4709090909091</v>
      </c>
      <c r="D262" s="1" t="str">
        <f t="shared" si="40"/>
        <v>熊市</v>
      </c>
      <c r="E262" s="1" t="str">
        <f t="shared" si="41"/>
        <v>熊市</v>
      </c>
    </row>
    <row r="263" spans="1:5" x14ac:dyDescent="0.35">
      <c r="A263" s="12">
        <v>38199</v>
      </c>
      <c r="B263" s="13">
        <v>-0.892143775975068</v>
      </c>
      <c r="C263" s="88">
        <v>33.507272727272699</v>
      </c>
      <c r="D263" s="1" t="str">
        <f t="shared" ref="D263:D326" si="42">IF(B263&gt;=1,"牛市",IF(B263&lt;=-1,"熊市","震荡"))</f>
        <v>震荡</v>
      </c>
      <c r="E263" s="1" t="str">
        <f t="shared" ref="E263:E326" si="43">IF(C263&lt;=-2,"牛市",IF(C263&gt;=2,"熊市","震荡"))</f>
        <v>熊市</v>
      </c>
    </row>
    <row r="264" spans="1:5" x14ac:dyDescent="0.35">
      <c r="A264" s="12">
        <v>38168</v>
      </c>
      <c r="B264" s="13">
        <v>-11.53417616134977</v>
      </c>
      <c r="C264" s="88">
        <v>1.4556565656566001</v>
      </c>
      <c r="D264" s="1" t="str">
        <f t="shared" si="42"/>
        <v>熊市</v>
      </c>
      <c r="E264" s="1" t="str">
        <f t="shared" si="43"/>
        <v>震荡</v>
      </c>
    </row>
    <row r="265" spans="1:5" x14ac:dyDescent="0.35">
      <c r="A265" s="12">
        <v>38138</v>
      </c>
      <c r="B265" s="13">
        <v>-2.3972091718631372</v>
      </c>
      <c r="C265" s="88">
        <v>13.4581746031746</v>
      </c>
      <c r="D265" s="1" t="str">
        <f t="shared" si="42"/>
        <v>熊市</v>
      </c>
      <c r="E265" s="1" t="str">
        <f t="shared" si="43"/>
        <v>熊市</v>
      </c>
    </row>
    <row r="266" spans="1:5" x14ac:dyDescent="0.35">
      <c r="A266" s="12">
        <v>38107</v>
      </c>
      <c r="B266" s="13">
        <v>-9.6376260460906806</v>
      </c>
      <c r="C266" s="88">
        <v>28.7648447204969</v>
      </c>
      <c r="D266" s="1" t="str">
        <f t="shared" si="42"/>
        <v>熊市</v>
      </c>
      <c r="E266" s="1" t="str">
        <f t="shared" si="43"/>
        <v>熊市</v>
      </c>
    </row>
    <row r="267" spans="1:5" x14ac:dyDescent="0.35">
      <c r="A267" s="12">
        <v>38077</v>
      </c>
      <c r="B267" s="13">
        <v>3.26168046538168</v>
      </c>
      <c r="C267" s="88">
        <v>5.1428695652174001</v>
      </c>
      <c r="D267" s="1" t="str">
        <f t="shared" si="42"/>
        <v>牛市</v>
      </c>
      <c r="E267" s="1" t="str">
        <f t="shared" si="43"/>
        <v>熊市</v>
      </c>
    </row>
    <row r="268" spans="1:5" x14ac:dyDescent="0.35">
      <c r="A268" s="12">
        <v>38046</v>
      </c>
      <c r="B268" s="13">
        <v>7.6793349435083362</v>
      </c>
      <c r="C268" s="88">
        <v>4.2802222222221999</v>
      </c>
      <c r="D268" s="1" t="str">
        <f t="shared" si="42"/>
        <v>牛市</v>
      </c>
      <c r="E268" s="1" t="str">
        <f t="shared" si="43"/>
        <v>熊市</v>
      </c>
    </row>
    <row r="269" spans="1:5" x14ac:dyDescent="0.35">
      <c r="A269" s="12">
        <v>38017</v>
      </c>
      <c r="B269" s="13">
        <v>7.685796910634096</v>
      </c>
      <c r="C269" s="88">
        <v>0.52516908212559998</v>
      </c>
      <c r="D269" s="1" t="str">
        <f t="shared" si="42"/>
        <v>牛市</v>
      </c>
      <c r="E269" s="1" t="str">
        <f t="shared" si="43"/>
        <v>震荡</v>
      </c>
    </row>
    <row r="270" spans="1:5" x14ac:dyDescent="0.35">
      <c r="A270" s="12">
        <v>37986</v>
      </c>
      <c r="B270" s="13">
        <v>2.9608280666766231</v>
      </c>
      <c r="C270" s="88">
        <v>18.756292906178501</v>
      </c>
      <c r="D270" s="1" t="str">
        <f t="shared" si="42"/>
        <v>牛市</v>
      </c>
      <c r="E270" s="1" t="str">
        <f t="shared" si="43"/>
        <v>熊市</v>
      </c>
    </row>
    <row r="271" spans="1:5" x14ac:dyDescent="0.35">
      <c r="A271" s="12">
        <v>37955</v>
      </c>
      <c r="B271" s="13">
        <v>2.1279522571891718</v>
      </c>
      <c r="C271" s="88">
        <v>23.803538011695899</v>
      </c>
      <c r="D271" s="1" t="str">
        <f t="shared" si="42"/>
        <v>牛市</v>
      </c>
      <c r="E271" s="1" t="str">
        <f t="shared" si="43"/>
        <v>熊市</v>
      </c>
    </row>
    <row r="272" spans="1:5" x14ac:dyDescent="0.35">
      <c r="A272" s="12">
        <v>37925</v>
      </c>
      <c r="B272" s="13">
        <v>-4.1759294063772421</v>
      </c>
      <c r="C272" s="88">
        <v>31.0486111111111</v>
      </c>
      <c r="D272" s="1" t="str">
        <f t="shared" si="42"/>
        <v>熊市</v>
      </c>
      <c r="E272" s="1" t="str">
        <f t="shared" si="43"/>
        <v>熊市</v>
      </c>
    </row>
    <row r="273" spans="1:5" x14ac:dyDescent="0.35">
      <c r="A273" s="12">
        <v>37894</v>
      </c>
      <c r="B273" s="13">
        <v>-4.4038155819377449</v>
      </c>
      <c r="C273" s="88">
        <v>15.2230555555556</v>
      </c>
      <c r="D273" s="1" t="str">
        <f t="shared" si="42"/>
        <v>熊市</v>
      </c>
      <c r="E273" s="1" t="str">
        <f t="shared" si="43"/>
        <v>熊市</v>
      </c>
    </row>
    <row r="274" spans="1:5" x14ac:dyDescent="0.35">
      <c r="A274" s="12">
        <v>37864</v>
      </c>
      <c r="B274" s="13">
        <v>-3.01931391309797</v>
      </c>
      <c r="C274" s="88">
        <v>-5.9014975845411</v>
      </c>
      <c r="D274" s="1" t="str">
        <f t="shared" si="42"/>
        <v>熊市</v>
      </c>
      <c r="E274" s="1" t="str">
        <f t="shared" si="43"/>
        <v>牛市</v>
      </c>
    </row>
    <row r="275" spans="1:5" x14ac:dyDescent="0.35">
      <c r="A275" s="12">
        <v>37833</v>
      </c>
      <c r="B275" s="13">
        <v>-1.6446175095763691</v>
      </c>
      <c r="C275" s="88">
        <v>4.7281086956521996</v>
      </c>
      <c r="D275" s="1" t="str">
        <f t="shared" si="42"/>
        <v>熊市</v>
      </c>
      <c r="E275" s="1" t="str">
        <f t="shared" si="43"/>
        <v>熊市</v>
      </c>
    </row>
    <row r="276" spans="1:5" x14ac:dyDescent="0.35">
      <c r="A276" s="12">
        <v>37802</v>
      </c>
      <c r="B276" s="13">
        <v>-6.7399573814398099</v>
      </c>
      <c r="C276" s="88">
        <v>6.6055526315788997</v>
      </c>
      <c r="D276" s="1" t="str">
        <f t="shared" si="42"/>
        <v>熊市</v>
      </c>
      <c r="E276" s="1" t="str">
        <f t="shared" si="43"/>
        <v>熊市</v>
      </c>
    </row>
    <row r="277" spans="1:5" x14ac:dyDescent="0.35">
      <c r="A277" s="12">
        <v>37772</v>
      </c>
      <c r="B277" s="13">
        <v>4.3940377229108059</v>
      </c>
      <c r="C277" s="88">
        <v>-17.886290726816998</v>
      </c>
      <c r="D277" s="1" t="str">
        <f t="shared" si="42"/>
        <v>牛市</v>
      </c>
      <c r="E277" s="1" t="str">
        <f t="shared" si="43"/>
        <v>牛市</v>
      </c>
    </row>
    <row r="278" spans="1:5" x14ac:dyDescent="0.35">
      <c r="A278" s="12">
        <v>37741</v>
      </c>
      <c r="B278" s="13">
        <v>-1.371381627335946</v>
      </c>
      <c r="C278" s="88">
        <v>-6.6004761904761997</v>
      </c>
      <c r="D278" s="1" t="str">
        <f t="shared" si="42"/>
        <v>熊市</v>
      </c>
      <c r="E278" s="1" t="str">
        <f t="shared" si="43"/>
        <v>牛市</v>
      </c>
    </row>
    <row r="279" spans="1:5" x14ac:dyDescent="0.35">
      <c r="A279" s="12">
        <v>37711</v>
      </c>
      <c r="B279" s="13">
        <v>-1.5079090628798379</v>
      </c>
      <c r="C279" s="88">
        <v>-10.6895798319328</v>
      </c>
      <c r="D279" s="1" t="str">
        <f t="shared" si="42"/>
        <v>熊市</v>
      </c>
      <c r="E279" s="1" t="str">
        <f t="shared" si="43"/>
        <v>牛市</v>
      </c>
    </row>
    <row r="280" spans="1:5" x14ac:dyDescent="0.35">
      <c r="A280" s="12">
        <v>37680</v>
      </c>
      <c r="B280" s="13">
        <v>1.0006099410163181</v>
      </c>
      <c r="C280" s="88">
        <v>5.3148395721926001</v>
      </c>
      <c r="D280" s="1" t="str">
        <f t="shared" si="42"/>
        <v>牛市</v>
      </c>
      <c r="E280" s="1" t="str">
        <f t="shared" si="43"/>
        <v>熊市</v>
      </c>
    </row>
    <row r="281" spans="1:5" x14ac:dyDescent="0.35">
      <c r="A281" s="12">
        <v>37652</v>
      </c>
      <c r="B281" s="13">
        <v>9.9618915147784612</v>
      </c>
      <c r="C281" s="88">
        <v>-12.1745454545455</v>
      </c>
      <c r="D281" s="1" t="str">
        <f t="shared" si="42"/>
        <v>牛市</v>
      </c>
      <c r="E281" s="1" t="str">
        <f t="shared" si="43"/>
        <v>牛市</v>
      </c>
    </row>
    <row r="282" spans="1:5" x14ac:dyDescent="0.35">
      <c r="A282" s="12">
        <v>37621</v>
      </c>
      <c r="B282" s="13">
        <v>-5.4468961187091027</v>
      </c>
      <c r="C282" s="88">
        <v>-4.2764285714285997</v>
      </c>
      <c r="D282" s="1" t="str">
        <f t="shared" si="42"/>
        <v>熊市</v>
      </c>
      <c r="E282" s="1" t="str">
        <f t="shared" si="43"/>
        <v>牛市</v>
      </c>
    </row>
    <row r="283" spans="1:5" x14ac:dyDescent="0.35">
      <c r="A283" s="12">
        <v>37590</v>
      </c>
      <c r="B283" s="13">
        <v>-6.7172030225605104</v>
      </c>
      <c r="C283" s="88">
        <v>22.386428571428599</v>
      </c>
      <c r="D283" s="1" t="str">
        <f t="shared" si="42"/>
        <v>熊市</v>
      </c>
      <c r="E283" s="1" t="str">
        <f t="shared" si="43"/>
        <v>熊市</v>
      </c>
    </row>
    <row r="284" spans="1:5" x14ac:dyDescent="0.35">
      <c r="A284" s="12">
        <v>37560</v>
      </c>
      <c r="B284" s="13">
        <v>-5.1838332449555917</v>
      </c>
      <c r="C284" s="88">
        <v>-9.4819565217391002</v>
      </c>
      <c r="D284" s="1" t="str">
        <f t="shared" si="42"/>
        <v>熊市</v>
      </c>
      <c r="E284" s="1" t="str">
        <f t="shared" si="43"/>
        <v>牛市</v>
      </c>
    </row>
    <row r="285" spans="1:5" x14ac:dyDescent="0.35">
      <c r="A285" s="12">
        <v>37529</v>
      </c>
      <c r="B285" s="13">
        <v>-5.5987590395966977</v>
      </c>
      <c r="C285" s="88">
        <v>5.4045755693580997</v>
      </c>
      <c r="D285" s="1" t="str">
        <f t="shared" si="42"/>
        <v>熊市</v>
      </c>
      <c r="E285" s="1" t="str">
        <f t="shared" si="43"/>
        <v>熊市</v>
      </c>
    </row>
    <row r="286" spans="1:5" x14ac:dyDescent="0.35">
      <c r="A286" s="12">
        <v>37499</v>
      </c>
      <c r="B286" s="13">
        <v>0.73744044288311095</v>
      </c>
      <c r="C286" s="88">
        <v>39.681946169772303</v>
      </c>
      <c r="D286" s="1" t="str">
        <f t="shared" si="42"/>
        <v>震荡</v>
      </c>
      <c r="E286" s="1" t="str">
        <f t="shared" si="43"/>
        <v>熊市</v>
      </c>
    </row>
    <row r="287" spans="1:5" x14ac:dyDescent="0.35">
      <c r="A287" s="12">
        <v>37468</v>
      </c>
      <c r="B287" s="13">
        <v>-4.0648959029585416</v>
      </c>
      <c r="C287" s="88">
        <v>19.611934782608699</v>
      </c>
      <c r="D287" s="1" t="str">
        <f t="shared" si="42"/>
        <v>熊市</v>
      </c>
      <c r="E287" s="1" t="str">
        <f t="shared" si="43"/>
        <v>熊市</v>
      </c>
    </row>
    <row r="288" spans="1:5" x14ac:dyDescent="0.35">
      <c r="A288" s="12">
        <v>37437</v>
      </c>
      <c r="B288" s="13">
        <v>13.31458302719961</v>
      </c>
      <c r="C288" s="88">
        <v>3.6385000000000001</v>
      </c>
      <c r="D288" s="1" t="str">
        <f t="shared" si="42"/>
        <v>牛市</v>
      </c>
      <c r="E288" s="1" t="str">
        <f t="shared" si="43"/>
        <v>熊市</v>
      </c>
    </row>
    <row r="289" spans="1:5" x14ac:dyDescent="0.35">
      <c r="A289" s="12">
        <v>37407</v>
      </c>
      <c r="B289" s="13">
        <v>-8.6060265237574463</v>
      </c>
      <c r="C289" s="88">
        <v>-19.3683333333333</v>
      </c>
      <c r="D289" s="1" t="str">
        <f t="shared" si="42"/>
        <v>熊市</v>
      </c>
      <c r="E289" s="1" t="str">
        <f t="shared" si="43"/>
        <v>牛市</v>
      </c>
    </row>
    <row r="290" spans="1:5" x14ac:dyDescent="0.35">
      <c r="A290" s="12">
        <v>37376</v>
      </c>
      <c r="B290" s="13">
        <v>4.1384082167802969</v>
      </c>
      <c r="C290" s="88">
        <v>-33.023571428571501</v>
      </c>
      <c r="D290" s="1" t="str">
        <f t="shared" si="42"/>
        <v>牛市</v>
      </c>
      <c r="E290" s="1" t="str">
        <f t="shared" si="43"/>
        <v>牛市</v>
      </c>
    </row>
    <row r="291" spans="1:5" x14ac:dyDescent="0.35">
      <c r="A291" s="12">
        <v>37346</v>
      </c>
      <c r="B291" s="13">
        <v>6.8197863275113049</v>
      </c>
      <c r="C291" s="88">
        <v>-17.535742296918698</v>
      </c>
      <c r="D291" s="1" t="str">
        <f t="shared" si="42"/>
        <v>牛市</v>
      </c>
      <c r="E291" s="1" t="str">
        <f t="shared" si="43"/>
        <v>牛市</v>
      </c>
    </row>
    <row r="292" spans="1:5" x14ac:dyDescent="0.35">
      <c r="A292" s="12">
        <v>37315</v>
      </c>
      <c r="B292" s="13">
        <v>2.9822514842246721</v>
      </c>
      <c r="C292" s="88">
        <v>-17.575352941176501</v>
      </c>
      <c r="D292" s="1" t="str">
        <f t="shared" si="42"/>
        <v>牛市</v>
      </c>
      <c r="E292" s="1" t="str">
        <f t="shared" si="43"/>
        <v>牛市</v>
      </c>
    </row>
    <row r="293" spans="1:5" x14ac:dyDescent="0.35">
      <c r="A293" s="12">
        <v>37287</v>
      </c>
      <c r="B293" s="13">
        <v>-11.249145564817709</v>
      </c>
      <c r="C293" s="88">
        <v>0</v>
      </c>
      <c r="D293" s="1" t="str">
        <f t="shared" si="42"/>
        <v>熊市</v>
      </c>
      <c r="E293" s="1" t="str">
        <f t="shared" si="43"/>
        <v>震荡</v>
      </c>
    </row>
    <row r="294" spans="1:5" x14ac:dyDescent="0.35">
      <c r="A294" s="12">
        <v>37256</v>
      </c>
      <c r="B294" s="13">
        <v>-6.5689471532158787</v>
      </c>
      <c r="C294" s="88">
        <v>0</v>
      </c>
      <c r="D294" s="1" t="str">
        <f t="shared" si="42"/>
        <v>熊市</v>
      </c>
      <c r="E294" s="1" t="str">
        <f t="shared" si="43"/>
        <v>震荡</v>
      </c>
    </row>
    <row r="295" spans="1:5" x14ac:dyDescent="0.35">
      <c r="A295" s="12">
        <v>37225</v>
      </c>
      <c r="B295" s="13">
        <v>4.0911632834466651</v>
      </c>
      <c r="C295" s="88">
        <v>0</v>
      </c>
      <c r="D295" s="1" t="str">
        <f t="shared" si="42"/>
        <v>牛市</v>
      </c>
      <c r="E295" s="1" t="str">
        <f t="shared" si="43"/>
        <v>震荡</v>
      </c>
    </row>
    <row r="296" spans="1:5" x14ac:dyDescent="0.35">
      <c r="A296" s="12">
        <v>37195</v>
      </c>
      <c r="B296" s="13">
        <v>-4.8544813820146802</v>
      </c>
      <c r="C296" s="88">
        <v>0</v>
      </c>
      <c r="D296" s="1" t="str">
        <f t="shared" si="42"/>
        <v>熊市</v>
      </c>
      <c r="E296" s="1" t="str">
        <f t="shared" si="43"/>
        <v>震荡</v>
      </c>
    </row>
    <row r="297" spans="1:5" x14ac:dyDescent="0.35">
      <c r="A297" s="12">
        <v>37164</v>
      </c>
      <c r="B297" s="13">
        <v>-5.3243806087296024</v>
      </c>
      <c r="C297" s="88">
        <v>0</v>
      </c>
      <c r="D297" s="1" t="str">
        <f t="shared" si="42"/>
        <v>熊市</v>
      </c>
      <c r="E297" s="1" t="str">
        <f t="shared" si="43"/>
        <v>震荡</v>
      </c>
    </row>
    <row r="298" spans="1:5" x14ac:dyDescent="0.35">
      <c r="A298" s="12">
        <v>37134</v>
      </c>
      <c r="B298" s="13">
        <v>-3.4884314444367308</v>
      </c>
      <c r="C298" s="88">
        <v>0</v>
      </c>
      <c r="D298" s="1" t="str">
        <f t="shared" si="42"/>
        <v>熊市</v>
      </c>
      <c r="E298" s="1" t="str">
        <f t="shared" si="43"/>
        <v>震荡</v>
      </c>
    </row>
    <row r="299" spans="1:5" x14ac:dyDescent="0.35">
      <c r="A299" s="12">
        <v>37103</v>
      </c>
      <c r="B299" s="13">
        <v>-13.54229526601392</v>
      </c>
      <c r="C299" s="88">
        <v>0</v>
      </c>
      <c r="D299" s="1" t="str">
        <f t="shared" si="42"/>
        <v>熊市</v>
      </c>
      <c r="E299" s="1" t="str">
        <f t="shared" si="43"/>
        <v>震荡</v>
      </c>
    </row>
    <row r="300" spans="1:5" x14ac:dyDescent="0.35">
      <c r="A300" s="12">
        <v>37072</v>
      </c>
      <c r="B300" s="13">
        <v>0.59985031258254795</v>
      </c>
      <c r="C300" s="88">
        <v>0</v>
      </c>
      <c r="D300" s="1" t="str">
        <f t="shared" si="42"/>
        <v>震荡</v>
      </c>
      <c r="E300" s="1" t="str">
        <f t="shared" si="43"/>
        <v>震荡</v>
      </c>
    </row>
    <row r="301" spans="1:5" x14ac:dyDescent="0.35">
      <c r="A301" s="12">
        <v>37042</v>
      </c>
      <c r="B301" s="13">
        <v>3.7484421680733511</v>
      </c>
      <c r="C301" s="88">
        <v>0</v>
      </c>
      <c r="D301" s="1" t="str">
        <f t="shared" si="42"/>
        <v>牛市</v>
      </c>
      <c r="E301" s="1" t="str">
        <f t="shared" si="43"/>
        <v>震荡</v>
      </c>
    </row>
    <row r="302" spans="1:5" x14ac:dyDescent="0.35">
      <c r="A302" s="12">
        <v>37011</v>
      </c>
      <c r="B302" s="13">
        <v>-0.45896884094460799</v>
      </c>
      <c r="C302" s="88">
        <v>0</v>
      </c>
      <c r="D302" s="1" t="str">
        <f t="shared" si="42"/>
        <v>震荡</v>
      </c>
      <c r="E302" s="1" t="str">
        <f t="shared" si="43"/>
        <v>震荡</v>
      </c>
    </row>
    <row r="303" spans="1:5" x14ac:dyDescent="0.35">
      <c r="A303" s="12">
        <v>36981</v>
      </c>
      <c r="B303" s="13">
        <v>7.6507750072955902</v>
      </c>
      <c r="C303" s="88">
        <v>0</v>
      </c>
      <c r="D303" s="1" t="str">
        <f t="shared" si="42"/>
        <v>牛市</v>
      </c>
      <c r="E303" s="1" t="str">
        <f t="shared" si="43"/>
        <v>震荡</v>
      </c>
    </row>
    <row r="304" spans="1:5" x14ac:dyDescent="0.35">
      <c r="A304" s="12">
        <v>36950</v>
      </c>
      <c r="B304" s="13">
        <v>-5.9608682761835778</v>
      </c>
      <c r="C304" s="88">
        <v>0</v>
      </c>
      <c r="D304" s="1" t="str">
        <f t="shared" si="42"/>
        <v>熊市</v>
      </c>
      <c r="E304" s="1" t="str">
        <f t="shared" si="43"/>
        <v>震荡</v>
      </c>
    </row>
    <row r="305" spans="1:5" x14ac:dyDescent="0.35">
      <c r="A305" s="12">
        <v>36922</v>
      </c>
      <c r="B305" s="13">
        <v>-1.005323423496119</v>
      </c>
      <c r="C305" s="88">
        <v>0</v>
      </c>
      <c r="D305" s="1" t="str">
        <f t="shared" si="42"/>
        <v>熊市</v>
      </c>
      <c r="E305" s="1" t="str">
        <f t="shared" si="43"/>
        <v>震荡</v>
      </c>
    </row>
    <row r="306" spans="1:5" x14ac:dyDescent="0.35">
      <c r="A306" s="12">
        <v>36891</v>
      </c>
      <c r="B306" s="13">
        <v>-0.184919577261346</v>
      </c>
      <c r="C306" s="88">
        <v>0</v>
      </c>
      <c r="D306" s="1" t="str">
        <f t="shared" si="42"/>
        <v>震荡</v>
      </c>
      <c r="E306" s="1" t="str">
        <f t="shared" si="43"/>
        <v>震荡</v>
      </c>
    </row>
    <row r="307" spans="1:5" x14ac:dyDescent="0.35">
      <c r="A307" s="12">
        <v>36860</v>
      </c>
      <c r="B307" s="13">
        <v>5.3667992843410932</v>
      </c>
      <c r="C307" s="88">
        <v>0</v>
      </c>
      <c r="D307" s="1" t="str">
        <f t="shared" si="42"/>
        <v>牛市</v>
      </c>
      <c r="E307" s="1" t="str">
        <f t="shared" si="43"/>
        <v>震荡</v>
      </c>
    </row>
    <row r="308" spans="1:5" x14ac:dyDescent="0.35">
      <c r="A308" s="12">
        <v>36830</v>
      </c>
      <c r="B308" s="13">
        <v>2.7546565831199721</v>
      </c>
      <c r="C308" s="88">
        <v>0</v>
      </c>
      <c r="D308" s="1" t="str">
        <f t="shared" si="42"/>
        <v>牛市</v>
      </c>
      <c r="E308" s="1" t="str">
        <f t="shared" si="43"/>
        <v>震荡</v>
      </c>
    </row>
    <row r="309" spans="1:5" x14ac:dyDescent="0.35">
      <c r="A309" s="12">
        <v>36799</v>
      </c>
      <c r="B309" s="13">
        <v>-4.5478798302419996</v>
      </c>
      <c r="C309" s="88">
        <v>0</v>
      </c>
      <c r="D309" s="1" t="str">
        <f t="shared" si="42"/>
        <v>熊市</v>
      </c>
      <c r="E309" s="1" t="str">
        <f t="shared" si="43"/>
        <v>震荡</v>
      </c>
    </row>
    <row r="310" spans="1:5" x14ac:dyDescent="0.35">
      <c r="A310" s="12">
        <v>36769</v>
      </c>
      <c r="B310" s="13">
        <v>-0.54867333707937704</v>
      </c>
      <c r="C310" s="88">
        <v>0</v>
      </c>
      <c r="D310" s="1" t="str">
        <f t="shared" si="42"/>
        <v>震荡</v>
      </c>
      <c r="E310" s="1" t="str">
        <f t="shared" si="43"/>
        <v>震荡</v>
      </c>
    </row>
    <row r="311" spans="1:5" x14ac:dyDescent="0.35">
      <c r="A311" s="12">
        <v>36738</v>
      </c>
      <c r="B311" s="13">
        <v>4.228043919577761</v>
      </c>
      <c r="C311" s="88">
        <v>0</v>
      </c>
      <c r="D311" s="1" t="str">
        <f t="shared" si="42"/>
        <v>牛市</v>
      </c>
      <c r="E311" s="1" t="str">
        <f t="shared" si="43"/>
        <v>震荡</v>
      </c>
    </row>
    <row r="312" spans="1:5" x14ac:dyDescent="0.35">
      <c r="A312" s="12">
        <v>36707</v>
      </c>
      <c r="B312" s="13">
        <v>2.6250789356055151</v>
      </c>
      <c r="C312" s="88">
        <v>0</v>
      </c>
      <c r="D312" s="1" t="str">
        <f t="shared" si="42"/>
        <v>牛市</v>
      </c>
      <c r="E312" s="1" t="str">
        <f t="shared" si="43"/>
        <v>震荡</v>
      </c>
    </row>
    <row r="313" spans="1:5" x14ac:dyDescent="0.35">
      <c r="A313" s="12">
        <v>36677</v>
      </c>
      <c r="B313" s="13">
        <v>2.84395124782223</v>
      </c>
      <c r="C313" s="88">
        <v>0</v>
      </c>
      <c r="D313" s="1" t="str">
        <f t="shared" si="42"/>
        <v>牛市</v>
      </c>
      <c r="E313" s="1" t="str">
        <f t="shared" si="43"/>
        <v>震荡</v>
      </c>
    </row>
    <row r="314" spans="1:5" x14ac:dyDescent="0.35">
      <c r="A314" s="12">
        <v>36646</v>
      </c>
      <c r="B314" s="13">
        <v>1.297090147899864</v>
      </c>
      <c r="C314" s="88">
        <v>0</v>
      </c>
      <c r="D314" s="1" t="str">
        <f t="shared" si="42"/>
        <v>牛市</v>
      </c>
      <c r="E314" s="1" t="str">
        <f t="shared" si="43"/>
        <v>震荡</v>
      </c>
    </row>
    <row r="315" spans="1:5" x14ac:dyDescent="0.35">
      <c r="A315" s="12">
        <v>36616</v>
      </c>
      <c r="B315" s="13">
        <v>5.5353635301618187</v>
      </c>
      <c r="C315" s="88">
        <v>0</v>
      </c>
      <c r="D315" s="1" t="str">
        <f t="shared" si="42"/>
        <v>牛市</v>
      </c>
      <c r="E315" s="1" t="str">
        <f t="shared" si="43"/>
        <v>震荡</v>
      </c>
    </row>
    <row r="316" spans="1:5" x14ac:dyDescent="0.35">
      <c r="A316" s="12">
        <v>36585</v>
      </c>
      <c r="B316" s="13">
        <v>12.20791142833661</v>
      </c>
      <c r="C316" s="88">
        <v>0</v>
      </c>
      <c r="D316" s="1" t="str">
        <f t="shared" si="42"/>
        <v>牛市</v>
      </c>
      <c r="E316" s="1" t="str">
        <f t="shared" si="43"/>
        <v>震荡</v>
      </c>
    </row>
    <row r="317" spans="1:5" x14ac:dyDescent="0.35">
      <c r="A317" s="12">
        <v>36556</v>
      </c>
      <c r="B317" s="13">
        <v>16.078659999999999</v>
      </c>
      <c r="C317" s="88">
        <v>0</v>
      </c>
      <c r="D317" s="1" t="str">
        <f t="shared" si="42"/>
        <v>牛市</v>
      </c>
      <c r="E317" s="1" t="str">
        <f t="shared" si="43"/>
        <v>震荡</v>
      </c>
    </row>
    <row r="318" spans="1:5" x14ac:dyDescent="0.35">
      <c r="A318" s="12">
        <v>36525</v>
      </c>
      <c r="B318" s="13">
        <v>-4.9696682187020453</v>
      </c>
      <c r="C318" s="88">
        <v>0</v>
      </c>
      <c r="D318" s="1" t="str">
        <f t="shared" si="42"/>
        <v>熊市</v>
      </c>
      <c r="E318" s="1" t="str">
        <f t="shared" si="43"/>
        <v>震荡</v>
      </c>
    </row>
    <row r="319" spans="1:5" x14ac:dyDescent="0.35">
      <c r="A319" s="12">
        <v>36494</v>
      </c>
      <c r="B319" s="13">
        <v>-4.3578918475282276</v>
      </c>
      <c r="C319" s="88">
        <v>0</v>
      </c>
      <c r="D319" s="1" t="str">
        <f t="shared" si="42"/>
        <v>熊市</v>
      </c>
      <c r="E319" s="1" t="str">
        <f t="shared" si="43"/>
        <v>震荡</v>
      </c>
    </row>
    <row r="320" spans="1:5" x14ac:dyDescent="0.35">
      <c r="A320" s="12">
        <v>36464</v>
      </c>
      <c r="B320" s="13">
        <v>-4.6405691457994092</v>
      </c>
      <c r="C320" s="88">
        <v>0</v>
      </c>
      <c r="D320" s="1" t="str">
        <f t="shared" si="42"/>
        <v>熊市</v>
      </c>
      <c r="E320" s="1" t="str">
        <f t="shared" si="43"/>
        <v>震荡</v>
      </c>
    </row>
    <row r="321" spans="1:5" x14ac:dyDescent="0.35">
      <c r="A321" s="12">
        <v>36433</v>
      </c>
      <c r="B321" s="13">
        <v>-2.579958621704042</v>
      </c>
      <c r="C321" s="88">
        <v>0</v>
      </c>
      <c r="D321" s="1" t="str">
        <f t="shared" si="42"/>
        <v>熊市</v>
      </c>
      <c r="E321" s="1" t="str">
        <f t="shared" si="43"/>
        <v>震荡</v>
      </c>
    </row>
    <row r="322" spans="1:5" x14ac:dyDescent="0.35">
      <c r="A322" s="12">
        <v>36403</v>
      </c>
      <c r="B322" s="13">
        <v>0.77872567242789503</v>
      </c>
      <c r="C322" s="88">
        <v>0</v>
      </c>
      <c r="D322" s="1" t="str">
        <f t="shared" si="42"/>
        <v>震荡</v>
      </c>
      <c r="E322" s="1" t="str">
        <f t="shared" si="43"/>
        <v>震荡</v>
      </c>
    </row>
    <row r="323" spans="1:5" x14ac:dyDescent="0.35">
      <c r="A323" s="12">
        <v>36372</v>
      </c>
      <c r="B323" s="13">
        <v>-6.3070702377352381</v>
      </c>
      <c r="C323" s="88">
        <v>0</v>
      </c>
      <c r="D323" s="1" t="str">
        <f t="shared" si="42"/>
        <v>熊市</v>
      </c>
      <c r="E323" s="1" t="str">
        <f t="shared" si="43"/>
        <v>震荡</v>
      </c>
    </row>
    <row r="324" spans="1:5" x14ac:dyDescent="0.35">
      <c r="A324" s="12">
        <v>36341</v>
      </c>
      <c r="B324" s="13">
        <v>35.858607685578043</v>
      </c>
      <c r="C324" s="88">
        <v>0</v>
      </c>
      <c r="D324" s="1" t="str">
        <f t="shared" si="42"/>
        <v>牛市</v>
      </c>
      <c r="E324" s="1" t="str">
        <f t="shared" si="43"/>
        <v>震荡</v>
      </c>
    </row>
    <row r="325" spans="1:5" x14ac:dyDescent="0.35">
      <c r="A325" s="12">
        <v>36311</v>
      </c>
      <c r="B325" s="13">
        <v>11.34484813853658</v>
      </c>
      <c r="C325" s="88">
        <v>0</v>
      </c>
      <c r="D325" s="1" t="str">
        <f t="shared" si="42"/>
        <v>牛市</v>
      </c>
      <c r="E325" s="1" t="str">
        <f t="shared" si="43"/>
        <v>震荡</v>
      </c>
    </row>
    <row r="326" spans="1:5" x14ac:dyDescent="0.35">
      <c r="A326" s="12">
        <v>36280</v>
      </c>
      <c r="B326" s="13">
        <v>-3.6307479171255079</v>
      </c>
      <c r="C326" s="88">
        <v>0</v>
      </c>
      <c r="D326" s="1" t="str">
        <f t="shared" si="42"/>
        <v>熊市</v>
      </c>
      <c r="E326" s="1" t="str">
        <f t="shared" si="43"/>
        <v>震荡</v>
      </c>
    </row>
    <row r="327" spans="1:5" x14ac:dyDescent="0.35">
      <c r="A327" s="12">
        <v>36250</v>
      </c>
      <c r="B327" s="13">
        <v>6.489843166847221</v>
      </c>
      <c r="C327" s="88">
        <v>0</v>
      </c>
      <c r="D327" s="1" t="str">
        <f t="shared" ref="D327:D358" si="44">IF(B327&gt;=1,"牛市",IF(B327&lt;=-1,"熊市","震荡"))</f>
        <v>牛市</v>
      </c>
      <c r="E327" s="1" t="str">
        <f t="shared" ref="E327:E358" si="45">IF(C327&lt;=-2,"牛市",IF(C327&gt;=2,"熊市","震荡"))</f>
        <v>震荡</v>
      </c>
    </row>
    <row r="328" spans="1:5" x14ac:dyDescent="0.35">
      <c r="A328" s="12">
        <v>36219</v>
      </c>
      <c r="B328" s="13">
        <v>-4.2891373820839931</v>
      </c>
      <c r="C328" s="88">
        <v>0</v>
      </c>
      <c r="D328" s="1" t="str">
        <f t="shared" si="44"/>
        <v>熊市</v>
      </c>
      <c r="E328" s="1" t="str">
        <f t="shared" si="45"/>
        <v>震荡</v>
      </c>
    </row>
    <row r="329" spans="1:5" x14ac:dyDescent="0.35">
      <c r="A329" s="12">
        <v>36191</v>
      </c>
      <c r="B329" s="13">
        <v>-0.434033204011882</v>
      </c>
      <c r="C329" s="88">
        <v>0</v>
      </c>
      <c r="D329" s="1" t="str">
        <f t="shared" si="44"/>
        <v>震荡</v>
      </c>
      <c r="E329" s="1" t="str">
        <f t="shared" si="45"/>
        <v>震荡</v>
      </c>
    </row>
    <row r="330" spans="1:5" x14ac:dyDescent="0.35">
      <c r="A330" s="12">
        <v>36160</v>
      </c>
      <c r="B330" s="13">
        <v>-8.4244090572695907</v>
      </c>
      <c r="C330" s="88">
        <v>0</v>
      </c>
      <c r="D330" s="1" t="str">
        <f t="shared" si="44"/>
        <v>熊市</v>
      </c>
      <c r="E330" s="1" t="str">
        <f t="shared" si="45"/>
        <v>震荡</v>
      </c>
    </row>
    <row r="331" spans="1:5" x14ac:dyDescent="0.35">
      <c r="A331" s="12">
        <v>36129</v>
      </c>
      <c r="B331" s="13">
        <v>2.1863355709942369</v>
      </c>
      <c r="C331" s="88">
        <v>0</v>
      </c>
      <c r="D331" s="1" t="str">
        <f t="shared" si="44"/>
        <v>牛市</v>
      </c>
      <c r="E331" s="1" t="str">
        <f t="shared" si="45"/>
        <v>震荡</v>
      </c>
    </row>
    <row r="332" spans="1:5" x14ac:dyDescent="0.35">
      <c r="A332" s="12">
        <v>36099</v>
      </c>
      <c r="B332" s="13">
        <v>-0.96588967097688905</v>
      </c>
      <c r="C332" s="88">
        <v>0</v>
      </c>
      <c r="D332" s="1" t="str">
        <f t="shared" si="44"/>
        <v>震荡</v>
      </c>
      <c r="E332" s="1" t="str">
        <f t="shared" si="45"/>
        <v>震荡</v>
      </c>
    </row>
    <row r="333" spans="1:5" x14ac:dyDescent="0.35">
      <c r="A333" s="12">
        <v>36068</v>
      </c>
      <c r="B333" s="13">
        <v>7.4261280841855104</v>
      </c>
      <c r="C333" s="88">
        <v>0</v>
      </c>
      <c r="D333" s="1" t="str">
        <f t="shared" si="44"/>
        <v>牛市</v>
      </c>
      <c r="E333" s="1" t="str">
        <f t="shared" si="45"/>
        <v>震荡</v>
      </c>
    </row>
    <row r="334" spans="1:5" x14ac:dyDescent="0.35">
      <c r="A334" s="12">
        <v>36038</v>
      </c>
      <c r="B334" s="13">
        <v>-12.07658407727042</v>
      </c>
      <c r="C334" s="88">
        <v>0</v>
      </c>
      <c r="D334" s="1" t="str">
        <f t="shared" si="44"/>
        <v>熊市</v>
      </c>
      <c r="E334" s="1" t="str">
        <f t="shared" si="45"/>
        <v>震荡</v>
      </c>
    </row>
    <row r="335" spans="1:5" x14ac:dyDescent="0.35">
      <c r="A335" s="12">
        <v>36007</v>
      </c>
      <c r="B335" s="13">
        <v>-1.3535360077954219</v>
      </c>
      <c r="C335" s="88">
        <v>0</v>
      </c>
      <c r="D335" s="1" t="str">
        <f t="shared" si="44"/>
        <v>熊市</v>
      </c>
      <c r="E335" s="1" t="str">
        <f t="shared" si="45"/>
        <v>震荡</v>
      </c>
    </row>
    <row r="336" spans="1:5" x14ac:dyDescent="0.35">
      <c r="A336" s="12">
        <v>35976</v>
      </c>
      <c r="B336" s="13">
        <v>-4.9398829781610738</v>
      </c>
      <c r="C336" s="88">
        <v>0</v>
      </c>
      <c r="D336" s="1" t="str">
        <f t="shared" si="44"/>
        <v>熊市</v>
      </c>
      <c r="E336" s="1" t="str">
        <f t="shared" si="45"/>
        <v>震荡</v>
      </c>
    </row>
    <row r="337" spans="1:5" x14ac:dyDescent="0.35">
      <c r="A337" s="12">
        <v>35946</v>
      </c>
      <c r="B337" s="13">
        <v>5.306505443504216</v>
      </c>
      <c r="C337" s="88">
        <v>0</v>
      </c>
      <c r="D337" s="1" t="str">
        <f t="shared" si="44"/>
        <v>牛市</v>
      </c>
      <c r="E337" s="1" t="str">
        <f t="shared" si="45"/>
        <v>震荡</v>
      </c>
    </row>
    <row r="338" spans="1:5" x14ac:dyDescent="0.35">
      <c r="A338" s="12">
        <v>35915</v>
      </c>
      <c r="B338" s="13">
        <v>10.24736527278584</v>
      </c>
      <c r="C338" s="88">
        <v>0</v>
      </c>
      <c r="D338" s="1" t="str">
        <f t="shared" si="44"/>
        <v>牛市</v>
      </c>
      <c r="E338" s="1" t="str">
        <f t="shared" si="45"/>
        <v>震荡</v>
      </c>
    </row>
    <row r="339" spans="1:5" x14ac:dyDescent="0.35">
      <c r="A339" s="12">
        <v>35885</v>
      </c>
      <c r="B339" s="13">
        <v>2.3194573614972169</v>
      </c>
      <c r="C339" s="88">
        <v>0</v>
      </c>
      <c r="D339" s="1" t="str">
        <f t="shared" si="44"/>
        <v>牛市</v>
      </c>
      <c r="E339" s="1" t="str">
        <f t="shared" si="45"/>
        <v>震荡</v>
      </c>
    </row>
    <row r="340" spans="1:5" x14ac:dyDescent="0.35">
      <c r="A340" s="12">
        <v>35854</v>
      </c>
      <c r="B340" s="13">
        <v>-2.822584790976848</v>
      </c>
      <c r="C340" s="88">
        <v>0</v>
      </c>
      <c r="D340" s="1" t="str">
        <f t="shared" si="44"/>
        <v>熊市</v>
      </c>
      <c r="E340" s="1" t="str">
        <f t="shared" si="45"/>
        <v>震荡</v>
      </c>
    </row>
    <row r="341" spans="1:5" x14ac:dyDescent="0.35">
      <c r="A341" s="12">
        <v>35826</v>
      </c>
      <c r="B341" s="13">
        <v>2.416351813974996</v>
      </c>
      <c r="C341" s="88">
        <v>0</v>
      </c>
      <c r="D341" s="1" t="str">
        <f t="shared" si="44"/>
        <v>牛市</v>
      </c>
      <c r="E341" s="1" t="str">
        <f t="shared" si="45"/>
        <v>震荡</v>
      </c>
    </row>
    <row r="342" spans="1:5" x14ac:dyDescent="0.35">
      <c r="A342" s="12">
        <v>35795</v>
      </c>
      <c r="B342" s="13">
        <v>6.7658924565409571</v>
      </c>
      <c r="C342" s="88">
        <v>0</v>
      </c>
      <c r="D342" s="1" t="str">
        <f t="shared" si="44"/>
        <v>牛市</v>
      </c>
      <c r="E342" s="1" t="str">
        <f t="shared" si="45"/>
        <v>震荡</v>
      </c>
    </row>
    <row r="343" spans="1:5" x14ac:dyDescent="0.35">
      <c r="A343" s="12">
        <v>35764</v>
      </c>
      <c r="B343" s="13">
        <v>-4.7341855529347718</v>
      </c>
      <c r="C343" s="88">
        <v>0</v>
      </c>
      <c r="D343" s="1" t="str">
        <f t="shared" si="44"/>
        <v>熊市</v>
      </c>
      <c r="E343" s="1" t="str">
        <f t="shared" si="45"/>
        <v>震荡</v>
      </c>
    </row>
    <row r="344" spans="1:5" x14ac:dyDescent="0.35">
      <c r="A344" s="12">
        <v>35734</v>
      </c>
      <c r="B344" s="13">
        <v>14.496798377988799</v>
      </c>
      <c r="C344" s="88">
        <v>0</v>
      </c>
      <c r="D344" s="1" t="str">
        <f t="shared" si="44"/>
        <v>牛市</v>
      </c>
      <c r="E344" s="1" t="str">
        <f t="shared" si="45"/>
        <v>震荡</v>
      </c>
    </row>
    <row r="345" spans="1:5" x14ac:dyDescent="0.35">
      <c r="A345" s="12">
        <v>35703</v>
      </c>
      <c r="B345" s="13">
        <v>-10.61560015388485</v>
      </c>
      <c r="C345" s="88">
        <v>0</v>
      </c>
      <c r="D345" s="1" t="str">
        <f t="shared" si="44"/>
        <v>熊市</v>
      </c>
      <c r="E345" s="1" t="str">
        <f t="shared" si="45"/>
        <v>震荡</v>
      </c>
    </row>
    <row r="346" spans="1:5" x14ac:dyDescent="0.35">
      <c r="A346" s="12">
        <v>35673</v>
      </c>
      <c r="B346" s="13">
        <v>-1.5537157706267659</v>
      </c>
      <c r="C346" s="88">
        <v>0</v>
      </c>
      <c r="D346" s="1" t="str">
        <f t="shared" si="44"/>
        <v>熊市</v>
      </c>
      <c r="E346" s="1" t="str">
        <f t="shared" si="45"/>
        <v>震荡</v>
      </c>
    </row>
    <row r="347" spans="1:5" x14ac:dyDescent="0.35">
      <c r="A347" s="12">
        <v>35642</v>
      </c>
      <c r="B347" s="13">
        <v>-6.0521208632433954</v>
      </c>
      <c r="C347" s="88">
        <v>0</v>
      </c>
      <c r="D347" s="1" t="str">
        <f t="shared" si="44"/>
        <v>熊市</v>
      </c>
      <c r="E347" s="1" t="str">
        <f t="shared" si="45"/>
        <v>震荡</v>
      </c>
    </row>
    <row r="348" spans="1:5" x14ac:dyDescent="0.35">
      <c r="A348" s="12">
        <v>35611</v>
      </c>
      <c r="B348" s="13">
        <v>-1.6810777723005581</v>
      </c>
      <c r="C348" s="88">
        <v>0</v>
      </c>
      <c r="D348" s="1" t="str">
        <f t="shared" si="44"/>
        <v>熊市</v>
      </c>
      <c r="E348" s="1" t="str">
        <f t="shared" si="45"/>
        <v>震荡</v>
      </c>
    </row>
    <row r="349" spans="1:5" x14ac:dyDescent="0.35">
      <c r="A349" s="12">
        <v>35581</v>
      </c>
      <c r="B349" s="13">
        <v>-9.2597138453761492</v>
      </c>
      <c r="C349" s="88">
        <v>0</v>
      </c>
      <c r="D349" s="1" t="str">
        <f t="shared" si="44"/>
        <v>熊市</v>
      </c>
      <c r="E349" s="1" t="str">
        <f t="shared" si="45"/>
        <v>震荡</v>
      </c>
    </row>
    <row r="350" spans="1:5" x14ac:dyDescent="0.35">
      <c r="A350" s="12">
        <v>35550</v>
      </c>
      <c r="B350" s="13">
        <v>10.41559226769237</v>
      </c>
      <c r="C350" s="88">
        <v>0</v>
      </c>
      <c r="D350" s="1" t="str">
        <f t="shared" si="44"/>
        <v>牛市</v>
      </c>
      <c r="E350" s="1" t="str">
        <f t="shared" si="45"/>
        <v>震荡</v>
      </c>
    </row>
    <row r="351" spans="1:5" x14ac:dyDescent="0.35">
      <c r="A351" s="12">
        <v>35520</v>
      </c>
      <c r="B351" s="13">
        <v>18.838867786379598</v>
      </c>
      <c r="C351" s="88">
        <v>0</v>
      </c>
      <c r="D351" s="1" t="str">
        <f t="shared" si="44"/>
        <v>牛市</v>
      </c>
      <c r="E351" s="1" t="str">
        <f t="shared" si="45"/>
        <v>震荡</v>
      </c>
    </row>
    <row r="352" spans="1:5" x14ac:dyDescent="0.35">
      <c r="A352" s="12">
        <v>35489</v>
      </c>
      <c r="B352" s="13">
        <v>5.108156739717554</v>
      </c>
      <c r="C352" s="88">
        <v>0</v>
      </c>
      <c r="D352" s="1" t="str">
        <f t="shared" si="44"/>
        <v>牛市</v>
      </c>
      <c r="E352" s="1" t="str">
        <f t="shared" si="45"/>
        <v>震荡</v>
      </c>
    </row>
    <row r="353" spans="1:13" x14ac:dyDescent="0.35">
      <c r="A353" s="12">
        <v>35461</v>
      </c>
      <c r="B353" s="13">
        <v>7.2910247704302664</v>
      </c>
      <c r="C353" s="88">
        <v>0</v>
      </c>
      <c r="D353" s="1" t="str">
        <f t="shared" si="44"/>
        <v>牛市</v>
      </c>
      <c r="E353" s="1" t="str">
        <f t="shared" si="45"/>
        <v>震荡</v>
      </c>
    </row>
    <row r="354" spans="1:13" x14ac:dyDescent="0.35">
      <c r="A354" s="12">
        <v>35430</v>
      </c>
      <c r="B354" s="13">
        <v>-15.90692535333479</v>
      </c>
      <c r="C354" s="88">
        <v>0</v>
      </c>
      <c r="D354" s="1" t="str">
        <f t="shared" si="44"/>
        <v>熊市</v>
      </c>
      <c r="E354" s="1" t="str">
        <f t="shared" si="45"/>
        <v>震荡</v>
      </c>
    </row>
    <row r="355" spans="1:13" x14ac:dyDescent="0.35">
      <c r="A355" s="12">
        <v>35399</v>
      </c>
      <c r="B355" s="13">
        <v>10.88683466306669</v>
      </c>
      <c r="C355" s="88">
        <v>0</v>
      </c>
      <c r="D355" s="1" t="str">
        <f t="shared" si="44"/>
        <v>牛市</v>
      </c>
      <c r="E355" s="1" t="str">
        <f t="shared" si="45"/>
        <v>震荡</v>
      </c>
    </row>
    <row r="356" spans="1:13" x14ac:dyDescent="0.35">
      <c r="A356" s="12">
        <v>35369</v>
      </c>
      <c r="B356" s="13">
        <v>20.211047167306869</v>
      </c>
      <c r="C356" s="88">
        <v>0</v>
      </c>
      <c r="D356" s="1" t="str">
        <f t="shared" si="44"/>
        <v>牛市</v>
      </c>
      <c r="E356" s="1" t="str">
        <f t="shared" si="45"/>
        <v>震荡</v>
      </c>
    </row>
    <row r="357" spans="1:13" x14ac:dyDescent="0.35">
      <c r="A357" s="12">
        <v>35338</v>
      </c>
      <c r="B357" s="13">
        <v>5.7630605342110153</v>
      </c>
      <c r="C357" s="88">
        <v>0</v>
      </c>
      <c r="D357" s="1" t="str">
        <f t="shared" si="44"/>
        <v>牛市</v>
      </c>
      <c r="E357" s="1" t="str">
        <f t="shared" si="45"/>
        <v>震荡</v>
      </c>
    </row>
    <row r="358" spans="1:13" x14ac:dyDescent="0.35">
      <c r="A358" s="12">
        <v>35308</v>
      </c>
      <c r="B358" s="13">
        <v>0.55189619045092098</v>
      </c>
      <c r="C358" s="88">
        <v>0</v>
      </c>
      <c r="D358" s="1" t="str">
        <f t="shared" si="44"/>
        <v>震荡</v>
      </c>
      <c r="E358" s="1" t="str">
        <f t="shared" si="45"/>
        <v>震荡</v>
      </c>
    </row>
    <row r="359" spans="1:13" x14ac:dyDescent="0.35">
      <c r="A359" s="12">
        <v>35277</v>
      </c>
      <c r="B359" s="13">
        <v>16.675299564942389</v>
      </c>
      <c r="C359" s="88">
        <v>0</v>
      </c>
      <c r="G359" s="89"/>
      <c r="H359" s="90"/>
      <c r="L359" s="89"/>
      <c r="M359" s="90"/>
    </row>
    <row r="360" spans="1:13" x14ac:dyDescent="0.35">
      <c r="A360" s="12">
        <v>35246</v>
      </c>
      <c r="B360" s="13">
        <v>20.373800910024841</v>
      </c>
      <c r="C360" s="88">
        <v>0</v>
      </c>
      <c r="G360" s="89"/>
      <c r="H360" s="90"/>
      <c r="L360" s="89"/>
      <c r="M360" s="90"/>
    </row>
    <row r="361" spans="1:13" x14ac:dyDescent="0.35">
      <c r="A361" s="12">
        <v>35216</v>
      </c>
      <c r="B361" s="13">
        <v>-3.993289995157367</v>
      </c>
      <c r="C361" s="88">
        <v>0</v>
      </c>
      <c r="G361" s="89"/>
      <c r="H361" s="90"/>
      <c r="L361" s="89"/>
      <c r="M361" s="90"/>
    </row>
    <row r="362" spans="1:13" x14ac:dyDescent="0.35">
      <c r="A362" s="12">
        <v>35185</v>
      </c>
      <c r="B362" s="13">
        <v>30.627728602396601</v>
      </c>
      <c r="C362" s="88">
        <v>0</v>
      </c>
      <c r="G362" s="89"/>
      <c r="H362" s="90"/>
      <c r="L362" s="89"/>
      <c r="M362" s="90"/>
    </row>
    <row r="363" spans="1:13" x14ac:dyDescent="0.35">
      <c r="A363" s="12">
        <v>35155</v>
      </c>
      <c r="B363" s="13">
        <v>1.0139709103924071</v>
      </c>
      <c r="C363" s="88">
        <v>0</v>
      </c>
      <c r="G363" s="89"/>
      <c r="H363" s="90"/>
      <c r="L363" s="89"/>
      <c r="M363" s="90"/>
    </row>
    <row r="364" spans="1:13" x14ac:dyDescent="0.35">
      <c r="A364" s="12">
        <v>35124</v>
      </c>
      <c r="B364" s="13">
        <v>2.8057452863016081</v>
      </c>
      <c r="C364" s="88">
        <v>0</v>
      </c>
      <c r="G364" s="89"/>
      <c r="H364" s="90"/>
      <c r="L364" s="89"/>
      <c r="M364" s="90"/>
    </row>
    <row r="365" spans="1:13" x14ac:dyDescent="0.35">
      <c r="A365" s="12">
        <v>35095</v>
      </c>
      <c r="B365" s="13">
        <v>-3.3737402839418391</v>
      </c>
      <c r="C365" s="88">
        <v>0</v>
      </c>
      <c r="G365" s="89"/>
      <c r="H365" s="90"/>
      <c r="L365" s="89"/>
      <c r="M365" s="90"/>
    </row>
    <row r="366" spans="1:13" x14ac:dyDescent="0.35">
      <c r="A366" s="12">
        <v>35064</v>
      </c>
      <c r="B366" s="13">
        <v>-13.24037355164177</v>
      </c>
      <c r="C366" s="88">
        <v>0</v>
      </c>
      <c r="G366" s="89"/>
      <c r="H366" s="90"/>
      <c r="L366" s="89"/>
      <c r="M366" s="90"/>
    </row>
    <row r="367" spans="1:13" x14ac:dyDescent="0.35">
      <c r="A367" s="12">
        <v>35033</v>
      </c>
      <c r="B367" s="13">
        <v>-9.9371688251037309</v>
      </c>
      <c r="C367" s="88">
        <v>0</v>
      </c>
      <c r="G367" s="89"/>
      <c r="H367" s="90"/>
      <c r="L367" s="89"/>
      <c r="M367" s="90"/>
    </row>
    <row r="368" spans="1:13" x14ac:dyDescent="0.35">
      <c r="A368" s="12">
        <v>35003</v>
      </c>
      <c r="B368" s="13">
        <v>-0.15117902662419999</v>
      </c>
      <c r="C368" s="88">
        <v>0</v>
      </c>
      <c r="G368" s="89"/>
      <c r="H368" s="90"/>
      <c r="L368" s="89"/>
      <c r="M368" s="90"/>
    </row>
    <row r="369" spans="1:13" x14ac:dyDescent="0.35">
      <c r="A369" s="12">
        <v>34972</v>
      </c>
      <c r="B369" s="13">
        <v>-0.24067925511333099</v>
      </c>
      <c r="C369" s="88">
        <v>0</v>
      </c>
      <c r="G369" s="89"/>
      <c r="H369" s="90"/>
      <c r="L369" s="89"/>
      <c r="M369" s="90"/>
    </row>
    <row r="370" spans="1:13" x14ac:dyDescent="0.35">
      <c r="A370" s="12">
        <v>34942</v>
      </c>
      <c r="B370" s="13">
        <v>5.4072736517145374</v>
      </c>
      <c r="C370" s="88">
        <v>0</v>
      </c>
      <c r="G370" s="89"/>
      <c r="H370" s="90"/>
      <c r="L370" s="89"/>
      <c r="M370" s="90"/>
    </row>
    <row r="371" spans="1:13" x14ac:dyDescent="0.35">
      <c r="A371" s="12">
        <v>34911</v>
      </c>
      <c r="B371" s="13">
        <v>7.5341421192585187</v>
      </c>
      <c r="C371" s="88">
        <v>0</v>
      </c>
      <c r="G371" s="89"/>
      <c r="H371" s="90"/>
      <c r="L371" s="89"/>
      <c r="M371" s="90"/>
    </row>
    <row r="372" spans="1:13" x14ac:dyDescent="0.35">
      <c r="A372" s="12">
        <v>34880</v>
      </c>
      <c r="B372" s="13">
        <v>-8.48036118677493</v>
      </c>
      <c r="C372" s="88">
        <v>0</v>
      </c>
      <c r="G372" s="89"/>
      <c r="H372" s="90"/>
      <c r="L372" s="89"/>
      <c r="M372" s="90"/>
    </row>
    <row r="373" spans="1:13" x14ac:dyDescent="0.35">
      <c r="A373" s="12">
        <v>34850</v>
      </c>
      <c r="B373" s="13">
        <v>19.510359296986231</v>
      </c>
      <c r="C373" s="88">
        <v>0</v>
      </c>
      <c r="G373" s="89"/>
      <c r="H373" s="90"/>
      <c r="L373" s="89"/>
      <c r="M373" s="90"/>
    </row>
    <row r="374" spans="1:13" x14ac:dyDescent="0.35">
      <c r="A374" s="12">
        <v>34819</v>
      </c>
      <c r="B374" s="13">
        <v>-10.05469530795073</v>
      </c>
      <c r="C374" s="88">
        <v>0</v>
      </c>
      <c r="G374" s="89"/>
      <c r="H374" s="90"/>
      <c r="L374" s="89"/>
      <c r="M374" s="90"/>
    </row>
    <row r="375" spans="1:13" x14ac:dyDescent="0.35">
      <c r="A375" s="12">
        <v>34789</v>
      </c>
      <c r="B375" s="13">
        <v>13.8283431344733</v>
      </c>
      <c r="C375" s="88">
        <v>0</v>
      </c>
      <c r="G375" s="89"/>
      <c r="H375" s="90"/>
      <c r="L375" s="89"/>
      <c r="M375" s="90"/>
    </row>
    <row r="376" spans="1:13" x14ac:dyDescent="0.35">
      <c r="A376" s="12">
        <v>34758</v>
      </c>
      <c r="B376" s="13">
        <v>-1.2398152373558819</v>
      </c>
      <c r="C376" s="88">
        <v>0</v>
      </c>
      <c r="G376" s="89"/>
      <c r="H376" s="90"/>
      <c r="L376" s="89"/>
      <c r="M376" s="90"/>
    </row>
    <row r="377" spans="1:13" x14ac:dyDescent="0.35">
      <c r="A377" s="12">
        <v>34730</v>
      </c>
      <c r="B377" s="13">
        <v>-11.847834740425609</v>
      </c>
      <c r="C377" s="88">
        <v>0</v>
      </c>
      <c r="G377" s="89"/>
      <c r="H377" s="90"/>
      <c r="L377" s="89"/>
      <c r="M377" s="90"/>
    </row>
    <row r="378" spans="1:13" x14ac:dyDescent="0.35">
      <c r="A378" s="12">
        <v>34699</v>
      </c>
      <c r="B378" s="13">
        <v>-5.3292510847424301</v>
      </c>
      <c r="C378" s="88">
        <v>0</v>
      </c>
      <c r="G378" s="89"/>
      <c r="H378" s="90"/>
      <c r="L378" s="89"/>
      <c r="M378" s="90"/>
    </row>
    <row r="379" spans="1:13" x14ac:dyDescent="0.35">
      <c r="A379" s="12">
        <v>34668</v>
      </c>
      <c r="B379" s="13">
        <v>3.0753265942822332</v>
      </c>
      <c r="C379" s="88">
        <v>0</v>
      </c>
      <c r="G379" s="89"/>
      <c r="H379" s="90"/>
      <c r="L379" s="89"/>
      <c r="M379" s="90"/>
    </row>
    <row r="380" spans="1:13" x14ac:dyDescent="0.35">
      <c r="A380" s="12">
        <v>34638</v>
      </c>
      <c r="B380" s="13">
        <v>-17.812159148833789</v>
      </c>
      <c r="C380" s="88">
        <v>0</v>
      </c>
      <c r="G380" s="89"/>
      <c r="H380" s="90"/>
      <c r="L380" s="89"/>
      <c r="M380" s="90"/>
    </row>
    <row r="381" spans="1:13" x14ac:dyDescent="0.35">
      <c r="A381" s="12">
        <v>34607</v>
      </c>
      <c r="B381" s="13">
        <v>3.6282588086672098</v>
      </c>
      <c r="C381" s="88">
        <v>0</v>
      </c>
      <c r="G381" s="89"/>
      <c r="H381" s="90"/>
      <c r="L381" s="89"/>
      <c r="M381" s="90"/>
    </row>
    <row r="382" spans="1:13" x14ac:dyDescent="0.35">
      <c r="A382" s="12">
        <v>34577</v>
      </c>
      <c r="B382" s="13">
        <v>114.4012427361051</v>
      </c>
      <c r="C382" s="88">
        <v>0</v>
      </c>
      <c r="G382" s="89"/>
      <c r="H382" s="90"/>
      <c r="L382" s="89"/>
      <c r="M382" s="90"/>
    </row>
    <row r="383" spans="1:13" x14ac:dyDescent="0.35">
      <c r="A383" s="12">
        <v>34546</v>
      </c>
      <c r="B383" s="13">
        <v>-25.913246657249442</v>
      </c>
      <c r="C383" s="88">
        <v>0</v>
      </c>
      <c r="G383" s="89"/>
      <c r="H383" s="90"/>
      <c r="L383" s="89"/>
      <c r="M383" s="90"/>
    </row>
    <row r="384" spans="1:13" x14ac:dyDescent="0.35">
      <c r="A384" s="12">
        <v>34515</v>
      </c>
      <c r="B384" s="13">
        <v>-15.687643793082909</v>
      </c>
      <c r="C384" s="88">
        <v>0</v>
      </c>
      <c r="G384" s="89"/>
      <c r="H384" s="90"/>
      <c r="L384" s="89"/>
      <c r="M384" s="90"/>
    </row>
    <row r="385" spans="1:13" x14ac:dyDescent="0.35">
      <c r="A385" s="12">
        <v>34485</v>
      </c>
      <c r="B385" s="13">
        <v>-2.0786081356052968</v>
      </c>
      <c r="C385" s="88">
        <v>0</v>
      </c>
      <c r="G385" s="89"/>
      <c r="H385" s="90"/>
      <c r="L385" s="89"/>
      <c r="M385" s="90"/>
    </row>
    <row r="386" spans="1:13" x14ac:dyDescent="0.35">
      <c r="A386" s="12">
        <v>34454</v>
      </c>
      <c r="B386" s="13">
        <v>-15.506636719133111</v>
      </c>
      <c r="C386" s="88">
        <v>0</v>
      </c>
      <c r="G386" s="89"/>
      <c r="H386" s="90"/>
      <c r="L386" s="89"/>
      <c r="M386" s="90"/>
    </row>
    <row r="387" spans="1:13" x14ac:dyDescent="0.35">
      <c r="A387" s="12">
        <v>34424</v>
      </c>
      <c r="B387" s="13">
        <v>-9.1996540984549728</v>
      </c>
      <c r="C387" s="88">
        <v>0</v>
      </c>
      <c r="G387" s="89"/>
      <c r="H387" s="90"/>
      <c r="L387" s="89"/>
      <c r="M387" s="90"/>
    </row>
    <row r="388" spans="1:13" x14ac:dyDescent="0.35">
      <c r="A388" s="12">
        <v>34393</v>
      </c>
      <c r="B388" s="13">
        <v>1.962930098246523</v>
      </c>
      <c r="C388" s="88">
        <v>0</v>
      </c>
      <c r="G388" s="89"/>
      <c r="H388" s="90"/>
      <c r="L388" s="89"/>
      <c r="M388" s="90"/>
    </row>
    <row r="389" spans="1:13" x14ac:dyDescent="0.35">
      <c r="A389" s="12">
        <v>34365</v>
      </c>
      <c r="B389" s="13">
        <v>-10.975512151082571</v>
      </c>
      <c r="C389" s="88">
        <v>0</v>
      </c>
      <c r="G389" s="89"/>
      <c r="H389" s="90"/>
      <c r="L389" s="89"/>
      <c r="M389" s="90"/>
    </row>
    <row r="390" spans="1:13" x14ac:dyDescent="0.35">
      <c r="A390" s="12">
        <v>34334</v>
      </c>
      <c r="B390" s="13">
        <v>-8.562387320879763</v>
      </c>
      <c r="C390" s="88">
        <v>0</v>
      </c>
      <c r="G390" s="89"/>
      <c r="H390" s="90"/>
      <c r="L390" s="89"/>
      <c r="M390" s="90"/>
    </row>
    <row r="391" spans="1:13" x14ac:dyDescent="0.35">
      <c r="A391" s="12">
        <v>34303</v>
      </c>
      <c r="B391" s="13">
        <v>16.193124384169689</v>
      </c>
      <c r="C391" s="88">
        <v>0</v>
      </c>
      <c r="G391" s="89"/>
      <c r="H391" s="90"/>
      <c r="L391" s="89"/>
      <c r="M391" s="90"/>
    </row>
    <row r="392" spans="1:13" x14ac:dyDescent="0.35">
      <c r="A392" s="12">
        <v>34273</v>
      </c>
      <c r="B392" s="13">
        <v>-7.6504234147835417</v>
      </c>
      <c r="C392" s="88">
        <v>0</v>
      </c>
      <c r="G392" s="89"/>
      <c r="H392" s="90"/>
      <c r="L392" s="89"/>
      <c r="M392" s="90"/>
    </row>
    <row r="393" spans="1:13" x14ac:dyDescent="0.35">
      <c r="A393" s="12">
        <v>34242</v>
      </c>
      <c r="B393" s="13">
        <v>-2.2868390743299911</v>
      </c>
      <c r="C393" s="88">
        <v>0</v>
      </c>
      <c r="G393" s="89"/>
      <c r="H393" s="90"/>
      <c r="L393" s="89"/>
      <c r="M393" s="90"/>
    </row>
    <row r="394" spans="1:13" x14ac:dyDescent="0.35">
      <c r="A394" s="12">
        <v>34212</v>
      </c>
      <c r="B394" s="13">
        <v>7.4930215016313921</v>
      </c>
      <c r="C394" s="88">
        <v>0</v>
      </c>
      <c r="G394" s="89"/>
      <c r="H394" s="90"/>
      <c r="L394" s="89"/>
      <c r="M394" s="90"/>
    </row>
    <row r="395" spans="1:13" x14ac:dyDescent="0.35">
      <c r="A395" s="12">
        <v>34181</v>
      </c>
      <c r="B395" s="13">
        <v>-9.1798668019547094</v>
      </c>
      <c r="C395" s="88">
        <v>0</v>
      </c>
      <c r="G395" s="89"/>
      <c r="H395" s="90"/>
      <c r="L395" s="89"/>
      <c r="M395" s="90"/>
    </row>
    <row r="396" spans="1:13" x14ac:dyDescent="0.35">
      <c r="A396" s="12">
        <v>34150</v>
      </c>
      <c r="B396" s="13">
        <v>6.9112567681502961</v>
      </c>
      <c r="C396" s="88">
        <v>0</v>
      </c>
      <c r="G396" s="89"/>
      <c r="H396" s="90"/>
      <c r="L396" s="89"/>
      <c r="M396" s="90"/>
    </row>
    <row r="397" spans="1:13" x14ac:dyDescent="0.35">
      <c r="A397" s="12">
        <v>34120</v>
      </c>
      <c r="B397" s="13">
        <v>-26.06167669306835</v>
      </c>
      <c r="C397" s="88">
        <v>0</v>
      </c>
      <c r="G397" s="89"/>
      <c r="H397" s="90"/>
      <c r="L397" s="89"/>
      <c r="M397" s="90"/>
    </row>
    <row r="398" spans="1:13" x14ac:dyDescent="0.35">
      <c r="A398" s="12">
        <v>34089</v>
      </c>
      <c r="B398" s="13">
        <v>31.596922560216068</v>
      </c>
      <c r="C398" s="88">
        <v>0</v>
      </c>
      <c r="G398" s="89"/>
      <c r="H398" s="90"/>
      <c r="L398" s="89"/>
      <c r="M398" s="90"/>
    </row>
    <row r="399" spans="1:13" x14ac:dyDescent="0.35">
      <c r="A399" s="12">
        <v>34059</v>
      </c>
      <c r="B399" s="13">
        <v>-19.624080247239309</v>
      </c>
      <c r="C399" s="88">
        <v>0</v>
      </c>
      <c r="G399" s="89"/>
      <c r="H399" s="90"/>
      <c r="L399" s="89"/>
      <c r="M399" s="90"/>
    </row>
    <row r="400" spans="1:13" x14ac:dyDescent="0.35">
      <c r="A400" s="12">
        <v>34028</v>
      </c>
      <c r="B400" s="13">
        <v>17.714901350713699</v>
      </c>
      <c r="C400" s="88">
        <v>0</v>
      </c>
      <c r="G400" s="89"/>
      <c r="H400" s="90"/>
      <c r="L400" s="89"/>
      <c r="M400" s="90"/>
    </row>
    <row r="401" spans="1:13" x14ac:dyDescent="0.35">
      <c r="A401" s="12">
        <v>34000</v>
      </c>
      <c r="B401" s="13">
        <v>48.766481035789042</v>
      </c>
      <c r="C401" s="88">
        <v>0</v>
      </c>
      <c r="G401" s="89"/>
      <c r="H401" s="90"/>
      <c r="L401" s="89"/>
      <c r="M401" s="90"/>
    </row>
    <row r="402" spans="1:13" x14ac:dyDescent="0.35">
      <c r="A402" s="12">
        <v>33969</v>
      </c>
      <c r="B402" s="13">
        <v>13.7398828120005</v>
      </c>
      <c r="C402" s="88">
        <v>0</v>
      </c>
      <c r="G402" s="89"/>
      <c r="H402" s="90"/>
      <c r="L402" s="89"/>
      <c r="M402" s="90"/>
    </row>
    <row r="403" spans="1:13" x14ac:dyDescent="0.35">
      <c r="A403" s="12">
        <v>33938</v>
      </c>
      <c r="B403" s="13">
        <v>13.99759795548893</v>
      </c>
      <c r="C403" s="88">
        <v>0</v>
      </c>
      <c r="G403" s="89"/>
      <c r="H403" s="90"/>
      <c r="L403" s="89"/>
      <c r="M403" s="90"/>
    </row>
    <row r="404" spans="1:13" x14ac:dyDescent="0.35">
      <c r="A404" s="12">
        <v>33908</v>
      </c>
      <c r="B404" s="13">
        <v>-21.09715365526187</v>
      </c>
      <c r="C404" s="88">
        <v>0</v>
      </c>
      <c r="G404" s="89"/>
      <c r="H404" s="90"/>
      <c r="L404" s="89"/>
      <c r="M404" s="90"/>
    </row>
    <row r="405" spans="1:13" x14ac:dyDescent="0.35">
      <c r="A405" s="12">
        <v>33877</v>
      </c>
      <c r="B405" s="13">
        <v>-5.8829213812441337</v>
      </c>
      <c r="C405" s="88">
        <v>0</v>
      </c>
      <c r="G405" s="89"/>
      <c r="H405" s="90"/>
      <c r="L405" s="89"/>
      <c r="M405" s="90"/>
    </row>
    <row r="406" spans="1:13" x14ac:dyDescent="0.35">
      <c r="A406" s="12">
        <v>33847</v>
      </c>
      <c r="B406" s="13">
        <v>-15.6147253441122</v>
      </c>
      <c r="C406" s="88">
        <v>0</v>
      </c>
      <c r="G406" s="89"/>
      <c r="H406" s="90"/>
      <c r="L406" s="89"/>
      <c r="M406" s="90"/>
    </row>
    <row r="407" spans="1:13" x14ac:dyDescent="0.35">
      <c r="A407" s="12">
        <v>33816</v>
      </c>
      <c r="B407" s="13">
        <v>0.99692033233227995</v>
      </c>
      <c r="C407" s="88">
        <v>0</v>
      </c>
      <c r="G407" s="89"/>
      <c r="H407" s="90"/>
      <c r="L407" s="89"/>
      <c r="M407" s="90"/>
    </row>
    <row r="408" spans="1:13" x14ac:dyDescent="0.35">
      <c r="A408" s="12">
        <v>33785</v>
      </c>
      <c r="B408" s="13">
        <v>-1.9912554928847499</v>
      </c>
      <c r="C408" s="88">
        <v>0</v>
      </c>
      <c r="G408" s="89"/>
      <c r="H408" s="90"/>
      <c r="L408" s="89"/>
      <c r="M408" s="90"/>
    </row>
    <row r="409" spans="1:13" x14ac:dyDescent="0.35">
      <c r="A409" s="12">
        <v>33755</v>
      </c>
      <c r="B409" s="13">
        <v>93.807138970610552</v>
      </c>
      <c r="C409" s="88">
        <v>0</v>
      </c>
      <c r="G409" s="89"/>
      <c r="H409" s="90"/>
      <c r="L409" s="89"/>
      <c r="M409" s="90"/>
    </row>
    <row r="410" spans="1:13" x14ac:dyDescent="0.35">
      <c r="A410" s="12">
        <v>33724</v>
      </c>
      <c r="B410" s="13">
        <v>47.471420719285149</v>
      </c>
      <c r="C410" s="88">
        <v>0</v>
      </c>
      <c r="G410" s="89"/>
      <c r="H410" s="90"/>
      <c r="L410" s="89"/>
      <c r="M410" s="90"/>
    </row>
    <row r="411" spans="1:13" x14ac:dyDescent="0.35">
      <c r="A411" s="12">
        <v>33694</v>
      </c>
      <c r="B411" s="13">
        <v>20.010197126800669</v>
      </c>
      <c r="C411" s="88">
        <v>0</v>
      </c>
      <c r="G411" s="89"/>
      <c r="H411" s="90"/>
      <c r="L411" s="89"/>
      <c r="M411" s="90"/>
    </row>
    <row r="412" spans="1:13" x14ac:dyDescent="0.35">
      <c r="A412" s="12">
        <v>33663</v>
      </c>
      <c r="B412" s="13">
        <v>5.1555568282968567</v>
      </c>
      <c r="C412" s="88">
        <v>0</v>
      </c>
      <c r="G412" s="89"/>
      <c r="H412" s="90"/>
      <c r="L412" s="89"/>
      <c r="M412" s="90"/>
    </row>
    <row r="413" spans="1:13" x14ac:dyDescent="0.35">
      <c r="A413" s="12">
        <v>33634</v>
      </c>
      <c r="B413" s="13">
        <v>4.4954187159770154</v>
      </c>
      <c r="C413" s="88">
        <v>0</v>
      </c>
      <c r="G413" s="89"/>
      <c r="H413" s="90"/>
      <c r="L413" s="89"/>
      <c r="M413" s="90"/>
    </row>
    <row r="414" spans="1:13" x14ac:dyDescent="0.35">
      <c r="A414" s="12">
        <v>33603</v>
      </c>
      <c r="B414" s="13">
        <v>9.2604365524093577</v>
      </c>
      <c r="C414" s="88">
        <v>0</v>
      </c>
      <c r="G414" s="89"/>
      <c r="H414" s="90"/>
      <c r="L414" s="89"/>
      <c r="M414" s="90"/>
    </row>
    <row r="415" spans="1:13" x14ac:dyDescent="0.35">
      <c r="A415" s="12">
        <v>33572</v>
      </c>
      <c r="B415" s="13">
        <v>19.329119013532711</v>
      </c>
      <c r="C415" s="88">
        <v>0</v>
      </c>
      <c r="G415" s="89"/>
      <c r="H415" s="90"/>
      <c r="L415" s="89"/>
      <c r="M415" s="90"/>
    </row>
    <row r="416" spans="1:13" x14ac:dyDescent="0.35">
      <c r="A416" s="12">
        <v>33542</v>
      </c>
      <c r="B416" s="13">
        <v>65.675610649468169</v>
      </c>
      <c r="C416" s="88">
        <v>0</v>
      </c>
      <c r="G416" s="89"/>
      <c r="H416" s="90"/>
      <c r="L416" s="89"/>
      <c r="M416" s="90"/>
    </row>
    <row r="417" spans="1:13" x14ac:dyDescent="0.35">
      <c r="A417" s="12">
        <v>33511</v>
      </c>
      <c r="B417" s="13">
        <v>-6.2325011322177826</v>
      </c>
      <c r="C417" s="88">
        <v>0</v>
      </c>
      <c r="G417" s="89"/>
      <c r="H417" s="90"/>
      <c r="L417" s="89"/>
      <c r="M417" s="90"/>
    </row>
    <row r="418" spans="1:13" x14ac:dyDescent="0.35">
      <c r="A418" s="12">
        <v>33481</v>
      </c>
      <c r="B418" s="13">
        <v>-17.240557723738089</v>
      </c>
      <c r="C418" s="88">
        <v>0</v>
      </c>
      <c r="G418" s="89"/>
      <c r="H418" s="90"/>
      <c r="L418" s="89"/>
      <c r="M418" s="90"/>
    </row>
    <row r="419" spans="1:13" x14ac:dyDescent="0.35">
      <c r="A419" s="12">
        <v>33450</v>
      </c>
      <c r="B419" s="13">
        <v>-5.9067304528178699</v>
      </c>
      <c r="C419" s="88">
        <v>0</v>
      </c>
      <c r="G419" s="89"/>
      <c r="H419" s="90"/>
      <c r="L419" s="89"/>
      <c r="M419" s="90"/>
    </row>
    <row r="420" spans="1:13" x14ac:dyDescent="0.35">
      <c r="A420" s="12">
        <v>33419</v>
      </c>
      <c r="B420" s="13">
        <v>5.5631366253321524</v>
      </c>
      <c r="C420" s="88">
        <v>0</v>
      </c>
      <c r="G420" s="89"/>
      <c r="H420" s="90"/>
      <c r="L420" s="89"/>
      <c r="M420" s="90"/>
    </row>
    <row r="421" spans="1:13" x14ac:dyDescent="0.35">
      <c r="A421" s="12">
        <v>33389</v>
      </c>
      <c r="B421" s="13">
        <v>-4.1964439612309574</v>
      </c>
      <c r="C421" s="88">
        <v>0</v>
      </c>
      <c r="G421" s="89"/>
      <c r="H421" s="90"/>
      <c r="L421" s="89"/>
      <c r="M421" s="90"/>
    </row>
    <row r="422" spans="1:13" x14ac:dyDescent="0.35">
      <c r="A422" s="12">
        <v>33358</v>
      </c>
      <c r="B422" s="13">
        <v>-5.7286992432897268</v>
      </c>
      <c r="C422" s="88">
        <v>0</v>
      </c>
      <c r="G422" s="89"/>
      <c r="H422" s="90"/>
      <c r="L422" s="89"/>
      <c r="M422" s="90"/>
    </row>
    <row r="423" spans="1:13" x14ac:dyDescent="0.35">
      <c r="A423" s="12">
        <v>33328</v>
      </c>
      <c r="B423" s="13">
        <v>-9.6383691485444629</v>
      </c>
      <c r="C423" s="88">
        <v>0</v>
      </c>
      <c r="G423" s="89"/>
      <c r="H423" s="90"/>
      <c r="L423" s="89"/>
      <c r="M423" s="90"/>
    </row>
    <row r="424" spans="1:13" x14ac:dyDescent="0.35">
      <c r="A424" s="12">
        <v>33297</v>
      </c>
      <c r="B424" s="13">
        <v>2.3390379845158371</v>
      </c>
      <c r="C424" s="88">
        <v>0</v>
      </c>
      <c r="G424" s="89"/>
      <c r="H424" s="90"/>
      <c r="L424" s="89"/>
      <c r="M424" s="90"/>
    </row>
    <row r="425" spans="1:13" x14ac:dyDescent="0.35">
      <c r="A425" s="12">
        <v>33269</v>
      </c>
      <c r="B425" s="13">
        <v>1.849351273143379</v>
      </c>
      <c r="C425" s="88">
        <v>0</v>
      </c>
      <c r="G425" s="89"/>
      <c r="H425" s="90"/>
      <c r="L425" s="89"/>
      <c r="M425" s="90"/>
    </row>
    <row r="426" spans="1:13" x14ac:dyDescent="0.35">
      <c r="G426" s="89"/>
      <c r="H426" s="90"/>
      <c r="L426" s="89"/>
      <c r="M426" s="90"/>
    </row>
    <row r="427" spans="1:13" x14ac:dyDescent="0.35">
      <c r="G427" s="89"/>
      <c r="H427" s="90"/>
      <c r="L427" s="89"/>
      <c r="M427" s="90"/>
    </row>
    <row r="428" spans="1:13" x14ac:dyDescent="0.35">
      <c r="G428" s="89"/>
      <c r="H428" s="90"/>
      <c r="L428" s="89"/>
      <c r="M428" s="90"/>
    </row>
    <row r="429" spans="1:13" x14ac:dyDescent="0.35">
      <c r="G429" s="89"/>
      <c r="H429" s="90"/>
      <c r="L429" s="89"/>
      <c r="M429" s="90"/>
    </row>
    <row r="430" spans="1:13" x14ac:dyDescent="0.35">
      <c r="G430" s="89"/>
      <c r="H430" s="90"/>
      <c r="L430" s="89"/>
      <c r="M430" s="90"/>
    </row>
    <row r="431" spans="1:13" x14ac:dyDescent="0.35">
      <c r="G431" s="89"/>
      <c r="H431" s="90"/>
      <c r="L431" s="89"/>
      <c r="M431" s="90"/>
    </row>
    <row r="432" spans="1:13" x14ac:dyDescent="0.35">
      <c r="G432" s="89"/>
      <c r="H432" s="90"/>
      <c r="L432" s="89"/>
      <c r="M432" s="90"/>
    </row>
    <row r="433" spans="7:13" x14ac:dyDescent="0.35">
      <c r="G433" s="89"/>
      <c r="H433" s="90"/>
      <c r="L433" s="89"/>
      <c r="M433" s="90"/>
    </row>
    <row r="434" spans="7:13" x14ac:dyDescent="0.35">
      <c r="G434" s="89"/>
      <c r="H434" s="90"/>
      <c r="L434" s="89"/>
      <c r="M434" s="90"/>
    </row>
    <row r="435" spans="7:13" x14ac:dyDescent="0.35">
      <c r="G435" s="89"/>
      <c r="H435" s="90"/>
      <c r="L435" s="89"/>
      <c r="M435" s="90"/>
    </row>
    <row r="436" spans="7:13" x14ac:dyDescent="0.35">
      <c r="G436" s="89"/>
      <c r="H436" s="90"/>
      <c r="L436" s="89"/>
      <c r="M436" s="90"/>
    </row>
    <row r="437" spans="7:13" x14ac:dyDescent="0.35">
      <c r="G437" s="89"/>
      <c r="H437" s="90"/>
      <c r="L437" s="89"/>
      <c r="M437" s="90"/>
    </row>
    <row r="438" spans="7:13" x14ac:dyDescent="0.35">
      <c r="G438" s="89"/>
      <c r="H438" s="90"/>
      <c r="L438" s="89"/>
      <c r="M438" s="90"/>
    </row>
    <row r="439" spans="7:13" x14ac:dyDescent="0.35">
      <c r="G439" s="89"/>
      <c r="H439" s="90"/>
      <c r="L439" s="89"/>
      <c r="M439" s="90"/>
    </row>
    <row r="440" spans="7:13" x14ac:dyDescent="0.35">
      <c r="G440" s="89"/>
      <c r="H440" s="90"/>
      <c r="L440" s="89"/>
      <c r="M440" s="90"/>
    </row>
    <row r="441" spans="7:13" x14ac:dyDescent="0.35">
      <c r="G441" s="89"/>
      <c r="H441" s="90"/>
      <c r="L441" s="89"/>
      <c r="M441" s="90"/>
    </row>
    <row r="442" spans="7:13" x14ac:dyDescent="0.35">
      <c r="G442" s="89"/>
      <c r="H442" s="90"/>
      <c r="L442" s="89"/>
      <c r="M442" s="90"/>
    </row>
    <row r="443" spans="7:13" x14ac:dyDescent="0.35">
      <c r="G443" s="89"/>
      <c r="H443" s="90"/>
      <c r="L443" s="89"/>
      <c r="M443" s="90"/>
    </row>
    <row r="444" spans="7:13" x14ac:dyDescent="0.35">
      <c r="G444" s="89"/>
      <c r="H444" s="90"/>
      <c r="L444" s="89"/>
      <c r="M444" s="90"/>
    </row>
    <row r="445" spans="7:13" x14ac:dyDescent="0.35">
      <c r="G445" s="89"/>
      <c r="H445" s="90"/>
      <c r="L445" s="89"/>
      <c r="M445" s="90"/>
    </row>
    <row r="446" spans="7:13" x14ac:dyDescent="0.35">
      <c r="G446" s="89"/>
      <c r="H446" s="90"/>
      <c r="L446" s="89"/>
      <c r="M446" s="90"/>
    </row>
    <row r="447" spans="7:13" x14ac:dyDescent="0.35">
      <c r="G447" s="89"/>
      <c r="H447" s="90"/>
      <c r="L447" s="89"/>
      <c r="M447" s="90"/>
    </row>
    <row r="448" spans="7:13" x14ac:dyDescent="0.35">
      <c r="G448" s="89"/>
      <c r="H448" s="90"/>
      <c r="L448" s="89"/>
      <c r="M448" s="90"/>
    </row>
    <row r="449" spans="7:13" x14ac:dyDescent="0.35">
      <c r="G449" s="89"/>
      <c r="H449" s="90"/>
      <c r="L449" s="89"/>
      <c r="M449" s="90"/>
    </row>
    <row r="450" spans="7:13" x14ac:dyDescent="0.35">
      <c r="G450" s="89"/>
      <c r="H450" s="90"/>
      <c r="L450" s="89"/>
      <c r="M450" s="90"/>
    </row>
    <row r="451" spans="7:13" x14ac:dyDescent="0.35">
      <c r="G451" s="89"/>
      <c r="H451" s="90"/>
      <c r="L451" s="89"/>
      <c r="M451" s="90"/>
    </row>
    <row r="452" spans="7:13" x14ac:dyDescent="0.35">
      <c r="G452" s="89"/>
      <c r="H452" s="90"/>
      <c r="L452" s="89"/>
      <c r="M452" s="90"/>
    </row>
    <row r="453" spans="7:13" x14ac:dyDescent="0.35">
      <c r="G453" s="89"/>
      <c r="H453" s="90"/>
      <c r="L453" s="89"/>
      <c r="M453" s="90"/>
    </row>
    <row r="454" spans="7:13" x14ac:dyDescent="0.35">
      <c r="G454" s="89"/>
      <c r="H454" s="90"/>
      <c r="L454" s="89"/>
      <c r="M454" s="90"/>
    </row>
    <row r="455" spans="7:13" x14ac:dyDescent="0.35">
      <c r="G455" s="89"/>
      <c r="H455" s="90"/>
      <c r="L455" s="89"/>
      <c r="M455" s="90"/>
    </row>
    <row r="456" spans="7:13" x14ac:dyDescent="0.35">
      <c r="G456" s="89"/>
      <c r="H456" s="90"/>
      <c r="L456" s="89"/>
      <c r="M456" s="90"/>
    </row>
    <row r="457" spans="7:13" x14ac:dyDescent="0.35">
      <c r="G457" s="89"/>
      <c r="H457" s="90"/>
      <c r="L457" s="89"/>
      <c r="M457" s="90"/>
    </row>
    <row r="458" spans="7:13" x14ac:dyDescent="0.35">
      <c r="G458" s="89"/>
      <c r="H458" s="90"/>
      <c r="L458" s="89"/>
      <c r="M458" s="90"/>
    </row>
    <row r="459" spans="7:13" x14ac:dyDescent="0.35">
      <c r="G459" s="89"/>
      <c r="H459" s="90"/>
      <c r="L459" s="89"/>
      <c r="M459" s="90"/>
    </row>
    <row r="460" spans="7:13" x14ac:dyDescent="0.35">
      <c r="G460" s="89"/>
      <c r="H460" s="90"/>
      <c r="L460" s="89"/>
      <c r="M460" s="90"/>
    </row>
    <row r="461" spans="7:13" x14ac:dyDescent="0.35">
      <c r="G461" s="89"/>
      <c r="H461" s="90"/>
      <c r="L461" s="89"/>
      <c r="M461" s="90"/>
    </row>
    <row r="462" spans="7:13" x14ac:dyDescent="0.35">
      <c r="G462" s="89"/>
      <c r="H462" s="90"/>
      <c r="L462" s="89"/>
      <c r="M462" s="90"/>
    </row>
    <row r="463" spans="7:13" x14ac:dyDescent="0.35">
      <c r="G463" s="89"/>
      <c r="H463" s="90"/>
      <c r="L463" s="89"/>
      <c r="M463" s="90"/>
    </row>
    <row r="464" spans="7:13" x14ac:dyDescent="0.35">
      <c r="G464" s="89"/>
      <c r="H464" s="90"/>
      <c r="L464" s="89"/>
      <c r="M464" s="90"/>
    </row>
    <row r="465" spans="7:13" x14ac:dyDescent="0.35">
      <c r="G465" s="89"/>
      <c r="H465" s="90"/>
      <c r="L465" s="89"/>
      <c r="M465" s="90"/>
    </row>
    <row r="466" spans="7:13" x14ac:dyDescent="0.35">
      <c r="G466" s="89"/>
      <c r="H466" s="90"/>
      <c r="L466" s="89"/>
      <c r="M466" s="90"/>
    </row>
    <row r="467" spans="7:13" x14ac:dyDescent="0.35">
      <c r="G467" s="89"/>
      <c r="H467" s="90"/>
      <c r="L467" s="89"/>
      <c r="M467" s="90"/>
    </row>
    <row r="468" spans="7:13" x14ac:dyDescent="0.35">
      <c r="G468" s="89"/>
      <c r="H468" s="90"/>
      <c r="L468" s="89"/>
      <c r="M468" s="90"/>
    </row>
    <row r="469" spans="7:13" x14ac:dyDescent="0.35">
      <c r="G469" s="89"/>
      <c r="H469" s="90"/>
      <c r="L469" s="89"/>
      <c r="M469" s="90"/>
    </row>
    <row r="470" spans="7:13" x14ac:dyDescent="0.35">
      <c r="G470" s="89"/>
      <c r="H470" s="90"/>
      <c r="L470" s="89"/>
      <c r="M470" s="90"/>
    </row>
    <row r="471" spans="7:13" x14ac:dyDescent="0.35">
      <c r="G471" s="89"/>
      <c r="H471" s="90"/>
      <c r="L471" s="89"/>
      <c r="M471" s="90"/>
    </row>
    <row r="472" spans="7:13" x14ac:dyDescent="0.35">
      <c r="G472" s="89"/>
      <c r="H472" s="90"/>
      <c r="L472" s="89"/>
      <c r="M472" s="90"/>
    </row>
    <row r="473" spans="7:13" x14ac:dyDescent="0.35">
      <c r="G473" s="89"/>
      <c r="H473" s="90"/>
      <c r="L473" s="89"/>
      <c r="M473" s="90"/>
    </row>
    <row r="474" spans="7:13" x14ac:dyDescent="0.35">
      <c r="G474" s="89"/>
      <c r="H474" s="90"/>
      <c r="L474" s="89"/>
      <c r="M474" s="90"/>
    </row>
    <row r="475" spans="7:13" x14ac:dyDescent="0.35">
      <c r="G475" s="89"/>
      <c r="H475" s="90"/>
      <c r="L475" s="89"/>
      <c r="M475" s="90"/>
    </row>
    <row r="476" spans="7:13" x14ac:dyDescent="0.35">
      <c r="G476" s="89"/>
      <c r="H476" s="90"/>
      <c r="L476" s="89"/>
      <c r="M476" s="90"/>
    </row>
    <row r="477" spans="7:13" x14ac:dyDescent="0.35">
      <c r="G477" s="89"/>
      <c r="H477" s="90"/>
      <c r="L477" s="89"/>
      <c r="M477" s="90"/>
    </row>
    <row r="478" spans="7:13" x14ac:dyDescent="0.35">
      <c r="G478" s="89"/>
      <c r="H478" s="90"/>
      <c r="L478" s="89"/>
      <c r="M478" s="90"/>
    </row>
    <row r="479" spans="7:13" x14ac:dyDescent="0.35">
      <c r="G479" s="89"/>
      <c r="H479" s="90"/>
      <c r="L479" s="89"/>
      <c r="M479" s="90"/>
    </row>
    <row r="480" spans="7:13" x14ac:dyDescent="0.35">
      <c r="G480" s="89"/>
      <c r="H480" s="90"/>
      <c r="L480" s="89"/>
      <c r="M480" s="90"/>
    </row>
    <row r="481" spans="7:13" x14ac:dyDescent="0.35">
      <c r="G481" s="89"/>
      <c r="H481" s="90"/>
      <c r="L481" s="89"/>
      <c r="M481" s="90"/>
    </row>
    <row r="482" spans="7:13" x14ac:dyDescent="0.35">
      <c r="G482" s="89"/>
      <c r="H482" s="90"/>
      <c r="L482" s="89"/>
      <c r="M482" s="90"/>
    </row>
    <row r="483" spans="7:13" x14ac:dyDescent="0.35">
      <c r="G483" s="89"/>
      <c r="H483" s="90"/>
      <c r="L483" s="89"/>
      <c r="M483" s="90"/>
    </row>
    <row r="484" spans="7:13" x14ac:dyDescent="0.35">
      <c r="G484" s="89"/>
      <c r="H484" s="90"/>
      <c r="L484" s="89"/>
      <c r="M484" s="90"/>
    </row>
    <row r="485" spans="7:13" x14ac:dyDescent="0.35">
      <c r="G485" s="89"/>
      <c r="H485" s="90"/>
      <c r="L485" s="89"/>
      <c r="M485" s="90"/>
    </row>
    <row r="486" spans="7:13" x14ac:dyDescent="0.35">
      <c r="G486" s="89"/>
      <c r="H486" s="90"/>
      <c r="L486" s="89"/>
      <c r="M486" s="90"/>
    </row>
    <row r="487" spans="7:13" x14ac:dyDescent="0.35">
      <c r="G487" s="89"/>
      <c r="H487" s="90"/>
      <c r="L487" s="89"/>
      <c r="M487" s="90"/>
    </row>
    <row r="488" spans="7:13" x14ac:dyDescent="0.35">
      <c r="G488" s="89"/>
      <c r="H488" s="90"/>
      <c r="L488" s="89"/>
      <c r="M488" s="90"/>
    </row>
    <row r="489" spans="7:13" x14ac:dyDescent="0.35">
      <c r="G489" s="89"/>
      <c r="H489" s="90"/>
      <c r="L489" s="89"/>
      <c r="M489" s="90"/>
    </row>
    <row r="490" spans="7:13" x14ac:dyDescent="0.35">
      <c r="G490" s="89"/>
      <c r="H490" s="90"/>
      <c r="L490" s="89"/>
      <c r="M490" s="90"/>
    </row>
    <row r="491" spans="7:13" x14ac:dyDescent="0.35">
      <c r="G491" s="89"/>
      <c r="H491" s="90"/>
      <c r="L491" s="89"/>
      <c r="M491" s="90"/>
    </row>
    <row r="492" spans="7:13" x14ac:dyDescent="0.35">
      <c r="G492" s="89"/>
      <c r="H492" s="90"/>
      <c r="L492" s="89"/>
      <c r="M492" s="90"/>
    </row>
    <row r="493" spans="7:13" x14ac:dyDescent="0.35">
      <c r="G493" s="89"/>
      <c r="H493" s="90"/>
      <c r="L493" s="89"/>
      <c r="M493" s="90"/>
    </row>
    <row r="494" spans="7:13" x14ac:dyDescent="0.35">
      <c r="G494" s="89"/>
      <c r="H494" s="90"/>
      <c r="L494" s="89"/>
      <c r="M494" s="90"/>
    </row>
    <row r="495" spans="7:13" x14ac:dyDescent="0.35">
      <c r="G495" s="89"/>
      <c r="H495" s="90"/>
      <c r="L495" s="89"/>
      <c r="M495" s="90"/>
    </row>
    <row r="496" spans="7:13" x14ac:dyDescent="0.35">
      <c r="G496" s="89"/>
      <c r="H496" s="90"/>
      <c r="L496" s="89"/>
      <c r="M496" s="90"/>
    </row>
    <row r="497" spans="7:13" x14ac:dyDescent="0.35">
      <c r="G497" s="89"/>
      <c r="H497" s="90"/>
      <c r="L497" s="89"/>
      <c r="M497" s="90"/>
    </row>
    <row r="498" spans="7:13" x14ac:dyDescent="0.35">
      <c r="G498" s="89"/>
      <c r="H498" s="90"/>
      <c r="L498" s="89"/>
      <c r="M498" s="90"/>
    </row>
    <row r="499" spans="7:13" x14ac:dyDescent="0.35">
      <c r="G499" s="89"/>
      <c r="H499" s="90"/>
      <c r="L499" s="89"/>
      <c r="M499" s="90"/>
    </row>
    <row r="500" spans="7:13" x14ac:dyDescent="0.35">
      <c r="G500" s="89"/>
      <c r="H500" s="90"/>
      <c r="L500" s="89"/>
      <c r="M500" s="90"/>
    </row>
    <row r="501" spans="7:13" x14ac:dyDescent="0.35">
      <c r="G501" s="89"/>
      <c r="H501" s="90"/>
      <c r="L501" s="89"/>
      <c r="M501" s="90"/>
    </row>
    <row r="502" spans="7:13" x14ac:dyDescent="0.35">
      <c r="G502" s="89"/>
      <c r="H502" s="90"/>
      <c r="L502" s="89"/>
      <c r="M502" s="90"/>
    </row>
    <row r="503" spans="7:13" x14ac:dyDescent="0.35">
      <c r="G503" s="89"/>
      <c r="H503" s="90"/>
      <c r="L503" s="89"/>
      <c r="M503" s="90"/>
    </row>
    <row r="504" spans="7:13" x14ac:dyDescent="0.35">
      <c r="G504" s="89"/>
      <c r="H504" s="90"/>
      <c r="L504" s="89"/>
      <c r="M504" s="90"/>
    </row>
    <row r="505" spans="7:13" x14ac:dyDescent="0.35">
      <c r="G505" s="89"/>
      <c r="H505" s="90"/>
      <c r="L505" s="89"/>
      <c r="M505" s="90"/>
    </row>
    <row r="506" spans="7:13" x14ac:dyDescent="0.35">
      <c r="G506" s="89"/>
      <c r="H506" s="90"/>
      <c r="L506" s="89"/>
      <c r="M506" s="90"/>
    </row>
    <row r="507" spans="7:13" x14ac:dyDescent="0.35">
      <c r="G507" s="89"/>
      <c r="H507" s="90"/>
      <c r="L507" s="89"/>
      <c r="M507" s="90"/>
    </row>
    <row r="508" spans="7:13" x14ac:dyDescent="0.35">
      <c r="G508" s="89"/>
      <c r="H508" s="90"/>
      <c r="L508" s="89"/>
      <c r="M508" s="90"/>
    </row>
    <row r="509" spans="7:13" x14ac:dyDescent="0.35">
      <c r="G509" s="89"/>
      <c r="H509" s="90"/>
      <c r="L509" s="89"/>
      <c r="M509" s="90"/>
    </row>
    <row r="510" spans="7:13" x14ac:dyDescent="0.35">
      <c r="G510" s="89"/>
      <c r="H510" s="90"/>
      <c r="L510" s="89"/>
      <c r="M510" s="90"/>
    </row>
    <row r="511" spans="7:13" x14ac:dyDescent="0.35">
      <c r="G511" s="89"/>
      <c r="H511" s="90"/>
      <c r="L511" s="89"/>
      <c r="M511" s="90"/>
    </row>
    <row r="512" spans="7:13" x14ac:dyDescent="0.35">
      <c r="G512" s="89"/>
      <c r="H512" s="90"/>
      <c r="L512" s="89"/>
      <c r="M512" s="90"/>
    </row>
    <row r="513" spans="7:13" x14ac:dyDescent="0.35">
      <c r="G513" s="89"/>
      <c r="H513" s="90"/>
      <c r="L513" s="89"/>
      <c r="M513" s="90"/>
    </row>
    <row r="514" spans="7:13" x14ac:dyDescent="0.35">
      <c r="G514" s="89"/>
      <c r="H514" s="90"/>
      <c r="L514" s="89"/>
      <c r="M514" s="90"/>
    </row>
    <row r="515" spans="7:13" x14ac:dyDescent="0.35">
      <c r="G515" s="89"/>
      <c r="H515" s="90"/>
      <c r="L515" s="89"/>
      <c r="M515" s="90"/>
    </row>
    <row r="516" spans="7:13" x14ac:dyDescent="0.35">
      <c r="G516" s="89"/>
      <c r="H516" s="90"/>
      <c r="L516" s="89"/>
      <c r="M516" s="90"/>
    </row>
    <row r="517" spans="7:13" x14ac:dyDescent="0.35">
      <c r="G517" s="89"/>
      <c r="H517" s="90"/>
      <c r="L517" s="89"/>
      <c r="M517" s="90"/>
    </row>
    <row r="518" spans="7:13" x14ac:dyDescent="0.35">
      <c r="G518" s="89"/>
      <c r="H518" s="90"/>
      <c r="L518" s="89"/>
      <c r="M518" s="90"/>
    </row>
    <row r="519" spans="7:13" x14ac:dyDescent="0.35">
      <c r="G519" s="89"/>
      <c r="H519" s="90"/>
      <c r="L519" s="89"/>
      <c r="M519" s="90"/>
    </row>
    <row r="520" spans="7:13" x14ac:dyDescent="0.35">
      <c r="G520" s="89"/>
      <c r="H520" s="90"/>
      <c r="L520" s="89"/>
      <c r="M520" s="90"/>
    </row>
    <row r="521" spans="7:13" x14ac:dyDescent="0.35">
      <c r="G521" s="89"/>
      <c r="H521" s="90"/>
      <c r="L521" s="89"/>
      <c r="M521" s="90"/>
    </row>
    <row r="522" spans="7:13" x14ac:dyDescent="0.35">
      <c r="G522" s="89"/>
      <c r="H522" s="90"/>
      <c r="L522" s="89"/>
      <c r="M522" s="90"/>
    </row>
    <row r="523" spans="7:13" x14ac:dyDescent="0.35">
      <c r="G523" s="89"/>
      <c r="H523" s="90"/>
      <c r="L523" s="89"/>
      <c r="M523" s="90"/>
    </row>
    <row r="524" spans="7:13" x14ac:dyDescent="0.35">
      <c r="G524" s="89"/>
      <c r="H524" s="90"/>
      <c r="L524" s="89"/>
      <c r="M524" s="90"/>
    </row>
    <row r="525" spans="7:13" x14ac:dyDescent="0.35">
      <c r="G525" s="89"/>
      <c r="H525" s="90"/>
      <c r="L525" s="89"/>
      <c r="M525" s="90"/>
    </row>
    <row r="526" spans="7:13" x14ac:dyDescent="0.35">
      <c r="G526" s="89"/>
      <c r="H526" s="90"/>
      <c r="L526" s="89"/>
      <c r="M526" s="90"/>
    </row>
    <row r="527" spans="7:13" x14ac:dyDescent="0.35">
      <c r="G527" s="89"/>
      <c r="H527" s="90"/>
      <c r="L527" s="89"/>
      <c r="M527" s="90"/>
    </row>
    <row r="528" spans="7:13" x14ac:dyDescent="0.35">
      <c r="G528" s="89"/>
      <c r="H528" s="90"/>
      <c r="L528" s="89"/>
      <c r="M528" s="90"/>
    </row>
    <row r="529" spans="7:13" x14ac:dyDescent="0.35">
      <c r="G529" s="89"/>
      <c r="H529" s="90"/>
      <c r="L529" s="89"/>
      <c r="M529" s="90"/>
    </row>
    <row r="530" spans="7:13" x14ac:dyDescent="0.35">
      <c r="G530" s="89"/>
      <c r="H530" s="90"/>
      <c r="L530" s="89"/>
      <c r="M530" s="90"/>
    </row>
    <row r="531" spans="7:13" x14ac:dyDescent="0.35">
      <c r="G531" s="89"/>
      <c r="H531" s="90"/>
      <c r="L531" s="89"/>
      <c r="M531" s="90"/>
    </row>
    <row r="532" spans="7:13" x14ac:dyDescent="0.35">
      <c r="G532" s="89"/>
      <c r="H532" s="90"/>
      <c r="L532" s="89"/>
      <c r="M532" s="90"/>
    </row>
    <row r="533" spans="7:13" x14ac:dyDescent="0.35">
      <c r="G533" s="89"/>
      <c r="H533" s="90"/>
      <c r="L533" s="89"/>
      <c r="M533" s="90"/>
    </row>
    <row r="534" spans="7:13" x14ac:dyDescent="0.35">
      <c r="G534" s="89"/>
      <c r="H534" s="90"/>
      <c r="L534" s="89"/>
      <c r="M534" s="90"/>
    </row>
    <row r="535" spans="7:13" x14ac:dyDescent="0.35">
      <c r="G535" s="89"/>
      <c r="H535" s="90"/>
      <c r="L535" s="89"/>
      <c r="M535" s="90"/>
    </row>
    <row r="536" spans="7:13" x14ac:dyDescent="0.35">
      <c r="G536" s="89"/>
      <c r="H536" s="90"/>
      <c r="L536" s="89"/>
      <c r="M536" s="90"/>
    </row>
    <row r="537" spans="7:13" x14ac:dyDescent="0.35">
      <c r="G537" s="89"/>
      <c r="H537" s="90"/>
      <c r="L537" s="89"/>
      <c r="M537" s="90"/>
    </row>
    <row r="538" spans="7:13" x14ac:dyDescent="0.35">
      <c r="G538" s="89"/>
      <c r="H538" s="90"/>
      <c r="L538" s="89"/>
      <c r="M538" s="90"/>
    </row>
    <row r="539" spans="7:13" x14ac:dyDescent="0.35">
      <c r="G539" s="89"/>
      <c r="H539" s="90"/>
      <c r="L539" s="89"/>
      <c r="M539" s="90"/>
    </row>
    <row r="540" spans="7:13" x14ac:dyDescent="0.35">
      <c r="G540" s="89"/>
      <c r="H540" s="90"/>
      <c r="L540" s="89"/>
      <c r="M540" s="90"/>
    </row>
    <row r="541" spans="7:13" x14ac:dyDescent="0.35">
      <c r="G541" s="89"/>
      <c r="H541" s="90"/>
      <c r="L541" s="89"/>
      <c r="M541" s="90"/>
    </row>
    <row r="542" spans="7:13" x14ac:dyDescent="0.35">
      <c r="G542" s="89"/>
      <c r="H542" s="90"/>
      <c r="L542" s="89"/>
      <c r="M542" s="90"/>
    </row>
    <row r="543" spans="7:13" x14ac:dyDescent="0.35">
      <c r="G543" s="89"/>
      <c r="H543" s="90"/>
      <c r="L543" s="89"/>
      <c r="M543" s="90"/>
    </row>
    <row r="544" spans="7:13" x14ac:dyDescent="0.35">
      <c r="G544" s="89"/>
      <c r="H544" s="90"/>
      <c r="L544" s="89"/>
      <c r="M544" s="90"/>
    </row>
    <row r="545" spans="7:13" x14ac:dyDescent="0.35">
      <c r="G545" s="89"/>
      <c r="H545" s="90"/>
      <c r="L545" s="89"/>
      <c r="M545" s="90"/>
    </row>
    <row r="546" spans="7:13" x14ac:dyDescent="0.35">
      <c r="G546" s="89"/>
      <c r="H546" s="90"/>
      <c r="L546" s="89"/>
      <c r="M546" s="90"/>
    </row>
    <row r="547" spans="7:13" x14ac:dyDescent="0.35">
      <c r="G547" s="89"/>
      <c r="H547" s="90"/>
      <c r="L547" s="89"/>
      <c r="M547" s="90"/>
    </row>
    <row r="548" spans="7:13" x14ac:dyDescent="0.35">
      <c r="G548" s="89"/>
      <c r="H548" s="90"/>
      <c r="L548" s="89"/>
      <c r="M548" s="90"/>
    </row>
    <row r="549" spans="7:13" x14ac:dyDescent="0.35">
      <c r="G549" s="89"/>
      <c r="H549" s="90"/>
      <c r="L549" s="89"/>
      <c r="M549" s="90"/>
    </row>
    <row r="550" spans="7:13" x14ac:dyDescent="0.35">
      <c r="G550" s="89"/>
      <c r="H550" s="90"/>
      <c r="L550" s="89"/>
      <c r="M550" s="90"/>
    </row>
    <row r="551" spans="7:13" x14ac:dyDescent="0.35">
      <c r="G551" s="89"/>
      <c r="H551" s="90"/>
      <c r="L551" s="89"/>
      <c r="M551" s="90"/>
    </row>
    <row r="552" spans="7:13" x14ac:dyDescent="0.35">
      <c r="G552" s="89"/>
      <c r="H552" s="90"/>
      <c r="L552" s="89"/>
      <c r="M552" s="90"/>
    </row>
    <row r="553" spans="7:13" x14ac:dyDescent="0.35">
      <c r="G553" s="89"/>
      <c r="H553" s="90"/>
      <c r="L553" s="89"/>
      <c r="M553" s="90"/>
    </row>
    <row r="554" spans="7:13" x14ac:dyDescent="0.35">
      <c r="G554" s="89"/>
      <c r="H554" s="90"/>
      <c r="L554" s="89"/>
      <c r="M554" s="90"/>
    </row>
    <row r="555" spans="7:13" x14ac:dyDescent="0.35">
      <c r="G555" s="89"/>
      <c r="H555" s="90"/>
      <c r="L555" s="89"/>
      <c r="M555" s="90"/>
    </row>
    <row r="556" spans="7:13" x14ac:dyDescent="0.35">
      <c r="G556" s="89"/>
      <c r="H556" s="90"/>
      <c r="L556" s="89"/>
      <c r="M556" s="90"/>
    </row>
    <row r="557" spans="7:13" x14ac:dyDescent="0.35">
      <c r="G557" s="89"/>
      <c r="H557" s="90"/>
      <c r="L557" s="89"/>
      <c r="M557" s="90"/>
    </row>
    <row r="558" spans="7:13" x14ac:dyDescent="0.35">
      <c r="G558" s="89"/>
      <c r="H558" s="90"/>
      <c r="L558" s="89"/>
      <c r="M558" s="90"/>
    </row>
    <row r="559" spans="7:13" x14ac:dyDescent="0.35">
      <c r="G559" s="89"/>
      <c r="H559" s="90"/>
      <c r="L559" s="89"/>
      <c r="M559" s="90"/>
    </row>
    <row r="560" spans="7:13" x14ac:dyDescent="0.35">
      <c r="G560" s="89"/>
      <c r="H560" s="90"/>
      <c r="L560" s="89"/>
      <c r="M560" s="90"/>
    </row>
    <row r="561" spans="7:13" x14ac:dyDescent="0.35">
      <c r="G561" s="89"/>
      <c r="H561" s="90"/>
      <c r="L561" s="89"/>
      <c r="M561" s="90"/>
    </row>
    <row r="562" spans="7:13" x14ac:dyDescent="0.35">
      <c r="G562" s="89"/>
      <c r="H562" s="90"/>
      <c r="L562" s="89"/>
      <c r="M562" s="90"/>
    </row>
    <row r="563" spans="7:13" x14ac:dyDescent="0.35">
      <c r="G563" s="89"/>
      <c r="H563" s="90"/>
      <c r="L563" s="89"/>
      <c r="M563" s="90"/>
    </row>
    <row r="564" spans="7:13" x14ac:dyDescent="0.35">
      <c r="G564" s="89"/>
      <c r="H564" s="90"/>
      <c r="L564" s="89"/>
      <c r="M564" s="90"/>
    </row>
    <row r="565" spans="7:13" x14ac:dyDescent="0.35">
      <c r="G565" s="89"/>
      <c r="H565" s="90"/>
      <c r="L565" s="89"/>
      <c r="M565" s="90"/>
    </row>
    <row r="566" spans="7:13" x14ac:dyDescent="0.35">
      <c r="G566" s="89"/>
      <c r="H566" s="90"/>
      <c r="L566" s="89"/>
      <c r="M566" s="90"/>
    </row>
    <row r="567" spans="7:13" x14ac:dyDescent="0.35">
      <c r="G567" s="89"/>
      <c r="H567" s="90"/>
      <c r="L567" s="89"/>
      <c r="M567" s="90"/>
    </row>
    <row r="568" spans="7:13" x14ac:dyDescent="0.35">
      <c r="G568" s="89"/>
      <c r="H568" s="90"/>
      <c r="L568" s="89"/>
      <c r="M568" s="90"/>
    </row>
    <row r="569" spans="7:13" x14ac:dyDescent="0.35">
      <c r="G569" s="89"/>
      <c r="H569" s="90"/>
      <c r="L569" s="89"/>
      <c r="M569" s="90"/>
    </row>
    <row r="570" spans="7:13" x14ac:dyDescent="0.35">
      <c r="G570" s="89"/>
      <c r="H570" s="90"/>
      <c r="L570" s="89"/>
      <c r="M570" s="90"/>
    </row>
    <row r="571" spans="7:13" x14ac:dyDescent="0.35">
      <c r="G571" s="89"/>
      <c r="H571" s="90"/>
      <c r="L571" s="89"/>
      <c r="M571" s="90"/>
    </row>
    <row r="572" spans="7:13" x14ac:dyDescent="0.35">
      <c r="G572" s="89"/>
      <c r="H572" s="90"/>
      <c r="L572" s="89"/>
      <c r="M572" s="90"/>
    </row>
    <row r="573" spans="7:13" x14ac:dyDescent="0.35">
      <c r="G573" s="89"/>
      <c r="H573" s="90"/>
      <c r="L573" s="89"/>
      <c r="M573" s="90"/>
    </row>
    <row r="574" spans="7:13" x14ac:dyDescent="0.35">
      <c r="G574" s="89"/>
      <c r="H574" s="90"/>
      <c r="L574" s="89"/>
      <c r="M574" s="90"/>
    </row>
    <row r="575" spans="7:13" x14ac:dyDescent="0.35">
      <c r="G575" s="89"/>
      <c r="H575" s="90"/>
      <c r="L575" s="89"/>
      <c r="M575" s="90"/>
    </row>
    <row r="576" spans="7:13" x14ac:dyDescent="0.35">
      <c r="G576" s="89"/>
      <c r="H576" s="90"/>
      <c r="L576" s="89"/>
      <c r="M576" s="90"/>
    </row>
    <row r="577" spans="7:13" x14ac:dyDescent="0.35">
      <c r="G577" s="89"/>
      <c r="H577" s="90"/>
      <c r="L577" s="89"/>
      <c r="M577" s="90"/>
    </row>
    <row r="578" spans="7:13" x14ac:dyDescent="0.35">
      <c r="G578" s="89"/>
      <c r="H578" s="90"/>
      <c r="L578" s="89"/>
      <c r="M578" s="90"/>
    </row>
    <row r="579" spans="7:13" x14ac:dyDescent="0.35">
      <c r="G579" s="89"/>
      <c r="H579" s="90"/>
      <c r="L579" s="89"/>
      <c r="M579" s="90"/>
    </row>
    <row r="580" spans="7:13" x14ac:dyDescent="0.35">
      <c r="G580" s="89"/>
      <c r="H580" s="90"/>
      <c r="L580" s="89"/>
      <c r="M580" s="90"/>
    </row>
    <row r="581" spans="7:13" x14ac:dyDescent="0.35">
      <c r="G581" s="89"/>
      <c r="H581" s="90"/>
      <c r="L581" s="89"/>
      <c r="M581" s="90"/>
    </row>
    <row r="582" spans="7:13" x14ac:dyDescent="0.35">
      <c r="G582" s="89"/>
      <c r="H582" s="90"/>
      <c r="L582" s="89"/>
      <c r="M582" s="90"/>
    </row>
    <row r="583" spans="7:13" x14ac:dyDescent="0.35">
      <c r="G583" s="89"/>
      <c r="H583" s="90"/>
      <c r="L583" s="89"/>
      <c r="M583" s="90"/>
    </row>
    <row r="584" spans="7:13" x14ac:dyDescent="0.35">
      <c r="G584" s="89"/>
      <c r="H584" s="90"/>
      <c r="L584" s="89"/>
      <c r="M584" s="90"/>
    </row>
    <row r="585" spans="7:13" x14ac:dyDescent="0.35">
      <c r="G585" s="89"/>
      <c r="H585" s="90"/>
      <c r="L585" s="89"/>
      <c r="M585" s="90"/>
    </row>
    <row r="586" spans="7:13" x14ac:dyDescent="0.35">
      <c r="G586" s="89"/>
      <c r="H586" s="90"/>
      <c r="L586" s="89"/>
      <c r="M586" s="90"/>
    </row>
    <row r="587" spans="7:13" x14ac:dyDescent="0.35">
      <c r="G587" s="89"/>
      <c r="H587" s="90"/>
      <c r="L587" s="89"/>
      <c r="M587" s="90"/>
    </row>
    <row r="588" spans="7:13" x14ac:dyDescent="0.35">
      <c r="G588" s="89"/>
      <c r="H588" s="90"/>
      <c r="L588" s="89"/>
      <c r="M588" s="90"/>
    </row>
    <row r="589" spans="7:13" x14ac:dyDescent="0.35">
      <c r="G589" s="89"/>
      <c r="H589" s="90"/>
      <c r="L589" s="89"/>
      <c r="M589" s="90"/>
    </row>
    <row r="590" spans="7:13" x14ac:dyDescent="0.35">
      <c r="G590" s="89"/>
      <c r="H590" s="90"/>
      <c r="L590" s="89"/>
      <c r="M590" s="90"/>
    </row>
    <row r="591" spans="7:13" x14ac:dyDescent="0.35">
      <c r="G591" s="89"/>
      <c r="H591" s="90"/>
      <c r="L591" s="89"/>
      <c r="M591" s="90"/>
    </row>
    <row r="592" spans="7:13" x14ac:dyDescent="0.35">
      <c r="G592" s="89"/>
      <c r="H592" s="90"/>
      <c r="L592" s="89"/>
      <c r="M592" s="90"/>
    </row>
    <row r="593" spans="7:13" x14ac:dyDescent="0.35">
      <c r="G593" s="89"/>
      <c r="H593" s="90"/>
      <c r="L593" s="89"/>
      <c r="M593" s="90"/>
    </row>
    <row r="594" spans="7:13" x14ac:dyDescent="0.35">
      <c r="G594" s="89"/>
      <c r="H594" s="90"/>
      <c r="L594" s="89"/>
      <c r="M594" s="90"/>
    </row>
    <row r="595" spans="7:13" x14ac:dyDescent="0.35">
      <c r="G595" s="89"/>
      <c r="H595" s="90"/>
      <c r="L595" s="89"/>
      <c r="M595" s="90"/>
    </row>
    <row r="596" spans="7:13" x14ac:dyDescent="0.35">
      <c r="G596" s="89"/>
      <c r="H596" s="90"/>
      <c r="L596" s="89"/>
      <c r="M596" s="90"/>
    </row>
    <row r="597" spans="7:13" x14ac:dyDescent="0.35">
      <c r="G597" s="89"/>
      <c r="H597" s="90"/>
      <c r="L597" s="89"/>
      <c r="M597" s="90"/>
    </row>
    <row r="598" spans="7:13" x14ac:dyDescent="0.35">
      <c r="G598" s="89"/>
      <c r="H598" s="90"/>
      <c r="L598" s="89"/>
      <c r="M598" s="90"/>
    </row>
    <row r="599" spans="7:13" x14ac:dyDescent="0.35">
      <c r="G599" s="89"/>
      <c r="H599" s="90"/>
      <c r="L599" s="89"/>
      <c r="M599" s="90"/>
    </row>
    <row r="600" spans="7:13" x14ac:dyDescent="0.35">
      <c r="G600" s="89"/>
      <c r="H600" s="90"/>
      <c r="L600" s="89"/>
      <c r="M600" s="90"/>
    </row>
    <row r="601" spans="7:13" x14ac:dyDescent="0.35">
      <c r="G601" s="89"/>
      <c r="H601" s="90"/>
      <c r="L601" s="89"/>
      <c r="M601" s="90"/>
    </row>
    <row r="602" spans="7:13" x14ac:dyDescent="0.35">
      <c r="G602" s="89"/>
      <c r="H602" s="90"/>
      <c r="L602" s="89"/>
      <c r="M602" s="90"/>
    </row>
    <row r="603" spans="7:13" x14ac:dyDescent="0.35">
      <c r="G603" s="89"/>
      <c r="H603" s="90"/>
      <c r="L603" s="89"/>
      <c r="M603" s="90"/>
    </row>
    <row r="604" spans="7:13" x14ac:dyDescent="0.35">
      <c r="G604" s="89"/>
      <c r="H604" s="90"/>
      <c r="L604" s="89"/>
      <c r="M604" s="90"/>
    </row>
    <row r="605" spans="7:13" x14ac:dyDescent="0.35">
      <c r="G605" s="89"/>
      <c r="H605" s="90"/>
      <c r="L605" s="89"/>
      <c r="M605" s="90"/>
    </row>
    <row r="606" spans="7:13" x14ac:dyDescent="0.35">
      <c r="G606" s="89"/>
      <c r="H606" s="90"/>
      <c r="L606" s="89"/>
      <c r="M606" s="90"/>
    </row>
    <row r="607" spans="7:13" x14ac:dyDescent="0.35">
      <c r="G607" s="89"/>
      <c r="H607" s="90"/>
      <c r="L607" s="89"/>
      <c r="M607" s="90"/>
    </row>
    <row r="608" spans="7:13" x14ac:dyDescent="0.35">
      <c r="G608" s="89"/>
      <c r="H608" s="90"/>
      <c r="L608" s="89"/>
      <c r="M608" s="90"/>
    </row>
    <row r="609" spans="7:13" x14ac:dyDescent="0.35">
      <c r="G609" s="89"/>
      <c r="H609" s="90"/>
      <c r="L609" s="89"/>
      <c r="M609" s="90"/>
    </row>
    <row r="610" spans="7:13" x14ac:dyDescent="0.35">
      <c r="G610" s="89"/>
      <c r="H610" s="90"/>
      <c r="L610" s="89"/>
      <c r="M610" s="90"/>
    </row>
    <row r="611" spans="7:13" x14ac:dyDescent="0.35">
      <c r="G611" s="89"/>
      <c r="H611" s="90"/>
      <c r="L611" s="89"/>
      <c r="M611" s="90"/>
    </row>
    <row r="612" spans="7:13" x14ac:dyDescent="0.35">
      <c r="G612" s="89"/>
      <c r="H612" s="90"/>
      <c r="L612" s="89"/>
      <c r="M612" s="90"/>
    </row>
    <row r="613" spans="7:13" x14ac:dyDescent="0.35">
      <c r="G613" s="89"/>
      <c r="H613" s="90"/>
      <c r="L613" s="89"/>
      <c r="M613" s="90"/>
    </row>
    <row r="614" spans="7:13" x14ac:dyDescent="0.35">
      <c r="G614" s="89"/>
      <c r="H614" s="90"/>
      <c r="L614" s="89"/>
      <c r="M614" s="90"/>
    </row>
    <row r="615" spans="7:13" x14ac:dyDescent="0.35">
      <c r="G615" s="89"/>
      <c r="H615" s="90"/>
      <c r="L615" s="89"/>
      <c r="M615" s="90"/>
    </row>
    <row r="616" spans="7:13" x14ac:dyDescent="0.35">
      <c r="G616" s="89"/>
      <c r="H616" s="90"/>
      <c r="L616" s="89"/>
      <c r="M616" s="90"/>
    </row>
    <row r="617" spans="7:13" x14ac:dyDescent="0.35">
      <c r="G617" s="89"/>
      <c r="H617" s="90"/>
      <c r="L617" s="89"/>
      <c r="M617" s="90"/>
    </row>
    <row r="618" spans="7:13" x14ac:dyDescent="0.35">
      <c r="G618" s="89"/>
      <c r="H618" s="90"/>
      <c r="L618" s="89"/>
      <c r="M618" s="90"/>
    </row>
    <row r="619" spans="7:13" x14ac:dyDescent="0.35">
      <c r="G619" s="89"/>
      <c r="H619" s="90"/>
      <c r="L619" s="89"/>
      <c r="M619" s="90"/>
    </row>
    <row r="620" spans="7:13" x14ac:dyDescent="0.35">
      <c r="G620" s="89"/>
      <c r="H620" s="90"/>
      <c r="L620" s="89"/>
      <c r="M620" s="90"/>
    </row>
    <row r="621" spans="7:13" x14ac:dyDescent="0.35">
      <c r="G621" s="89"/>
      <c r="H621" s="90"/>
      <c r="L621" s="89"/>
      <c r="M621" s="90"/>
    </row>
    <row r="622" spans="7:13" x14ac:dyDescent="0.35">
      <c r="G622" s="89"/>
      <c r="H622" s="90"/>
      <c r="L622" s="89"/>
      <c r="M622" s="90"/>
    </row>
    <row r="623" spans="7:13" x14ac:dyDescent="0.35">
      <c r="G623" s="89"/>
      <c r="H623" s="90"/>
      <c r="L623" s="89"/>
      <c r="M623" s="90"/>
    </row>
    <row r="624" spans="7:13" x14ac:dyDescent="0.35">
      <c r="G624" s="89"/>
      <c r="H624" s="90"/>
      <c r="L624" s="89"/>
      <c r="M624" s="90"/>
    </row>
    <row r="625" spans="7:13" x14ac:dyDescent="0.35">
      <c r="G625" s="89"/>
      <c r="H625" s="90"/>
      <c r="L625" s="89"/>
      <c r="M625" s="90"/>
    </row>
    <row r="626" spans="7:13" x14ac:dyDescent="0.35">
      <c r="G626" s="89"/>
      <c r="H626" s="90"/>
      <c r="L626" s="89"/>
      <c r="M626" s="90"/>
    </row>
    <row r="627" spans="7:13" x14ac:dyDescent="0.35">
      <c r="G627" s="89"/>
      <c r="H627" s="90"/>
      <c r="L627" s="89"/>
      <c r="M627" s="90"/>
    </row>
    <row r="628" spans="7:13" x14ac:dyDescent="0.35">
      <c r="G628" s="89"/>
      <c r="H628" s="90"/>
      <c r="L628" s="89"/>
      <c r="M628" s="90"/>
    </row>
    <row r="629" spans="7:13" x14ac:dyDescent="0.35">
      <c r="G629" s="89"/>
      <c r="H629" s="90"/>
      <c r="L629" s="89"/>
      <c r="M629" s="90"/>
    </row>
    <row r="630" spans="7:13" x14ac:dyDescent="0.35">
      <c r="G630" s="89"/>
      <c r="H630" s="90"/>
      <c r="L630" s="89"/>
      <c r="M630" s="90"/>
    </row>
    <row r="631" spans="7:13" x14ac:dyDescent="0.35">
      <c r="G631" s="89"/>
      <c r="H631" s="90"/>
      <c r="L631" s="89"/>
      <c r="M631" s="90"/>
    </row>
    <row r="632" spans="7:13" x14ac:dyDescent="0.35">
      <c r="G632" s="89"/>
      <c r="H632" s="90"/>
      <c r="L632" s="89"/>
      <c r="M632" s="90"/>
    </row>
    <row r="633" spans="7:13" x14ac:dyDescent="0.35">
      <c r="G633" s="89"/>
      <c r="H633" s="90"/>
      <c r="L633" s="89"/>
      <c r="M633" s="90"/>
    </row>
    <row r="634" spans="7:13" x14ac:dyDescent="0.35">
      <c r="G634" s="89"/>
      <c r="H634" s="90"/>
      <c r="L634" s="89"/>
      <c r="M634" s="90"/>
    </row>
    <row r="635" spans="7:13" x14ac:dyDescent="0.35">
      <c r="G635" s="89"/>
      <c r="H635" s="90"/>
      <c r="L635" s="89"/>
      <c r="M635" s="90"/>
    </row>
    <row r="636" spans="7:13" x14ac:dyDescent="0.35">
      <c r="G636" s="89"/>
      <c r="H636" s="90"/>
      <c r="L636" s="89"/>
      <c r="M636" s="90"/>
    </row>
    <row r="637" spans="7:13" x14ac:dyDescent="0.35">
      <c r="G637" s="89"/>
      <c r="H637" s="90"/>
      <c r="L637" s="89"/>
      <c r="M637" s="90"/>
    </row>
    <row r="638" spans="7:13" x14ac:dyDescent="0.35">
      <c r="G638" s="89"/>
      <c r="H638" s="90"/>
      <c r="L638" s="89"/>
      <c r="M638" s="90"/>
    </row>
    <row r="639" spans="7:13" x14ac:dyDescent="0.35">
      <c r="G639" s="89"/>
      <c r="H639" s="90"/>
      <c r="L639" s="89"/>
      <c r="M639" s="90"/>
    </row>
    <row r="640" spans="7:13" x14ac:dyDescent="0.35">
      <c r="G640" s="89"/>
      <c r="H640" s="90"/>
      <c r="L640" s="89"/>
      <c r="M640" s="90"/>
    </row>
    <row r="641" spans="7:13" x14ac:dyDescent="0.35">
      <c r="G641" s="89"/>
      <c r="H641" s="90"/>
      <c r="L641" s="89"/>
      <c r="M641" s="90"/>
    </row>
    <row r="642" spans="7:13" x14ac:dyDescent="0.35">
      <c r="G642" s="89"/>
      <c r="H642" s="90"/>
      <c r="L642" s="89"/>
      <c r="M642" s="90"/>
    </row>
    <row r="643" spans="7:13" x14ac:dyDescent="0.35">
      <c r="G643" s="89"/>
      <c r="H643" s="90"/>
      <c r="L643" s="89"/>
      <c r="M643" s="90"/>
    </row>
    <row r="644" spans="7:13" x14ac:dyDescent="0.35">
      <c r="G644" s="89"/>
      <c r="H644" s="90"/>
      <c r="L644" s="89"/>
      <c r="M644" s="90"/>
    </row>
    <row r="645" spans="7:13" x14ac:dyDescent="0.35">
      <c r="G645" s="89"/>
      <c r="H645" s="90"/>
      <c r="L645" s="89"/>
      <c r="M645" s="90"/>
    </row>
    <row r="646" spans="7:13" x14ac:dyDescent="0.35">
      <c r="G646" s="89"/>
      <c r="H646" s="90"/>
      <c r="L646" s="89"/>
      <c r="M646" s="90"/>
    </row>
    <row r="647" spans="7:13" x14ac:dyDescent="0.35">
      <c r="G647" s="89"/>
      <c r="H647" s="90"/>
      <c r="L647" s="89"/>
      <c r="M647" s="90"/>
    </row>
    <row r="648" spans="7:13" x14ac:dyDescent="0.35">
      <c r="G648" s="89"/>
      <c r="H648" s="90"/>
      <c r="L648" s="89"/>
      <c r="M648" s="90"/>
    </row>
    <row r="649" spans="7:13" x14ac:dyDescent="0.35">
      <c r="G649" s="89"/>
      <c r="H649" s="90"/>
      <c r="L649" s="89"/>
      <c r="M649" s="90"/>
    </row>
    <row r="650" spans="7:13" x14ac:dyDescent="0.35">
      <c r="G650" s="89"/>
      <c r="H650" s="90"/>
      <c r="L650" s="89"/>
      <c r="M650" s="90"/>
    </row>
    <row r="651" spans="7:13" x14ac:dyDescent="0.35">
      <c r="G651" s="89"/>
      <c r="H651" s="90"/>
      <c r="L651" s="89"/>
      <c r="M651" s="90"/>
    </row>
    <row r="652" spans="7:13" x14ac:dyDescent="0.35">
      <c r="G652" s="89"/>
      <c r="H652" s="90"/>
      <c r="L652" s="89"/>
      <c r="M652" s="90"/>
    </row>
    <row r="653" spans="7:13" x14ac:dyDescent="0.35">
      <c r="G653" s="89"/>
      <c r="H653" s="90"/>
      <c r="L653" s="89"/>
      <c r="M653" s="90"/>
    </row>
    <row r="654" spans="7:13" x14ac:dyDescent="0.35">
      <c r="G654" s="89"/>
      <c r="H654" s="90"/>
      <c r="L654" s="89"/>
      <c r="M654" s="90"/>
    </row>
    <row r="655" spans="7:13" x14ac:dyDescent="0.35">
      <c r="G655" s="89"/>
      <c r="H655" s="90"/>
      <c r="L655" s="89"/>
      <c r="M655" s="90"/>
    </row>
    <row r="656" spans="7:13" x14ac:dyDescent="0.35">
      <c r="G656" s="89"/>
      <c r="H656" s="90"/>
      <c r="L656" s="89"/>
      <c r="M656" s="90"/>
    </row>
    <row r="657" spans="7:13" x14ac:dyDescent="0.35">
      <c r="G657" s="89"/>
      <c r="H657" s="90"/>
      <c r="L657" s="89"/>
      <c r="M657" s="90"/>
    </row>
    <row r="658" spans="7:13" x14ac:dyDescent="0.35">
      <c r="G658" s="89"/>
      <c r="H658" s="90"/>
      <c r="L658" s="89"/>
      <c r="M658" s="90"/>
    </row>
    <row r="659" spans="7:13" x14ac:dyDescent="0.35">
      <c r="G659" s="89"/>
      <c r="H659" s="90"/>
      <c r="L659" s="89"/>
      <c r="M659" s="90"/>
    </row>
    <row r="660" spans="7:13" x14ac:dyDescent="0.35">
      <c r="G660" s="89"/>
      <c r="H660" s="90"/>
      <c r="L660" s="89"/>
      <c r="M660" s="90"/>
    </row>
    <row r="661" spans="7:13" x14ac:dyDescent="0.35">
      <c r="G661" s="89"/>
      <c r="H661" s="90"/>
      <c r="L661" s="89"/>
      <c r="M661" s="90"/>
    </row>
    <row r="662" spans="7:13" x14ac:dyDescent="0.35">
      <c r="G662" s="89"/>
      <c r="H662" s="90"/>
      <c r="L662" s="89"/>
      <c r="M662" s="90"/>
    </row>
    <row r="663" spans="7:13" x14ac:dyDescent="0.35">
      <c r="G663" s="89"/>
      <c r="H663" s="90"/>
      <c r="L663" s="89"/>
      <c r="M663" s="90"/>
    </row>
    <row r="664" spans="7:13" x14ac:dyDescent="0.35">
      <c r="G664" s="89"/>
      <c r="H664" s="90"/>
      <c r="L664" s="89"/>
      <c r="M664" s="90"/>
    </row>
    <row r="665" spans="7:13" x14ac:dyDescent="0.35">
      <c r="G665" s="89"/>
      <c r="H665" s="90"/>
      <c r="L665" s="89"/>
      <c r="M665" s="90"/>
    </row>
    <row r="666" spans="7:13" x14ac:dyDescent="0.35">
      <c r="G666" s="89"/>
      <c r="H666" s="90"/>
      <c r="L666" s="89"/>
      <c r="M666" s="90"/>
    </row>
    <row r="667" spans="7:13" x14ac:dyDescent="0.35">
      <c r="G667" s="89"/>
      <c r="H667" s="90"/>
      <c r="L667" s="89"/>
      <c r="M667" s="90"/>
    </row>
    <row r="668" spans="7:13" x14ac:dyDescent="0.35">
      <c r="G668" s="89"/>
      <c r="H668" s="90"/>
      <c r="L668" s="89"/>
      <c r="M668" s="90"/>
    </row>
    <row r="669" spans="7:13" x14ac:dyDescent="0.35">
      <c r="G669" s="89"/>
      <c r="H669" s="90"/>
      <c r="L669" s="89"/>
      <c r="M669" s="90"/>
    </row>
    <row r="670" spans="7:13" x14ac:dyDescent="0.35">
      <c r="G670" s="89"/>
      <c r="H670" s="90"/>
      <c r="L670" s="89"/>
      <c r="M670" s="90"/>
    </row>
    <row r="671" spans="7:13" x14ac:dyDescent="0.35">
      <c r="G671" s="89"/>
      <c r="H671" s="90"/>
      <c r="L671" s="89"/>
      <c r="M671" s="90"/>
    </row>
    <row r="672" spans="7:13" x14ac:dyDescent="0.35">
      <c r="G672" s="89"/>
      <c r="H672" s="90"/>
      <c r="L672" s="89"/>
      <c r="M672" s="90"/>
    </row>
    <row r="673" spans="7:13" x14ac:dyDescent="0.35">
      <c r="G673" s="89"/>
      <c r="H673" s="90"/>
      <c r="L673" s="89"/>
      <c r="M673" s="90"/>
    </row>
    <row r="674" spans="7:13" x14ac:dyDescent="0.35">
      <c r="G674" s="89"/>
      <c r="H674" s="90"/>
      <c r="L674" s="89"/>
      <c r="M674" s="90"/>
    </row>
    <row r="675" spans="7:13" x14ac:dyDescent="0.35">
      <c r="G675" s="89"/>
      <c r="H675" s="90"/>
      <c r="L675" s="89"/>
      <c r="M675" s="90"/>
    </row>
    <row r="676" spans="7:13" x14ac:dyDescent="0.35">
      <c r="G676" s="89"/>
      <c r="H676" s="90"/>
      <c r="L676" s="89"/>
      <c r="M676" s="90"/>
    </row>
    <row r="677" spans="7:13" x14ac:dyDescent="0.35">
      <c r="G677" s="89"/>
      <c r="H677" s="90"/>
      <c r="L677" s="89"/>
      <c r="M677" s="90"/>
    </row>
    <row r="678" spans="7:13" x14ac:dyDescent="0.35">
      <c r="G678" s="89"/>
      <c r="H678" s="90"/>
      <c r="L678" s="89"/>
      <c r="M678" s="90"/>
    </row>
    <row r="679" spans="7:13" x14ac:dyDescent="0.35">
      <c r="G679" s="89"/>
      <c r="H679" s="90"/>
      <c r="L679" s="89"/>
      <c r="M679" s="90"/>
    </row>
    <row r="680" spans="7:13" x14ac:dyDescent="0.35">
      <c r="G680" s="89"/>
      <c r="H680" s="90"/>
      <c r="L680" s="89"/>
      <c r="M680" s="90"/>
    </row>
    <row r="681" spans="7:13" x14ac:dyDescent="0.35">
      <c r="G681" s="89"/>
      <c r="H681" s="90"/>
      <c r="L681" s="89"/>
      <c r="M681" s="90"/>
    </row>
    <row r="682" spans="7:13" x14ac:dyDescent="0.35">
      <c r="G682" s="89"/>
      <c r="H682" s="90"/>
      <c r="L682" s="89"/>
      <c r="M682" s="90"/>
    </row>
    <row r="683" spans="7:13" x14ac:dyDescent="0.35">
      <c r="G683" s="89"/>
      <c r="H683" s="90"/>
      <c r="L683" s="89"/>
      <c r="M683" s="90"/>
    </row>
    <row r="684" spans="7:13" x14ac:dyDescent="0.35">
      <c r="G684" s="89"/>
      <c r="H684" s="90"/>
      <c r="L684" s="89"/>
      <c r="M684" s="90"/>
    </row>
    <row r="685" spans="7:13" x14ac:dyDescent="0.35">
      <c r="G685" s="89"/>
      <c r="H685" s="90"/>
      <c r="L685" s="89"/>
      <c r="M685" s="90"/>
    </row>
    <row r="686" spans="7:13" x14ac:dyDescent="0.35">
      <c r="G686" s="89"/>
      <c r="H686" s="90"/>
      <c r="L686" s="89"/>
      <c r="M686" s="90"/>
    </row>
    <row r="687" spans="7:13" x14ac:dyDescent="0.35">
      <c r="G687" s="89"/>
      <c r="H687" s="90"/>
      <c r="L687" s="89"/>
      <c r="M687" s="90"/>
    </row>
    <row r="688" spans="7:13" x14ac:dyDescent="0.35">
      <c r="G688" s="89"/>
      <c r="H688" s="90"/>
      <c r="L688" s="89"/>
      <c r="M688" s="90"/>
    </row>
    <row r="689" spans="7:13" x14ac:dyDescent="0.35">
      <c r="G689" s="89"/>
      <c r="H689" s="90"/>
      <c r="L689" s="89"/>
      <c r="M689" s="90"/>
    </row>
    <row r="690" spans="7:13" x14ac:dyDescent="0.35">
      <c r="G690" s="89"/>
      <c r="H690" s="90"/>
      <c r="L690" s="89"/>
      <c r="M690" s="90"/>
    </row>
    <row r="691" spans="7:13" x14ac:dyDescent="0.35">
      <c r="G691" s="89"/>
      <c r="H691" s="90"/>
      <c r="L691" s="89"/>
      <c r="M691" s="90"/>
    </row>
    <row r="692" spans="7:13" x14ac:dyDescent="0.35">
      <c r="G692" s="89"/>
      <c r="H692" s="90"/>
      <c r="L692" s="89"/>
      <c r="M692" s="90"/>
    </row>
    <row r="693" spans="7:13" x14ac:dyDescent="0.35">
      <c r="G693" s="89"/>
      <c r="H693" s="90"/>
      <c r="L693" s="89"/>
      <c r="M693" s="90"/>
    </row>
    <row r="694" spans="7:13" x14ac:dyDescent="0.35">
      <c r="G694" s="89"/>
      <c r="H694" s="90"/>
      <c r="L694" s="89"/>
      <c r="M694" s="90"/>
    </row>
    <row r="695" spans="7:13" x14ac:dyDescent="0.35">
      <c r="G695" s="89"/>
      <c r="H695" s="90"/>
      <c r="L695" s="89"/>
      <c r="M695" s="90"/>
    </row>
    <row r="696" spans="7:13" x14ac:dyDescent="0.35">
      <c r="G696" s="89"/>
      <c r="H696" s="90"/>
      <c r="L696" s="89"/>
      <c r="M696" s="90"/>
    </row>
    <row r="697" spans="7:13" x14ac:dyDescent="0.35">
      <c r="G697" s="89"/>
      <c r="H697" s="90"/>
      <c r="L697" s="89"/>
      <c r="M697" s="90"/>
    </row>
    <row r="698" spans="7:13" x14ac:dyDescent="0.35">
      <c r="G698" s="89"/>
      <c r="H698" s="90"/>
      <c r="L698" s="89"/>
      <c r="M698" s="90"/>
    </row>
    <row r="699" spans="7:13" x14ac:dyDescent="0.35">
      <c r="G699" s="89"/>
      <c r="H699" s="90"/>
      <c r="L699" s="89"/>
      <c r="M699" s="90"/>
    </row>
    <row r="700" spans="7:13" x14ac:dyDescent="0.35">
      <c r="G700" s="89"/>
      <c r="H700" s="90"/>
      <c r="L700" s="89"/>
      <c r="M700" s="90"/>
    </row>
    <row r="701" spans="7:13" x14ac:dyDescent="0.35">
      <c r="G701" s="89"/>
      <c r="H701" s="90"/>
      <c r="L701" s="89"/>
      <c r="M701" s="90"/>
    </row>
    <row r="702" spans="7:13" x14ac:dyDescent="0.35">
      <c r="G702" s="89"/>
      <c r="H702" s="90"/>
      <c r="L702" s="89"/>
      <c r="M702" s="90"/>
    </row>
    <row r="703" spans="7:13" x14ac:dyDescent="0.35">
      <c r="G703" s="89"/>
      <c r="H703" s="90"/>
      <c r="L703" s="89"/>
      <c r="M703" s="90"/>
    </row>
    <row r="704" spans="7:13" x14ac:dyDescent="0.35">
      <c r="G704" s="89"/>
      <c r="H704" s="90"/>
      <c r="L704" s="89"/>
      <c r="M704" s="90"/>
    </row>
    <row r="705" spans="7:13" x14ac:dyDescent="0.35">
      <c r="G705" s="89"/>
      <c r="H705" s="90"/>
      <c r="L705" s="89"/>
      <c r="M705" s="90"/>
    </row>
    <row r="706" spans="7:13" x14ac:dyDescent="0.35">
      <c r="G706" s="89"/>
      <c r="H706" s="90"/>
      <c r="L706" s="89"/>
      <c r="M706" s="90"/>
    </row>
    <row r="707" spans="7:13" x14ac:dyDescent="0.35">
      <c r="G707" s="89"/>
      <c r="H707" s="90"/>
      <c r="L707" s="89"/>
      <c r="M707" s="90"/>
    </row>
    <row r="708" spans="7:13" x14ac:dyDescent="0.35">
      <c r="G708" s="89"/>
      <c r="H708" s="90"/>
      <c r="L708" s="89"/>
      <c r="M708" s="90"/>
    </row>
    <row r="709" spans="7:13" x14ac:dyDescent="0.35">
      <c r="G709" s="89"/>
      <c r="H709" s="90"/>
      <c r="L709" s="89"/>
      <c r="M709" s="90"/>
    </row>
    <row r="710" spans="7:13" x14ac:dyDescent="0.35">
      <c r="G710" s="89"/>
      <c r="H710" s="90"/>
      <c r="L710" s="89"/>
      <c r="M710" s="90"/>
    </row>
    <row r="711" spans="7:13" x14ac:dyDescent="0.35">
      <c r="G711" s="89"/>
      <c r="H711" s="90"/>
      <c r="L711" s="89"/>
      <c r="M711" s="90"/>
    </row>
    <row r="712" spans="7:13" x14ac:dyDescent="0.35">
      <c r="G712" s="89"/>
      <c r="H712" s="90"/>
      <c r="L712" s="89"/>
      <c r="M712" s="90"/>
    </row>
    <row r="713" spans="7:13" x14ac:dyDescent="0.35">
      <c r="G713" s="89"/>
      <c r="H713" s="90"/>
      <c r="L713" s="89"/>
      <c r="M713" s="90"/>
    </row>
    <row r="714" spans="7:13" x14ac:dyDescent="0.35">
      <c r="G714" s="89"/>
      <c r="H714" s="90"/>
      <c r="L714" s="89"/>
      <c r="M714" s="90"/>
    </row>
    <row r="715" spans="7:13" x14ac:dyDescent="0.35">
      <c r="G715" s="89"/>
      <c r="H715" s="90"/>
      <c r="L715" s="89"/>
      <c r="M715" s="90"/>
    </row>
    <row r="716" spans="7:13" x14ac:dyDescent="0.35">
      <c r="G716" s="89"/>
      <c r="H716" s="90"/>
      <c r="L716" s="89"/>
      <c r="M716" s="90"/>
    </row>
    <row r="717" spans="7:13" x14ac:dyDescent="0.35">
      <c r="G717" s="89"/>
      <c r="H717" s="90"/>
      <c r="L717" s="89"/>
      <c r="M717" s="90"/>
    </row>
    <row r="718" spans="7:13" x14ac:dyDescent="0.35">
      <c r="G718" s="89"/>
      <c r="H718" s="90"/>
      <c r="L718" s="89"/>
      <c r="M718" s="90"/>
    </row>
    <row r="719" spans="7:13" x14ac:dyDescent="0.35">
      <c r="G719" s="89"/>
      <c r="H719" s="90"/>
      <c r="L719" s="89"/>
      <c r="M719" s="90"/>
    </row>
    <row r="720" spans="7:13" x14ac:dyDescent="0.35">
      <c r="G720" s="89"/>
      <c r="H720" s="90"/>
      <c r="L720" s="89"/>
      <c r="M720" s="90"/>
    </row>
    <row r="721" spans="7:13" x14ac:dyDescent="0.35">
      <c r="G721" s="89"/>
      <c r="H721" s="90"/>
      <c r="L721" s="89"/>
      <c r="M721" s="90"/>
    </row>
    <row r="722" spans="7:13" x14ac:dyDescent="0.35">
      <c r="G722" s="89"/>
      <c r="H722" s="90"/>
      <c r="L722" s="89"/>
      <c r="M722" s="90"/>
    </row>
    <row r="723" spans="7:13" x14ac:dyDescent="0.35">
      <c r="G723" s="89"/>
      <c r="H723" s="90"/>
      <c r="L723" s="89"/>
      <c r="M723" s="90"/>
    </row>
    <row r="724" spans="7:13" x14ac:dyDescent="0.35">
      <c r="G724" s="89"/>
      <c r="H724" s="90"/>
      <c r="L724" s="89"/>
      <c r="M724" s="90"/>
    </row>
    <row r="725" spans="7:13" x14ac:dyDescent="0.35">
      <c r="G725" s="89"/>
      <c r="H725" s="90"/>
      <c r="L725" s="89"/>
      <c r="M725" s="90"/>
    </row>
    <row r="726" spans="7:13" x14ac:dyDescent="0.35">
      <c r="G726" s="89"/>
      <c r="H726" s="90"/>
      <c r="L726" s="89"/>
      <c r="M726" s="90"/>
    </row>
    <row r="727" spans="7:13" x14ac:dyDescent="0.35">
      <c r="G727" s="89"/>
      <c r="H727" s="90"/>
      <c r="L727" s="89"/>
      <c r="M727" s="90"/>
    </row>
    <row r="728" spans="7:13" x14ac:dyDescent="0.35">
      <c r="G728" s="89"/>
      <c r="H728" s="90"/>
      <c r="L728" s="89"/>
      <c r="M728" s="90"/>
    </row>
    <row r="729" spans="7:13" x14ac:dyDescent="0.35">
      <c r="G729" s="89"/>
      <c r="H729" s="90"/>
      <c r="L729" s="89"/>
      <c r="M729" s="90"/>
    </row>
    <row r="730" spans="7:13" x14ac:dyDescent="0.35">
      <c r="G730" s="89"/>
      <c r="H730" s="90"/>
      <c r="L730" s="89"/>
      <c r="M730" s="90"/>
    </row>
    <row r="731" spans="7:13" x14ac:dyDescent="0.35">
      <c r="G731" s="89"/>
      <c r="H731" s="90"/>
      <c r="L731" s="89"/>
      <c r="M731" s="90"/>
    </row>
    <row r="732" spans="7:13" x14ac:dyDescent="0.35">
      <c r="G732" s="89"/>
      <c r="H732" s="90"/>
      <c r="L732" s="89"/>
      <c r="M732" s="90"/>
    </row>
    <row r="733" spans="7:13" x14ac:dyDescent="0.35">
      <c r="G733" s="89"/>
      <c r="H733" s="90"/>
      <c r="L733" s="89"/>
      <c r="M733" s="90"/>
    </row>
    <row r="734" spans="7:13" x14ac:dyDescent="0.35">
      <c r="G734" s="89"/>
      <c r="H734" s="90"/>
      <c r="L734" s="89"/>
      <c r="M734" s="90"/>
    </row>
    <row r="735" spans="7:13" x14ac:dyDescent="0.35">
      <c r="G735" s="89"/>
      <c r="H735" s="90"/>
      <c r="L735" s="89"/>
      <c r="M735" s="90"/>
    </row>
    <row r="736" spans="7:13" x14ac:dyDescent="0.35">
      <c r="G736" s="89"/>
      <c r="H736" s="90"/>
      <c r="L736" s="89"/>
      <c r="M736" s="90"/>
    </row>
    <row r="737" spans="7:13" x14ac:dyDescent="0.35">
      <c r="G737" s="89"/>
      <c r="H737" s="90"/>
      <c r="L737" s="89"/>
      <c r="M737" s="90"/>
    </row>
    <row r="738" spans="7:13" x14ac:dyDescent="0.35">
      <c r="G738" s="89"/>
      <c r="H738" s="90"/>
      <c r="L738" s="89"/>
      <c r="M738" s="90"/>
    </row>
    <row r="739" spans="7:13" x14ac:dyDescent="0.35">
      <c r="G739" s="89"/>
      <c r="H739" s="90"/>
      <c r="L739" s="89"/>
      <c r="M739" s="90"/>
    </row>
    <row r="740" spans="7:13" x14ac:dyDescent="0.35">
      <c r="G740" s="89"/>
      <c r="H740" s="90"/>
      <c r="L740" s="89"/>
      <c r="M740" s="90"/>
    </row>
    <row r="741" spans="7:13" x14ac:dyDescent="0.35">
      <c r="G741" s="89"/>
      <c r="H741" s="90"/>
      <c r="L741" s="89"/>
      <c r="M741" s="90"/>
    </row>
    <row r="742" spans="7:13" x14ac:dyDescent="0.35">
      <c r="G742" s="89"/>
      <c r="H742" s="90"/>
      <c r="L742" s="89"/>
      <c r="M742" s="90"/>
    </row>
    <row r="743" spans="7:13" x14ac:dyDescent="0.35">
      <c r="G743" s="89"/>
      <c r="H743" s="90"/>
      <c r="L743" s="89"/>
      <c r="M743" s="90"/>
    </row>
    <row r="744" spans="7:13" x14ac:dyDescent="0.35">
      <c r="G744" s="89"/>
      <c r="H744" s="90"/>
      <c r="L744" s="89"/>
      <c r="M744" s="90"/>
    </row>
    <row r="745" spans="7:13" x14ac:dyDescent="0.35">
      <c r="G745" s="89"/>
      <c r="H745" s="90"/>
      <c r="L745" s="89"/>
      <c r="M745" s="90"/>
    </row>
    <row r="746" spans="7:13" x14ac:dyDescent="0.35">
      <c r="G746" s="89"/>
      <c r="H746" s="90"/>
      <c r="L746" s="89"/>
      <c r="M746" s="90"/>
    </row>
    <row r="747" spans="7:13" x14ac:dyDescent="0.35">
      <c r="G747" s="89"/>
      <c r="H747" s="90"/>
      <c r="L747" s="89"/>
      <c r="M747" s="90"/>
    </row>
    <row r="748" spans="7:13" x14ac:dyDescent="0.35">
      <c r="G748" s="89"/>
      <c r="H748" s="90"/>
      <c r="L748" s="89"/>
      <c r="M748" s="90"/>
    </row>
    <row r="749" spans="7:13" x14ac:dyDescent="0.35">
      <c r="G749" s="89"/>
      <c r="H749" s="90"/>
      <c r="L749" s="89"/>
      <c r="M749" s="90"/>
    </row>
    <row r="750" spans="7:13" x14ac:dyDescent="0.35">
      <c r="G750" s="89"/>
      <c r="H750" s="90"/>
      <c r="L750" s="89"/>
      <c r="M750" s="90"/>
    </row>
    <row r="751" spans="7:13" x14ac:dyDescent="0.35">
      <c r="G751" s="89"/>
      <c r="H751" s="90"/>
      <c r="L751" s="89"/>
      <c r="M751" s="90"/>
    </row>
    <row r="752" spans="7:13" x14ac:dyDescent="0.35">
      <c r="G752" s="89"/>
      <c r="H752" s="90"/>
      <c r="L752" s="89"/>
      <c r="M752" s="90"/>
    </row>
    <row r="753" spans="7:13" x14ac:dyDescent="0.35">
      <c r="G753" s="89"/>
      <c r="H753" s="90"/>
      <c r="L753" s="89"/>
      <c r="M753" s="90"/>
    </row>
    <row r="754" spans="7:13" x14ac:dyDescent="0.35">
      <c r="G754" s="89"/>
      <c r="H754" s="90"/>
      <c r="L754" s="89"/>
      <c r="M754" s="90"/>
    </row>
    <row r="755" spans="7:13" x14ac:dyDescent="0.35">
      <c r="G755" s="89"/>
      <c r="H755" s="90"/>
      <c r="L755" s="89"/>
      <c r="M755" s="90"/>
    </row>
    <row r="756" spans="7:13" x14ac:dyDescent="0.35">
      <c r="G756" s="89"/>
      <c r="H756" s="90"/>
      <c r="L756" s="89"/>
      <c r="M756" s="90"/>
    </row>
    <row r="757" spans="7:13" x14ac:dyDescent="0.35">
      <c r="G757" s="89"/>
      <c r="H757" s="90"/>
      <c r="L757" s="89"/>
      <c r="M757" s="90"/>
    </row>
    <row r="758" spans="7:13" x14ac:dyDescent="0.35">
      <c r="G758" s="89"/>
      <c r="H758" s="90"/>
      <c r="L758" s="89"/>
      <c r="M758" s="90"/>
    </row>
    <row r="759" spans="7:13" x14ac:dyDescent="0.35">
      <c r="G759" s="89"/>
      <c r="H759" s="90"/>
      <c r="L759" s="89"/>
      <c r="M759" s="90"/>
    </row>
    <row r="760" spans="7:13" x14ac:dyDescent="0.35">
      <c r="G760" s="89"/>
      <c r="H760" s="90"/>
      <c r="L760" s="89"/>
      <c r="M760" s="90"/>
    </row>
    <row r="761" spans="7:13" x14ac:dyDescent="0.35">
      <c r="G761" s="89"/>
      <c r="H761" s="90"/>
      <c r="L761" s="89"/>
      <c r="M761" s="90"/>
    </row>
    <row r="762" spans="7:13" x14ac:dyDescent="0.35">
      <c r="G762" s="89"/>
      <c r="H762" s="90"/>
      <c r="L762" s="89"/>
      <c r="M762" s="90"/>
    </row>
    <row r="763" spans="7:13" x14ac:dyDescent="0.35">
      <c r="G763" s="89"/>
      <c r="H763" s="90"/>
      <c r="L763" s="89"/>
      <c r="M763" s="90"/>
    </row>
    <row r="764" spans="7:13" x14ac:dyDescent="0.35">
      <c r="G764" s="89"/>
      <c r="H764" s="90"/>
      <c r="L764" s="89"/>
      <c r="M764" s="90"/>
    </row>
    <row r="765" spans="7:13" x14ac:dyDescent="0.35">
      <c r="G765" s="89"/>
      <c r="H765" s="90"/>
      <c r="L765" s="89"/>
      <c r="M765" s="90"/>
    </row>
    <row r="766" spans="7:13" x14ac:dyDescent="0.35">
      <c r="G766" s="89"/>
      <c r="H766" s="90"/>
      <c r="L766" s="89"/>
      <c r="M766" s="90"/>
    </row>
    <row r="767" spans="7:13" x14ac:dyDescent="0.35">
      <c r="G767" s="89"/>
      <c r="H767" s="90"/>
      <c r="L767" s="89"/>
      <c r="M767" s="90"/>
    </row>
    <row r="768" spans="7:13" x14ac:dyDescent="0.35">
      <c r="G768" s="89"/>
      <c r="H768" s="90"/>
      <c r="L768" s="89"/>
      <c r="M768" s="90"/>
    </row>
    <row r="769" spans="7:13" x14ac:dyDescent="0.35">
      <c r="G769" s="89"/>
      <c r="H769" s="90"/>
      <c r="L769" s="89"/>
      <c r="M769" s="90"/>
    </row>
    <row r="770" spans="7:13" x14ac:dyDescent="0.35">
      <c r="G770" s="89"/>
      <c r="H770" s="90"/>
      <c r="L770" s="89"/>
      <c r="M770" s="90"/>
    </row>
    <row r="771" spans="7:13" x14ac:dyDescent="0.35">
      <c r="G771" s="89"/>
      <c r="H771" s="90"/>
      <c r="L771" s="89"/>
      <c r="M771" s="90"/>
    </row>
    <row r="772" spans="7:13" x14ac:dyDescent="0.35">
      <c r="G772" s="89"/>
      <c r="H772" s="90"/>
      <c r="L772" s="89"/>
      <c r="M772" s="90"/>
    </row>
    <row r="773" spans="7:13" x14ac:dyDescent="0.35">
      <c r="G773" s="89"/>
      <c r="H773" s="90"/>
      <c r="L773" s="89"/>
      <c r="M773" s="90"/>
    </row>
    <row r="774" spans="7:13" x14ac:dyDescent="0.35">
      <c r="G774" s="89"/>
      <c r="H774" s="90"/>
      <c r="L774" s="89"/>
      <c r="M774" s="90"/>
    </row>
    <row r="775" spans="7:13" x14ac:dyDescent="0.35">
      <c r="G775" s="89"/>
      <c r="H775" s="90"/>
      <c r="L775" s="89"/>
      <c r="M775" s="90"/>
    </row>
    <row r="776" spans="7:13" x14ac:dyDescent="0.35">
      <c r="G776" s="89"/>
      <c r="H776" s="90"/>
      <c r="L776" s="89"/>
      <c r="M776" s="90"/>
    </row>
    <row r="777" spans="7:13" x14ac:dyDescent="0.35">
      <c r="G777" s="89"/>
      <c r="H777" s="90"/>
      <c r="L777" s="89"/>
      <c r="M777" s="90"/>
    </row>
    <row r="778" spans="7:13" x14ac:dyDescent="0.35">
      <c r="G778" s="89"/>
      <c r="H778" s="90"/>
      <c r="L778" s="89"/>
      <c r="M778" s="90"/>
    </row>
    <row r="779" spans="7:13" x14ac:dyDescent="0.35">
      <c r="G779" s="89"/>
      <c r="H779" s="90"/>
      <c r="L779" s="89"/>
      <c r="M779" s="90"/>
    </row>
    <row r="780" spans="7:13" x14ac:dyDescent="0.35">
      <c r="G780" s="89"/>
      <c r="H780" s="90"/>
      <c r="L780" s="89"/>
      <c r="M780" s="90"/>
    </row>
    <row r="781" spans="7:13" x14ac:dyDescent="0.35">
      <c r="G781" s="89"/>
      <c r="H781" s="90"/>
      <c r="L781" s="89"/>
      <c r="M781" s="90"/>
    </row>
    <row r="782" spans="7:13" x14ac:dyDescent="0.35">
      <c r="G782" s="89"/>
      <c r="H782" s="90"/>
      <c r="L782" s="89"/>
      <c r="M782" s="90"/>
    </row>
    <row r="783" spans="7:13" x14ac:dyDescent="0.35">
      <c r="G783" s="89"/>
      <c r="H783" s="90"/>
      <c r="L783" s="89"/>
      <c r="M783" s="90"/>
    </row>
    <row r="784" spans="7:13" x14ac:dyDescent="0.35">
      <c r="G784" s="89"/>
      <c r="H784" s="90"/>
      <c r="L784" s="89"/>
      <c r="M784" s="90"/>
    </row>
    <row r="785" spans="7:13" x14ac:dyDescent="0.35">
      <c r="G785" s="89"/>
      <c r="H785" s="90"/>
      <c r="L785" s="89"/>
      <c r="M785" s="90"/>
    </row>
    <row r="786" spans="7:13" x14ac:dyDescent="0.35">
      <c r="G786" s="89"/>
      <c r="H786" s="90"/>
      <c r="L786" s="89"/>
      <c r="M786" s="90"/>
    </row>
    <row r="787" spans="7:13" x14ac:dyDescent="0.35">
      <c r="G787" s="89"/>
      <c r="H787" s="90"/>
      <c r="L787" s="89"/>
      <c r="M787" s="90"/>
    </row>
    <row r="788" spans="7:13" x14ac:dyDescent="0.35">
      <c r="G788" s="89"/>
      <c r="H788" s="90"/>
      <c r="L788" s="89"/>
      <c r="M788" s="90"/>
    </row>
    <row r="789" spans="7:13" x14ac:dyDescent="0.35">
      <c r="G789" s="89"/>
      <c r="H789" s="90"/>
      <c r="L789" s="89"/>
      <c r="M789" s="90"/>
    </row>
    <row r="790" spans="7:13" x14ac:dyDescent="0.35">
      <c r="G790" s="89"/>
      <c r="H790" s="90"/>
      <c r="L790" s="89"/>
      <c r="M790" s="90"/>
    </row>
    <row r="791" spans="7:13" x14ac:dyDescent="0.35">
      <c r="G791" s="89"/>
      <c r="H791" s="90"/>
      <c r="L791" s="89"/>
      <c r="M791" s="90"/>
    </row>
    <row r="792" spans="7:13" x14ac:dyDescent="0.35">
      <c r="G792" s="89"/>
      <c r="H792" s="90"/>
      <c r="L792" s="89"/>
      <c r="M792" s="90"/>
    </row>
    <row r="793" spans="7:13" x14ac:dyDescent="0.35">
      <c r="G793" s="89"/>
      <c r="H793" s="90"/>
      <c r="L793" s="89"/>
      <c r="M793" s="90"/>
    </row>
    <row r="794" spans="7:13" x14ac:dyDescent="0.35">
      <c r="G794" s="89"/>
      <c r="H794" s="90"/>
      <c r="L794" s="89"/>
      <c r="M794" s="90"/>
    </row>
    <row r="795" spans="7:13" x14ac:dyDescent="0.35">
      <c r="G795" s="89"/>
      <c r="H795" s="90"/>
      <c r="L795" s="89"/>
      <c r="M795" s="90"/>
    </row>
    <row r="796" spans="7:13" x14ac:dyDescent="0.35">
      <c r="G796" s="89"/>
      <c r="H796" s="90"/>
      <c r="L796" s="89"/>
      <c r="M796" s="90"/>
    </row>
    <row r="797" spans="7:13" x14ac:dyDescent="0.35">
      <c r="G797" s="89"/>
      <c r="H797" s="90"/>
      <c r="L797" s="89"/>
      <c r="M797" s="90"/>
    </row>
    <row r="798" spans="7:13" x14ac:dyDescent="0.35">
      <c r="G798" s="89"/>
      <c r="H798" s="90"/>
      <c r="L798" s="89"/>
      <c r="M798" s="90"/>
    </row>
    <row r="799" spans="7:13" x14ac:dyDescent="0.35">
      <c r="G799" s="89"/>
      <c r="H799" s="90"/>
      <c r="L799" s="89"/>
      <c r="M799" s="90"/>
    </row>
    <row r="800" spans="7:13" x14ac:dyDescent="0.35">
      <c r="G800" s="89"/>
      <c r="H800" s="90"/>
      <c r="L800" s="89"/>
      <c r="M800" s="90"/>
    </row>
    <row r="801" spans="7:13" x14ac:dyDescent="0.35">
      <c r="G801" s="89"/>
      <c r="H801" s="90"/>
      <c r="L801" s="89"/>
      <c r="M801" s="90"/>
    </row>
    <row r="802" spans="7:13" x14ac:dyDescent="0.35">
      <c r="G802" s="89"/>
      <c r="H802" s="90"/>
      <c r="L802" s="89"/>
      <c r="M802" s="90"/>
    </row>
    <row r="803" spans="7:13" x14ac:dyDescent="0.35">
      <c r="G803" s="89"/>
      <c r="H803" s="90"/>
      <c r="L803" s="89"/>
      <c r="M803" s="90"/>
    </row>
    <row r="804" spans="7:13" x14ac:dyDescent="0.35">
      <c r="G804" s="89"/>
      <c r="H804" s="90"/>
      <c r="L804" s="89"/>
      <c r="M804" s="90"/>
    </row>
    <row r="805" spans="7:13" x14ac:dyDescent="0.35">
      <c r="G805" s="89"/>
      <c r="H805" s="90"/>
      <c r="L805" s="89"/>
      <c r="M805" s="90"/>
    </row>
    <row r="806" spans="7:13" x14ac:dyDescent="0.35">
      <c r="G806" s="89"/>
      <c r="H806" s="90"/>
      <c r="L806" s="89"/>
      <c r="M806" s="90"/>
    </row>
    <row r="807" spans="7:13" x14ac:dyDescent="0.35">
      <c r="G807" s="89"/>
      <c r="H807" s="90"/>
      <c r="L807" s="89"/>
      <c r="M807" s="90"/>
    </row>
    <row r="808" spans="7:13" x14ac:dyDescent="0.35">
      <c r="G808" s="89"/>
      <c r="H808" s="90"/>
      <c r="L808" s="89"/>
      <c r="M808" s="90"/>
    </row>
    <row r="809" spans="7:13" x14ac:dyDescent="0.35">
      <c r="G809" s="89"/>
      <c r="H809" s="90"/>
      <c r="L809" s="89"/>
      <c r="M809" s="90"/>
    </row>
    <row r="810" spans="7:13" x14ac:dyDescent="0.35">
      <c r="G810" s="89"/>
      <c r="H810" s="90"/>
      <c r="L810" s="89"/>
      <c r="M810" s="90"/>
    </row>
    <row r="811" spans="7:13" x14ac:dyDescent="0.35">
      <c r="G811" s="89"/>
      <c r="H811" s="90"/>
      <c r="L811" s="89"/>
      <c r="M811" s="90"/>
    </row>
    <row r="812" spans="7:13" x14ac:dyDescent="0.35">
      <c r="G812" s="89"/>
      <c r="H812" s="90"/>
      <c r="L812" s="89"/>
      <c r="M812" s="90"/>
    </row>
    <row r="813" spans="7:13" x14ac:dyDescent="0.35">
      <c r="G813" s="89"/>
      <c r="H813" s="90"/>
      <c r="L813" s="89"/>
      <c r="M813" s="90"/>
    </row>
    <row r="814" spans="7:13" x14ac:dyDescent="0.35">
      <c r="G814" s="89"/>
      <c r="H814" s="90"/>
      <c r="L814" s="89"/>
      <c r="M814" s="90"/>
    </row>
    <row r="815" spans="7:13" x14ac:dyDescent="0.35">
      <c r="G815" s="89"/>
      <c r="H815" s="90"/>
      <c r="L815" s="89"/>
      <c r="M815" s="90"/>
    </row>
    <row r="816" spans="7:13" x14ac:dyDescent="0.35">
      <c r="G816" s="89"/>
      <c r="H816" s="90"/>
      <c r="L816" s="89"/>
      <c r="M816" s="90"/>
    </row>
    <row r="817" spans="7:13" x14ac:dyDescent="0.35">
      <c r="G817" s="89"/>
      <c r="H817" s="90"/>
      <c r="L817" s="89"/>
      <c r="M817" s="90"/>
    </row>
    <row r="818" spans="7:13" x14ac:dyDescent="0.35">
      <c r="G818" s="89"/>
      <c r="H818" s="90"/>
      <c r="L818" s="89"/>
      <c r="M818" s="90"/>
    </row>
    <row r="819" spans="7:13" x14ac:dyDescent="0.35">
      <c r="G819" s="89"/>
      <c r="H819" s="90"/>
      <c r="L819" s="89"/>
      <c r="M819" s="90"/>
    </row>
    <row r="820" spans="7:13" x14ac:dyDescent="0.35">
      <c r="G820" s="89"/>
      <c r="H820" s="90"/>
      <c r="L820" s="89"/>
      <c r="M820" s="90"/>
    </row>
    <row r="821" spans="7:13" x14ac:dyDescent="0.35">
      <c r="G821" s="89"/>
      <c r="H821" s="90"/>
      <c r="L821" s="89"/>
      <c r="M821" s="90"/>
    </row>
    <row r="822" spans="7:13" x14ac:dyDescent="0.35">
      <c r="G822" s="89"/>
      <c r="H822" s="90"/>
      <c r="L822" s="89"/>
      <c r="M822" s="90"/>
    </row>
    <row r="823" spans="7:13" x14ac:dyDescent="0.35">
      <c r="G823" s="89"/>
      <c r="H823" s="90"/>
      <c r="L823" s="89"/>
      <c r="M823" s="90"/>
    </row>
    <row r="824" spans="7:13" x14ac:dyDescent="0.35">
      <c r="G824" s="89"/>
      <c r="H824" s="90"/>
      <c r="L824" s="89"/>
      <c r="M824" s="90"/>
    </row>
    <row r="825" spans="7:13" x14ac:dyDescent="0.35">
      <c r="G825" s="89"/>
      <c r="H825" s="90"/>
      <c r="L825" s="89"/>
      <c r="M825" s="90"/>
    </row>
    <row r="826" spans="7:13" x14ac:dyDescent="0.35">
      <c r="G826" s="89"/>
      <c r="H826" s="90"/>
      <c r="L826" s="89"/>
      <c r="M826" s="90"/>
    </row>
    <row r="827" spans="7:13" x14ac:dyDescent="0.35">
      <c r="G827" s="89"/>
      <c r="H827" s="90"/>
      <c r="L827" s="89"/>
      <c r="M827" s="90"/>
    </row>
    <row r="828" spans="7:13" x14ac:dyDescent="0.35">
      <c r="G828" s="89"/>
      <c r="H828" s="90"/>
      <c r="L828" s="89"/>
      <c r="M828" s="90"/>
    </row>
    <row r="829" spans="7:13" x14ac:dyDescent="0.35">
      <c r="G829" s="89"/>
      <c r="H829" s="90"/>
      <c r="L829" s="89"/>
      <c r="M829" s="90"/>
    </row>
    <row r="830" spans="7:13" x14ac:dyDescent="0.35">
      <c r="G830" s="89"/>
      <c r="H830" s="90"/>
      <c r="L830" s="89"/>
      <c r="M830" s="90"/>
    </row>
    <row r="831" spans="7:13" x14ac:dyDescent="0.35">
      <c r="G831" s="89"/>
      <c r="H831" s="90"/>
      <c r="L831" s="89"/>
      <c r="M831" s="90"/>
    </row>
    <row r="832" spans="7:13" x14ac:dyDescent="0.35">
      <c r="G832" s="89"/>
      <c r="H832" s="90"/>
      <c r="L832" s="89"/>
      <c r="M832" s="90"/>
    </row>
    <row r="833" spans="7:13" x14ac:dyDescent="0.35">
      <c r="G833" s="89"/>
      <c r="H833" s="90"/>
      <c r="L833" s="89"/>
      <c r="M833" s="90"/>
    </row>
    <row r="834" spans="7:13" x14ac:dyDescent="0.35">
      <c r="G834" s="89"/>
      <c r="H834" s="90"/>
      <c r="L834" s="89"/>
      <c r="M834" s="90"/>
    </row>
    <row r="835" spans="7:13" x14ac:dyDescent="0.35">
      <c r="G835" s="89"/>
      <c r="H835" s="90"/>
      <c r="L835" s="89"/>
      <c r="M835" s="90"/>
    </row>
    <row r="836" spans="7:13" x14ac:dyDescent="0.35">
      <c r="G836" s="89"/>
      <c r="H836" s="90"/>
      <c r="L836" s="89"/>
      <c r="M836" s="90"/>
    </row>
    <row r="837" spans="7:13" x14ac:dyDescent="0.35">
      <c r="G837" s="89"/>
      <c r="H837" s="90"/>
      <c r="L837" s="89"/>
      <c r="M837" s="90"/>
    </row>
    <row r="838" spans="7:13" x14ac:dyDescent="0.35">
      <c r="G838" s="89"/>
      <c r="H838" s="90"/>
      <c r="L838" s="89"/>
      <c r="M838" s="90"/>
    </row>
    <row r="839" spans="7:13" x14ac:dyDescent="0.35">
      <c r="G839" s="89"/>
      <c r="H839" s="90"/>
      <c r="L839" s="89"/>
      <c r="M839" s="90"/>
    </row>
    <row r="840" spans="7:13" x14ac:dyDescent="0.35">
      <c r="G840" s="89"/>
      <c r="H840" s="90"/>
      <c r="L840" s="89"/>
      <c r="M840" s="90"/>
    </row>
    <row r="841" spans="7:13" x14ac:dyDescent="0.35">
      <c r="G841" s="89"/>
      <c r="H841" s="90"/>
      <c r="L841" s="89"/>
      <c r="M841" s="90"/>
    </row>
    <row r="842" spans="7:13" x14ac:dyDescent="0.35">
      <c r="G842" s="89"/>
      <c r="H842" s="90"/>
      <c r="L842" s="89"/>
      <c r="M842" s="90"/>
    </row>
    <row r="843" spans="7:13" x14ac:dyDescent="0.35">
      <c r="G843" s="89"/>
      <c r="H843" s="90"/>
      <c r="L843" s="89"/>
      <c r="M843" s="90"/>
    </row>
    <row r="844" spans="7:13" x14ac:dyDescent="0.35">
      <c r="G844" s="89"/>
      <c r="H844" s="90"/>
      <c r="L844" s="89"/>
      <c r="M844" s="90"/>
    </row>
    <row r="845" spans="7:13" x14ac:dyDescent="0.35">
      <c r="G845" s="89"/>
      <c r="H845" s="90"/>
      <c r="L845" s="89"/>
      <c r="M845" s="90"/>
    </row>
    <row r="846" spans="7:13" x14ac:dyDescent="0.35">
      <c r="G846" s="89"/>
      <c r="H846" s="90"/>
      <c r="L846" s="89"/>
      <c r="M846" s="90"/>
    </row>
    <row r="847" spans="7:13" x14ac:dyDescent="0.35">
      <c r="G847" s="89"/>
      <c r="H847" s="90"/>
      <c r="L847" s="89"/>
      <c r="M847" s="90"/>
    </row>
    <row r="848" spans="7:13" x14ac:dyDescent="0.35">
      <c r="G848" s="89"/>
      <c r="H848" s="90"/>
      <c r="L848" s="89"/>
      <c r="M848" s="90"/>
    </row>
    <row r="849" spans="7:13" x14ac:dyDescent="0.35">
      <c r="G849" s="89"/>
      <c r="H849" s="90"/>
      <c r="L849" s="89"/>
      <c r="M849" s="90"/>
    </row>
    <row r="850" spans="7:13" x14ac:dyDescent="0.35">
      <c r="G850" s="89"/>
      <c r="H850" s="90"/>
      <c r="L850" s="89"/>
      <c r="M850" s="90"/>
    </row>
    <row r="851" spans="7:13" x14ac:dyDescent="0.35">
      <c r="G851" s="89"/>
      <c r="H851" s="90"/>
      <c r="L851" s="89"/>
      <c r="M851" s="90"/>
    </row>
    <row r="852" spans="7:13" x14ac:dyDescent="0.35">
      <c r="G852" s="89"/>
      <c r="H852" s="90"/>
      <c r="L852" s="89"/>
      <c r="M852" s="90"/>
    </row>
    <row r="853" spans="7:13" x14ac:dyDescent="0.35">
      <c r="G853" s="89"/>
      <c r="H853" s="90"/>
      <c r="L853" s="89"/>
      <c r="M853" s="90"/>
    </row>
    <row r="854" spans="7:13" x14ac:dyDescent="0.35">
      <c r="G854" s="89"/>
      <c r="H854" s="90"/>
      <c r="L854" s="89"/>
      <c r="M854" s="90"/>
    </row>
    <row r="855" spans="7:13" x14ac:dyDescent="0.35">
      <c r="G855" s="89"/>
      <c r="H855" s="90"/>
      <c r="L855" s="89"/>
      <c r="M855" s="90"/>
    </row>
    <row r="856" spans="7:13" x14ac:dyDescent="0.35">
      <c r="G856" s="89"/>
      <c r="H856" s="90"/>
      <c r="L856" s="89"/>
      <c r="M856" s="90"/>
    </row>
    <row r="857" spans="7:13" x14ac:dyDescent="0.35">
      <c r="G857" s="89"/>
      <c r="H857" s="90"/>
      <c r="L857" s="89"/>
      <c r="M857" s="90"/>
    </row>
    <row r="858" spans="7:13" x14ac:dyDescent="0.35">
      <c r="G858" s="89"/>
      <c r="H858" s="90"/>
      <c r="L858" s="89"/>
      <c r="M858" s="90"/>
    </row>
    <row r="859" spans="7:13" x14ac:dyDescent="0.35">
      <c r="G859" s="89"/>
      <c r="H859" s="90"/>
      <c r="L859" s="89"/>
      <c r="M859" s="90"/>
    </row>
    <row r="860" spans="7:13" x14ac:dyDescent="0.35">
      <c r="G860" s="89"/>
      <c r="H860" s="90"/>
      <c r="L860" s="89"/>
      <c r="M860" s="90"/>
    </row>
    <row r="861" spans="7:13" x14ac:dyDescent="0.35">
      <c r="G861" s="89"/>
      <c r="H861" s="90"/>
      <c r="L861" s="89"/>
      <c r="M861" s="90"/>
    </row>
    <row r="862" spans="7:13" x14ac:dyDescent="0.35">
      <c r="G862" s="89"/>
      <c r="H862" s="90"/>
      <c r="L862" s="89"/>
      <c r="M862" s="90"/>
    </row>
    <row r="863" spans="7:13" x14ac:dyDescent="0.35">
      <c r="G863" s="89"/>
      <c r="H863" s="90"/>
      <c r="L863" s="89"/>
      <c r="M863" s="90"/>
    </row>
    <row r="864" spans="7:13" x14ac:dyDescent="0.35">
      <c r="G864" s="89"/>
      <c r="H864" s="90"/>
      <c r="L864" s="89"/>
      <c r="M864" s="90"/>
    </row>
    <row r="865" spans="7:13" x14ac:dyDescent="0.35">
      <c r="G865" s="89"/>
      <c r="H865" s="90"/>
      <c r="L865" s="89"/>
      <c r="M865" s="90"/>
    </row>
    <row r="866" spans="7:13" x14ac:dyDescent="0.35">
      <c r="G866" s="89"/>
      <c r="H866" s="90"/>
      <c r="L866" s="89"/>
      <c r="M866" s="90"/>
    </row>
    <row r="867" spans="7:13" x14ac:dyDescent="0.35">
      <c r="G867" s="89"/>
      <c r="H867" s="90"/>
      <c r="L867" s="89"/>
      <c r="M867" s="90"/>
    </row>
    <row r="868" spans="7:13" x14ac:dyDescent="0.35">
      <c r="G868" s="89"/>
      <c r="H868" s="90"/>
      <c r="L868" s="89"/>
      <c r="M868" s="90"/>
    </row>
    <row r="869" spans="7:13" x14ac:dyDescent="0.35">
      <c r="G869" s="89"/>
      <c r="H869" s="90"/>
      <c r="L869" s="89"/>
      <c r="M869" s="90"/>
    </row>
    <row r="870" spans="7:13" x14ac:dyDescent="0.35">
      <c r="G870" s="89"/>
      <c r="H870" s="90"/>
      <c r="L870" s="89"/>
      <c r="M870" s="90"/>
    </row>
    <row r="871" spans="7:13" x14ac:dyDescent="0.35">
      <c r="G871" s="89"/>
      <c r="H871" s="90"/>
      <c r="L871" s="89"/>
      <c r="M871" s="90"/>
    </row>
    <row r="872" spans="7:13" x14ac:dyDescent="0.35">
      <c r="G872" s="89"/>
      <c r="H872" s="90"/>
      <c r="L872" s="89"/>
      <c r="M872" s="90"/>
    </row>
    <row r="873" spans="7:13" x14ac:dyDescent="0.35">
      <c r="G873" s="89"/>
      <c r="H873" s="90"/>
      <c r="L873" s="89"/>
      <c r="M873" s="90"/>
    </row>
    <row r="874" spans="7:13" x14ac:dyDescent="0.35">
      <c r="G874" s="89"/>
      <c r="H874" s="90"/>
      <c r="L874" s="89"/>
      <c r="M874" s="90"/>
    </row>
    <row r="875" spans="7:13" x14ac:dyDescent="0.35">
      <c r="G875" s="89"/>
      <c r="H875" s="90"/>
      <c r="L875" s="89"/>
      <c r="M875" s="90"/>
    </row>
    <row r="876" spans="7:13" x14ac:dyDescent="0.35">
      <c r="G876" s="89"/>
      <c r="H876" s="90"/>
      <c r="L876" s="89"/>
      <c r="M876" s="90"/>
    </row>
    <row r="877" spans="7:13" x14ac:dyDescent="0.35">
      <c r="G877" s="89"/>
      <c r="H877" s="90"/>
      <c r="L877" s="89"/>
      <c r="M877" s="90"/>
    </row>
    <row r="878" spans="7:13" x14ac:dyDescent="0.35">
      <c r="G878" s="89"/>
      <c r="H878" s="90"/>
      <c r="L878" s="89"/>
      <c r="M878" s="90"/>
    </row>
    <row r="879" spans="7:13" x14ac:dyDescent="0.35">
      <c r="G879" s="89"/>
      <c r="H879" s="90"/>
      <c r="L879" s="89"/>
      <c r="M879" s="90"/>
    </row>
    <row r="880" spans="7:13" x14ac:dyDescent="0.35">
      <c r="G880" s="89"/>
      <c r="H880" s="90"/>
      <c r="L880" s="89"/>
      <c r="M880" s="90"/>
    </row>
    <row r="881" spans="7:13" x14ac:dyDescent="0.35">
      <c r="G881" s="89"/>
      <c r="H881" s="90"/>
      <c r="L881" s="89"/>
      <c r="M881" s="90"/>
    </row>
    <row r="882" spans="7:13" x14ac:dyDescent="0.35">
      <c r="G882" s="89"/>
      <c r="H882" s="90"/>
      <c r="L882" s="89"/>
      <c r="M882" s="90"/>
    </row>
    <row r="883" spans="7:13" x14ac:dyDescent="0.35">
      <c r="G883" s="89"/>
      <c r="H883" s="90"/>
      <c r="L883" s="89"/>
      <c r="M883" s="90"/>
    </row>
    <row r="884" spans="7:13" x14ac:dyDescent="0.35">
      <c r="G884" s="89"/>
      <c r="H884" s="90"/>
      <c r="L884" s="89"/>
      <c r="M884" s="90"/>
    </row>
    <row r="885" spans="7:13" x14ac:dyDescent="0.35">
      <c r="G885" s="89"/>
      <c r="H885" s="90"/>
      <c r="L885" s="89"/>
      <c r="M885" s="90"/>
    </row>
    <row r="886" spans="7:13" x14ac:dyDescent="0.35">
      <c r="G886" s="89"/>
      <c r="H886" s="90"/>
      <c r="L886" s="89"/>
      <c r="M886" s="90"/>
    </row>
    <row r="887" spans="7:13" x14ac:dyDescent="0.35">
      <c r="G887" s="89"/>
      <c r="H887" s="90"/>
      <c r="L887" s="89"/>
      <c r="M887" s="90"/>
    </row>
    <row r="888" spans="7:13" x14ac:dyDescent="0.35">
      <c r="G888" s="89"/>
      <c r="H888" s="90"/>
      <c r="L888" s="89"/>
      <c r="M888" s="90"/>
    </row>
    <row r="889" spans="7:13" x14ac:dyDescent="0.35">
      <c r="G889" s="89"/>
      <c r="H889" s="90"/>
      <c r="L889" s="89"/>
      <c r="M889" s="90"/>
    </row>
    <row r="890" spans="7:13" x14ac:dyDescent="0.35">
      <c r="G890" s="89"/>
      <c r="H890" s="90"/>
      <c r="L890" s="89"/>
      <c r="M890" s="90"/>
    </row>
    <row r="891" spans="7:13" x14ac:dyDescent="0.35">
      <c r="G891" s="89"/>
      <c r="H891" s="90"/>
      <c r="L891" s="89"/>
      <c r="M891" s="90"/>
    </row>
    <row r="892" spans="7:13" x14ac:dyDescent="0.35">
      <c r="G892" s="89"/>
      <c r="H892" s="90"/>
      <c r="L892" s="89"/>
      <c r="M892" s="90"/>
    </row>
    <row r="893" spans="7:13" x14ac:dyDescent="0.35">
      <c r="G893" s="89"/>
      <c r="H893" s="90"/>
      <c r="L893" s="89"/>
      <c r="M893" s="90"/>
    </row>
    <row r="894" spans="7:13" x14ac:dyDescent="0.35">
      <c r="G894" s="89"/>
      <c r="H894" s="90"/>
      <c r="L894" s="89"/>
      <c r="M894" s="90"/>
    </row>
    <row r="895" spans="7:13" x14ac:dyDescent="0.35">
      <c r="G895" s="89"/>
      <c r="H895" s="90"/>
      <c r="L895" s="89"/>
      <c r="M895" s="90"/>
    </row>
    <row r="896" spans="7:13" x14ac:dyDescent="0.35">
      <c r="G896" s="89"/>
      <c r="H896" s="90"/>
      <c r="L896" s="89"/>
      <c r="M896" s="90"/>
    </row>
    <row r="897" spans="7:13" x14ac:dyDescent="0.35">
      <c r="G897" s="89"/>
      <c r="H897" s="90"/>
      <c r="L897" s="89"/>
      <c r="M897" s="90"/>
    </row>
    <row r="898" spans="7:13" x14ac:dyDescent="0.35">
      <c r="G898" s="89"/>
      <c r="H898" s="90"/>
      <c r="L898" s="89"/>
      <c r="M898" s="90"/>
    </row>
    <row r="899" spans="7:13" x14ac:dyDescent="0.35">
      <c r="G899" s="89"/>
      <c r="H899" s="90"/>
      <c r="L899" s="89"/>
      <c r="M899" s="90"/>
    </row>
    <row r="900" spans="7:13" x14ac:dyDescent="0.35">
      <c r="G900" s="89"/>
      <c r="H900" s="90"/>
      <c r="L900" s="89"/>
      <c r="M900" s="90"/>
    </row>
    <row r="901" spans="7:13" x14ac:dyDescent="0.35">
      <c r="G901" s="89"/>
      <c r="H901" s="90"/>
      <c r="L901" s="89"/>
      <c r="M901" s="90"/>
    </row>
    <row r="902" spans="7:13" x14ac:dyDescent="0.35">
      <c r="G902" s="89"/>
      <c r="H902" s="90"/>
      <c r="L902" s="89"/>
      <c r="M902" s="90"/>
    </row>
    <row r="903" spans="7:13" x14ac:dyDescent="0.35">
      <c r="G903" s="89"/>
      <c r="H903" s="90"/>
      <c r="L903" s="89"/>
      <c r="M903" s="90"/>
    </row>
    <row r="904" spans="7:13" x14ac:dyDescent="0.35">
      <c r="G904" s="89"/>
      <c r="H904" s="90"/>
      <c r="L904" s="89"/>
      <c r="M904" s="90"/>
    </row>
    <row r="905" spans="7:13" x14ac:dyDescent="0.35">
      <c r="G905" s="89"/>
      <c r="H905" s="90"/>
      <c r="L905" s="89"/>
      <c r="M905" s="90"/>
    </row>
    <row r="906" spans="7:13" x14ac:dyDescent="0.35">
      <c r="G906" s="89"/>
      <c r="H906" s="90"/>
      <c r="L906" s="89"/>
      <c r="M906" s="90"/>
    </row>
    <row r="907" spans="7:13" x14ac:dyDescent="0.35">
      <c r="G907" s="89"/>
      <c r="H907" s="90"/>
      <c r="L907" s="89"/>
      <c r="M907" s="90"/>
    </row>
    <row r="908" spans="7:13" x14ac:dyDescent="0.35">
      <c r="G908" s="89"/>
      <c r="H908" s="90"/>
      <c r="L908" s="89"/>
      <c r="M908" s="90"/>
    </row>
    <row r="909" spans="7:13" x14ac:dyDescent="0.35">
      <c r="G909" s="89"/>
      <c r="H909" s="90"/>
      <c r="L909" s="89"/>
      <c r="M909" s="90"/>
    </row>
    <row r="910" spans="7:13" x14ac:dyDescent="0.35">
      <c r="G910" s="89"/>
      <c r="H910" s="90"/>
      <c r="L910" s="89"/>
      <c r="M910" s="90"/>
    </row>
    <row r="911" spans="7:13" x14ac:dyDescent="0.35">
      <c r="G911" s="89"/>
      <c r="H911" s="90"/>
      <c r="L911" s="89"/>
      <c r="M911" s="90"/>
    </row>
    <row r="912" spans="7:13" x14ac:dyDescent="0.35">
      <c r="G912" s="89"/>
      <c r="H912" s="90"/>
      <c r="L912" s="89"/>
      <c r="M912" s="90"/>
    </row>
    <row r="913" spans="7:13" x14ac:dyDescent="0.35">
      <c r="G913" s="89"/>
      <c r="H913" s="90"/>
      <c r="L913" s="89"/>
      <c r="M913" s="90"/>
    </row>
    <row r="914" spans="7:13" x14ac:dyDescent="0.35">
      <c r="G914" s="89"/>
      <c r="H914" s="90"/>
      <c r="L914" s="89"/>
      <c r="M914" s="90"/>
    </row>
    <row r="915" spans="7:13" x14ac:dyDescent="0.35">
      <c r="G915" s="89"/>
      <c r="H915" s="90"/>
      <c r="L915" s="89"/>
      <c r="M915" s="90"/>
    </row>
    <row r="916" spans="7:13" x14ac:dyDescent="0.35">
      <c r="G916" s="89"/>
      <c r="H916" s="90"/>
      <c r="L916" s="89"/>
      <c r="M916" s="90"/>
    </row>
    <row r="917" spans="7:13" x14ac:dyDescent="0.35">
      <c r="G917" s="89"/>
      <c r="H917" s="90"/>
      <c r="L917" s="89"/>
      <c r="M917" s="90"/>
    </row>
    <row r="918" spans="7:13" x14ac:dyDescent="0.35">
      <c r="G918" s="89"/>
      <c r="H918" s="90"/>
      <c r="L918" s="89"/>
      <c r="M918" s="90"/>
    </row>
    <row r="919" spans="7:13" x14ac:dyDescent="0.35">
      <c r="G919" s="89"/>
      <c r="H919" s="90"/>
      <c r="L919" s="89"/>
      <c r="M919" s="90"/>
    </row>
    <row r="920" spans="7:13" x14ac:dyDescent="0.35">
      <c r="G920" s="89"/>
      <c r="H920" s="90"/>
      <c r="L920" s="89"/>
      <c r="M920" s="90"/>
    </row>
    <row r="921" spans="7:13" x14ac:dyDescent="0.35">
      <c r="G921" s="89"/>
      <c r="H921" s="90"/>
      <c r="L921" s="89"/>
      <c r="M921" s="90"/>
    </row>
    <row r="922" spans="7:13" x14ac:dyDescent="0.35">
      <c r="G922" s="89"/>
      <c r="H922" s="90"/>
      <c r="L922" s="89"/>
      <c r="M922" s="90"/>
    </row>
    <row r="923" spans="7:13" x14ac:dyDescent="0.35">
      <c r="G923" s="89"/>
      <c r="H923" s="90"/>
      <c r="L923" s="89"/>
      <c r="M923" s="90"/>
    </row>
    <row r="924" spans="7:13" x14ac:dyDescent="0.35">
      <c r="G924" s="89"/>
      <c r="H924" s="90"/>
      <c r="L924" s="89"/>
      <c r="M924" s="90"/>
    </row>
    <row r="925" spans="7:13" x14ac:dyDescent="0.35">
      <c r="G925" s="89"/>
      <c r="H925" s="90"/>
      <c r="L925" s="89"/>
      <c r="M925" s="90"/>
    </row>
    <row r="926" spans="7:13" x14ac:dyDescent="0.35">
      <c r="G926" s="89"/>
      <c r="H926" s="90"/>
      <c r="L926" s="89"/>
      <c r="M926" s="90"/>
    </row>
    <row r="927" spans="7:13" x14ac:dyDescent="0.35">
      <c r="G927" s="89"/>
      <c r="H927" s="90"/>
      <c r="L927" s="89"/>
      <c r="M927" s="90"/>
    </row>
    <row r="928" spans="7:13" x14ac:dyDescent="0.35">
      <c r="G928" s="89"/>
      <c r="H928" s="90"/>
      <c r="L928" s="89"/>
      <c r="M928" s="90"/>
    </row>
    <row r="929" spans="7:13" x14ac:dyDescent="0.35">
      <c r="G929" s="89"/>
      <c r="H929" s="90"/>
      <c r="L929" s="89"/>
      <c r="M929" s="90"/>
    </row>
    <row r="930" spans="7:13" x14ac:dyDescent="0.35">
      <c r="G930" s="89"/>
      <c r="H930" s="90"/>
      <c r="L930" s="89"/>
      <c r="M930" s="90"/>
    </row>
    <row r="931" spans="7:13" x14ac:dyDescent="0.35">
      <c r="G931" s="89"/>
      <c r="H931" s="90"/>
      <c r="L931" s="89"/>
      <c r="M931" s="90"/>
    </row>
    <row r="932" spans="7:13" x14ac:dyDescent="0.35">
      <c r="G932" s="89"/>
      <c r="H932" s="90"/>
      <c r="L932" s="89"/>
      <c r="M932" s="90"/>
    </row>
    <row r="933" spans="7:13" x14ac:dyDescent="0.35">
      <c r="G933" s="89"/>
      <c r="H933" s="90"/>
      <c r="L933" s="89"/>
      <c r="M933" s="90"/>
    </row>
    <row r="934" spans="7:13" x14ac:dyDescent="0.35">
      <c r="G934" s="89"/>
      <c r="H934" s="90"/>
      <c r="L934" s="89"/>
      <c r="M934" s="90"/>
    </row>
    <row r="935" spans="7:13" x14ac:dyDescent="0.35">
      <c r="G935" s="89"/>
      <c r="H935" s="90"/>
      <c r="L935" s="89"/>
      <c r="M935" s="90"/>
    </row>
    <row r="936" spans="7:13" x14ac:dyDescent="0.35">
      <c r="G936" s="89"/>
      <c r="H936" s="90"/>
      <c r="L936" s="89"/>
      <c r="M936" s="90"/>
    </row>
    <row r="937" spans="7:13" x14ac:dyDescent="0.35">
      <c r="G937" s="89"/>
      <c r="H937" s="90"/>
      <c r="L937" s="89"/>
      <c r="M937" s="90"/>
    </row>
    <row r="938" spans="7:13" x14ac:dyDescent="0.35">
      <c r="G938" s="89"/>
      <c r="H938" s="90"/>
      <c r="L938" s="89"/>
      <c r="M938" s="90"/>
    </row>
    <row r="939" spans="7:13" x14ac:dyDescent="0.35">
      <c r="G939" s="89"/>
      <c r="H939" s="90"/>
      <c r="L939" s="89"/>
      <c r="M939" s="90"/>
    </row>
    <row r="940" spans="7:13" x14ac:dyDescent="0.35">
      <c r="G940" s="89"/>
      <c r="H940" s="90"/>
      <c r="L940" s="89"/>
      <c r="M940" s="90"/>
    </row>
    <row r="941" spans="7:13" x14ac:dyDescent="0.35">
      <c r="G941" s="89"/>
      <c r="H941" s="90"/>
      <c r="L941" s="89"/>
      <c r="M941" s="90"/>
    </row>
    <row r="942" spans="7:13" x14ac:dyDescent="0.35">
      <c r="G942" s="89"/>
      <c r="H942" s="90"/>
      <c r="L942" s="89"/>
      <c r="M942" s="90"/>
    </row>
    <row r="943" spans="7:13" x14ac:dyDescent="0.35">
      <c r="G943" s="89"/>
      <c r="H943" s="90"/>
      <c r="L943" s="89"/>
      <c r="M943" s="90"/>
    </row>
    <row r="944" spans="7:13" x14ac:dyDescent="0.35">
      <c r="G944" s="89"/>
      <c r="H944" s="90"/>
      <c r="L944" s="89"/>
      <c r="M944" s="90"/>
    </row>
    <row r="945" spans="7:13" x14ac:dyDescent="0.35">
      <c r="G945" s="89"/>
      <c r="H945" s="90"/>
      <c r="L945" s="89"/>
      <c r="M945" s="90"/>
    </row>
    <row r="946" spans="7:13" x14ac:dyDescent="0.35">
      <c r="G946" s="89"/>
      <c r="H946" s="90"/>
      <c r="L946" s="89"/>
      <c r="M946" s="90"/>
    </row>
    <row r="947" spans="7:13" x14ac:dyDescent="0.35">
      <c r="G947" s="89"/>
      <c r="H947" s="90"/>
      <c r="L947" s="89"/>
      <c r="M947" s="90"/>
    </row>
    <row r="948" spans="7:13" x14ac:dyDescent="0.35">
      <c r="G948" s="89"/>
      <c r="H948" s="90"/>
      <c r="L948" s="89"/>
      <c r="M948" s="90"/>
    </row>
    <row r="949" spans="7:13" x14ac:dyDescent="0.35">
      <c r="G949" s="89"/>
      <c r="H949" s="90"/>
      <c r="L949" s="89"/>
      <c r="M949" s="90"/>
    </row>
    <row r="950" spans="7:13" x14ac:dyDescent="0.35">
      <c r="G950" s="89"/>
      <c r="H950" s="90"/>
      <c r="L950" s="89"/>
      <c r="M950" s="90"/>
    </row>
    <row r="951" spans="7:13" x14ac:dyDescent="0.35">
      <c r="G951" s="89"/>
      <c r="H951" s="90"/>
      <c r="L951" s="89"/>
      <c r="M951" s="90"/>
    </row>
    <row r="952" spans="7:13" x14ac:dyDescent="0.35">
      <c r="G952" s="89"/>
      <c r="H952" s="90"/>
      <c r="L952" s="89"/>
      <c r="M952" s="90"/>
    </row>
    <row r="953" spans="7:13" x14ac:dyDescent="0.35">
      <c r="G953" s="89"/>
      <c r="H953" s="90"/>
      <c r="L953" s="89"/>
      <c r="M953" s="90"/>
    </row>
    <row r="954" spans="7:13" x14ac:dyDescent="0.35">
      <c r="G954" s="89"/>
      <c r="H954" s="90"/>
      <c r="L954" s="89"/>
      <c r="M954" s="90"/>
    </row>
    <row r="955" spans="7:13" x14ac:dyDescent="0.35">
      <c r="G955" s="89"/>
      <c r="H955" s="90"/>
      <c r="L955" s="89"/>
      <c r="M955" s="90"/>
    </row>
    <row r="956" spans="7:13" x14ac:dyDescent="0.35">
      <c r="G956" s="89"/>
      <c r="H956" s="90"/>
      <c r="L956" s="89"/>
      <c r="M956" s="90"/>
    </row>
    <row r="957" spans="7:13" x14ac:dyDescent="0.35">
      <c r="G957" s="89"/>
      <c r="H957" s="90"/>
      <c r="L957" s="89"/>
      <c r="M957" s="90"/>
    </row>
    <row r="958" spans="7:13" x14ac:dyDescent="0.35">
      <c r="G958" s="89"/>
      <c r="H958" s="90"/>
      <c r="L958" s="89"/>
      <c r="M958" s="90"/>
    </row>
    <row r="959" spans="7:13" x14ac:dyDescent="0.35">
      <c r="G959" s="89"/>
      <c r="H959" s="90"/>
      <c r="L959" s="89"/>
      <c r="M959" s="90"/>
    </row>
    <row r="960" spans="7:13" x14ac:dyDescent="0.35">
      <c r="G960" s="89"/>
      <c r="H960" s="90"/>
      <c r="L960" s="89"/>
      <c r="M960" s="90"/>
    </row>
    <row r="961" spans="7:13" x14ac:dyDescent="0.35">
      <c r="G961" s="89"/>
      <c r="H961" s="90"/>
      <c r="L961" s="89"/>
      <c r="M961" s="90"/>
    </row>
    <row r="962" spans="7:13" x14ac:dyDescent="0.35">
      <c r="G962" s="89"/>
      <c r="H962" s="90"/>
      <c r="L962" s="89"/>
      <c r="M962" s="90"/>
    </row>
    <row r="963" spans="7:13" x14ac:dyDescent="0.35">
      <c r="G963" s="89"/>
      <c r="H963" s="90"/>
      <c r="L963" s="89"/>
      <c r="M963" s="90"/>
    </row>
    <row r="964" spans="7:13" x14ac:dyDescent="0.35">
      <c r="G964" s="89"/>
      <c r="H964" s="90"/>
      <c r="L964" s="89"/>
      <c r="M964" s="90"/>
    </row>
    <row r="965" spans="7:13" x14ac:dyDescent="0.35">
      <c r="G965" s="89"/>
      <c r="H965" s="90"/>
      <c r="L965" s="89"/>
      <c r="M965" s="90"/>
    </row>
    <row r="966" spans="7:13" x14ac:dyDescent="0.35">
      <c r="G966" s="89"/>
      <c r="H966" s="90"/>
      <c r="L966" s="89"/>
      <c r="M966" s="90"/>
    </row>
    <row r="967" spans="7:13" x14ac:dyDescent="0.35">
      <c r="G967" s="89"/>
      <c r="H967" s="90"/>
      <c r="L967" s="89"/>
      <c r="M967" s="90"/>
    </row>
    <row r="968" spans="7:13" x14ac:dyDescent="0.35">
      <c r="G968" s="89"/>
      <c r="H968" s="90"/>
      <c r="L968" s="89"/>
      <c r="M968" s="90"/>
    </row>
    <row r="969" spans="7:13" x14ac:dyDescent="0.35">
      <c r="G969" s="89"/>
      <c r="H969" s="90"/>
      <c r="L969" s="89"/>
      <c r="M969" s="90"/>
    </row>
    <row r="970" spans="7:13" x14ac:dyDescent="0.35">
      <c r="G970" s="89"/>
      <c r="H970" s="90"/>
      <c r="L970" s="89"/>
      <c r="M970" s="90"/>
    </row>
    <row r="971" spans="7:13" x14ac:dyDescent="0.35">
      <c r="G971" s="89"/>
      <c r="H971" s="90"/>
      <c r="L971" s="89"/>
      <c r="M971" s="90"/>
    </row>
    <row r="972" spans="7:13" x14ac:dyDescent="0.35">
      <c r="G972" s="89"/>
      <c r="H972" s="90"/>
      <c r="L972" s="89"/>
      <c r="M972" s="90"/>
    </row>
    <row r="973" spans="7:13" x14ac:dyDescent="0.35">
      <c r="G973" s="89"/>
      <c r="H973" s="90"/>
      <c r="L973" s="89"/>
      <c r="M973" s="90"/>
    </row>
    <row r="974" spans="7:13" x14ac:dyDescent="0.35">
      <c r="G974" s="89"/>
      <c r="H974" s="90"/>
      <c r="L974" s="89"/>
      <c r="M974" s="90"/>
    </row>
    <row r="975" spans="7:13" x14ac:dyDescent="0.35">
      <c r="G975" s="89"/>
      <c r="H975" s="90"/>
      <c r="L975" s="89"/>
      <c r="M975" s="90"/>
    </row>
    <row r="976" spans="7:13" x14ac:dyDescent="0.35">
      <c r="G976" s="89"/>
      <c r="H976" s="90"/>
      <c r="L976" s="89"/>
      <c r="M976" s="90"/>
    </row>
    <row r="977" spans="7:13" x14ac:dyDescent="0.35">
      <c r="G977" s="89"/>
      <c r="H977" s="90"/>
      <c r="L977" s="89"/>
      <c r="M977" s="90"/>
    </row>
    <row r="978" spans="7:13" x14ac:dyDescent="0.35">
      <c r="G978" s="89"/>
      <c r="H978" s="90"/>
      <c r="L978" s="89"/>
      <c r="M978" s="90"/>
    </row>
    <row r="979" spans="7:13" x14ac:dyDescent="0.35">
      <c r="G979" s="89"/>
      <c r="H979" s="90"/>
      <c r="L979" s="89"/>
      <c r="M979" s="90"/>
    </row>
    <row r="980" spans="7:13" x14ac:dyDescent="0.35">
      <c r="G980" s="89"/>
      <c r="H980" s="90"/>
      <c r="L980" s="89"/>
      <c r="M980" s="90"/>
    </row>
    <row r="981" spans="7:13" x14ac:dyDescent="0.35">
      <c r="G981" s="89"/>
      <c r="H981" s="90"/>
      <c r="L981" s="89"/>
      <c r="M981" s="90"/>
    </row>
    <row r="982" spans="7:13" x14ac:dyDescent="0.35">
      <c r="G982" s="89"/>
      <c r="H982" s="90"/>
      <c r="L982" s="89"/>
      <c r="M982" s="90"/>
    </row>
    <row r="983" spans="7:13" x14ac:dyDescent="0.35">
      <c r="G983" s="89"/>
      <c r="H983" s="90"/>
      <c r="L983" s="89"/>
      <c r="M983" s="90"/>
    </row>
    <row r="984" spans="7:13" x14ac:dyDescent="0.35">
      <c r="G984" s="89"/>
      <c r="H984" s="90"/>
      <c r="L984" s="89"/>
      <c r="M984" s="90"/>
    </row>
    <row r="985" spans="7:13" x14ac:dyDescent="0.35">
      <c r="G985" s="89"/>
      <c r="H985" s="90"/>
      <c r="L985" s="89"/>
      <c r="M985" s="90"/>
    </row>
    <row r="986" spans="7:13" x14ac:dyDescent="0.35">
      <c r="G986" s="89"/>
      <c r="H986" s="90"/>
      <c r="L986" s="89"/>
      <c r="M986" s="90"/>
    </row>
    <row r="987" spans="7:13" x14ac:dyDescent="0.35">
      <c r="G987" s="89"/>
      <c r="H987" s="90"/>
      <c r="L987" s="89"/>
      <c r="M987" s="90"/>
    </row>
    <row r="988" spans="7:13" x14ac:dyDescent="0.35">
      <c r="G988" s="89"/>
      <c r="H988" s="90"/>
      <c r="L988" s="89"/>
      <c r="M988" s="90"/>
    </row>
    <row r="989" spans="7:13" x14ac:dyDescent="0.35">
      <c r="G989" s="89"/>
      <c r="H989" s="90"/>
      <c r="L989" s="89"/>
      <c r="M989" s="90"/>
    </row>
    <row r="990" spans="7:13" x14ac:dyDescent="0.35">
      <c r="G990" s="89"/>
      <c r="H990" s="90"/>
      <c r="L990" s="89"/>
      <c r="M990" s="90"/>
    </row>
    <row r="991" spans="7:13" x14ac:dyDescent="0.35">
      <c r="G991" s="89"/>
      <c r="H991" s="90"/>
      <c r="L991" s="89"/>
      <c r="M991" s="90"/>
    </row>
    <row r="992" spans="7:13" x14ac:dyDescent="0.35">
      <c r="G992" s="89"/>
      <c r="H992" s="90"/>
      <c r="L992" s="89"/>
      <c r="M992" s="90"/>
    </row>
    <row r="993" spans="7:13" x14ac:dyDescent="0.35">
      <c r="G993" s="89"/>
      <c r="H993" s="90"/>
      <c r="L993" s="89"/>
      <c r="M993" s="90"/>
    </row>
    <row r="994" spans="7:13" x14ac:dyDescent="0.35">
      <c r="G994" s="89"/>
      <c r="H994" s="90"/>
      <c r="L994" s="89"/>
      <c r="M994" s="90"/>
    </row>
    <row r="995" spans="7:13" x14ac:dyDescent="0.35">
      <c r="G995" s="89"/>
      <c r="H995" s="90"/>
      <c r="L995" s="89"/>
      <c r="M995" s="90"/>
    </row>
    <row r="996" spans="7:13" x14ac:dyDescent="0.35">
      <c r="G996" s="89"/>
      <c r="H996" s="90"/>
      <c r="L996" s="89"/>
      <c r="M996" s="90"/>
    </row>
    <row r="997" spans="7:13" x14ac:dyDescent="0.35">
      <c r="G997" s="89"/>
      <c r="H997" s="90"/>
      <c r="L997" s="89"/>
      <c r="M997" s="90"/>
    </row>
    <row r="998" spans="7:13" x14ac:dyDescent="0.35">
      <c r="G998" s="89"/>
      <c r="H998" s="90"/>
      <c r="L998" s="89"/>
      <c r="M998" s="90"/>
    </row>
    <row r="999" spans="7:13" x14ac:dyDescent="0.35">
      <c r="G999" s="89"/>
      <c r="H999" s="90"/>
      <c r="L999" s="89"/>
      <c r="M999" s="90"/>
    </row>
    <row r="1000" spans="7:13" x14ac:dyDescent="0.35">
      <c r="G1000" s="89"/>
      <c r="H1000" s="90"/>
      <c r="L1000" s="89"/>
      <c r="M1000" s="90"/>
    </row>
    <row r="1001" spans="7:13" x14ac:dyDescent="0.35">
      <c r="G1001" s="89"/>
      <c r="H1001" s="90"/>
      <c r="L1001" s="89"/>
      <c r="M1001" s="90"/>
    </row>
    <row r="1002" spans="7:13" x14ac:dyDescent="0.35">
      <c r="G1002" s="89"/>
      <c r="H1002" s="90"/>
      <c r="L1002" s="89"/>
      <c r="M1002" s="90"/>
    </row>
    <row r="1003" spans="7:13" x14ac:dyDescent="0.35">
      <c r="G1003" s="89"/>
      <c r="H1003" s="90"/>
      <c r="L1003" s="89"/>
      <c r="M1003" s="90"/>
    </row>
    <row r="1004" spans="7:13" x14ac:dyDescent="0.35">
      <c r="G1004" s="89"/>
      <c r="H1004" s="90"/>
      <c r="L1004" s="89"/>
      <c r="M1004" s="90"/>
    </row>
    <row r="1005" spans="7:13" x14ac:dyDescent="0.35">
      <c r="G1005" s="89"/>
      <c r="H1005" s="90"/>
      <c r="L1005" s="89"/>
      <c r="M1005" s="90"/>
    </row>
    <row r="1006" spans="7:13" x14ac:dyDescent="0.35">
      <c r="G1006" s="89"/>
      <c r="H1006" s="90"/>
      <c r="L1006" s="89"/>
      <c r="M1006" s="90"/>
    </row>
    <row r="1007" spans="7:13" x14ac:dyDescent="0.35">
      <c r="G1007" s="89"/>
      <c r="H1007" s="90"/>
      <c r="L1007" s="89"/>
      <c r="M1007" s="90"/>
    </row>
    <row r="1008" spans="7:13" x14ac:dyDescent="0.35">
      <c r="G1008" s="89"/>
      <c r="H1008" s="90"/>
      <c r="L1008" s="89"/>
      <c r="M1008" s="90"/>
    </row>
    <row r="1009" spans="7:13" x14ac:dyDescent="0.35">
      <c r="G1009" s="89"/>
      <c r="H1009" s="90"/>
      <c r="L1009" s="89"/>
      <c r="M1009" s="90"/>
    </row>
    <row r="1010" spans="7:13" x14ac:dyDescent="0.35">
      <c r="G1010" s="89"/>
      <c r="H1010" s="90"/>
      <c r="L1010" s="89"/>
      <c r="M1010" s="90"/>
    </row>
    <row r="1011" spans="7:13" x14ac:dyDescent="0.35">
      <c r="G1011" s="89"/>
      <c r="H1011" s="90"/>
      <c r="L1011" s="89"/>
      <c r="M1011" s="90"/>
    </row>
    <row r="1012" spans="7:13" x14ac:dyDescent="0.35">
      <c r="G1012" s="89"/>
      <c r="H1012" s="90"/>
      <c r="L1012" s="89"/>
      <c r="M1012" s="90"/>
    </row>
    <row r="1013" spans="7:13" x14ac:dyDescent="0.35">
      <c r="G1013" s="89"/>
      <c r="H1013" s="90"/>
      <c r="L1013" s="89"/>
      <c r="M1013" s="90"/>
    </row>
    <row r="1014" spans="7:13" x14ac:dyDescent="0.35">
      <c r="G1014" s="89"/>
      <c r="H1014" s="90"/>
      <c r="L1014" s="89"/>
      <c r="M1014" s="90"/>
    </row>
    <row r="1015" spans="7:13" x14ac:dyDescent="0.35">
      <c r="G1015" s="89"/>
      <c r="H1015" s="90"/>
      <c r="L1015" s="89"/>
      <c r="M1015" s="90"/>
    </row>
    <row r="1016" spans="7:13" x14ac:dyDescent="0.35">
      <c r="G1016" s="89"/>
      <c r="H1016" s="90"/>
      <c r="L1016" s="89"/>
      <c r="M1016" s="90"/>
    </row>
    <row r="1017" spans="7:13" x14ac:dyDescent="0.35">
      <c r="G1017" s="89"/>
      <c r="H1017" s="90"/>
      <c r="L1017" s="89"/>
      <c r="M1017" s="90"/>
    </row>
    <row r="1018" spans="7:13" x14ac:dyDescent="0.35">
      <c r="G1018" s="89"/>
      <c r="H1018" s="90"/>
      <c r="L1018" s="89"/>
      <c r="M1018" s="90"/>
    </row>
    <row r="1019" spans="7:13" x14ac:dyDescent="0.35">
      <c r="G1019" s="89"/>
      <c r="H1019" s="90"/>
      <c r="L1019" s="89"/>
      <c r="M1019" s="90"/>
    </row>
    <row r="1020" spans="7:13" x14ac:dyDescent="0.35">
      <c r="G1020" s="89"/>
      <c r="H1020" s="90"/>
      <c r="L1020" s="89"/>
      <c r="M1020" s="90"/>
    </row>
    <row r="1021" spans="7:13" x14ac:dyDescent="0.35">
      <c r="G1021" s="89"/>
      <c r="H1021" s="90"/>
      <c r="L1021" s="89"/>
      <c r="M1021" s="90"/>
    </row>
    <row r="1022" spans="7:13" x14ac:dyDescent="0.35">
      <c r="G1022" s="89"/>
      <c r="H1022" s="90"/>
      <c r="L1022" s="89"/>
      <c r="M1022" s="90"/>
    </row>
    <row r="1023" spans="7:13" x14ac:dyDescent="0.35">
      <c r="G1023" s="89"/>
      <c r="H1023" s="90"/>
      <c r="L1023" s="89"/>
      <c r="M1023" s="90"/>
    </row>
    <row r="1024" spans="7:13" x14ac:dyDescent="0.35">
      <c r="G1024" s="89"/>
      <c r="H1024" s="90"/>
      <c r="L1024" s="89"/>
      <c r="M1024" s="90"/>
    </row>
    <row r="1025" spans="7:13" x14ac:dyDescent="0.35">
      <c r="G1025" s="89"/>
      <c r="H1025" s="90"/>
      <c r="L1025" s="89"/>
      <c r="M1025" s="90"/>
    </row>
    <row r="1026" spans="7:13" x14ac:dyDescent="0.35">
      <c r="G1026" s="89"/>
      <c r="H1026" s="90"/>
      <c r="L1026" s="89"/>
      <c r="M1026" s="90"/>
    </row>
    <row r="1027" spans="7:13" x14ac:dyDescent="0.35">
      <c r="G1027" s="89"/>
      <c r="H1027" s="90"/>
      <c r="L1027" s="89"/>
      <c r="M1027" s="90"/>
    </row>
    <row r="1028" spans="7:13" x14ac:dyDescent="0.35">
      <c r="G1028" s="89"/>
      <c r="H1028" s="90"/>
      <c r="L1028" s="89"/>
      <c r="M1028" s="90"/>
    </row>
    <row r="1029" spans="7:13" x14ac:dyDescent="0.35">
      <c r="G1029" s="89"/>
      <c r="H1029" s="90"/>
      <c r="L1029" s="89"/>
      <c r="M1029" s="90"/>
    </row>
    <row r="1030" spans="7:13" x14ac:dyDescent="0.35">
      <c r="G1030" s="89"/>
      <c r="H1030" s="90"/>
      <c r="L1030" s="89"/>
      <c r="M1030" s="90"/>
    </row>
    <row r="1031" spans="7:13" x14ac:dyDescent="0.35">
      <c r="G1031" s="89"/>
      <c r="H1031" s="90"/>
      <c r="L1031" s="89"/>
      <c r="M1031" s="90"/>
    </row>
    <row r="1032" spans="7:13" x14ac:dyDescent="0.35">
      <c r="G1032" s="89"/>
      <c r="H1032" s="90"/>
      <c r="L1032" s="89"/>
      <c r="M1032" s="90"/>
    </row>
    <row r="1033" spans="7:13" x14ac:dyDescent="0.35">
      <c r="G1033" s="89"/>
      <c r="H1033" s="90"/>
      <c r="L1033" s="89"/>
      <c r="M1033" s="90"/>
    </row>
    <row r="1034" spans="7:13" x14ac:dyDescent="0.35">
      <c r="G1034" s="89"/>
      <c r="H1034" s="90"/>
      <c r="L1034" s="89"/>
      <c r="M1034" s="90"/>
    </row>
    <row r="1035" spans="7:13" x14ac:dyDescent="0.35">
      <c r="G1035" s="89"/>
      <c r="H1035" s="90"/>
      <c r="L1035" s="89"/>
      <c r="M1035" s="90"/>
    </row>
    <row r="1036" spans="7:13" x14ac:dyDescent="0.35">
      <c r="G1036" s="89"/>
      <c r="H1036" s="90"/>
      <c r="L1036" s="89"/>
      <c r="M1036" s="90"/>
    </row>
    <row r="1037" spans="7:13" x14ac:dyDescent="0.35">
      <c r="G1037" s="89"/>
      <c r="H1037" s="90"/>
      <c r="L1037" s="89"/>
      <c r="M1037" s="90"/>
    </row>
    <row r="1038" spans="7:13" x14ac:dyDescent="0.35">
      <c r="G1038" s="89"/>
      <c r="H1038" s="90"/>
      <c r="L1038" s="89"/>
      <c r="M1038" s="90"/>
    </row>
    <row r="1039" spans="7:13" x14ac:dyDescent="0.35">
      <c r="G1039" s="89"/>
      <c r="H1039" s="90"/>
      <c r="L1039" s="89"/>
      <c r="M1039" s="90"/>
    </row>
    <row r="1040" spans="7:13" x14ac:dyDescent="0.35">
      <c r="G1040" s="89"/>
      <c r="H1040" s="90"/>
      <c r="L1040" s="89"/>
      <c r="M1040" s="90"/>
    </row>
    <row r="1041" spans="7:13" x14ac:dyDescent="0.35">
      <c r="G1041" s="89"/>
      <c r="H1041" s="90"/>
      <c r="L1041" s="89"/>
      <c r="M1041" s="90"/>
    </row>
    <row r="1042" spans="7:13" x14ac:dyDescent="0.35">
      <c r="G1042" s="89"/>
      <c r="H1042" s="90"/>
      <c r="L1042" s="89"/>
      <c r="M1042" s="90"/>
    </row>
    <row r="1043" spans="7:13" x14ac:dyDescent="0.35">
      <c r="G1043" s="89"/>
      <c r="H1043" s="90"/>
      <c r="L1043" s="89"/>
      <c r="M1043" s="90"/>
    </row>
    <row r="1044" spans="7:13" x14ac:dyDescent="0.35">
      <c r="G1044" s="89"/>
      <c r="H1044" s="90"/>
      <c r="L1044" s="89"/>
      <c r="M1044" s="90"/>
    </row>
    <row r="1045" spans="7:13" x14ac:dyDescent="0.35">
      <c r="G1045" s="89"/>
      <c r="H1045" s="90"/>
      <c r="L1045" s="89"/>
      <c r="M1045" s="90"/>
    </row>
    <row r="1046" spans="7:13" x14ac:dyDescent="0.35">
      <c r="G1046" s="89"/>
      <c r="H1046" s="90"/>
      <c r="L1046" s="89"/>
      <c r="M1046" s="90"/>
    </row>
    <row r="1047" spans="7:13" x14ac:dyDescent="0.35">
      <c r="G1047" s="89"/>
      <c r="H1047" s="90"/>
      <c r="L1047" s="89"/>
      <c r="M1047" s="90"/>
    </row>
    <row r="1048" spans="7:13" x14ac:dyDescent="0.35">
      <c r="G1048" s="89"/>
      <c r="H1048" s="90"/>
      <c r="L1048" s="89"/>
      <c r="M1048" s="90"/>
    </row>
    <row r="1049" spans="7:13" x14ac:dyDescent="0.35">
      <c r="G1049" s="89"/>
      <c r="H1049" s="90"/>
      <c r="L1049" s="89"/>
      <c r="M1049" s="90"/>
    </row>
    <row r="1050" spans="7:13" x14ac:dyDescent="0.35">
      <c r="G1050" s="89"/>
      <c r="H1050" s="90"/>
      <c r="L1050" s="89"/>
      <c r="M1050" s="90"/>
    </row>
    <row r="1051" spans="7:13" x14ac:dyDescent="0.35">
      <c r="G1051" s="89"/>
      <c r="H1051" s="90"/>
      <c r="L1051" s="89"/>
      <c r="M1051" s="90"/>
    </row>
    <row r="1052" spans="7:13" x14ac:dyDescent="0.35">
      <c r="G1052" s="89"/>
      <c r="H1052" s="90"/>
      <c r="L1052" s="89"/>
      <c r="M1052" s="90"/>
    </row>
    <row r="1053" spans="7:13" x14ac:dyDescent="0.35">
      <c r="G1053" s="89"/>
      <c r="H1053" s="90"/>
      <c r="L1053" s="89"/>
      <c r="M1053" s="90"/>
    </row>
    <row r="1054" spans="7:13" x14ac:dyDescent="0.35">
      <c r="G1054" s="89"/>
      <c r="H1054" s="90"/>
      <c r="L1054" s="89"/>
      <c r="M1054" s="90"/>
    </row>
    <row r="1055" spans="7:13" x14ac:dyDescent="0.35">
      <c r="G1055" s="89"/>
      <c r="H1055" s="90"/>
      <c r="L1055" s="89"/>
      <c r="M1055" s="90"/>
    </row>
    <row r="1056" spans="7:13" x14ac:dyDescent="0.35">
      <c r="G1056" s="89"/>
      <c r="H1056" s="90"/>
      <c r="L1056" s="89"/>
      <c r="M1056" s="90"/>
    </row>
    <row r="1057" spans="7:13" x14ac:dyDescent="0.35">
      <c r="G1057" s="89"/>
      <c r="H1057" s="90"/>
      <c r="L1057" s="89"/>
      <c r="M1057" s="90"/>
    </row>
    <row r="1058" spans="7:13" x14ac:dyDescent="0.35">
      <c r="G1058" s="89"/>
      <c r="H1058" s="90"/>
      <c r="L1058" s="89"/>
      <c r="M1058" s="90"/>
    </row>
    <row r="1059" spans="7:13" x14ac:dyDescent="0.35">
      <c r="G1059" s="89"/>
      <c r="H1059" s="90"/>
      <c r="L1059" s="89"/>
      <c r="M1059" s="90"/>
    </row>
    <row r="1060" spans="7:13" x14ac:dyDescent="0.35">
      <c r="G1060" s="89"/>
      <c r="H1060" s="90"/>
      <c r="L1060" s="89"/>
      <c r="M1060" s="90"/>
    </row>
    <row r="1061" spans="7:13" x14ac:dyDescent="0.35">
      <c r="G1061" s="89"/>
      <c r="H1061" s="90"/>
      <c r="L1061" s="89"/>
      <c r="M1061" s="90"/>
    </row>
    <row r="1062" spans="7:13" x14ac:dyDescent="0.35">
      <c r="G1062" s="89"/>
      <c r="H1062" s="90"/>
      <c r="L1062" s="89"/>
      <c r="M1062" s="90"/>
    </row>
    <row r="1063" spans="7:13" x14ac:dyDescent="0.35">
      <c r="G1063" s="89"/>
      <c r="H1063" s="90"/>
      <c r="L1063" s="89"/>
      <c r="M1063" s="90"/>
    </row>
    <row r="1064" spans="7:13" x14ac:dyDescent="0.35">
      <c r="G1064" s="89"/>
      <c r="H1064" s="90"/>
      <c r="L1064" s="89"/>
      <c r="M1064" s="90"/>
    </row>
    <row r="1065" spans="7:13" x14ac:dyDescent="0.35">
      <c r="G1065" s="89"/>
      <c r="H1065" s="90"/>
      <c r="L1065" s="89"/>
      <c r="M1065" s="90"/>
    </row>
    <row r="1066" spans="7:13" x14ac:dyDescent="0.35">
      <c r="G1066" s="89"/>
      <c r="H1066" s="90"/>
      <c r="L1066" s="89"/>
      <c r="M1066" s="90"/>
    </row>
    <row r="1067" spans="7:13" x14ac:dyDescent="0.35">
      <c r="G1067" s="89"/>
      <c r="H1067" s="90"/>
      <c r="L1067" s="89"/>
      <c r="M1067" s="90"/>
    </row>
    <row r="1068" spans="7:13" x14ac:dyDescent="0.35">
      <c r="G1068" s="89"/>
      <c r="H1068" s="90"/>
      <c r="L1068" s="89"/>
      <c r="M1068" s="90"/>
    </row>
    <row r="1069" spans="7:13" x14ac:dyDescent="0.35">
      <c r="G1069" s="89"/>
      <c r="H1069" s="90"/>
      <c r="L1069" s="89"/>
      <c r="M1069" s="90"/>
    </row>
    <row r="1070" spans="7:13" x14ac:dyDescent="0.35">
      <c r="G1070" s="89"/>
      <c r="H1070" s="90"/>
      <c r="L1070" s="89"/>
      <c r="M1070" s="90"/>
    </row>
    <row r="1071" spans="7:13" x14ac:dyDescent="0.35">
      <c r="G1071" s="89"/>
      <c r="H1071" s="90"/>
      <c r="L1071" s="89"/>
      <c r="M1071" s="90"/>
    </row>
    <row r="1072" spans="7:13" x14ac:dyDescent="0.35">
      <c r="G1072" s="89"/>
      <c r="H1072" s="90"/>
      <c r="L1072" s="89"/>
      <c r="M1072" s="90"/>
    </row>
    <row r="1073" spans="7:13" x14ac:dyDescent="0.35">
      <c r="G1073" s="89"/>
      <c r="H1073" s="90"/>
      <c r="L1073" s="89"/>
      <c r="M1073" s="90"/>
    </row>
    <row r="1074" spans="7:13" x14ac:dyDescent="0.35">
      <c r="G1074" s="89"/>
      <c r="H1074" s="90"/>
      <c r="L1074" s="89"/>
      <c r="M1074" s="90"/>
    </row>
    <row r="1075" spans="7:13" x14ac:dyDescent="0.35">
      <c r="G1075" s="89"/>
      <c r="H1075" s="90"/>
      <c r="L1075" s="89"/>
      <c r="M1075" s="90"/>
    </row>
    <row r="1076" spans="7:13" x14ac:dyDescent="0.35">
      <c r="G1076" s="89"/>
      <c r="H1076" s="90"/>
      <c r="L1076" s="89"/>
      <c r="M1076" s="90"/>
    </row>
    <row r="1077" spans="7:13" x14ac:dyDescent="0.35">
      <c r="G1077" s="89"/>
      <c r="H1077" s="90"/>
      <c r="L1077" s="89"/>
      <c r="M1077" s="90"/>
    </row>
    <row r="1078" spans="7:13" x14ac:dyDescent="0.35">
      <c r="G1078" s="89"/>
      <c r="H1078" s="90"/>
      <c r="L1078" s="89"/>
      <c r="M1078" s="90"/>
    </row>
    <row r="1079" spans="7:13" x14ac:dyDescent="0.35">
      <c r="G1079" s="89"/>
      <c r="H1079" s="90"/>
      <c r="L1079" s="89"/>
      <c r="M1079" s="90"/>
    </row>
    <row r="1080" spans="7:13" x14ac:dyDescent="0.35">
      <c r="G1080" s="89"/>
      <c r="H1080" s="90"/>
      <c r="L1080" s="89"/>
      <c r="M1080" s="90"/>
    </row>
    <row r="1081" spans="7:13" x14ac:dyDescent="0.35">
      <c r="G1081" s="89"/>
      <c r="H1081" s="90"/>
      <c r="L1081" s="89"/>
      <c r="M1081" s="90"/>
    </row>
    <row r="1082" spans="7:13" x14ac:dyDescent="0.35">
      <c r="G1082" s="89"/>
      <c r="H1082" s="90"/>
      <c r="L1082" s="89"/>
      <c r="M1082" s="90"/>
    </row>
    <row r="1083" spans="7:13" x14ac:dyDescent="0.35">
      <c r="G1083" s="89"/>
      <c r="H1083" s="90"/>
      <c r="L1083" s="89"/>
      <c r="M1083" s="90"/>
    </row>
    <row r="1084" spans="7:13" x14ac:dyDescent="0.35">
      <c r="G1084" s="89"/>
      <c r="H1084" s="90"/>
      <c r="L1084" s="89"/>
      <c r="M1084" s="90"/>
    </row>
    <row r="1085" spans="7:13" x14ac:dyDescent="0.35">
      <c r="G1085" s="89"/>
      <c r="H1085" s="90"/>
      <c r="L1085" s="89"/>
      <c r="M1085" s="90"/>
    </row>
    <row r="1086" spans="7:13" x14ac:dyDescent="0.35">
      <c r="G1086" s="89"/>
      <c r="H1086" s="90"/>
      <c r="L1086" s="89"/>
      <c r="M1086" s="90"/>
    </row>
    <row r="1087" spans="7:13" x14ac:dyDescent="0.35">
      <c r="G1087" s="89"/>
      <c r="H1087" s="90"/>
      <c r="L1087" s="89"/>
      <c r="M1087" s="90"/>
    </row>
    <row r="1088" spans="7:13" x14ac:dyDescent="0.35">
      <c r="G1088" s="89"/>
      <c r="H1088" s="90"/>
      <c r="L1088" s="89"/>
      <c r="M1088" s="90"/>
    </row>
    <row r="1089" spans="7:13" x14ac:dyDescent="0.35">
      <c r="G1089" s="89"/>
      <c r="H1089" s="90"/>
      <c r="L1089" s="89"/>
      <c r="M1089" s="90"/>
    </row>
    <row r="1090" spans="7:13" x14ac:dyDescent="0.35">
      <c r="G1090" s="89"/>
      <c r="H1090" s="90"/>
      <c r="L1090" s="89"/>
      <c r="M1090" s="90"/>
    </row>
    <row r="1091" spans="7:13" x14ac:dyDescent="0.35">
      <c r="G1091" s="89"/>
      <c r="H1091" s="90"/>
      <c r="L1091" s="89"/>
      <c r="M1091" s="90"/>
    </row>
    <row r="1092" spans="7:13" x14ac:dyDescent="0.35">
      <c r="G1092" s="89"/>
      <c r="H1092" s="90"/>
      <c r="L1092" s="89"/>
      <c r="M1092" s="90"/>
    </row>
    <row r="1093" spans="7:13" x14ac:dyDescent="0.35">
      <c r="G1093" s="89"/>
      <c r="H1093" s="90"/>
      <c r="L1093" s="89"/>
      <c r="M1093" s="90"/>
    </row>
    <row r="1094" spans="7:13" x14ac:dyDescent="0.35">
      <c r="G1094" s="89"/>
      <c r="H1094" s="90"/>
      <c r="L1094" s="89"/>
      <c r="M1094" s="90"/>
    </row>
    <row r="1095" spans="7:13" x14ac:dyDescent="0.35">
      <c r="G1095" s="89"/>
      <c r="H1095" s="90"/>
      <c r="L1095" s="89"/>
      <c r="M1095" s="90"/>
    </row>
    <row r="1096" spans="7:13" x14ac:dyDescent="0.35">
      <c r="G1096" s="89"/>
      <c r="H1096" s="90"/>
      <c r="L1096" s="89"/>
      <c r="M1096" s="90"/>
    </row>
    <row r="1097" spans="7:13" x14ac:dyDescent="0.35">
      <c r="G1097" s="89"/>
      <c r="H1097" s="90"/>
      <c r="L1097" s="89"/>
      <c r="M1097" s="90"/>
    </row>
    <row r="1098" spans="7:13" x14ac:dyDescent="0.35">
      <c r="G1098" s="89"/>
      <c r="H1098" s="90"/>
      <c r="L1098" s="89"/>
      <c r="M1098" s="90"/>
    </row>
    <row r="1099" spans="7:13" x14ac:dyDescent="0.35">
      <c r="G1099" s="89"/>
      <c r="H1099" s="90"/>
      <c r="L1099" s="89"/>
      <c r="M1099" s="90"/>
    </row>
    <row r="1100" spans="7:13" x14ac:dyDescent="0.35">
      <c r="G1100" s="89"/>
      <c r="H1100" s="90"/>
      <c r="L1100" s="89"/>
      <c r="M1100" s="90"/>
    </row>
    <row r="1101" spans="7:13" x14ac:dyDescent="0.35">
      <c r="G1101" s="89"/>
      <c r="H1101" s="90"/>
      <c r="L1101" s="89"/>
      <c r="M1101" s="90"/>
    </row>
    <row r="1102" spans="7:13" x14ac:dyDescent="0.35">
      <c r="G1102" s="89"/>
      <c r="H1102" s="90"/>
      <c r="L1102" s="89"/>
      <c r="M1102" s="90"/>
    </row>
    <row r="1103" spans="7:13" x14ac:dyDescent="0.35">
      <c r="G1103" s="89"/>
      <c r="H1103" s="90"/>
      <c r="L1103" s="89"/>
      <c r="M1103" s="90"/>
    </row>
    <row r="1104" spans="7:13" x14ac:dyDescent="0.35">
      <c r="G1104" s="89"/>
      <c r="H1104" s="90"/>
      <c r="L1104" s="89"/>
      <c r="M1104" s="90"/>
    </row>
    <row r="1105" spans="7:13" x14ac:dyDescent="0.35">
      <c r="G1105" s="89"/>
      <c r="H1105" s="90"/>
      <c r="L1105" s="89"/>
      <c r="M1105" s="90"/>
    </row>
    <row r="1106" spans="7:13" x14ac:dyDescent="0.35">
      <c r="G1106" s="89"/>
      <c r="H1106" s="90"/>
      <c r="L1106" s="89"/>
      <c r="M1106" s="90"/>
    </row>
    <row r="1107" spans="7:13" x14ac:dyDescent="0.35">
      <c r="G1107" s="89"/>
      <c r="H1107" s="90"/>
      <c r="L1107" s="89"/>
      <c r="M1107" s="90"/>
    </row>
    <row r="1108" spans="7:13" x14ac:dyDescent="0.35">
      <c r="G1108" s="89"/>
      <c r="H1108" s="90"/>
      <c r="L1108" s="89"/>
      <c r="M1108" s="90"/>
    </row>
    <row r="1109" spans="7:13" x14ac:dyDescent="0.35">
      <c r="G1109" s="89"/>
      <c r="H1109" s="90"/>
      <c r="L1109" s="89"/>
      <c r="M1109" s="90"/>
    </row>
    <row r="1110" spans="7:13" x14ac:dyDescent="0.35">
      <c r="G1110" s="89"/>
      <c r="H1110" s="90"/>
      <c r="L1110" s="89"/>
      <c r="M1110" s="90"/>
    </row>
    <row r="1111" spans="7:13" x14ac:dyDescent="0.35">
      <c r="G1111" s="89"/>
      <c r="H1111" s="90"/>
      <c r="L1111" s="89"/>
      <c r="M1111" s="90"/>
    </row>
    <row r="1112" spans="7:13" x14ac:dyDescent="0.35">
      <c r="G1112" s="89"/>
      <c r="H1112" s="90"/>
      <c r="L1112" s="89"/>
      <c r="M1112" s="90"/>
    </row>
    <row r="1113" spans="7:13" x14ac:dyDescent="0.35">
      <c r="G1113" s="89"/>
      <c r="H1113" s="90"/>
      <c r="L1113" s="89"/>
      <c r="M1113" s="90"/>
    </row>
    <row r="1114" spans="7:13" x14ac:dyDescent="0.35">
      <c r="G1114" s="89"/>
      <c r="H1114" s="90"/>
      <c r="L1114" s="89"/>
      <c r="M1114" s="90"/>
    </row>
    <row r="1115" spans="7:13" x14ac:dyDescent="0.35">
      <c r="G1115" s="89"/>
      <c r="H1115" s="90"/>
      <c r="L1115" s="89"/>
      <c r="M1115" s="90"/>
    </row>
    <row r="1116" spans="7:13" x14ac:dyDescent="0.35">
      <c r="G1116" s="89"/>
      <c r="H1116" s="90"/>
      <c r="L1116" s="89"/>
      <c r="M1116" s="90"/>
    </row>
    <row r="1117" spans="7:13" x14ac:dyDescent="0.35">
      <c r="G1117" s="89"/>
      <c r="H1117" s="90"/>
      <c r="L1117" s="89"/>
      <c r="M1117" s="90"/>
    </row>
    <row r="1118" spans="7:13" x14ac:dyDescent="0.35">
      <c r="G1118" s="89"/>
      <c r="H1118" s="90"/>
      <c r="L1118" s="89"/>
      <c r="M1118" s="90"/>
    </row>
    <row r="1119" spans="7:13" x14ac:dyDescent="0.35">
      <c r="G1119" s="89"/>
      <c r="H1119" s="90"/>
      <c r="L1119" s="89"/>
      <c r="M1119" s="90"/>
    </row>
    <row r="1120" spans="7:13" x14ac:dyDescent="0.35">
      <c r="G1120" s="89"/>
      <c r="H1120" s="90"/>
      <c r="L1120" s="89"/>
      <c r="M1120" s="90"/>
    </row>
    <row r="1121" spans="7:13" x14ac:dyDescent="0.35">
      <c r="G1121" s="89"/>
      <c r="H1121" s="90"/>
      <c r="L1121" s="89"/>
      <c r="M1121" s="90"/>
    </row>
    <row r="1122" spans="7:13" x14ac:dyDescent="0.35">
      <c r="G1122" s="89"/>
      <c r="H1122" s="90"/>
      <c r="L1122" s="89"/>
      <c r="M1122" s="90"/>
    </row>
    <row r="1123" spans="7:13" x14ac:dyDescent="0.35">
      <c r="G1123" s="89"/>
      <c r="H1123" s="90"/>
      <c r="L1123" s="89"/>
      <c r="M1123" s="90"/>
    </row>
    <row r="1124" spans="7:13" x14ac:dyDescent="0.35">
      <c r="G1124" s="89"/>
      <c r="H1124" s="90"/>
      <c r="L1124" s="89"/>
      <c r="M1124" s="90"/>
    </row>
    <row r="1125" spans="7:13" x14ac:dyDescent="0.35">
      <c r="G1125" s="89"/>
      <c r="H1125" s="90"/>
      <c r="L1125" s="89"/>
      <c r="M1125" s="90"/>
    </row>
    <row r="1126" spans="7:13" x14ac:dyDescent="0.35">
      <c r="G1126" s="89"/>
      <c r="H1126" s="90"/>
      <c r="L1126" s="89"/>
      <c r="M1126" s="90"/>
    </row>
    <row r="1127" spans="7:13" x14ac:dyDescent="0.35">
      <c r="G1127" s="89"/>
      <c r="H1127" s="90"/>
      <c r="L1127" s="89"/>
      <c r="M1127" s="90"/>
    </row>
    <row r="1128" spans="7:13" x14ac:dyDescent="0.35">
      <c r="G1128" s="89"/>
      <c r="H1128" s="90"/>
      <c r="L1128" s="89"/>
      <c r="M1128" s="90"/>
    </row>
    <row r="1129" spans="7:13" x14ac:dyDescent="0.35">
      <c r="G1129" s="89"/>
      <c r="H1129" s="90"/>
      <c r="L1129" s="89"/>
      <c r="M1129" s="90"/>
    </row>
    <row r="1130" spans="7:13" x14ac:dyDescent="0.35">
      <c r="G1130" s="89"/>
      <c r="H1130" s="90"/>
      <c r="L1130" s="89"/>
      <c r="M1130" s="90"/>
    </row>
    <row r="1131" spans="7:13" x14ac:dyDescent="0.35">
      <c r="G1131" s="89"/>
      <c r="H1131" s="90"/>
      <c r="L1131" s="89"/>
      <c r="M1131" s="90"/>
    </row>
    <row r="1132" spans="7:13" x14ac:dyDescent="0.35">
      <c r="G1132" s="89"/>
      <c r="H1132" s="90"/>
      <c r="L1132" s="89"/>
      <c r="M1132" s="90"/>
    </row>
    <row r="1133" spans="7:13" x14ac:dyDescent="0.35">
      <c r="G1133" s="89"/>
      <c r="H1133" s="90"/>
      <c r="L1133" s="89"/>
      <c r="M1133" s="90"/>
    </row>
    <row r="1134" spans="7:13" x14ac:dyDescent="0.35">
      <c r="G1134" s="89"/>
      <c r="H1134" s="90"/>
      <c r="L1134" s="89"/>
      <c r="M1134" s="90"/>
    </row>
    <row r="1135" spans="7:13" x14ac:dyDescent="0.35">
      <c r="G1135" s="89"/>
      <c r="H1135" s="90"/>
      <c r="L1135" s="89"/>
      <c r="M1135" s="90"/>
    </row>
    <row r="1136" spans="7:13" x14ac:dyDescent="0.35">
      <c r="G1136" s="89"/>
      <c r="H1136" s="90"/>
      <c r="L1136" s="89"/>
      <c r="M1136" s="90"/>
    </row>
    <row r="1137" spans="7:13" x14ac:dyDescent="0.35">
      <c r="G1137" s="89"/>
      <c r="H1137" s="90"/>
      <c r="L1137" s="89"/>
      <c r="M1137" s="90"/>
    </row>
    <row r="1138" spans="7:13" x14ac:dyDescent="0.35">
      <c r="G1138" s="89"/>
      <c r="H1138" s="90"/>
      <c r="L1138" s="89"/>
      <c r="M1138" s="90"/>
    </row>
    <row r="1139" spans="7:13" x14ac:dyDescent="0.35">
      <c r="G1139" s="89"/>
      <c r="H1139" s="90"/>
      <c r="L1139" s="89"/>
      <c r="M1139" s="90"/>
    </row>
    <row r="1140" spans="7:13" x14ac:dyDescent="0.35">
      <c r="G1140" s="89"/>
      <c r="H1140" s="90"/>
      <c r="L1140" s="89"/>
      <c r="M1140" s="90"/>
    </row>
    <row r="1141" spans="7:13" x14ac:dyDescent="0.35">
      <c r="G1141" s="89"/>
      <c r="H1141" s="90"/>
      <c r="L1141" s="89"/>
      <c r="M1141" s="90"/>
    </row>
    <row r="1142" spans="7:13" x14ac:dyDescent="0.35">
      <c r="G1142" s="89"/>
      <c r="H1142" s="90"/>
      <c r="L1142" s="89"/>
      <c r="M1142" s="90"/>
    </row>
    <row r="1143" spans="7:13" x14ac:dyDescent="0.35">
      <c r="G1143" s="89"/>
      <c r="H1143" s="90"/>
      <c r="L1143" s="89"/>
      <c r="M1143" s="90"/>
    </row>
    <row r="1144" spans="7:13" x14ac:dyDescent="0.35">
      <c r="G1144" s="89"/>
      <c r="H1144" s="90"/>
      <c r="L1144" s="89"/>
      <c r="M1144" s="90"/>
    </row>
    <row r="1145" spans="7:13" x14ac:dyDescent="0.35">
      <c r="G1145" s="89"/>
      <c r="H1145" s="90"/>
      <c r="L1145" s="89"/>
      <c r="M1145" s="90"/>
    </row>
    <row r="1146" spans="7:13" x14ac:dyDescent="0.35">
      <c r="G1146" s="89"/>
      <c r="H1146" s="90"/>
      <c r="L1146" s="89"/>
      <c r="M1146" s="90"/>
    </row>
    <row r="1147" spans="7:13" x14ac:dyDescent="0.35">
      <c r="G1147" s="89"/>
      <c r="H1147" s="90"/>
      <c r="L1147" s="89"/>
      <c r="M1147" s="90"/>
    </row>
    <row r="1148" spans="7:13" x14ac:dyDescent="0.35">
      <c r="G1148" s="89"/>
      <c r="H1148" s="90"/>
      <c r="L1148" s="89"/>
      <c r="M1148" s="90"/>
    </row>
    <row r="1149" spans="7:13" x14ac:dyDescent="0.35">
      <c r="G1149" s="89"/>
      <c r="H1149" s="90"/>
      <c r="L1149" s="89"/>
      <c r="M1149" s="90"/>
    </row>
    <row r="1150" spans="7:13" x14ac:dyDescent="0.35">
      <c r="G1150" s="89"/>
      <c r="H1150" s="90"/>
      <c r="L1150" s="89"/>
      <c r="M1150" s="90"/>
    </row>
    <row r="1151" spans="7:13" x14ac:dyDescent="0.35">
      <c r="G1151" s="89"/>
      <c r="H1151" s="90"/>
      <c r="L1151" s="89"/>
      <c r="M1151" s="90"/>
    </row>
    <row r="1152" spans="7:13" x14ac:dyDescent="0.35">
      <c r="G1152" s="89"/>
      <c r="H1152" s="90"/>
      <c r="L1152" s="89"/>
      <c r="M1152" s="90"/>
    </row>
    <row r="1153" spans="7:13" x14ac:dyDescent="0.35">
      <c r="G1153" s="89"/>
      <c r="H1153" s="90"/>
      <c r="L1153" s="89"/>
      <c r="M1153" s="90"/>
    </row>
    <row r="1154" spans="7:13" x14ac:dyDescent="0.35">
      <c r="G1154" s="89"/>
      <c r="H1154" s="90"/>
      <c r="L1154" s="89"/>
      <c r="M1154" s="90"/>
    </row>
    <row r="1155" spans="7:13" x14ac:dyDescent="0.35">
      <c r="G1155" s="89"/>
      <c r="H1155" s="90"/>
      <c r="L1155" s="89"/>
      <c r="M1155" s="90"/>
    </row>
    <row r="1156" spans="7:13" x14ac:dyDescent="0.35">
      <c r="G1156" s="89"/>
      <c r="H1156" s="90"/>
      <c r="L1156" s="89"/>
      <c r="M1156" s="90"/>
    </row>
    <row r="1157" spans="7:13" x14ac:dyDescent="0.35">
      <c r="G1157" s="89"/>
      <c r="H1157" s="90"/>
      <c r="L1157" s="89"/>
      <c r="M1157" s="90"/>
    </row>
    <row r="1158" spans="7:13" x14ac:dyDescent="0.35">
      <c r="G1158" s="89"/>
      <c r="H1158" s="90"/>
      <c r="L1158" s="89"/>
      <c r="M1158" s="90"/>
    </row>
    <row r="1159" spans="7:13" x14ac:dyDescent="0.35">
      <c r="G1159" s="89"/>
      <c r="H1159" s="90"/>
      <c r="L1159" s="89"/>
      <c r="M1159" s="90"/>
    </row>
    <row r="1160" spans="7:13" x14ac:dyDescent="0.35">
      <c r="G1160" s="89"/>
      <c r="H1160" s="90"/>
      <c r="L1160" s="89"/>
      <c r="M1160" s="90"/>
    </row>
    <row r="1161" spans="7:13" x14ac:dyDescent="0.35">
      <c r="G1161" s="89"/>
      <c r="H1161" s="90"/>
      <c r="L1161" s="89"/>
      <c r="M1161" s="90"/>
    </row>
    <row r="1162" spans="7:13" x14ac:dyDescent="0.35">
      <c r="G1162" s="89"/>
      <c r="H1162" s="90"/>
      <c r="L1162" s="89"/>
      <c r="M1162" s="90"/>
    </row>
    <row r="1163" spans="7:13" x14ac:dyDescent="0.35">
      <c r="G1163" s="89"/>
      <c r="H1163" s="90"/>
      <c r="L1163" s="89"/>
      <c r="M1163" s="90"/>
    </row>
    <row r="1164" spans="7:13" x14ac:dyDescent="0.35">
      <c r="G1164" s="89"/>
      <c r="H1164" s="90"/>
      <c r="L1164" s="89"/>
      <c r="M1164" s="90"/>
    </row>
    <row r="1165" spans="7:13" x14ac:dyDescent="0.35">
      <c r="G1165" s="89"/>
      <c r="H1165" s="90"/>
      <c r="L1165" s="89"/>
      <c r="M1165" s="90"/>
    </row>
    <row r="1166" spans="7:13" x14ac:dyDescent="0.35">
      <c r="G1166" s="89"/>
      <c r="H1166" s="90"/>
      <c r="L1166" s="89"/>
      <c r="M1166" s="90"/>
    </row>
    <row r="1167" spans="7:13" x14ac:dyDescent="0.35">
      <c r="G1167" s="89"/>
      <c r="H1167" s="90"/>
      <c r="L1167" s="89"/>
      <c r="M1167" s="90"/>
    </row>
    <row r="1168" spans="7:13" x14ac:dyDescent="0.35">
      <c r="G1168" s="89"/>
      <c r="H1168" s="90"/>
      <c r="L1168" s="89"/>
      <c r="M1168" s="90"/>
    </row>
    <row r="1169" spans="7:13" x14ac:dyDescent="0.35">
      <c r="G1169" s="89"/>
      <c r="H1169" s="90"/>
      <c r="L1169" s="89"/>
      <c r="M1169" s="90"/>
    </row>
    <row r="1170" spans="7:13" x14ac:dyDescent="0.35">
      <c r="G1170" s="89"/>
      <c r="H1170" s="90"/>
      <c r="L1170" s="89"/>
      <c r="M1170" s="90"/>
    </row>
    <row r="1171" spans="7:13" x14ac:dyDescent="0.35">
      <c r="G1171" s="89"/>
      <c r="H1171" s="90"/>
      <c r="L1171" s="89"/>
      <c r="M1171" s="90"/>
    </row>
    <row r="1172" spans="7:13" x14ac:dyDescent="0.35">
      <c r="G1172" s="89"/>
      <c r="H1172" s="90"/>
      <c r="L1172" s="89"/>
      <c r="M1172" s="90"/>
    </row>
    <row r="1173" spans="7:13" x14ac:dyDescent="0.35">
      <c r="G1173" s="89"/>
      <c r="H1173" s="90"/>
      <c r="L1173" s="89"/>
      <c r="M1173" s="90"/>
    </row>
    <row r="1174" spans="7:13" x14ac:dyDescent="0.35">
      <c r="G1174" s="89"/>
      <c r="H1174" s="90"/>
      <c r="L1174" s="89"/>
      <c r="M1174" s="90"/>
    </row>
    <row r="1175" spans="7:13" x14ac:dyDescent="0.35">
      <c r="G1175" s="89"/>
      <c r="H1175" s="90"/>
      <c r="L1175" s="89"/>
      <c r="M1175" s="90"/>
    </row>
    <row r="1176" spans="7:13" x14ac:dyDescent="0.35">
      <c r="G1176" s="89"/>
      <c r="H1176" s="90"/>
      <c r="L1176" s="89"/>
      <c r="M1176" s="90"/>
    </row>
    <row r="1177" spans="7:13" x14ac:dyDescent="0.35">
      <c r="G1177" s="89"/>
      <c r="H1177" s="90"/>
      <c r="L1177" s="89"/>
      <c r="M1177" s="90"/>
    </row>
    <row r="1178" spans="7:13" x14ac:dyDescent="0.35">
      <c r="G1178" s="89"/>
      <c r="H1178" s="90"/>
      <c r="L1178" s="89"/>
      <c r="M1178" s="90"/>
    </row>
    <row r="1179" spans="7:13" x14ac:dyDescent="0.35">
      <c r="G1179" s="89"/>
      <c r="H1179" s="90"/>
      <c r="L1179" s="89"/>
      <c r="M1179" s="90"/>
    </row>
    <row r="1180" spans="7:13" x14ac:dyDescent="0.35">
      <c r="G1180" s="89"/>
      <c r="H1180" s="90"/>
      <c r="L1180" s="89"/>
      <c r="M1180" s="90"/>
    </row>
    <row r="1181" spans="7:13" x14ac:dyDescent="0.35">
      <c r="G1181" s="89"/>
      <c r="H1181" s="90"/>
      <c r="L1181" s="89"/>
      <c r="M1181" s="90"/>
    </row>
    <row r="1182" spans="7:13" x14ac:dyDescent="0.35">
      <c r="G1182" s="89"/>
      <c r="H1182" s="90"/>
      <c r="L1182" s="89"/>
      <c r="M1182" s="90"/>
    </row>
    <row r="1183" spans="7:13" x14ac:dyDescent="0.35">
      <c r="G1183" s="89"/>
      <c r="H1183" s="90"/>
      <c r="L1183" s="89"/>
      <c r="M1183" s="90"/>
    </row>
    <row r="1184" spans="7:13" x14ac:dyDescent="0.35">
      <c r="G1184" s="89"/>
      <c r="H1184" s="90"/>
      <c r="L1184" s="89"/>
      <c r="M1184" s="90"/>
    </row>
    <row r="1185" spans="7:13" x14ac:dyDescent="0.35">
      <c r="G1185" s="89"/>
      <c r="H1185" s="90"/>
      <c r="L1185" s="89"/>
      <c r="M1185" s="90"/>
    </row>
    <row r="1186" spans="7:13" x14ac:dyDescent="0.35">
      <c r="G1186" s="89"/>
      <c r="H1186" s="90"/>
      <c r="L1186" s="89"/>
      <c r="M1186" s="90"/>
    </row>
    <row r="1187" spans="7:13" x14ac:dyDescent="0.35">
      <c r="G1187" s="89"/>
      <c r="H1187" s="90"/>
      <c r="L1187" s="89"/>
      <c r="M1187" s="90"/>
    </row>
    <row r="1188" spans="7:13" x14ac:dyDescent="0.35">
      <c r="G1188" s="89"/>
      <c r="H1188" s="90"/>
      <c r="L1188" s="89"/>
      <c r="M1188" s="90"/>
    </row>
    <row r="1189" spans="7:13" x14ac:dyDescent="0.35">
      <c r="G1189" s="89"/>
      <c r="H1189" s="90"/>
      <c r="L1189" s="89"/>
      <c r="M1189" s="90"/>
    </row>
    <row r="1190" spans="7:13" x14ac:dyDescent="0.35">
      <c r="G1190" s="89"/>
      <c r="H1190" s="90"/>
      <c r="L1190" s="89"/>
      <c r="M1190" s="90"/>
    </row>
    <row r="1191" spans="7:13" x14ac:dyDescent="0.35">
      <c r="G1191" s="89"/>
      <c r="H1191" s="90"/>
      <c r="L1191" s="89"/>
      <c r="M1191" s="90"/>
    </row>
    <row r="1192" spans="7:13" x14ac:dyDescent="0.35">
      <c r="G1192" s="89"/>
      <c r="H1192" s="90"/>
      <c r="L1192" s="89"/>
      <c r="M1192" s="90"/>
    </row>
    <row r="1193" spans="7:13" x14ac:dyDescent="0.35">
      <c r="G1193" s="89"/>
      <c r="H1193" s="90"/>
      <c r="L1193" s="89"/>
      <c r="M1193" s="90"/>
    </row>
    <row r="1194" spans="7:13" x14ac:dyDescent="0.35">
      <c r="G1194" s="89"/>
      <c r="H1194" s="90"/>
      <c r="L1194" s="89"/>
      <c r="M1194" s="90"/>
    </row>
    <row r="1195" spans="7:13" x14ac:dyDescent="0.35">
      <c r="G1195" s="89"/>
      <c r="H1195" s="90"/>
      <c r="L1195" s="89"/>
      <c r="M1195" s="90"/>
    </row>
    <row r="1196" spans="7:13" x14ac:dyDescent="0.35">
      <c r="G1196" s="89"/>
      <c r="H1196" s="90"/>
      <c r="L1196" s="89"/>
      <c r="M1196" s="90"/>
    </row>
    <row r="1197" spans="7:13" x14ac:dyDescent="0.35">
      <c r="G1197" s="89"/>
      <c r="H1197" s="90"/>
      <c r="L1197" s="89"/>
      <c r="M1197" s="90"/>
    </row>
    <row r="1198" spans="7:13" x14ac:dyDescent="0.35">
      <c r="G1198" s="89"/>
      <c r="H1198" s="90"/>
      <c r="L1198" s="89"/>
      <c r="M1198" s="90"/>
    </row>
    <row r="1199" spans="7:13" x14ac:dyDescent="0.35">
      <c r="G1199" s="89"/>
      <c r="H1199" s="90"/>
      <c r="L1199" s="89"/>
      <c r="M1199" s="90"/>
    </row>
    <row r="1200" spans="7:13" x14ac:dyDescent="0.35">
      <c r="G1200" s="89"/>
      <c r="H1200" s="90"/>
      <c r="L1200" s="89"/>
      <c r="M1200" s="90"/>
    </row>
    <row r="1201" spans="7:13" x14ac:dyDescent="0.35">
      <c r="G1201" s="89"/>
      <c r="H1201" s="90"/>
      <c r="L1201" s="89"/>
      <c r="M1201" s="90"/>
    </row>
    <row r="1202" spans="7:13" x14ac:dyDescent="0.35">
      <c r="G1202" s="89"/>
      <c r="H1202" s="90"/>
      <c r="L1202" s="89"/>
      <c r="M1202" s="90"/>
    </row>
    <row r="1203" spans="7:13" x14ac:dyDescent="0.35">
      <c r="G1203" s="89"/>
      <c r="H1203" s="90"/>
      <c r="L1203" s="89"/>
      <c r="M1203" s="90"/>
    </row>
    <row r="1204" spans="7:13" x14ac:dyDescent="0.35">
      <c r="G1204" s="89"/>
      <c r="H1204" s="90"/>
      <c r="L1204" s="89"/>
      <c r="M1204" s="90"/>
    </row>
    <row r="1205" spans="7:13" x14ac:dyDescent="0.35">
      <c r="G1205" s="89"/>
      <c r="H1205" s="90"/>
      <c r="L1205" s="89"/>
      <c r="M1205" s="90"/>
    </row>
    <row r="1206" spans="7:13" x14ac:dyDescent="0.35">
      <c r="G1206" s="89"/>
      <c r="H1206" s="90"/>
      <c r="L1206" s="89"/>
      <c r="M1206" s="90"/>
    </row>
    <row r="1207" spans="7:13" x14ac:dyDescent="0.35">
      <c r="G1207" s="89"/>
      <c r="H1207" s="90"/>
      <c r="L1207" s="89"/>
      <c r="M1207" s="90"/>
    </row>
    <row r="1208" spans="7:13" x14ac:dyDescent="0.35">
      <c r="G1208" s="89"/>
      <c r="H1208" s="90"/>
      <c r="L1208" s="89"/>
      <c r="M1208" s="90"/>
    </row>
    <row r="1209" spans="7:13" x14ac:dyDescent="0.35">
      <c r="G1209" s="89"/>
      <c r="H1209" s="90"/>
      <c r="L1209" s="89"/>
      <c r="M1209" s="90"/>
    </row>
    <row r="1210" spans="7:13" x14ac:dyDescent="0.35">
      <c r="G1210" s="89"/>
      <c r="H1210" s="90"/>
      <c r="L1210" s="89"/>
      <c r="M1210" s="90"/>
    </row>
    <row r="1211" spans="7:13" x14ac:dyDescent="0.35">
      <c r="G1211" s="89"/>
      <c r="H1211" s="90"/>
      <c r="L1211" s="89"/>
      <c r="M1211" s="90"/>
    </row>
    <row r="1212" spans="7:13" x14ac:dyDescent="0.35">
      <c r="G1212" s="89"/>
      <c r="H1212" s="90"/>
      <c r="L1212" s="89"/>
      <c r="M1212" s="90"/>
    </row>
    <row r="1213" spans="7:13" x14ac:dyDescent="0.35">
      <c r="G1213" s="89"/>
      <c r="H1213" s="90"/>
      <c r="L1213" s="89"/>
      <c r="M1213" s="90"/>
    </row>
    <row r="1214" spans="7:13" x14ac:dyDescent="0.35">
      <c r="G1214" s="89"/>
      <c r="H1214" s="90"/>
      <c r="L1214" s="89"/>
      <c r="M1214" s="90"/>
    </row>
    <row r="1215" spans="7:13" x14ac:dyDescent="0.35">
      <c r="G1215" s="89"/>
      <c r="H1215" s="90"/>
      <c r="L1215" s="89"/>
      <c r="M1215" s="90"/>
    </row>
    <row r="1216" spans="7:13" x14ac:dyDescent="0.35">
      <c r="G1216" s="89"/>
      <c r="H1216" s="90"/>
      <c r="L1216" s="89"/>
      <c r="M1216" s="90"/>
    </row>
    <row r="1217" spans="7:13" x14ac:dyDescent="0.35">
      <c r="G1217" s="89"/>
      <c r="H1217" s="90"/>
      <c r="L1217" s="89"/>
      <c r="M1217" s="90"/>
    </row>
    <row r="1218" spans="7:13" x14ac:dyDescent="0.35">
      <c r="G1218" s="89"/>
      <c r="H1218" s="90"/>
      <c r="L1218" s="89"/>
      <c r="M1218" s="90"/>
    </row>
    <row r="1219" spans="7:13" x14ac:dyDescent="0.35">
      <c r="G1219" s="89"/>
      <c r="H1219" s="90"/>
      <c r="L1219" s="89"/>
      <c r="M1219" s="90"/>
    </row>
    <row r="1220" spans="7:13" x14ac:dyDescent="0.35">
      <c r="G1220" s="89"/>
      <c r="H1220" s="90"/>
      <c r="L1220" s="89"/>
      <c r="M1220" s="90"/>
    </row>
    <row r="1221" spans="7:13" x14ac:dyDescent="0.35">
      <c r="G1221" s="89"/>
      <c r="H1221" s="90"/>
      <c r="L1221" s="89"/>
      <c r="M1221" s="90"/>
    </row>
    <row r="1222" spans="7:13" x14ac:dyDescent="0.35">
      <c r="G1222" s="89"/>
      <c r="H1222" s="90"/>
      <c r="L1222" s="89"/>
      <c r="M1222" s="90"/>
    </row>
    <row r="1223" spans="7:13" x14ac:dyDescent="0.35">
      <c r="G1223" s="89"/>
      <c r="H1223" s="90"/>
      <c r="L1223" s="89"/>
      <c r="M1223" s="90"/>
    </row>
    <row r="1224" spans="7:13" x14ac:dyDescent="0.35">
      <c r="G1224" s="89"/>
      <c r="H1224" s="90"/>
      <c r="L1224" s="89"/>
      <c r="M1224" s="90"/>
    </row>
    <row r="1225" spans="7:13" x14ac:dyDescent="0.35">
      <c r="G1225" s="89"/>
      <c r="H1225" s="90"/>
      <c r="L1225" s="89"/>
      <c r="M1225" s="90"/>
    </row>
    <row r="1226" spans="7:13" x14ac:dyDescent="0.35">
      <c r="G1226" s="89"/>
      <c r="H1226" s="90"/>
      <c r="L1226" s="89"/>
      <c r="M1226" s="90"/>
    </row>
    <row r="1227" spans="7:13" x14ac:dyDescent="0.35">
      <c r="G1227" s="89"/>
      <c r="H1227" s="90"/>
      <c r="L1227" s="89"/>
      <c r="M1227" s="90"/>
    </row>
    <row r="1228" spans="7:13" x14ac:dyDescent="0.35">
      <c r="G1228" s="89"/>
      <c r="H1228" s="90"/>
      <c r="L1228" s="89"/>
      <c r="M1228" s="90"/>
    </row>
    <row r="1229" spans="7:13" x14ac:dyDescent="0.35">
      <c r="G1229" s="89"/>
      <c r="H1229" s="90"/>
      <c r="L1229" s="89"/>
      <c r="M1229" s="90"/>
    </row>
    <row r="1230" spans="7:13" x14ac:dyDescent="0.35">
      <c r="G1230" s="89"/>
      <c r="H1230" s="90"/>
      <c r="L1230" s="89"/>
      <c r="M1230" s="90"/>
    </row>
    <row r="1231" spans="7:13" x14ac:dyDescent="0.35">
      <c r="G1231" s="89"/>
      <c r="H1231" s="90"/>
      <c r="L1231" s="89"/>
      <c r="M1231" s="90"/>
    </row>
    <row r="1232" spans="7:13" x14ac:dyDescent="0.35">
      <c r="G1232" s="89"/>
      <c r="H1232" s="90"/>
      <c r="L1232" s="89"/>
      <c r="M1232" s="90"/>
    </row>
    <row r="1233" spans="7:13" x14ac:dyDescent="0.35">
      <c r="G1233" s="89"/>
      <c r="H1233" s="90"/>
      <c r="L1233" s="89"/>
      <c r="M1233" s="90"/>
    </row>
    <row r="1234" spans="7:13" x14ac:dyDescent="0.35">
      <c r="G1234" s="89"/>
      <c r="H1234" s="90"/>
      <c r="L1234" s="89"/>
      <c r="M1234" s="90"/>
    </row>
    <row r="1235" spans="7:13" x14ac:dyDescent="0.35">
      <c r="G1235" s="89"/>
      <c r="H1235" s="90"/>
      <c r="L1235" s="89"/>
      <c r="M1235" s="90"/>
    </row>
    <row r="1236" spans="7:13" x14ac:dyDescent="0.35">
      <c r="G1236" s="89"/>
      <c r="H1236" s="90"/>
      <c r="L1236" s="89"/>
      <c r="M1236" s="90"/>
    </row>
    <row r="1237" spans="7:13" x14ac:dyDescent="0.35">
      <c r="G1237" s="89"/>
      <c r="H1237" s="90"/>
      <c r="L1237" s="89"/>
      <c r="M1237" s="90"/>
    </row>
    <row r="1238" spans="7:13" x14ac:dyDescent="0.35">
      <c r="G1238" s="89"/>
      <c r="H1238" s="90"/>
      <c r="L1238" s="89"/>
      <c r="M1238" s="90"/>
    </row>
    <row r="1239" spans="7:13" x14ac:dyDescent="0.35">
      <c r="G1239" s="89"/>
      <c r="H1239" s="90"/>
      <c r="L1239" s="89"/>
      <c r="M1239" s="90"/>
    </row>
    <row r="1240" spans="7:13" x14ac:dyDescent="0.35">
      <c r="G1240" s="89"/>
      <c r="H1240" s="90"/>
      <c r="L1240" s="89"/>
      <c r="M1240" s="90"/>
    </row>
    <row r="1241" spans="7:13" x14ac:dyDescent="0.35">
      <c r="G1241" s="89"/>
      <c r="H1241" s="90"/>
      <c r="L1241" s="89"/>
      <c r="M1241" s="90"/>
    </row>
    <row r="1242" spans="7:13" x14ac:dyDescent="0.35">
      <c r="G1242" s="89"/>
      <c r="H1242" s="90"/>
      <c r="L1242" s="89"/>
      <c r="M1242" s="90"/>
    </row>
    <row r="1243" spans="7:13" x14ac:dyDescent="0.35">
      <c r="G1243" s="89"/>
      <c r="H1243" s="90"/>
      <c r="L1243" s="89"/>
      <c r="M1243" s="90"/>
    </row>
    <row r="1244" spans="7:13" x14ac:dyDescent="0.35">
      <c r="G1244" s="89"/>
      <c r="H1244" s="90"/>
      <c r="L1244" s="89"/>
      <c r="M1244" s="90"/>
    </row>
    <row r="1245" spans="7:13" x14ac:dyDescent="0.35">
      <c r="G1245" s="89"/>
      <c r="H1245" s="90"/>
      <c r="L1245" s="89"/>
      <c r="M1245" s="90"/>
    </row>
    <row r="1246" spans="7:13" x14ac:dyDescent="0.35">
      <c r="G1246" s="89"/>
      <c r="H1246" s="90"/>
      <c r="L1246" s="89"/>
      <c r="M1246" s="90"/>
    </row>
    <row r="1247" spans="7:13" x14ac:dyDescent="0.35">
      <c r="G1247" s="89"/>
      <c r="H1247" s="90"/>
      <c r="L1247" s="89"/>
      <c r="M1247" s="90"/>
    </row>
    <row r="1248" spans="7:13" x14ac:dyDescent="0.35">
      <c r="G1248" s="89"/>
      <c r="H1248" s="90"/>
      <c r="L1248" s="89"/>
      <c r="M1248" s="90"/>
    </row>
    <row r="1249" spans="7:13" x14ac:dyDescent="0.35">
      <c r="G1249" s="89"/>
      <c r="H1249" s="90"/>
      <c r="L1249" s="89"/>
      <c r="M1249" s="90"/>
    </row>
    <row r="1250" spans="7:13" x14ac:dyDescent="0.35">
      <c r="G1250" s="89"/>
      <c r="H1250" s="90"/>
      <c r="L1250" s="89"/>
      <c r="M1250" s="90"/>
    </row>
    <row r="1251" spans="7:13" x14ac:dyDescent="0.35">
      <c r="G1251" s="89"/>
      <c r="H1251" s="90"/>
      <c r="L1251" s="89"/>
      <c r="M1251" s="90"/>
    </row>
    <row r="1252" spans="7:13" x14ac:dyDescent="0.35">
      <c r="G1252" s="89"/>
      <c r="H1252" s="90"/>
      <c r="L1252" s="89"/>
      <c r="M1252" s="90"/>
    </row>
    <row r="1253" spans="7:13" x14ac:dyDescent="0.35">
      <c r="G1253" s="89"/>
      <c r="H1253" s="90"/>
      <c r="L1253" s="89"/>
      <c r="M1253" s="90"/>
    </row>
    <row r="1254" spans="7:13" x14ac:dyDescent="0.35">
      <c r="G1254" s="89"/>
      <c r="H1254" s="90"/>
      <c r="L1254" s="89"/>
      <c r="M1254" s="90"/>
    </row>
    <row r="1255" spans="7:13" x14ac:dyDescent="0.35">
      <c r="G1255" s="89"/>
      <c r="H1255" s="90"/>
      <c r="L1255" s="89"/>
      <c r="M1255" s="90"/>
    </row>
    <row r="1256" spans="7:13" x14ac:dyDescent="0.35">
      <c r="G1256" s="89"/>
      <c r="H1256" s="90"/>
      <c r="L1256" s="89"/>
      <c r="M1256" s="90"/>
    </row>
    <row r="1257" spans="7:13" x14ac:dyDescent="0.35">
      <c r="G1257" s="89"/>
      <c r="H1257" s="90"/>
      <c r="L1257" s="89"/>
      <c r="M1257" s="90"/>
    </row>
    <row r="1258" spans="7:13" x14ac:dyDescent="0.35">
      <c r="G1258" s="89"/>
      <c r="H1258" s="90"/>
      <c r="L1258" s="89"/>
      <c r="M1258" s="90"/>
    </row>
    <row r="1259" spans="7:13" x14ac:dyDescent="0.35">
      <c r="G1259" s="89"/>
      <c r="H1259" s="90"/>
      <c r="L1259" s="89"/>
      <c r="M1259" s="90"/>
    </row>
    <row r="1260" spans="7:13" x14ac:dyDescent="0.35">
      <c r="G1260" s="89"/>
      <c r="H1260" s="90"/>
      <c r="L1260" s="89"/>
      <c r="M1260" s="90"/>
    </row>
    <row r="1261" spans="7:13" x14ac:dyDescent="0.35">
      <c r="G1261" s="89"/>
      <c r="H1261" s="90"/>
      <c r="L1261" s="89"/>
      <c r="M1261" s="90"/>
    </row>
    <row r="1262" spans="7:13" x14ac:dyDescent="0.35">
      <c r="G1262" s="89"/>
      <c r="H1262" s="90"/>
      <c r="L1262" s="89"/>
      <c r="M1262" s="90"/>
    </row>
    <row r="1263" spans="7:13" x14ac:dyDescent="0.35">
      <c r="G1263" s="89"/>
      <c r="H1263" s="90"/>
      <c r="L1263" s="89"/>
      <c r="M1263" s="90"/>
    </row>
    <row r="1264" spans="7:13" x14ac:dyDescent="0.35">
      <c r="G1264" s="89"/>
      <c r="H1264" s="90"/>
      <c r="L1264" s="89"/>
      <c r="M1264" s="90"/>
    </row>
    <row r="1265" spans="7:13" x14ac:dyDescent="0.35">
      <c r="G1265" s="89"/>
      <c r="H1265" s="90"/>
      <c r="L1265" s="89"/>
      <c r="M1265" s="90"/>
    </row>
    <row r="1266" spans="7:13" x14ac:dyDescent="0.35">
      <c r="G1266" s="89"/>
      <c r="H1266" s="90"/>
      <c r="L1266" s="89"/>
      <c r="M1266" s="90"/>
    </row>
    <row r="1267" spans="7:13" x14ac:dyDescent="0.35">
      <c r="G1267" s="89"/>
      <c r="H1267" s="90"/>
      <c r="L1267" s="89"/>
      <c r="M1267" s="90"/>
    </row>
    <row r="1268" spans="7:13" x14ac:dyDescent="0.35">
      <c r="G1268" s="89"/>
      <c r="H1268" s="90"/>
      <c r="L1268" s="89"/>
      <c r="M1268" s="90"/>
    </row>
    <row r="1269" spans="7:13" x14ac:dyDescent="0.35">
      <c r="G1269" s="89"/>
      <c r="H1269" s="90"/>
      <c r="L1269" s="89"/>
      <c r="M1269" s="90"/>
    </row>
    <row r="1270" spans="7:13" x14ac:dyDescent="0.35">
      <c r="G1270" s="89"/>
      <c r="H1270" s="90"/>
      <c r="L1270" s="89"/>
      <c r="M1270" s="90"/>
    </row>
    <row r="1271" spans="7:13" x14ac:dyDescent="0.35">
      <c r="G1271" s="89"/>
      <c r="H1271" s="90"/>
      <c r="L1271" s="89"/>
      <c r="M1271" s="90"/>
    </row>
    <row r="1272" spans="7:13" x14ac:dyDescent="0.35">
      <c r="G1272" s="89"/>
      <c r="H1272" s="90"/>
      <c r="L1272" s="89"/>
      <c r="M1272" s="90"/>
    </row>
    <row r="1273" spans="7:13" x14ac:dyDescent="0.35">
      <c r="G1273" s="89"/>
      <c r="H1273" s="90"/>
      <c r="L1273" s="89"/>
      <c r="M1273" s="90"/>
    </row>
    <row r="1274" spans="7:13" x14ac:dyDescent="0.35">
      <c r="G1274" s="89"/>
      <c r="H1274" s="90"/>
      <c r="L1274" s="89"/>
      <c r="M1274" s="90"/>
    </row>
    <row r="1275" spans="7:13" x14ac:dyDescent="0.35">
      <c r="G1275" s="89"/>
      <c r="H1275" s="90"/>
      <c r="L1275" s="89"/>
      <c r="M1275" s="90"/>
    </row>
    <row r="1276" spans="7:13" x14ac:dyDescent="0.35">
      <c r="G1276" s="89"/>
      <c r="H1276" s="90"/>
      <c r="L1276" s="89"/>
      <c r="M1276" s="90"/>
    </row>
    <row r="1277" spans="7:13" x14ac:dyDescent="0.35">
      <c r="G1277" s="89"/>
      <c r="H1277" s="90"/>
      <c r="L1277" s="89"/>
      <c r="M1277" s="90"/>
    </row>
    <row r="1278" spans="7:13" x14ac:dyDescent="0.35">
      <c r="G1278" s="89"/>
      <c r="H1278" s="90"/>
      <c r="L1278" s="89"/>
      <c r="M1278" s="90"/>
    </row>
    <row r="1279" spans="7:13" x14ac:dyDescent="0.35">
      <c r="G1279" s="89"/>
      <c r="H1279" s="90"/>
      <c r="L1279" s="89"/>
      <c r="M1279" s="90"/>
    </row>
    <row r="1280" spans="7:13" x14ac:dyDescent="0.35">
      <c r="G1280" s="89"/>
      <c r="H1280" s="90"/>
      <c r="L1280" s="89"/>
      <c r="M1280" s="90"/>
    </row>
    <row r="1281" spans="7:13" x14ac:dyDescent="0.35">
      <c r="G1281" s="89"/>
      <c r="H1281" s="90"/>
      <c r="L1281" s="89"/>
      <c r="M1281" s="90"/>
    </row>
    <row r="1282" spans="7:13" x14ac:dyDescent="0.35">
      <c r="G1282" s="89"/>
      <c r="H1282" s="90"/>
      <c r="L1282" s="89"/>
      <c r="M1282" s="90"/>
    </row>
    <row r="1283" spans="7:13" x14ac:dyDescent="0.35">
      <c r="G1283" s="89"/>
      <c r="H1283" s="90"/>
      <c r="L1283" s="89"/>
      <c r="M1283" s="90"/>
    </row>
    <row r="1284" spans="7:13" x14ac:dyDescent="0.35">
      <c r="G1284" s="89"/>
      <c r="H1284" s="90"/>
      <c r="L1284" s="89"/>
      <c r="M1284" s="90"/>
    </row>
    <row r="1285" spans="7:13" x14ac:dyDescent="0.35">
      <c r="G1285" s="89"/>
      <c r="H1285" s="90"/>
      <c r="L1285" s="89"/>
      <c r="M1285" s="90"/>
    </row>
    <row r="1286" spans="7:13" x14ac:dyDescent="0.35">
      <c r="G1286" s="89"/>
      <c r="H1286" s="90"/>
      <c r="L1286" s="89"/>
      <c r="M1286" s="90"/>
    </row>
    <row r="1287" spans="7:13" x14ac:dyDescent="0.35">
      <c r="G1287" s="89"/>
      <c r="H1287" s="90"/>
      <c r="L1287" s="89"/>
      <c r="M1287" s="90"/>
    </row>
    <row r="1288" spans="7:13" x14ac:dyDescent="0.35">
      <c r="G1288" s="89"/>
      <c r="H1288" s="90"/>
      <c r="L1288" s="89"/>
      <c r="M1288" s="90"/>
    </row>
    <row r="1289" spans="7:13" x14ac:dyDescent="0.35">
      <c r="G1289" s="89"/>
      <c r="H1289" s="90"/>
      <c r="L1289" s="89"/>
      <c r="M1289" s="90"/>
    </row>
    <row r="1290" spans="7:13" x14ac:dyDescent="0.35">
      <c r="G1290" s="89"/>
      <c r="H1290" s="90"/>
      <c r="L1290" s="89"/>
      <c r="M1290" s="90"/>
    </row>
    <row r="1291" spans="7:13" x14ac:dyDescent="0.35">
      <c r="G1291" s="89"/>
      <c r="H1291" s="90"/>
      <c r="L1291" s="89"/>
      <c r="M1291" s="90"/>
    </row>
    <row r="1292" spans="7:13" x14ac:dyDescent="0.35">
      <c r="G1292" s="89"/>
      <c r="H1292" s="90"/>
      <c r="L1292" s="89"/>
      <c r="M1292" s="90"/>
    </row>
    <row r="1293" spans="7:13" x14ac:dyDescent="0.35">
      <c r="G1293" s="89"/>
      <c r="H1293" s="90"/>
      <c r="L1293" s="89"/>
      <c r="M1293" s="90"/>
    </row>
    <row r="1294" spans="7:13" x14ac:dyDescent="0.35">
      <c r="G1294" s="89"/>
      <c r="H1294" s="90"/>
      <c r="L1294" s="89"/>
      <c r="M1294" s="90"/>
    </row>
    <row r="1295" spans="7:13" x14ac:dyDescent="0.35">
      <c r="G1295" s="89"/>
      <c r="H1295" s="90"/>
      <c r="L1295" s="89"/>
      <c r="M1295" s="90"/>
    </row>
    <row r="1296" spans="7:13" x14ac:dyDescent="0.35">
      <c r="G1296" s="89"/>
      <c r="H1296" s="90"/>
      <c r="L1296" s="89"/>
      <c r="M1296" s="90"/>
    </row>
    <row r="1297" spans="7:13" x14ac:dyDescent="0.35">
      <c r="G1297" s="89"/>
      <c r="H1297" s="90"/>
      <c r="L1297" s="89"/>
      <c r="M1297" s="90"/>
    </row>
    <row r="1298" spans="7:13" x14ac:dyDescent="0.35">
      <c r="G1298" s="89"/>
      <c r="H1298" s="90"/>
      <c r="L1298" s="89"/>
      <c r="M1298" s="90"/>
    </row>
    <row r="1299" spans="7:13" x14ac:dyDescent="0.35">
      <c r="G1299" s="89"/>
      <c r="H1299" s="90"/>
      <c r="L1299" s="89"/>
      <c r="M1299" s="90"/>
    </row>
    <row r="1300" spans="7:13" x14ac:dyDescent="0.35">
      <c r="G1300" s="89"/>
      <c r="H1300" s="90"/>
      <c r="L1300" s="89"/>
      <c r="M1300" s="90"/>
    </row>
    <row r="1301" spans="7:13" x14ac:dyDescent="0.35">
      <c r="G1301" s="89"/>
      <c r="H1301" s="90"/>
      <c r="L1301" s="89"/>
      <c r="M1301" s="90"/>
    </row>
    <row r="1302" spans="7:13" x14ac:dyDescent="0.35">
      <c r="G1302" s="89"/>
      <c r="H1302" s="90"/>
      <c r="L1302" s="89"/>
      <c r="M1302" s="90"/>
    </row>
    <row r="1303" spans="7:13" x14ac:dyDescent="0.35">
      <c r="G1303" s="89"/>
      <c r="H1303" s="90"/>
      <c r="L1303" s="89"/>
      <c r="M1303" s="90"/>
    </row>
    <row r="1304" spans="7:13" x14ac:dyDescent="0.35">
      <c r="G1304" s="89"/>
      <c r="H1304" s="90"/>
      <c r="L1304" s="89"/>
      <c r="M1304" s="90"/>
    </row>
    <row r="1305" spans="7:13" x14ac:dyDescent="0.35">
      <c r="G1305" s="89"/>
      <c r="H1305" s="90"/>
      <c r="L1305" s="89"/>
      <c r="M1305" s="90"/>
    </row>
    <row r="1306" spans="7:13" x14ac:dyDescent="0.35">
      <c r="G1306" s="89"/>
      <c r="H1306" s="90"/>
      <c r="L1306" s="89"/>
      <c r="M1306" s="90"/>
    </row>
    <row r="1307" spans="7:13" x14ac:dyDescent="0.35">
      <c r="G1307" s="89"/>
      <c r="H1307" s="90"/>
      <c r="L1307" s="89"/>
      <c r="M1307" s="90"/>
    </row>
    <row r="1308" spans="7:13" x14ac:dyDescent="0.35">
      <c r="G1308" s="89"/>
      <c r="H1308" s="90"/>
      <c r="L1308" s="89"/>
      <c r="M1308" s="90"/>
    </row>
    <row r="1309" spans="7:13" x14ac:dyDescent="0.35">
      <c r="G1309" s="89"/>
      <c r="H1309" s="90"/>
      <c r="L1309" s="89"/>
      <c r="M1309" s="90"/>
    </row>
    <row r="1310" spans="7:13" x14ac:dyDescent="0.35">
      <c r="G1310" s="89"/>
      <c r="H1310" s="90"/>
      <c r="L1310" s="89"/>
      <c r="M1310" s="90"/>
    </row>
    <row r="1311" spans="7:13" x14ac:dyDescent="0.35">
      <c r="G1311" s="89"/>
      <c r="H1311" s="90"/>
      <c r="L1311" s="89"/>
      <c r="M1311" s="90"/>
    </row>
    <row r="1312" spans="7:13" x14ac:dyDescent="0.35">
      <c r="G1312" s="89"/>
      <c r="H1312" s="90"/>
      <c r="L1312" s="89"/>
      <c r="M1312" s="90"/>
    </row>
    <row r="1313" spans="7:13" x14ac:dyDescent="0.35">
      <c r="G1313" s="89"/>
      <c r="H1313" s="90"/>
      <c r="L1313" s="89"/>
      <c r="M1313" s="90"/>
    </row>
    <row r="1314" spans="7:13" x14ac:dyDescent="0.35">
      <c r="G1314" s="89"/>
      <c r="H1314" s="90"/>
      <c r="L1314" s="89"/>
      <c r="M1314" s="90"/>
    </row>
    <row r="1315" spans="7:13" x14ac:dyDescent="0.35">
      <c r="G1315" s="89"/>
      <c r="H1315" s="90"/>
      <c r="L1315" s="89"/>
      <c r="M1315" s="90"/>
    </row>
    <row r="1316" spans="7:13" x14ac:dyDescent="0.35">
      <c r="G1316" s="89"/>
      <c r="H1316" s="90"/>
      <c r="L1316" s="89"/>
      <c r="M1316" s="90"/>
    </row>
    <row r="1317" spans="7:13" x14ac:dyDescent="0.35">
      <c r="G1317" s="89"/>
      <c r="H1317" s="90"/>
      <c r="L1317" s="89"/>
      <c r="M1317" s="90"/>
    </row>
    <row r="1318" spans="7:13" x14ac:dyDescent="0.35">
      <c r="G1318" s="89"/>
      <c r="H1318" s="90"/>
      <c r="L1318" s="89"/>
      <c r="M1318" s="90"/>
    </row>
    <row r="1319" spans="7:13" x14ac:dyDescent="0.35">
      <c r="G1319" s="89"/>
      <c r="H1319" s="90"/>
      <c r="L1319" s="89"/>
      <c r="M1319" s="90"/>
    </row>
    <row r="1320" spans="7:13" x14ac:dyDescent="0.35">
      <c r="G1320" s="89"/>
      <c r="H1320" s="90"/>
      <c r="L1320" s="89"/>
      <c r="M1320" s="90"/>
    </row>
    <row r="1321" spans="7:13" x14ac:dyDescent="0.35">
      <c r="G1321" s="89"/>
      <c r="H1321" s="90"/>
      <c r="L1321" s="89"/>
      <c r="M1321" s="90"/>
    </row>
    <row r="1322" spans="7:13" x14ac:dyDescent="0.35">
      <c r="G1322" s="89"/>
      <c r="H1322" s="90"/>
      <c r="L1322" s="89"/>
      <c r="M1322" s="90"/>
    </row>
    <row r="1323" spans="7:13" x14ac:dyDescent="0.35">
      <c r="G1323" s="89"/>
      <c r="H1323" s="90"/>
      <c r="L1323" s="89"/>
      <c r="M1323" s="90"/>
    </row>
    <row r="1324" spans="7:13" x14ac:dyDescent="0.35">
      <c r="G1324" s="89"/>
      <c r="H1324" s="90"/>
      <c r="L1324" s="89"/>
      <c r="M1324" s="90"/>
    </row>
    <row r="1325" spans="7:13" x14ac:dyDescent="0.35">
      <c r="G1325" s="89"/>
      <c r="H1325" s="90"/>
      <c r="L1325" s="89"/>
      <c r="M1325" s="90"/>
    </row>
    <row r="1326" spans="7:13" x14ac:dyDescent="0.35">
      <c r="G1326" s="89"/>
      <c r="H1326" s="90"/>
      <c r="L1326" s="89"/>
      <c r="M1326" s="90"/>
    </row>
    <row r="1327" spans="7:13" x14ac:dyDescent="0.35">
      <c r="G1327" s="89"/>
      <c r="H1327" s="90"/>
      <c r="L1327" s="89"/>
      <c r="M1327" s="90"/>
    </row>
    <row r="1328" spans="7:13" x14ac:dyDescent="0.35">
      <c r="G1328" s="89"/>
      <c r="H1328" s="90"/>
      <c r="L1328" s="89"/>
      <c r="M1328" s="90"/>
    </row>
    <row r="1329" spans="7:13" x14ac:dyDescent="0.35">
      <c r="G1329" s="89"/>
      <c r="H1329" s="90"/>
      <c r="L1329" s="89"/>
      <c r="M1329" s="90"/>
    </row>
    <row r="1330" spans="7:13" x14ac:dyDescent="0.35">
      <c r="G1330" s="89"/>
      <c r="H1330" s="90"/>
      <c r="L1330" s="89"/>
      <c r="M1330" s="90"/>
    </row>
    <row r="1331" spans="7:13" x14ac:dyDescent="0.35">
      <c r="G1331" s="89"/>
      <c r="H1331" s="90"/>
      <c r="L1331" s="89"/>
      <c r="M1331" s="90"/>
    </row>
    <row r="1332" spans="7:13" x14ac:dyDescent="0.35">
      <c r="G1332" s="89"/>
      <c r="H1332" s="90"/>
      <c r="L1332" s="89"/>
      <c r="M1332" s="90"/>
    </row>
    <row r="1333" spans="7:13" x14ac:dyDescent="0.35">
      <c r="G1333" s="89"/>
      <c r="H1333" s="90"/>
      <c r="L1333" s="89"/>
      <c r="M1333" s="90"/>
    </row>
    <row r="1334" spans="7:13" x14ac:dyDescent="0.35">
      <c r="G1334" s="89"/>
      <c r="H1334" s="90"/>
      <c r="L1334" s="89"/>
      <c r="M1334" s="90"/>
    </row>
    <row r="1335" spans="7:13" x14ac:dyDescent="0.35">
      <c r="G1335" s="89"/>
      <c r="H1335" s="90"/>
      <c r="L1335" s="89"/>
      <c r="M1335" s="90"/>
    </row>
    <row r="1336" spans="7:13" x14ac:dyDescent="0.35">
      <c r="G1336" s="89"/>
      <c r="H1336" s="90"/>
      <c r="L1336" s="89"/>
      <c r="M1336" s="90"/>
    </row>
    <row r="1337" spans="7:13" x14ac:dyDescent="0.35">
      <c r="G1337" s="89"/>
      <c r="H1337" s="90"/>
      <c r="L1337" s="89"/>
      <c r="M1337" s="90"/>
    </row>
    <row r="1338" spans="7:13" x14ac:dyDescent="0.35">
      <c r="G1338" s="89"/>
      <c r="H1338" s="90"/>
      <c r="L1338" s="89"/>
      <c r="M1338" s="90"/>
    </row>
    <row r="1339" spans="7:13" x14ac:dyDescent="0.35">
      <c r="G1339" s="89"/>
      <c r="H1339" s="90"/>
      <c r="L1339" s="89"/>
      <c r="M1339" s="90"/>
    </row>
    <row r="1340" spans="7:13" x14ac:dyDescent="0.35">
      <c r="G1340" s="89"/>
      <c r="H1340" s="90"/>
      <c r="L1340" s="89"/>
      <c r="M1340" s="90"/>
    </row>
    <row r="1341" spans="7:13" x14ac:dyDescent="0.35">
      <c r="G1341" s="89"/>
      <c r="H1341" s="90"/>
      <c r="L1341" s="89"/>
      <c r="M1341" s="90"/>
    </row>
    <row r="1342" spans="7:13" x14ac:dyDescent="0.35">
      <c r="G1342" s="89"/>
      <c r="H1342" s="90"/>
      <c r="L1342" s="89"/>
      <c r="M1342" s="90"/>
    </row>
    <row r="1343" spans="7:13" x14ac:dyDescent="0.35">
      <c r="G1343" s="89"/>
      <c r="H1343" s="90"/>
      <c r="L1343" s="89"/>
      <c r="M1343" s="90"/>
    </row>
    <row r="1344" spans="7:13" x14ac:dyDescent="0.35">
      <c r="G1344" s="89"/>
      <c r="H1344" s="90"/>
      <c r="L1344" s="89"/>
      <c r="M1344" s="90"/>
    </row>
    <row r="1345" spans="7:13" x14ac:dyDescent="0.35">
      <c r="G1345" s="89"/>
      <c r="H1345" s="90"/>
      <c r="L1345" s="89"/>
      <c r="M1345" s="90"/>
    </row>
    <row r="1346" spans="7:13" x14ac:dyDescent="0.35">
      <c r="G1346" s="89"/>
      <c r="H1346" s="90"/>
      <c r="L1346" s="89"/>
      <c r="M1346" s="90"/>
    </row>
    <row r="1347" spans="7:13" x14ac:dyDescent="0.35">
      <c r="G1347" s="89"/>
      <c r="H1347" s="90"/>
      <c r="L1347" s="89"/>
      <c r="M1347" s="90"/>
    </row>
    <row r="1348" spans="7:13" x14ac:dyDescent="0.35">
      <c r="G1348" s="89"/>
      <c r="H1348" s="90"/>
      <c r="L1348" s="89"/>
      <c r="M1348" s="90"/>
    </row>
    <row r="1349" spans="7:13" x14ac:dyDescent="0.35">
      <c r="G1349" s="89"/>
      <c r="H1349" s="90"/>
      <c r="L1349" s="89"/>
      <c r="M1349" s="90"/>
    </row>
    <row r="1350" spans="7:13" x14ac:dyDescent="0.35">
      <c r="G1350" s="89"/>
      <c r="H1350" s="90"/>
      <c r="L1350" s="89"/>
      <c r="M1350" s="90"/>
    </row>
    <row r="1351" spans="7:13" x14ac:dyDescent="0.35">
      <c r="G1351" s="89"/>
      <c r="H1351" s="90"/>
      <c r="L1351" s="89"/>
      <c r="M1351" s="90"/>
    </row>
    <row r="1352" spans="7:13" x14ac:dyDescent="0.35">
      <c r="G1352" s="89"/>
      <c r="H1352" s="90"/>
      <c r="L1352" s="89"/>
      <c r="M1352" s="90"/>
    </row>
    <row r="1353" spans="7:13" x14ac:dyDescent="0.35">
      <c r="G1353" s="89"/>
      <c r="H1353" s="90"/>
      <c r="L1353" s="89"/>
      <c r="M1353" s="90"/>
    </row>
    <row r="1354" spans="7:13" x14ac:dyDescent="0.35">
      <c r="G1354" s="89"/>
      <c r="H1354" s="90"/>
      <c r="L1354" s="89"/>
      <c r="M1354" s="90"/>
    </row>
    <row r="1355" spans="7:13" x14ac:dyDescent="0.35">
      <c r="G1355" s="89"/>
      <c r="H1355" s="90"/>
      <c r="L1355" s="89"/>
      <c r="M1355" s="90"/>
    </row>
    <row r="1356" spans="7:13" x14ac:dyDescent="0.35">
      <c r="G1356" s="89"/>
      <c r="H1356" s="90"/>
      <c r="L1356" s="89"/>
      <c r="M1356" s="90"/>
    </row>
    <row r="1357" spans="7:13" x14ac:dyDescent="0.35">
      <c r="G1357" s="89"/>
      <c r="H1357" s="90"/>
      <c r="L1357" s="89"/>
      <c r="M1357" s="90"/>
    </row>
    <row r="1358" spans="7:13" x14ac:dyDescent="0.35">
      <c r="G1358" s="89"/>
      <c r="H1358" s="90"/>
      <c r="L1358" s="89"/>
      <c r="M1358" s="90"/>
    </row>
    <row r="1359" spans="7:13" x14ac:dyDescent="0.35">
      <c r="G1359" s="89"/>
      <c r="H1359" s="90"/>
      <c r="L1359" s="89"/>
      <c r="M1359" s="90"/>
    </row>
    <row r="1360" spans="7:13" x14ac:dyDescent="0.35">
      <c r="G1360" s="89"/>
      <c r="H1360" s="90"/>
      <c r="L1360" s="89"/>
      <c r="M1360" s="90"/>
    </row>
    <row r="1361" spans="7:13" x14ac:dyDescent="0.35">
      <c r="G1361" s="89"/>
      <c r="H1361" s="90"/>
      <c r="L1361" s="89"/>
      <c r="M1361" s="90"/>
    </row>
    <row r="1362" spans="7:13" x14ac:dyDescent="0.35">
      <c r="G1362" s="89"/>
      <c r="H1362" s="90"/>
      <c r="L1362" s="89"/>
      <c r="M1362" s="90"/>
    </row>
    <row r="1363" spans="7:13" x14ac:dyDescent="0.35">
      <c r="G1363" s="89"/>
      <c r="H1363" s="90"/>
      <c r="L1363" s="89"/>
      <c r="M1363" s="90"/>
    </row>
    <row r="1364" spans="7:13" x14ac:dyDescent="0.35">
      <c r="G1364" s="89"/>
      <c r="H1364" s="90"/>
      <c r="L1364" s="89"/>
      <c r="M1364" s="90"/>
    </row>
    <row r="1365" spans="7:13" x14ac:dyDescent="0.35">
      <c r="G1365" s="89"/>
      <c r="H1365" s="90"/>
      <c r="L1365" s="89"/>
      <c r="M1365" s="90"/>
    </row>
    <row r="1366" spans="7:13" x14ac:dyDescent="0.35">
      <c r="G1366" s="89"/>
      <c r="H1366" s="90"/>
      <c r="L1366" s="89"/>
      <c r="M1366" s="90"/>
    </row>
    <row r="1367" spans="7:13" x14ac:dyDescent="0.35">
      <c r="G1367" s="89"/>
      <c r="H1367" s="90"/>
      <c r="L1367" s="89"/>
      <c r="M1367" s="90"/>
    </row>
    <row r="1368" spans="7:13" x14ac:dyDescent="0.35">
      <c r="G1368" s="89"/>
      <c r="H1368" s="90"/>
      <c r="L1368" s="89"/>
      <c r="M1368" s="90"/>
    </row>
    <row r="1369" spans="7:13" x14ac:dyDescent="0.35">
      <c r="G1369" s="89"/>
      <c r="H1369" s="90"/>
      <c r="L1369" s="89"/>
      <c r="M1369" s="90"/>
    </row>
    <row r="1370" spans="7:13" x14ac:dyDescent="0.35">
      <c r="G1370" s="89"/>
      <c r="H1370" s="90"/>
      <c r="L1370" s="89"/>
      <c r="M1370" s="90"/>
    </row>
    <row r="1371" spans="7:13" x14ac:dyDescent="0.35">
      <c r="G1371" s="89"/>
      <c r="H1371" s="90"/>
      <c r="L1371" s="89"/>
      <c r="M1371" s="90"/>
    </row>
    <row r="1372" spans="7:13" x14ac:dyDescent="0.35">
      <c r="G1372" s="89"/>
      <c r="H1372" s="90"/>
      <c r="L1372" s="89"/>
      <c r="M1372" s="90"/>
    </row>
    <row r="1373" spans="7:13" x14ac:dyDescent="0.35">
      <c r="G1373" s="89"/>
      <c r="H1373" s="90"/>
      <c r="L1373" s="89"/>
      <c r="M1373" s="90"/>
    </row>
    <row r="1374" spans="7:13" x14ac:dyDescent="0.35">
      <c r="G1374" s="89"/>
      <c r="H1374" s="90"/>
      <c r="L1374" s="89"/>
      <c r="M1374" s="90"/>
    </row>
    <row r="1375" spans="7:13" x14ac:dyDescent="0.35">
      <c r="G1375" s="89"/>
      <c r="H1375" s="90"/>
      <c r="L1375" s="89"/>
      <c r="M1375" s="90"/>
    </row>
    <row r="1376" spans="7:13" x14ac:dyDescent="0.35">
      <c r="G1376" s="89"/>
      <c r="H1376" s="90"/>
      <c r="L1376" s="89"/>
      <c r="M1376" s="90"/>
    </row>
    <row r="1377" spans="7:13" x14ac:dyDescent="0.35">
      <c r="G1377" s="89"/>
      <c r="H1377" s="90"/>
      <c r="L1377" s="89"/>
      <c r="M1377" s="90"/>
    </row>
    <row r="1378" spans="7:13" x14ac:dyDescent="0.35">
      <c r="G1378" s="89"/>
      <c r="H1378" s="90"/>
      <c r="L1378" s="89"/>
      <c r="M1378" s="90"/>
    </row>
    <row r="1379" spans="7:13" x14ac:dyDescent="0.35">
      <c r="G1379" s="89"/>
      <c r="H1379" s="90"/>
      <c r="L1379" s="89"/>
      <c r="M1379" s="90"/>
    </row>
    <row r="1380" spans="7:13" x14ac:dyDescent="0.35">
      <c r="G1380" s="89"/>
      <c r="H1380" s="90"/>
      <c r="L1380" s="89"/>
      <c r="M1380" s="90"/>
    </row>
    <row r="1381" spans="7:13" x14ac:dyDescent="0.35">
      <c r="G1381" s="89"/>
      <c r="H1381" s="90"/>
      <c r="L1381" s="89"/>
      <c r="M1381" s="90"/>
    </row>
    <row r="1382" spans="7:13" x14ac:dyDescent="0.35">
      <c r="G1382" s="89"/>
      <c r="H1382" s="90"/>
      <c r="L1382" s="89"/>
      <c r="M1382" s="90"/>
    </row>
    <row r="1383" spans="7:13" x14ac:dyDescent="0.35">
      <c r="G1383" s="89"/>
      <c r="H1383" s="90"/>
      <c r="L1383" s="89"/>
      <c r="M1383" s="90"/>
    </row>
    <row r="1384" spans="7:13" x14ac:dyDescent="0.35">
      <c r="G1384" s="89"/>
      <c r="H1384" s="90"/>
      <c r="L1384" s="89"/>
      <c r="M1384" s="90"/>
    </row>
    <row r="1385" spans="7:13" x14ac:dyDescent="0.35">
      <c r="G1385" s="89"/>
      <c r="H1385" s="90"/>
      <c r="L1385" s="89"/>
      <c r="M1385" s="90"/>
    </row>
    <row r="1386" spans="7:13" x14ac:dyDescent="0.35">
      <c r="G1386" s="89"/>
      <c r="H1386" s="90"/>
      <c r="L1386" s="89"/>
      <c r="M1386" s="90"/>
    </row>
    <row r="1387" spans="7:13" x14ac:dyDescent="0.35">
      <c r="G1387" s="89"/>
      <c r="H1387" s="90"/>
      <c r="L1387" s="89"/>
      <c r="M1387" s="90"/>
    </row>
    <row r="1388" spans="7:13" x14ac:dyDescent="0.35">
      <c r="G1388" s="89"/>
      <c r="H1388" s="90"/>
      <c r="L1388" s="89"/>
      <c r="M1388" s="90"/>
    </row>
    <row r="1389" spans="7:13" x14ac:dyDescent="0.35">
      <c r="G1389" s="89"/>
      <c r="H1389" s="90"/>
      <c r="L1389" s="89"/>
      <c r="M1389" s="90"/>
    </row>
    <row r="1390" spans="7:13" x14ac:dyDescent="0.35">
      <c r="G1390" s="89"/>
      <c r="H1390" s="90"/>
      <c r="L1390" s="89"/>
      <c r="M1390" s="90"/>
    </row>
    <row r="1391" spans="7:13" x14ac:dyDescent="0.35">
      <c r="G1391" s="89"/>
      <c r="H1391" s="90"/>
      <c r="L1391" s="89"/>
      <c r="M1391" s="90"/>
    </row>
    <row r="1392" spans="7:13" x14ac:dyDescent="0.35">
      <c r="G1392" s="89"/>
      <c r="H1392" s="90"/>
      <c r="L1392" s="89"/>
      <c r="M1392" s="90"/>
    </row>
    <row r="1393" spans="7:13" x14ac:dyDescent="0.35">
      <c r="G1393" s="89"/>
      <c r="H1393" s="90"/>
      <c r="L1393" s="89"/>
      <c r="M1393" s="90"/>
    </row>
    <row r="1394" spans="7:13" x14ac:dyDescent="0.35">
      <c r="G1394" s="89"/>
      <c r="H1394" s="90"/>
      <c r="L1394" s="89"/>
      <c r="M1394" s="90"/>
    </row>
    <row r="1395" spans="7:13" x14ac:dyDescent="0.35">
      <c r="G1395" s="89"/>
      <c r="H1395" s="90"/>
      <c r="L1395" s="89"/>
      <c r="M1395" s="90"/>
    </row>
    <row r="1396" spans="7:13" x14ac:dyDescent="0.35">
      <c r="G1396" s="89"/>
      <c r="H1396" s="90"/>
      <c r="L1396" s="89"/>
      <c r="M1396" s="90"/>
    </row>
    <row r="1397" spans="7:13" x14ac:dyDescent="0.35">
      <c r="G1397" s="89"/>
      <c r="H1397" s="90"/>
      <c r="L1397" s="89"/>
      <c r="M1397" s="90"/>
    </row>
    <row r="1398" spans="7:13" x14ac:dyDescent="0.35">
      <c r="G1398" s="89"/>
      <c r="H1398" s="90"/>
      <c r="L1398" s="89"/>
      <c r="M1398" s="90"/>
    </row>
    <row r="1399" spans="7:13" x14ac:dyDescent="0.35">
      <c r="G1399" s="89"/>
      <c r="H1399" s="90"/>
      <c r="L1399" s="89"/>
      <c r="M1399" s="90"/>
    </row>
    <row r="1400" spans="7:13" x14ac:dyDescent="0.35">
      <c r="G1400" s="89"/>
      <c r="H1400" s="90"/>
      <c r="L1400" s="89"/>
      <c r="M1400" s="90"/>
    </row>
    <row r="1401" spans="7:13" x14ac:dyDescent="0.35">
      <c r="G1401" s="89"/>
      <c r="H1401" s="90"/>
      <c r="L1401" s="89"/>
      <c r="M1401" s="90"/>
    </row>
    <row r="1402" spans="7:13" x14ac:dyDescent="0.35">
      <c r="G1402" s="89"/>
      <c r="H1402" s="90"/>
      <c r="L1402" s="89"/>
      <c r="M1402" s="90"/>
    </row>
    <row r="1403" spans="7:13" x14ac:dyDescent="0.35">
      <c r="G1403" s="89"/>
      <c r="H1403" s="90"/>
      <c r="L1403" s="89"/>
      <c r="M1403" s="90"/>
    </row>
    <row r="1404" spans="7:13" x14ac:dyDescent="0.35">
      <c r="G1404" s="89"/>
      <c r="H1404" s="90"/>
      <c r="L1404" s="89"/>
      <c r="M1404" s="90"/>
    </row>
    <row r="1405" spans="7:13" x14ac:dyDescent="0.35">
      <c r="G1405" s="89"/>
      <c r="H1405" s="90"/>
      <c r="L1405" s="89"/>
      <c r="M1405" s="90"/>
    </row>
    <row r="1406" spans="7:13" x14ac:dyDescent="0.35">
      <c r="G1406" s="89"/>
      <c r="H1406" s="90"/>
      <c r="L1406" s="89"/>
      <c r="M1406" s="90"/>
    </row>
    <row r="1407" spans="7:13" x14ac:dyDescent="0.35">
      <c r="G1407" s="89"/>
      <c r="H1407" s="90"/>
      <c r="L1407" s="89"/>
      <c r="M1407" s="90"/>
    </row>
    <row r="1408" spans="7:13" x14ac:dyDescent="0.35">
      <c r="G1408" s="89"/>
      <c r="H1408" s="90"/>
      <c r="L1408" s="89"/>
      <c r="M1408" s="90"/>
    </row>
    <row r="1409" spans="7:13" x14ac:dyDescent="0.35">
      <c r="G1409" s="89"/>
      <c r="H1409" s="90"/>
      <c r="L1409" s="89"/>
      <c r="M1409" s="90"/>
    </row>
    <row r="1410" spans="7:13" x14ac:dyDescent="0.35">
      <c r="G1410" s="89"/>
      <c r="H1410" s="90"/>
      <c r="L1410" s="89"/>
      <c r="M1410" s="90"/>
    </row>
    <row r="1411" spans="7:13" x14ac:dyDescent="0.35">
      <c r="G1411" s="89"/>
      <c r="H1411" s="90"/>
      <c r="L1411" s="89"/>
      <c r="M1411" s="90"/>
    </row>
    <row r="1412" spans="7:13" x14ac:dyDescent="0.35">
      <c r="G1412" s="89"/>
      <c r="H1412" s="90"/>
      <c r="L1412" s="89"/>
      <c r="M1412" s="90"/>
    </row>
    <row r="1413" spans="7:13" x14ac:dyDescent="0.35">
      <c r="G1413" s="89"/>
      <c r="H1413" s="90"/>
      <c r="L1413" s="89"/>
      <c r="M1413" s="90"/>
    </row>
    <row r="1414" spans="7:13" x14ac:dyDescent="0.35">
      <c r="G1414" s="89"/>
      <c r="H1414" s="90"/>
      <c r="L1414" s="89"/>
      <c r="M1414" s="90"/>
    </row>
    <row r="1415" spans="7:13" x14ac:dyDescent="0.35">
      <c r="G1415" s="89"/>
      <c r="H1415" s="90"/>
      <c r="L1415" s="89"/>
      <c r="M1415" s="90"/>
    </row>
    <row r="1416" spans="7:13" x14ac:dyDescent="0.35">
      <c r="G1416" s="89"/>
      <c r="H1416" s="90"/>
      <c r="L1416" s="89"/>
      <c r="M1416" s="90"/>
    </row>
    <row r="1417" spans="7:13" x14ac:dyDescent="0.35">
      <c r="G1417" s="89"/>
      <c r="H1417" s="90"/>
      <c r="L1417" s="89"/>
      <c r="M1417" s="90"/>
    </row>
    <row r="1418" spans="7:13" x14ac:dyDescent="0.35">
      <c r="G1418" s="89"/>
      <c r="H1418" s="90"/>
      <c r="L1418" s="89"/>
      <c r="M1418" s="90"/>
    </row>
    <row r="1419" spans="7:13" x14ac:dyDescent="0.35">
      <c r="G1419" s="89"/>
      <c r="H1419" s="90"/>
      <c r="L1419" s="89"/>
      <c r="M1419" s="90"/>
    </row>
    <row r="1420" spans="7:13" x14ac:dyDescent="0.35">
      <c r="G1420" s="89"/>
      <c r="H1420" s="90"/>
      <c r="L1420" s="89"/>
      <c r="M1420" s="90"/>
    </row>
    <row r="1421" spans="7:13" x14ac:dyDescent="0.35">
      <c r="G1421" s="89"/>
      <c r="H1421" s="90"/>
      <c r="L1421" s="89"/>
      <c r="M1421" s="90"/>
    </row>
    <row r="1422" spans="7:13" x14ac:dyDescent="0.35">
      <c r="G1422" s="89"/>
      <c r="H1422" s="90"/>
      <c r="L1422" s="89"/>
      <c r="M1422" s="90"/>
    </row>
    <row r="1423" spans="7:13" x14ac:dyDescent="0.35">
      <c r="G1423" s="89"/>
      <c r="H1423" s="90"/>
      <c r="L1423" s="89"/>
      <c r="M1423" s="90"/>
    </row>
    <row r="1424" spans="7:13" x14ac:dyDescent="0.35">
      <c r="G1424" s="89"/>
      <c r="H1424" s="90"/>
      <c r="L1424" s="89"/>
      <c r="M1424" s="90"/>
    </row>
    <row r="1425" spans="7:13" x14ac:dyDescent="0.35">
      <c r="G1425" s="89"/>
      <c r="H1425" s="90"/>
      <c r="L1425" s="89"/>
      <c r="M1425" s="90"/>
    </row>
    <row r="1426" spans="7:13" x14ac:dyDescent="0.35">
      <c r="G1426" s="89"/>
      <c r="H1426" s="90"/>
      <c r="L1426" s="89"/>
      <c r="M1426" s="90"/>
    </row>
    <row r="1427" spans="7:13" x14ac:dyDescent="0.35">
      <c r="G1427" s="89"/>
      <c r="H1427" s="90"/>
      <c r="L1427" s="89"/>
      <c r="M1427" s="90"/>
    </row>
    <row r="1428" spans="7:13" x14ac:dyDescent="0.35">
      <c r="G1428" s="89"/>
      <c r="H1428" s="90"/>
      <c r="L1428" s="89"/>
      <c r="M1428" s="90"/>
    </row>
    <row r="1429" spans="7:13" x14ac:dyDescent="0.35">
      <c r="G1429" s="89"/>
      <c r="H1429" s="90"/>
      <c r="L1429" s="89"/>
      <c r="M1429" s="90"/>
    </row>
    <row r="1430" spans="7:13" x14ac:dyDescent="0.35">
      <c r="G1430" s="89"/>
      <c r="H1430" s="90"/>
      <c r="L1430" s="89"/>
      <c r="M1430" s="90"/>
    </row>
    <row r="1431" spans="7:13" x14ac:dyDescent="0.35">
      <c r="G1431" s="89"/>
      <c r="H1431" s="90"/>
      <c r="L1431" s="89"/>
      <c r="M1431" s="90"/>
    </row>
    <row r="1432" spans="7:13" x14ac:dyDescent="0.35">
      <c r="G1432" s="89"/>
      <c r="H1432" s="90"/>
      <c r="L1432" s="89"/>
      <c r="M1432" s="90"/>
    </row>
    <row r="1433" spans="7:13" x14ac:dyDescent="0.35">
      <c r="G1433" s="89"/>
      <c r="H1433" s="90"/>
      <c r="L1433" s="89"/>
      <c r="M1433" s="90"/>
    </row>
    <row r="1434" spans="7:13" x14ac:dyDescent="0.35">
      <c r="G1434" s="89"/>
      <c r="H1434" s="90"/>
      <c r="L1434" s="89"/>
      <c r="M1434" s="90"/>
    </row>
    <row r="1435" spans="7:13" x14ac:dyDescent="0.35">
      <c r="G1435" s="89"/>
      <c r="H1435" s="90"/>
      <c r="L1435" s="89"/>
      <c r="M1435" s="90"/>
    </row>
    <row r="1436" spans="7:13" x14ac:dyDescent="0.35">
      <c r="G1436" s="89"/>
      <c r="H1436" s="90"/>
      <c r="L1436" s="89"/>
      <c r="M1436" s="90"/>
    </row>
    <row r="1437" spans="7:13" x14ac:dyDescent="0.35">
      <c r="G1437" s="89"/>
      <c r="H1437" s="90"/>
      <c r="L1437" s="89"/>
      <c r="M1437" s="90"/>
    </row>
    <row r="1438" spans="7:13" x14ac:dyDescent="0.35">
      <c r="G1438" s="89"/>
      <c r="H1438" s="90"/>
      <c r="L1438" s="89"/>
      <c r="M1438" s="90"/>
    </row>
    <row r="1439" spans="7:13" x14ac:dyDescent="0.35">
      <c r="G1439" s="89"/>
      <c r="H1439" s="90"/>
      <c r="L1439" s="89"/>
      <c r="M1439" s="90"/>
    </row>
    <row r="1440" spans="7:13" x14ac:dyDescent="0.35">
      <c r="G1440" s="89"/>
      <c r="H1440" s="90"/>
      <c r="L1440" s="89"/>
      <c r="M1440" s="90"/>
    </row>
    <row r="1441" spans="7:13" x14ac:dyDescent="0.35">
      <c r="G1441" s="89"/>
      <c r="H1441" s="90"/>
      <c r="L1441" s="89"/>
      <c r="M1441" s="90"/>
    </row>
    <row r="1442" spans="7:13" x14ac:dyDescent="0.35">
      <c r="G1442" s="89"/>
      <c r="H1442" s="90"/>
      <c r="L1442" s="89"/>
      <c r="M1442" s="90"/>
    </row>
    <row r="1443" spans="7:13" x14ac:dyDescent="0.35">
      <c r="G1443" s="89"/>
      <c r="H1443" s="90"/>
      <c r="L1443" s="89"/>
      <c r="M1443" s="90"/>
    </row>
    <row r="1444" spans="7:13" x14ac:dyDescent="0.35">
      <c r="G1444" s="89"/>
      <c r="H1444" s="90"/>
      <c r="L1444" s="89"/>
      <c r="M1444" s="90"/>
    </row>
    <row r="1445" spans="7:13" x14ac:dyDescent="0.35">
      <c r="G1445" s="89"/>
      <c r="H1445" s="90"/>
      <c r="L1445" s="89"/>
      <c r="M1445" s="90"/>
    </row>
    <row r="1446" spans="7:13" x14ac:dyDescent="0.35">
      <c r="G1446" s="89"/>
      <c r="H1446" s="90"/>
      <c r="L1446" s="89"/>
      <c r="M1446" s="90"/>
    </row>
    <row r="1447" spans="7:13" x14ac:dyDescent="0.35">
      <c r="G1447" s="89"/>
      <c r="H1447" s="90"/>
      <c r="L1447" s="89"/>
      <c r="M1447" s="90"/>
    </row>
    <row r="1448" spans="7:13" x14ac:dyDescent="0.35">
      <c r="G1448" s="89"/>
      <c r="H1448" s="90"/>
      <c r="L1448" s="89"/>
      <c r="M1448" s="90"/>
    </row>
    <row r="1449" spans="7:13" x14ac:dyDescent="0.35">
      <c r="G1449" s="89"/>
      <c r="H1449" s="90"/>
      <c r="L1449" s="89"/>
      <c r="M1449" s="90"/>
    </row>
    <row r="1450" spans="7:13" x14ac:dyDescent="0.35">
      <c r="G1450" s="89"/>
      <c r="H1450" s="90"/>
      <c r="L1450" s="89"/>
      <c r="M1450" s="90"/>
    </row>
    <row r="1451" spans="7:13" x14ac:dyDescent="0.35">
      <c r="G1451" s="89"/>
      <c r="H1451" s="90"/>
      <c r="L1451" s="89"/>
      <c r="M1451" s="90"/>
    </row>
    <row r="1452" spans="7:13" x14ac:dyDescent="0.35">
      <c r="G1452" s="89"/>
      <c r="H1452" s="90"/>
      <c r="L1452" s="89"/>
      <c r="M1452" s="90"/>
    </row>
    <row r="1453" spans="7:13" x14ac:dyDescent="0.35">
      <c r="G1453" s="89"/>
      <c r="H1453" s="90"/>
      <c r="L1453" s="89"/>
      <c r="M1453" s="90"/>
    </row>
    <row r="1454" spans="7:13" x14ac:dyDescent="0.35">
      <c r="G1454" s="89"/>
      <c r="H1454" s="90"/>
      <c r="L1454" s="89"/>
      <c r="M1454" s="90"/>
    </row>
    <row r="1455" spans="7:13" x14ac:dyDescent="0.35">
      <c r="G1455" s="89"/>
      <c r="H1455" s="90"/>
      <c r="L1455" s="89"/>
      <c r="M1455" s="90"/>
    </row>
    <row r="1456" spans="7:13" x14ac:dyDescent="0.35">
      <c r="G1456" s="89"/>
      <c r="H1456" s="90"/>
      <c r="L1456" s="89"/>
      <c r="M1456" s="90"/>
    </row>
    <row r="1457" spans="7:13" x14ac:dyDescent="0.35">
      <c r="G1457" s="89"/>
      <c r="H1457" s="90"/>
      <c r="L1457" s="89"/>
      <c r="M1457" s="90"/>
    </row>
    <row r="1458" spans="7:13" x14ac:dyDescent="0.35">
      <c r="G1458" s="89"/>
      <c r="H1458" s="90"/>
      <c r="L1458" s="89"/>
      <c r="M1458" s="90"/>
    </row>
    <row r="1459" spans="7:13" x14ac:dyDescent="0.35">
      <c r="G1459" s="89"/>
      <c r="H1459" s="90"/>
      <c r="L1459" s="89"/>
      <c r="M1459" s="90"/>
    </row>
    <row r="1460" spans="7:13" x14ac:dyDescent="0.35">
      <c r="G1460" s="89"/>
      <c r="H1460" s="90"/>
      <c r="L1460" s="89"/>
      <c r="M1460" s="90"/>
    </row>
    <row r="1461" spans="7:13" x14ac:dyDescent="0.35">
      <c r="G1461" s="89"/>
      <c r="H1461" s="90"/>
      <c r="L1461" s="89"/>
      <c r="M1461" s="90"/>
    </row>
    <row r="1462" spans="7:13" x14ac:dyDescent="0.35">
      <c r="G1462" s="89"/>
      <c r="H1462" s="90"/>
      <c r="L1462" s="89"/>
      <c r="M1462" s="90"/>
    </row>
    <row r="1463" spans="7:13" x14ac:dyDescent="0.35">
      <c r="G1463" s="89"/>
      <c r="H1463" s="90"/>
      <c r="L1463" s="89"/>
      <c r="M1463" s="90"/>
    </row>
    <row r="1464" spans="7:13" x14ac:dyDescent="0.35">
      <c r="G1464" s="89"/>
      <c r="H1464" s="90"/>
      <c r="L1464" s="89"/>
      <c r="M1464" s="90"/>
    </row>
    <row r="1465" spans="7:13" x14ac:dyDescent="0.35">
      <c r="G1465" s="89"/>
      <c r="H1465" s="90"/>
      <c r="L1465" s="89"/>
      <c r="M1465" s="90"/>
    </row>
    <row r="1466" spans="7:13" x14ac:dyDescent="0.35">
      <c r="G1466" s="89"/>
      <c r="H1466" s="90"/>
      <c r="L1466" s="89"/>
      <c r="M1466" s="90"/>
    </row>
    <row r="1467" spans="7:13" x14ac:dyDescent="0.35">
      <c r="G1467" s="89"/>
      <c r="H1467" s="90"/>
      <c r="L1467" s="89"/>
      <c r="M1467" s="90"/>
    </row>
    <row r="1468" spans="7:13" x14ac:dyDescent="0.35">
      <c r="G1468" s="89"/>
      <c r="H1468" s="90"/>
      <c r="L1468" s="89"/>
      <c r="M1468" s="90"/>
    </row>
    <row r="1469" spans="7:13" x14ac:dyDescent="0.35">
      <c r="G1469" s="89"/>
      <c r="H1469" s="90"/>
      <c r="L1469" s="89"/>
      <c r="M1469" s="90"/>
    </row>
    <row r="1470" spans="7:13" x14ac:dyDescent="0.35">
      <c r="G1470" s="89"/>
      <c r="H1470" s="90"/>
      <c r="L1470" s="89"/>
      <c r="M1470" s="90"/>
    </row>
    <row r="1471" spans="7:13" x14ac:dyDescent="0.35">
      <c r="G1471" s="89"/>
      <c r="H1471" s="90"/>
      <c r="L1471" s="89"/>
      <c r="M1471" s="90"/>
    </row>
    <row r="1472" spans="7:13" x14ac:dyDescent="0.35">
      <c r="G1472" s="89"/>
      <c r="H1472" s="90"/>
      <c r="L1472" s="89"/>
      <c r="M1472" s="90"/>
    </row>
    <row r="1473" spans="7:13" x14ac:dyDescent="0.35">
      <c r="G1473" s="89"/>
      <c r="H1473" s="90"/>
      <c r="L1473" s="89"/>
      <c r="M1473" s="90"/>
    </row>
    <row r="1474" spans="7:13" x14ac:dyDescent="0.35">
      <c r="G1474" s="89"/>
      <c r="H1474" s="90"/>
      <c r="L1474" s="89"/>
      <c r="M1474" s="90"/>
    </row>
    <row r="1475" spans="7:13" x14ac:dyDescent="0.35">
      <c r="G1475" s="89"/>
      <c r="H1475" s="90"/>
      <c r="L1475" s="89"/>
      <c r="M1475" s="90"/>
    </row>
    <row r="1476" spans="7:13" x14ac:dyDescent="0.35">
      <c r="G1476" s="89"/>
      <c r="H1476" s="90"/>
      <c r="L1476" s="89"/>
      <c r="M1476" s="90"/>
    </row>
    <row r="1477" spans="7:13" x14ac:dyDescent="0.35">
      <c r="G1477" s="89"/>
      <c r="H1477" s="90"/>
      <c r="L1477" s="89"/>
      <c r="M1477" s="90"/>
    </row>
    <row r="1478" spans="7:13" x14ac:dyDescent="0.35">
      <c r="G1478" s="89"/>
      <c r="H1478" s="90"/>
      <c r="L1478" s="89"/>
      <c r="M1478" s="90"/>
    </row>
    <row r="1479" spans="7:13" x14ac:dyDescent="0.35">
      <c r="G1479" s="89"/>
      <c r="H1479" s="90"/>
      <c r="L1479" s="89"/>
      <c r="M1479" s="90"/>
    </row>
    <row r="1480" spans="7:13" x14ac:dyDescent="0.35">
      <c r="G1480" s="89"/>
      <c r="H1480" s="90"/>
      <c r="L1480" s="89"/>
      <c r="M1480" s="90"/>
    </row>
    <row r="1481" spans="7:13" x14ac:dyDescent="0.35">
      <c r="G1481" s="89"/>
      <c r="H1481" s="90"/>
      <c r="L1481" s="89"/>
      <c r="M1481" s="90"/>
    </row>
    <row r="1482" spans="7:13" x14ac:dyDescent="0.35">
      <c r="G1482" s="89"/>
      <c r="H1482" s="90"/>
      <c r="L1482" s="89"/>
      <c r="M1482" s="90"/>
    </row>
    <row r="1483" spans="7:13" x14ac:dyDescent="0.35">
      <c r="G1483" s="89"/>
      <c r="H1483" s="90"/>
      <c r="L1483" s="89"/>
      <c r="M1483" s="90"/>
    </row>
    <row r="1484" spans="7:13" x14ac:dyDescent="0.35">
      <c r="G1484" s="89"/>
      <c r="H1484" s="90"/>
      <c r="L1484" s="89"/>
      <c r="M1484" s="90"/>
    </row>
    <row r="1485" spans="7:13" x14ac:dyDescent="0.35">
      <c r="G1485" s="89"/>
      <c r="H1485" s="90"/>
      <c r="L1485" s="89"/>
      <c r="M1485" s="90"/>
    </row>
    <row r="1486" spans="7:13" x14ac:dyDescent="0.35">
      <c r="G1486" s="89"/>
      <c r="H1486" s="90"/>
      <c r="L1486" s="89"/>
      <c r="M1486" s="90"/>
    </row>
    <row r="1487" spans="7:13" x14ac:dyDescent="0.35">
      <c r="G1487" s="89"/>
      <c r="H1487" s="90"/>
      <c r="L1487" s="89"/>
      <c r="M1487" s="90"/>
    </row>
    <row r="1488" spans="7:13" x14ac:dyDescent="0.35">
      <c r="G1488" s="89"/>
      <c r="H1488" s="90"/>
      <c r="L1488" s="89"/>
      <c r="M1488" s="90"/>
    </row>
    <row r="1489" spans="7:13" x14ac:dyDescent="0.35">
      <c r="G1489" s="89"/>
      <c r="H1489" s="90"/>
      <c r="L1489" s="89"/>
      <c r="M1489" s="90"/>
    </row>
    <row r="1490" spans="7:13" x14ac:dyDescent="0.35">
      <c r="G1490" s="89"/>
      <c r="H1490" s="90"/>
      <c r="L1490" s="89"/>
      <c r="M1490" s="90"/>
    </row>
    <row r="1491" spans="7:13" x14ac:dyDescent="0.35">
      <c r="G1491" s="89"/>
      <c r="H1491" s="90"/>
      <c r="L1491" s="89"/>
      <c r="M1491" s="90"/>
    </row>
    <row r="1492" spans="7:13" x14ac:dyDescent="0.35">
      <c r="G1492" s="89"/>
      <c r="H1492" s="90"/>
      <c r="L1492" s="89"/>
      <c r="M1492" s="90"/>
    </row>
    <row r="1493" spans="7:13" x14ac:dyDescent="0.35">
      <c r="G1493" s="89"/>
      <c r="H1493" s="90"/>
      <c r="L1493" s="89"/>
      <c r="M1493" s="90"/>
    </row>
    <row r="1494" spans="7:13" x14ac:dyDescent="0.35">
      <c r="G1494" s="89"/>
      <c r="H1494" s="90"/>
      <c r="L1494" s="89"/>
      <c r="M1494" s="90"/>
    </row>
    <row r="1495" spans="7:13" x14ac:dyDescent="0.35">
      <c r="G1495" s="89"/>
      <c r="H1495" s="90"/>
      <c r="L1495" s="89"/>
      <c r="M1495" s="90"/>
    </row>
    <row r="1496" spans="7:13" x14ac:dyDescent="0.35">
      <c r="G1496" s="89"/>
      <c r="H1496" s="90"/>
      <c r="L1496" s="89"/>
      <c r="M1496" s="90"/>
    </row>
    <row r="1497" spans="7:13" x14ac:dyDescent="0.35">
      <c r="G1497" s="89"/>
      <c r="H1497" s="90"/>
      <c r="L1497" s="89"/>
      <c r="M1497" s="90"/>
    </row>
    <row r="1498" spans="7:13" x14ac:dyDescent="0.35">
      <c r="G1498" s="89"/>
      <c r="H1498" s="90"/>
      <c r="L1498" s="89"/>
      <c r="M1498" s="90"/>
    </row>
    <row r="1499" spans="7:13" x14ac:dyDescent="0.35">
      <c r="G1499" s="89"/>
      <c r="H1499" s="90"/>
      <c r="L1499" s="89"/>
      <c r="M1499" s="90"/>
    </row>
    <row r="1500" spans="7:13" x14ac:dyDescent="0.35">
      <c r="G1500" s="89"/>
      <c r="H1500" s="90"/>
      <c r="L1500" s="89"/>
      <c r="M1500" s="90"/>
    </row>
    <row r="1501" spans="7:13" x14ac:dyDescent="0.35">
      <c r="G1501" s="89"/>
      <c r="H1501" s="90"/>
      <c r="L1501" s="89"/>
      <c r="M1501" s="90"/>
    </row>
    <row r="1502" spans="7:13" x14ac:dyDescent="0.35">
      <c r="G1502" s="89"/>
      <c r="H1502" s="90"/>
      <c r="L1502" s="89"/>
      <c r="M1502" s="90"/>
    </row>
    <row r="1503" spans="7:13" x14ac:dyDescent="0.35">
      <c r="G1503" s="89"/>
      <c r="H1503" s="90"/>
      <c r="L1503" s="89"/>
      <c r="M1503" s="90"/>
    </row>
    <row r="1504" spans="7:13" x14ac:dyDescent="0.35">
      <c r="G1504" s="89"/>
      <c r="H1504" s="90"/>
      <c r="L1504" s="89"/>
      <c r="M1504" s="90"/>
    </row>
    <row r="1505" spans="7:13" x14ac:dyDescent="0.35">
      <c r="G1505" s="89"/>
      <c r="H1505" s="90"/>
      <c r="L1505" s="89"/>
      <c r="M1505" s="90"/>
    </row>
    <row r="1506" spans="7:13" x14ac:dyDescent="0.35">
      <c r="G1506" s="89"/>
      <c r="H1506" s="90"/>
      <c r="L1506" s="89"/>
      <c r="M1506" s="90"/>
    </row>
    <row r="1507" spans="7:13" x14ac:dyDescent="0.35">
      <c r="G1507" s="89"/>
      <c r="H1507" s="90"/>
      <c r="L1507" s="89"/>
      <c r="M1507" s="90"/>
    </row>
    <row r="1508" spans="7:13" x14ac:dyDescent="0.35">
      <c r="G1508" s="89"/>
      <c r="H1508" s="90"/>
      <c r="L1508" s="89"/>
      <c r="M1508" s="90"/>
    </row>
    <row r="1509" spans="7:13" x14ac:dyDescent="0.35">
      <c r="G1509" s="89"/>
      <c r="H1509" s="90"/>
      <c r="L1509" s="89"/>
      <c r="M1509" s="90"/>
    </row>
    <row r="1510" spans="7:13" x14ac:dyDescent="0.35">
      <c r="G1510" s="89"/>
      <c r="H1510" s="90"/>
      <c r="L1510" s="89"/>
      <c r="M1510" s="90"/>
    </row>
    <row r="1511" spans="7:13" x14ac:dyDescent="0.35">
      <c r="G1511" s="89"/>
      <c r="H1511" s="90"/>
      <c r="L1511" s="89"/>
      <c r="M1511" s="90"/>
    </row>
    <row r="1512" spans="7:13" x14ac:dyDescent="0.35">
      <c r="G1512" s="89"/>
      <c r="H1512" s="90"/>
      <c r="L1512" s="89"/>
      <c r="M1512" s="90"/>
    </row>
    <row r="1513" spans="7:13" x14ac:dyDescent="0.35">
      <c r="G1513" s="89"/>
      <c r="H1513" s="90"/>
      <c r="L1513" s="89"/>
      <c r="M1513" s="90"/>
    </row>
    <row r="1514" spans="7:13" x14ac:dyDescent="0.35">
      <c r="G1514" s="89"/>
      <c r="H1514" s="90"/>
      <c r="L1514" s="89"/>
      <c r="M1514" s="90"/>
    </row>
    <row r="1515" spans="7:13" x14ac:dyDescent="0.35">
      <c r="G1515" s="89"/>
      <c r="H1515" s="90"/>
      <c r="L1515" s="89"/>
      <c r="M1515" s="90"/>
    </row>
    <row r="1516" spans="7:13" x14ac:dyDescent="0.35">
      <c r="G1516" s="89"/>
      <c r="H1516" s="90"/>
      <c r="L1516" s="89"/>
      <c r="M1516" s="90"/>
    </row>
    <row r="1517" spans="7:13" x14ac:dyDescent="0.35">
      <c r="G1517" s="89"/>
      <c r="H1517" s="90"/>
      <c r="L1517" s="89"/>
      <c r="M1517" s="90"/>
    </row>
    <row r="1518" spans="7:13" x14ac:dyDescent="0.35">
      <c r="G1518" s="89"/>
      <c r="H1518" s="90"/>
      <c r="L1518" s="89"/>
      <c r="M1518" s="90"/>
    </row>
    <row r="1519" spans="7:13" x14ac:dyDescent="0.35">
      <c r="G1519" s="89"/>
      <c r="H1519" s="90"/>
      <c r="L1519" s="89"/>
      <c r="M1519" s="90"/>
    </row>
    <row r="1520" spans="7:13" x14ac:dyDescent="0.35">
      <c r="G1520" s="89"/>
      <c r="H1520" s="90"/>
      <c r="L1520" s="89"/>
      <c r="M1520" s="90"/>
    </row>
    <row r="1521" spans="7:13" x14ac:dyDescent="0.35">
      <c r="G1521" s="89"/>
      <c r="H1521" s="90"/>
      <c r="L1521" s="89"/>
      <c r="M1521" s="90"/>
    </row>
    <row r="1522" spans="7:13" x14ac:dyDescent="0.35">
      <c r="G1522" s="89"/>
      <c r="H1522" s="90"/>
      <c r="L1522" s="89"/>
      <c r="M1522" s="90"/>
    </row>
    <row r="1523" spans="7:13" x14ac:dyDescent="0.35">
      <c r="G1523" s="89"/>
      <c r="H1523" s="90"/>
      <c r="L1523" s="89"/>
      <c r="M1523" s="90"/>
    </row>
    <row r="1524" spans="7:13" x14ac:dyDescent="0.35">
      <c r="G1524" s="89"/>
      <c r="H1524" s="90"/>
      <c r="L1524" s="89"/>
      <c r="M1524" s="90"/>
    </row>
    <row r="1525" spans="7:13" x14ac:dyDescent="0.35">
      <c r="G1525" s="89"/>
      <c r="H1525" s="90"/>
      <c r="L1525" s="89"/>
      <c r="M1525" s="90"/>
    </row>
    <row r="1526" spans="7:13" x14ac:dyDescent="0.35">
      <c r="G1526" s="89"/>
      <c r="H1526" s="90"/>
      <c r="L1526" s="89"/>
      <c r="M1526" s="90"/>
    </row>
    <row r="1527" spans="7:13" x14ac:dyDescent="0.35">
      <c r="G1527" s="89"/>
      <c r="H1527" s="90"/>
      <c r="L1527" s="89"/>
      <c r="M1527" s="90"/>
    </row>
    <row r="1528" spans="7:13" x14ac:dyDescent="0.35">
      <c r="G1528" s="89"/>
      <c r="H1528" s="90"/>
      <c r="L1528" s="89"/>
      <c r="M1528" s="90"/>
    </row>
    <row r="1529" spans="7:13" x14ac:dyDescent="0.35">
      <c r="G1529" s="89"/>
      <c r="H1529" s="90"/>
      <c r="L1529" s="89"/>
      <c r="M1529" s="90"/>
    </row>
    <row r="1530" spans="7:13" x14ac:dyDescent="0.35">
      <c r="G1530" s="89"/>
      <c r="H1530" s="90"/>
      <c r="L1530" s="89"/>
      <c r="M1530" s="90"/>
    </row>
    <row r="1531" spans="7:13" x14ac:dyDescent="0.35">
      <c r="G1531" s="89"/>
      <c r="H1531" s="90"/>
      <c r="L1531" s="89"/>
      <c r="M1531" s="90"/>
    </row>
    <row r="1532" spans="7:13" x14ac:dyDescent="0.35">
      <c r="G1532" s="89"/>
      <c r="H1532" s="90"/>
      <c r="L1532" s="89"/>
      <c r="M1532" s="90"/>
    </row>
    <row r="1533" spans="7:13" x14ac:dyDescent="0.35">
      <c r="G1533" s="89"/>
      <c r="H1533" s="90"/>
      <c r="L1533" s="89"/>
      <c r="M1533" s="90"/>
    </row>
    <row r="1534" spans="7:13" x14ac:dyDescent="0.35">
      <c r="G1534" s="89"/>
      <c r="H1534" s="90"/>
      <c r="L1534" s="89"/>
      <c r="M1534" s="90"/>
    </row>
    <row r="1535" spans="7:13" x14ac:dyDescent="0.35">
      <c r="G1535" s="89"/>
      <c r="H1535" s="90"/>
      <c r="L1535" s="89"/>
      <c r="M1535" s="90"/>
    </row>
    <row r="1536" spans="7:13" x14ac:dyDescent="0.35">
      <c r="G1536" s="89"/>
      <c r="H1536" s="90"/>
      <c r="L1536" s="89"/>
      <c r="M1536" s="90"/>
    </row>
    <row r="1537" spans="7:13" x14ac:dyDescent="0.35">
      <c r="G1537" s="89"/>
      <c r="H1537" s="90"/>
      <c r="L1537" s="89"/>
      <c r="M1537" s="90"/>
    </row>
    <row r="1538" spans="7:13" x14ac:dyDescent="0.35">
      <c r="G1538" s="89"/>
      <c r="H1538" s="90"/>
      <c r="L1538" s="89"/>
      <c r="M1538" s="90"/>
    </row>
    <row r="1539" spans="7:13" x14ac:dyDescent="0.35">
      <c r="G1539" s="89"/>
      <c r="H1539" s="90"/>
      <c r="L1539" s="89"/>
      <c r="M1539" s="90"/>
    </row>
    <row r="1540" spans="7:13" x14ac:dyDescent="0.35">
      <c r="G1540" s="89"/>
      <c r="H1540" s="90"/>
      <c r="L1540" s="89"/>
      <c r="M1540" s="90"/>
    </row>
    <row r="1541" spans="7:13" x14ac:dyDescent="0.35">
      <c r="G1541" s="89"/>
      <c r="H1541" s="90"/>
      <c r="L1541" s="89"/>
      <c r="M1541" s="90"/>
    </row>
    <row r="1542" spans="7:13" x14ac:dyDescent="0.35">
      <c r="G1542" s="89"/>
      <c r="H1542" s="90"/>
      <c r="L1542" s="89"/>
      <c r="M1542" s="90"/>
    </row>
    <row r="1543" spans="7:13" x14ac:dyDescent="0.35">
      <c r="G1543" s="89"/>
      <c r="H1543" s="90"/>
      <c r="L1543" s="89"/>
      <c r="M1543" s="90"/>
    </row>
    <row r="1544" spans="7:13" x14ac:dyDescent="0.35">
      <c r="G1544" s="89"/>
      <c r="H1544" s="90"/>
      <c r="L1544" s="89"/>
      <c r="M1544" s="90"/>
    </row>
    <row r="1545" spans="7:13" x14ac:dyDescent="0.35">
      <c r="G1545" s="89"/>
      <c r="H1545" s="90"/>
      <c r="L1545" s="89"/>
      <c r="M1545" s="90"/>
    </row>
    <row r="1546" spans="7:13" x14ac:dyDescent="0.35">
      <c r="G1546" s="89"/>
      <c r="H1546" s="90"/>
      <c r="L1546" s="89"/>
      <c r="M1546" s="90"/>
    </row>
    <row r="1547" spans="7:13" x14ac:dyDescent="0.35">
      <c r="G1547" s="89"/>
      <c r="H1547" s="90"/>
      <c r="L1547" s="89"/>
      <c r="M1547" s="90"/>
    </row>
    <row r="1548" spans="7:13" x14ac:dyDescent="0.35">
      <c r="G1548" s="89"/>
      <c r="H1548" s="90"/>
      <c r="L1548" s="89"/>
      <c r="M1548" s="90"/>
    </row>
    <row r="1549" spans="7:13" x14ac:dyDescent="0.35">
      <c r="G1549" s="89"/>
      <c r="H1549" s="90"/>
      <c r="L1549" s="89"/>
      <c r="M1549" s="90"/>
    </row>
    <row r="1550" spans="7:13" x14ac:dyDescent="0.35">
      <c r="G1550" s="89"/>
      <c r="H1550" s="90"/>
      <c r="L1550" s="89"/>
      <c r="M1550" s="90"/>
    </row>
    <row r="1551" spans="7:13" x14ac:dyDescent="0.35">
      <c r="G1551" s="89"/>
      <c r="H1551" s="90"/>
      <c r="L1551" s="89"/>
      <c r="M1551" s="90"/>
    </row>
    <row r="1552" spans="7:13" x14ac:dyDescent="0.35">
      <c r="G1552" s="89"/>
      <c r="H1552" s="90"/>
      <c r="L1552" s="89"/>
      <c r="M1552" s="90"/>
    </row>
    <row r="1553" spans="7:13" x14ac:dyDescent="0.35">
      <c r="G1553" s="89"/>
      <c r="H1553" s="90"/>
      <c r="L1553" s="89"/>
      <c r="M1553" s="90"/>
    </row>
    <row r="1554" spans="7:13" x14ac:dyDescent="0.35">
      <c r="G1554" s="89"/>
      <c r="H1554" s="90"/>
      <c r="L1554" s="89"/>
      <c r="M1554" s="90"/>
    </row>
    <row r="1555" spans="7:13" x14ac:dyDescent="0.35">
      <c r="G1555" s="89"/>
      <c r="H1555" s="90"/>
      <c r="L1555" s="89"/>
      <c r="M1555" s="90"/>
    </row>
    <row r="1556" spans="7:13" x14ac:dyDescent="0.35">
      <c r="G1556" s="89"/>
      <c r="H1556" s="90"/>
      <c r="L1556" s="89"/>
      <c r="M1556" s="90"/>
    </row>
    <row r="1557" spans="7:13" x14ac:dyDescent="0.35">
      <c r="G1557" s="89"/>
      <c r="H1557" s="90"/>
      <c r="L1557" s="89"/>
      <c r="M1557" s="90"/>
    </row>
    <row r="1558" spans="7:13" x14ac:dyDescent="0.35">
      <c r="G1558" s="89"/>
      <c r="H1558" s="90"/>
      <c r="L1558" s="89"/>
      <c r="M1558" s="90"/>
    </row>
    <row r="1559" spans="7:13" x14ac:dyDescent="0.35">
      <c r="G1559" s="89"/>
      <c r="H1559" s="90"/>
      <c r="L1559" s="89"/>
      <c r="M1559" s="90"/>
    </row>
    <row r="1560" spans="7:13" x14ac:dyDescent="0.35">
      <c r="G1560" s="89"/>
      <c r="H1560" s="90"/>
      <c r="L1560" s="89"/>
      <c r="M1560" s="90"/>
    </row>
    <row r="1561" spans="7:13" x14ac:dyDescent="0.35">
      <c r="G1561" s="89"/>
      <c r="H1561" s="90"/>
      <c r="L1561" s="89"/>
      <c r="M1561" s="90"/>
    </row>
    <row r="1562" spans="7:13" x14ac:dyDescent="0.35">
      <c r="G1562" s="89"/>
      <c r="H1562" s="90"/>
      <c r="L1562" s="89"/>
      <c r="M1562" s="90"/>
    </row>
    <row r="1563" spans="7:13" x14ac:dyDescent="0.35">
      <c r="G1563" s="89"/>
      <c r="H1563" s="90"/>
      <c r="L1563" s="89"/>
      <c r="M1563" s="90"/>
    </row>
    <row r="1564" spans="7:13" x14ac:dyDescent="0.35">
      <c r="G1564" s="89"/>
      <c r="H1564" s="90"/>
      <c r="L1564" s="89"/>
      <c r="M1564" s="90"/>
    </row>
    <row r="1565" spans="7:13" x14ac:dyDescent="0.35">
      <c r="G1565" s="89"/>
      <c r="H1565" s="90"/>
      <c r="L1565" s="89"/>
      <c r="M1565" s="90"/>
    </row>
    <row r="1566" spans="7:13" x14ac:dyDescent="0.35">
      <c r="G1566" s="89"/>
      <c r="H1566" s="90"/>
      <c r="L1566" s="89"/>
      <c r="M1566" s="90"/>
    </row>
    <row r="1567" spans="7:13" x14ac:dyDescent="0.35">
      <c r="G1567" s="89"/>
      <c r="H1567" s="90"/>
      <c r="L1567" s="89"/>
      <c r="M1567" s="90"/>
    </row>
    <row r="1568" spans="7:13" x14ac:dyDescent="0.35">
      <c r="G1568" s="89"/>
      <c r="H1568" s="90"/>
      <c r="L1568" s="89"/>
      <c r="M1568" s="90"/>
    </row>
    <row r="1569" spans="7:13" x14ac:dyDescent="0.35">
      <c r="G1569" s="89"/>
      <c r="H1569" s="90"/>
      <c r="L1569" s="89"/>
      <c r="M1569" s="90"/>
    </row>
    <row r="1570" spans="7:13" x14ac:dyDescent="0.35">
      <c r="G1570" s="89"/>
      <c r="H1570" s="90"/>
      <c r="L1570" s="89"/>
      <c r="M1570" s="90"/>
    </row>
    <row r="1571" spans="7:13" x14ac:dyDescent="0.35">
      <c r="G1571" s="89"/>
      <c r="H1571" s="90"/>
      <c r="L1571" s="89"/>
      <c r="M1571" s="90"/>
    </row>
    <row r="1572" spans="7:13" x14ac:dyDescent="0.35">
      <c r="G1572" s="89"/>
      <c r="H1572" s="90"/>
      <c r="L1572" s="89"/>
      <c r="M1572" s="90"/>
    </row>
    <row r="1573" spans="7:13" x14ac:dyDescent="0.35">
      <c r="G1573" s="89"/>
      <c r="H1573" s="90"/>
      <c r="L1573" s="89"/>
      <c r="M1573" s="90"/>
    </row>
    <row r="1574" spans="7:13" x14ac:dyDescent="0.35">
      <c r="G1574" s="89"/>
      <c r="H1574" s="90"/>
      <c r="L1574" s="89"/>
      <c r="M1574" s="90"/>
    </row>
    <row r="1575" spans="7:13" x14ac:dyDescent="0.35">
      <c r="G1575" s="89"/>
      <c r="H1575" s="90"/>
      <c r="L1575" s="89"/>
      <c r="M1575" s="90"/>
    </row>
    <row r="1576" spans="7:13" x14ac:dyDescent="0.35">
      <c r="G1576" s="89"/>
      <c r="H1576" s="90"/>
      <c r="L1576" s="89"/>
      <c r="M1576" s="90"/>
    </row>
    <row r="1577" spans="7:13" x14ac:dyDescent="0.35">
      <c r="G1577" s="89"/>
      <c r="H1577" s="90"/>
      <c r="L1577" s="89"/>
      <c r="M1577" s="90"/>
    </row>
    <row r="1578" spans="7:13" x14ac:dyDescent="0.35">
      <c r="G1578" s="89"/>
      <c r="H1578" s="90"/>
      <c r="L1578" s="89"/>
      <c r="M1578" s="90"/>
    </row>
    <row r="1579" spans="7:13" x14ac:dyDescent="0.35">
      <c r="G1579" s="89"/>
      <c r="H1579" s="90"/>
      <c r="L1579" s="89"/>
      <c r="M1579" s="90"/>
    </row>
    <row r="1580" spans="7:13" x14ac:dyDescent="0.35">
      <c r="G1580" s="89"/>
      <c r="H1580" s="90"/>
      <c r="L1580" s="89"/>
      <c r="M1580" s="90"/>
    </row>
    <row r="1581" spans="7:13" x14ac:dyDescent="0.35">
      <c r="G1581" s="89"/>
      <c r="H1581" s="90"/>
      <c r="L1581" s="89"/>
      <c r="M1581" s="90"/>
    </row>
    <row r="1582" spans="7:13" x14ac:dyDescent="0.35">
      <c r="G1582" s="89"/>
      <c r="H1582" s="90"/>
      <c r="L1582" s="89"/>
      <c r="M1582" s="90"/>
    </row>
    <row r="1583" spans="7:13" x14ac:dyDescent="0.35">
      <c r="G1583" s="89"/>
      <c r="H1583" s="90"/>
      <c r="L1583" s="89"/>
      <c r="M1583" s="90"/>
    </row>
    <row r="1584" spans="7:13" x14ac:dyDescent="0.35">
      <c r="G1584" s="89"/>
      <c r="H1584" s="90"/>
      <c r="L1584" s="89"/>
      <c r="M1584" s="90"/>
    </row>
    <row r="1585" spans="7:13" x14ac:dyDescent="0.35">
      <c r="G1585" s="89"/>
      <c r="H1585" s="90"/>
      <c r="L1585" s="89"/>
      <c r="M1585" s="90"/>
    </row>
    <row r="1586" spans="7:13" x14ac:dyDescent="0.35">
      <c r="G1586" s="89"/>
      <c r="H1586" s="90"/>
      <c r="L1586" s="89"/>
      <c r="M1586" s="90"/>
    </row>
    <row r="1587" spans="7:13" x14ac:dyDescent="0.35">
      <c r="G1587" s="89"/>
      <c r="H1587" s="90"/>
      <c r="L1587" s="89"/>
      <c r="M1587" s="90"/>
    </row>
    <row r="1588" spans="7:13" x14ac:dyDescent="0.35">
      <c r="G1588" s="89"/>
      <c r="H1588" s="90"/>
      <c r="L1588" s="89"/>
      <c r="M1588" s="90"/>
    </row>
    <row r="1589" spans="7:13" x14ac:dyDescent="0.35">
      <c r="G1589" s="89"/>
      <c r="H1589" s="90"/>
      <c r="L1589" s="89"/>
      <c r="M1589" s="90"/>
    </row>
    <row r="1590" spans="7:13" x14ac:dyDescent="0.35">
      <c r="G1590" s="89"/>
      <c r="H1590" s="90"/>
      <c r="L1590" s="89"/>
      <c r="M1590" s="90"/>
    </row>
    <row r="1591" spans="7:13" x14ac:dyDescent="0.35">
      <c r="G1591" s="89"/>
      <c r="H1591" s="90"/>
      <c r="L1591" s="89"/>
      <c r="M1591" s="90"/>
    </row>
    <row r="1592" spans="7:13" x14ac:dyDescent="0.35">
      <c r="G1592" s="89"/>
      <c r="H1592" s="90"/>
      <c r="L1592" s="89"/>
      <c r="M1592" s="90"/>
    </row>
    <row r="1593" spans="7:13" x14ac:dyDescent="0.35">
      <c r="G1593" s="89"/>
      <c r="H1593" s="90"/>
      <c r="L1593" s="89"/>
      <c r="M1593" s="90"/>
    </row>
    <row r="1594" spans="7:13" x14ac:dyDescent="0.35">
      <c r="G1594" s="89"/>
      <c r="H1594" s="90"/>
      <c r="L1594" s="89"/>
      <c r="M1594" s="90"/>
    </row>
    <row r="1595" spans="7:13" x14ac:dyDescent="0.35">
      <c r="G1595" s="89"/>
      <c r="H1595" s="90"/>
      <c r="L1595" s="89"/>
      <c r="M1595" s="90"/>
    </row>
    <row r="1596" spans="7:13" x14ac:dyDescent="0.35">
      <c r="G1596" s="89"/>
      <c r="H1596" s="90"/>
      <c r="L1596" s="89"/>
      <c r="M1596" s="90"/>
    </row>
    <row r="1597" spans="7:13" x14ac:dyDescent="0.35">
      <c r="G1597" s="89"/>
      <c r="H1597" s="90"/>
      <c r="L1597" s="89"/>
      <c r="M1597" s="90"/>
    </row>
    <row r="1598" spans="7:13" x14ac:dyDescent="0.35">
      <c r="G1598" s="89"/>
      <c r="H1598" s="90"/>
      <c r="L1598" s="89"/>
      <c r="M1598" s="90"/>
    </row>
    <row r="1599" spans="7:13" x14ac:dyDescent="0.35">
      <c r="G1599" s="89"/>
      <c r="H1599" s="90"/>
      <c r="L1599" s="89"/>
      <c r="M1599" s="90"/>
    </row>
    <row r="1600" spans="7:13" x14ac:dyDescent="0.35">
      <c r="G1600" s="89"/>
      <c r="H1600" s="90"/>
      <c r="L1600" s="89"/>
      <c r="M1600" s="90"/>
    </row>
    <row r="1601" spans="7:13" x14ac:dyDescent="0.35">
      <c r="G1601" s="89"/>
      <c r="H1601" s="90"/>
      <c r="L1601" s="89"/>
      <c r="M1601" s="90"/>
    </row>
    <row r="1602" spans="7:13" x14ac:dyDescent="0.35">
      <c r="G1602" s="89"/>
      <c r="H1602" s="90"/>
      <c r="L1602" s="89"/>
      <c r="M1602" s="90"/>
    </row>
    <row r="1603" spans="7:13" x14ac:dyDescent="0.35">
      <c r="G1603" s="89"/>
      <c r="H1603" s="90"/>
      <c r="L1603" s="89"/>
      <c r="M1603" s="90"/>
    </row>
    <row r="1604" spans="7:13" x14ac:dyDescent="0.35">
      <c r="G1604" s="89"/>
      <c r="H1604" s="90"/>
      <c r="L1604" s="89"/>
      <c r="M1604" s="90"/>
    </row>
    <row r="1605" spans="7:13" x14ac:dyDescent="0.35">
      <c r="G1605" s="89"/>
      <c r="H1605" s="90"/>
      <c r="L1605" s="89"/>
      <c r="M1605" s="90"/>
    </row>
    <row r="1606" spans="7:13" x14ac:dyDescent="0.35">
      <c r="G1606" s="89"/>
      <c r="H1606" s="90"/>
      <c r="L1606" s="89"/>
      <c r="M1606" s="90"/>
    </row>
    <row r="1607" spans="7:13" x14ac:dyDescent="0.35">
      <c r="G1607" s="89"/>
      <c r="H1607" s="90"/>
      <c r="L1607" s="89"/>
      <c r="M1607" s="90"/>
    </row>
    <row r="1608" spans="7:13" x14ac:dyDescent="0.35">
      <c r="G1608" s="89"/>
      <c r="H1608" s="90"/>
      <c r="L1608" s="89"/>
      <c r="M1608" s="90"/>
    </row>
    <row r="1609" spans="7:13" x14ac:dyDescent="0.35">
      <c r="G1609" s="89"/>
      <c r="H1609" s="90"/>
      <c r="L1609" s="89"/>
      <c r="M1609" s="90"/>
    </row>
    <row r="1610" spans="7:13" x14ac:dyDescent="0.35">
      <c r="G1610" s="89"/>
      <c r="H1610" s="90"/>
      <c r="L1610" s="89"/>
      <c r="M1610" s="90"/>
    </row>
    <row r="1611" spans="7:13" x14ac:dyDescent="0.35">
      <c r="G1611" s="89"/>
      <c r="H1611" s="90"/>
      <c r="L1611" s="89"/>
      <c r="M1611" s="90"/>
    </row>
    <row r="1612" spans="7:13" x14ac:dyDescent="0.35">
      <c r="G1612" s="89"/>
      <c r="H1612" s="90"/>
      <c r="L1612" s="89"/>
      <c r="M1612" s="90"/>
    </row>
    <row r="1613" spans="7:13" x14ac:dyDescent="0.35">
      <c r="G1613" s="89"/>
      <c r="H1613" s="90"/>
      <c r="L1613" s="89"/>
      <c r="M1613" s="90"/>
    </row>
    <row r="1614" spans="7:13" x14ac:dyDescent="0.35">
      <c r="G1614" s="89"/>
      <c r="H1614" s="90"/>
      <c r="L1614" s="89"/>
      <c r="M1614" s="90"/>
    </row>
    <row r="1615" spans="7:13" x14ac:dyDescent="0.35">
      <c r="G1615" s="89"/>
      <c r="H1615" s="90"/>
      <c r="L1615" s="89"/>
      <c r="M1615" s="90"/>
    </row>
    <row r="1616" spans="7:13" x14ac:dyDescent="0.35">
      <c r="G1616" s="89"/>
      <c r="H1616" s="90"/>
      <c r="L1616" s="89"/>
      <c r="M1616" s="90"/>
    </row>
    <row r="1617" spans="7:13" x14ac:dyDescent="0.35">
      <c r="G1617" s="89"/>
      <c r="H1617" s="90"/>
      <c r="L1617" s="89"/>
      <c r="M1617" s="90"/>
    </row>
    <row r="1618" spans="7:13" x14ac:dyDescent="0.35">
      <c r="G1618" s="89"/>
      <c r="H1618" s="90"/>
      <c r="L1618" s="89"/>
      <c r="M1618" s="90"/>
    </row>
    <row r="1619" spans="7:13" x14ac:dyDescent="0.35">
      <c r="G1619" s="89"/>
      <c r="H1619" s="90"/>
      <c r="L1619" s="89"/>
      <c r="M1619" s="90"/>
    </row>
    <row r="1620" spans="7:13" x14ac:dyDescent="0.35">
      <c r="G1620" s="89"/>
      <c r="H1620" s="90"/>
      <c r="L1620" s="89"/>
      <c r="M1620" s="90"/>
    </row>
    <row r="1621" spans="7:13" x14ac:dyDescent="0.35">
      <c r="G1621" s="89"/>
      <c r="H1621" s="90"/>
      <c r="L1621" s="89"/>
      <c r="M1621" s="90"/>
    </row>
    <row r="1622" spans="7:13" x14ac:dyDescent="0.35">
      <c r="G1622" s="89"/>
      <c r="H1622" s="90"/>
      <c r="L1622" s="89"/>
      <c r="M1622" s="90"/>
    </row>
    <row r="1623" spans="7:13" x14ac:dyDescent="0.35">
      <c r="G1623" s="89"/>
      <c r="H1623" s="90"/>
      <c r="L1623" s="89"/>
      <c r="M1623" s="90"/>
    </row>
    <row r="1624" spans="7:13" x14ac:dyDescent="0.35">
      <c r="G1624" s="89"/>
      <c r="H1624" s="90"/>
      <c r="L1624" s="89"/>
      <c r="M1624" s="90"/>
    </row>
    <row r="1625" spans="7:13" x14ac:dyDescent="0.35">
      <c r="G1625" s="89"/>
      <c r="H1625" s="90"/>
      <c r="L1625" s="89"/>
      <c r="M1625" s="90"/>
    </row>
    <row r="1626" spans="7:13" x14ac:dyDescent="0.35">
      <c r="G1626" s="89"/>
      <c r="H1626" s="90"/>
      <c r="L1626" s="89"/>
      <c r="M1626" s="90"/>
    </row>
    <row r="1627" spans="7:13" x14ac:dyDescent="0.35">
      <c r="G1627" s="89"/>
      <c r="H1627" s="90"/>
      <c r="L1627" s="89"/>
      <c r="M1627" s="90"/>
    </row>
    <row r="1628" spans="7:13" x14ac:dyDescent="0.35">
      <c r="G1628" s="89"/>
      <c r="H1628" s="90"/>
      <c r="L1628" s="89"/>
      <c r="M1628" s="90"/>
    </row>
    <row r="1629" spans="7:13" x14ac:dyDescent="0.35">
      <c r="G1629" s="89"/>
      <c r="H1629" s="90"/>
      <c r="L1629" s="89"/>
      <c r="M1629" s="90"/>
    </row>
    <row r="1630" spans="7:13" x14ac:dyDescent="0.35">
      <c r="G1630" s="89"/>
      <c r="H1630" s="90"/>
      <c r="L1630" s="89"/>
      <c r="M1630" s="90"/>
    </row>
    <row r="1631" spans="7:13" x14ac:dyDescent="0.35">
      <c r="G1631" s="89"/>
      <c r="H1631" s="90"/>
      <c r="L1631" s="89"/>
      <c r="M1631" s="90"/>
    </row>
    <row r="1632" spans="7:13" x14ac:dyDescent="0.35">
      <c r="G1632" s="89"/>
      <c r="H1632" s="90"/>
      <c r="L1632" s="89"/>
      <c r="M1632" s="90"/>
    </row>
    <row r="1633" spans="7:13" x14ac:dyDescent="0.35">
      <c r="G1633" s="89"/>
      <c r="H1633" s="90"/>
      <c r="L1633" s="89"/>
      <c r="M1633" s="90"/>
    </row>
    <row r="1634" spans="7:13" x14ac:dyDescent="0.35">
      <c r="G1634" s="89"/>
      <c r="H1634" s="90"/>
      <c r="L1634" s="89"/>
      <c r="M1634" s="90"/>
    </row>
    <row r="1635" spans="7:13" x14ac:dyDescent="0.35">
      <c r="G1635" s="89"/>
      <c r="H1635" s="90"/>
      <c r="L1635" s="89"/>
      <c r="M1635" s="90"/>
    </row>
    <row r="1636" spans="7:13" x14ac:dyDescent="0.35">
      <c r="G1636" s="89"/>
      <c r="H1636" s="90"/>
      <c r="L1636" s="89"/>
      <c r="M1636" s="90"/>
    </row>
    <row r="1637" spans="7:13" x14ac:dyDescent="0.35">
      <c r="G1637" s="89"/>
      <c r="H1637" s="90"/>
      <c r="L1637" s="89"/>
      <c r="M1637" s="90"/>
    </row>
    <row r="1638" spans="7:13" x14ac:dyDescent="0.35">
      <c r="G1638" s="89"/>
      <c r="H1638" s="90"/>
      <c r="L1638" s="89"/>
      <c r="M1638" s="90"/>
    </row>
    <row r="1639" spans="7:13" x14ac:dyDescent="0.35">
      <c r="G1639" s="89"/>
      <c r="H1639" s="90"/>
      <c r="L1639" s="89"/>
      <c r="M1639" s="90"/>
    </row>
    <row r="1640" spans="7:13" x14ac:dyDescent="0.35">
      <c r="G1640" s="89"/>
      <c r="H1640" s="90"/>
      <c r="L1640" s="89"/>
      <c r="M1640" s="90"/>
    </row>
    <row r="1641" spans="7:13" x14ac:dyDescent="0.35">
      <c r="G1641" s="89"/>
      <c r="H1641" s="90"/>
      <c r="L1641" s="89"/>
      <c r="M1641" s="90"/>
    </row>
    <row r="1642" spans="7:13" x14ac:dyDescent="0.35">
      <c r="G1642" s="89"/>
      <c r="H1642" s="90"/>
      <c r="L1642" s="89"/>
      <c r="M1642" s="90"/>
    </row>
    <row r="1643" spans="7:13" x14ac:dyDescent="0.35">
      <c r="G1643" s="89"/>
      <c r="H1643" s="90"/>
      <c r="L1643" s="89"/>
      <c r="M1643" s="90"/>
    </row>
    <row r="1644" spans="7:13" x14ac:dyDescent="0.35">
      <c r="G1644" s="89"/>
      <c r="H1644" s="90"/>
      <c r="L1644" s="89"/>
      <c r="M1644" s="90"/>
    </row>
    <row r="1645" spans="7:13" x14ac:dyDescent="0.35">
      <c r="G1645" s="89"/>
      <c r="H1645" s="90"/>
      <c r="L1645" s="89"/>
      <c r="M1645" s="90"/>
    </row>
    <row r="1646" spans="7:13" x14ac:dyDescent="0.35">
      <c r="G1646" s="89"/>
      <c r="H1646" s="90"/>
      <c r="L1646" s="89"/>
      <c r="M1646" s="90"/>
    </row>
    <row r="1647" spans="7:13" x14ac:dyDescent="0.35">
      <c r="G1647" s="89"/>
      <c r="H1647" s="90"/>
      <c r="L1647" s="89"/>
      <c r="M1647" s="90"/>
    </row>
    <row r="1648" spans="7:13" x14ac:dyDescent="0.35">
      <c r="G1648" s="89"/>
      <c r="H1648" s="90"/>
      <c r="L1648" s="89"/>
      <c r="M1648" s="90"/>
    </row>
    <row r="1649" spans="7:13" x14ac:dyDescent="0.35">
      <c r="G1649" s="89"/>
      <c r="H1649" s="90"/>
      <c r="L1649" s="89"/>
      <c r="M1649" s="90"/>
    </row>
    <row r="1650" spans="7:13" x14ac:dyDescent="0.35">
      <c r="G1650" s="89"/>
      <c r="H1650" s="90"/>
      <c r="L1650" s="89"/>
      <c r="M1650" s="90"/>
    </row>
    <row r="1651" spans="7:13" x14ac:dyDescent="0.35">
      <c r="G1651" s="89"/>
      <c r="H1651" s="90"/>
      <c r="L1651" s="89"/>
      <c r="M1651" s="90"/>
    </row>
    <row r="1652" spans="7:13" x14ac:dyDescent="0.35">
      <c r="G1652" s="89"/>
      <c r="H1652" s="90"/>
      <c r="L1652" s="89"/>
      <c r="M1652" s="90"/>
    </row>
    <row r="1653" spans="7:13" x14ac:dyDescent="0.35">
      <c r="G1653" s="89"/>
      <c r="H1653" s="90"/>
      <c r="L1653" s="89"/>
      <c r="M1653" s="90"/>
    </row>
    <row r="1654" spans="7:13" x14ac:dyDescent="0.35">
      <c r="G1654" s="89"/>
      <c r="H1654" s="90"/>
      <c r="L1654" s="89"/>
      <c r="M1654" s="90"/>
    </row>
    <row r="1655" spans="7:13" x14ac:dyDescent="0.35">
      <c r="G1655" s="89"/>
      <c r="H1655" s="90"/>
      <c r="L1655" s="89"/>
      <c r="M1655" s="90"/>
    </row>
    <row r="1656" spans="7:13" x14ac:dyDescent="0.35">
      <c r="G1656" s="89"/>
      <c r="H1656" s="90"/>
      <c r="L1656" s="89"/>
      <c r="M1656" s="90"/>
    </row>
    <row r="1657" spans="7:13" x14ac:dyDescent="0.35">
      <c r="G1657" s="89"/>
      <c r="H1657" s="90"/>
      <c r="L1657" s="89"/>
      <c r="M1657" s="90"/>
    </row>
    <row r="1658" spans="7:13" x14ac:dyDescent="0.35">
      <c r="G1658" s="89"/>
      <c r="H1658" s="90"/>
      <c r="L1658" s="89"/>
      <c r="M1658" s="90"/>
    </row>
    <row r="1659" spans="7:13" x14ac:dyDescent="0.35">
      <c r="G1659" s="89"/>
      <c r="H1659" s="90"/>
      <c r="L1659" s="89"/>
      <c r="M1659" s="90"/>
    </row>
    <row r="1660" spans="7:13" x14ac:dyDescent="0.35">
      <c r="G1660" s="89"/>
      <c r="H1660" s="90"/>
      <c r="L1660" s="89"/>
      <c r="M1660" s="90"/>
    </row>
    <row r="1661" spans="7:13" x14ac:dyDescent="0.35">
      <c r="G1661" s="89"/>
      <c r="H1661" s="90"/>
      <c r="L1661" s="89"/>
      <c r="M1661" s="90"/>
    </row>
    <row r="1662" spans="7:13" x14ac:dyDescent="0.35">
      <c r="G1662" s="89"/>
      <c r="H1662" s="90"/>
      <c r="L1662" s="89"/>
      <c r="M1662" s="90"/>
    </row>
    <row r="1663" spans="7:13" x14ac:dyDescent="0.35">
      <c r="G1663" s="89"/>
      <c r="H1663" s="90"/>
      <c r="L1663" s="89"/>
      <c r="M1663" s="90"/>
    </row>
    <row r="1664" spans="7:13" x14ac:dyDescent="0.35">
      <c r="G1664" s="89"/>
      <c r="H1664" s="90"/>
      <c r="L1664" s="89"/>
      <c r="M1664" s="90"/>
    </row>
    <row r="1665" spans="7:13" x14ac:dyDescent="0.35">
      <c r="G1665" s="89"/>
      <c r="H1665" s="90"/>
      <c r="L1665" s="89"/>
      <c r="M1665" s="90"/>
    </row>
    <row r="1666" spans="7:13" x14ac:dyDescent="0.35">
      <c r="G1666" s="89"/>
      <c r="H1666" s="90"/>
      <c r="L1666" s="89"/>
      <c r="M1666" s="90"/>
    </row>
    <row r="1667" spans="7:13" x14ac:dyDescent="0.35">
      <c r="G1667" s="89"/>
      <c r="H1667" s="90"/>
      <c r="L1667" s="89"/>
      <c r="M1667" s="90"/>
    </row>
    <row r="1668" spans="7:13" x14ac:dyDescent="0.35">
      <c r="G1668" s="89"/>
      <c r="H1668" s="90"/>
      <c r="L1668" s="89"/>
      <c r="M1668" s="90"/>
    </row>
    <row r="1669" spans="7:13" x14ac:dyDescent="0.35">
      <c r="G1669" s="89"/>
      <c r="H1669" s="90"/>
      <c r="L1669" s="89"/>
      <c r="M1669" s="90"/>
    </row>
    <row r="1670" spans="7:13" x14ac:dyDescent="0.35">
      <c r="G1670" s="89"/>
      <c r="H1670" s="90"/>
      <c r="L1670" s="89"/>
      <c r="M1670" s="90"/>
    </row>
    <row r="1671" spans="7:13" x14ac:dyDescent="0.35">
      <c r="G1671" s="89"/>
      <c r="H1671" s="90"/>
      <c r="L1671" s="89"/>
      <c r="M1671" s="90"/>
    </row>
    <row r="1672" spans="7:13" x14ac:dyDescent="0.35">
      <c r="G1672" s="89"/>
      <c r="H1672" s="90"/>
      <c r="L1672" s="89"/>
      <c r="M1672" s="90"/>
    </row>
    <row r="1673" spans="7:13" x14ac:dyDescent="0.35">
      <c r="G1673" s="89"/>
      <c r="H1673" s="90"/>
      <c r="L1673" s="89"/>
      <c r="M1673" s="90"/>
    </row>
    <row r="1674" spans="7:13" x14ac:dyDescent="0.35">
      <c r="G1674" s="89"/>
      <c r="H1674" s="90"/>
      <c r="L1674" s="89"/>
      <c r="M1674" s="90"/>
    </row>
    <row r="1675" spans="7:13" x14ac:dyDescent="0.35">
      <c r="G1675" s="89"/>
      <c r="H1675" s="90"/>
      <c r="L1675" s="89"/>
      <c r="M1675" s="90"/>
    </row>
    <row r="1676" spans="7:13" x14ac:dyDescent="0.35">
      <c r="G1676" s="89"/>
      <c r="H1676" s="90"/>
      <c r="L1676" s="89"/>
      <c r="M1676" s="90"/>
    </row>
    <row r="1677" spans="7:13" x14ac:dyDescent="0.35">
      <c r="G1677" s="89"/>
      <c r="H1677" s="90"/>
      <c r="L1677" s="89"/>
      <c r="M1677" s="90"/>
    </row>
    <row r="1678" spans="7:13" x14ac:dyDescent="0.35">
      <c r="G1678" s="89"/>
      <c r="H1678" s="90"/>
      <c r="L1678" s="89"/>
      <c r="M1678" s="90"/>
    </row>
    <row r="1679" spans="7:13" x14ac:dyDescent="0.35">
      <c r="G1679" s="89"/>
      <c r="H1679" s="90"/>
      <c r="L1679" s="89"/>
      <c r="M1679" s="90"/>
    </row>
    <row r="1680" spans="7:13" x14ac:dyDescent="0.35">
      <c r="G1680" s="89"/>
      <c r="H1680" s="90"/>
      <c r="L1680" s="89"/>
      <c r="M1680" s="90"/>
    </row>
    <row r="1681" spans="7:13" x14ac:dyDescent="0.35">
      <c r="G1681" s="89"/>
      <c r="H1681" s="90"/>
      <c r="L1681" s="89"/>
      <c r="M1681" s="90"/>
    </row>
    <row r="1682" spans="7:13" x14ac:dyDescent="0.35">
      <c r="G1682" s="89"/>
      <c r="H1682" s="90"/>
      <c r="L1682" s="89"/>
      <c r="M1682" s="90"/>
    </row>
    <row r="1683" spans="7:13" x14ac:dyDescent="0.35">
      <c r="G1683" s="89"/>
      <c r="H1683" s="90"/>
      <c r="L1683" s="89"/>
      <c r="M1683" s="90"/>
    </row>
    <row r="1684" spans="7:13" x14ac:dyDescent="0.35">
      <c r="G1684" s="89"/>
      <c r="H1684" s="90"/>
      <c r="L1684" s="89"/>
      <c r="M1684" s="90"/>
    </row>
    <row r="1685" spans="7:13" x14ac:dyDescent="0.35">
      <c r="G1685" s="89"/>
      <c r="H1685" s="90"/>
      <c r="L1685" s="89"/>
      <c r="M1685" s="90"/>
    </row>
    <row r="1686" spans="7:13" x14ac:dyDescent="0.35">
      <c r="G1686" s="89"/>
      <c r="H1686" s="90"/>
      <c r="L1686" s="89"/>
      <c r="M1686" s="90"/>
    </row>
    <row r="1687" spans="7:13" x14ac:dyDescent="0.35">
      <c r="G1687" s="89"/>
      <c r="H1687" s="90"/>
      <c r="L1687" s="89"/>
      <c r="M1687" s="90"/>
    </row>
    <row r="1688" spans="7:13" x14ac:dyDescent="0.35">
      <c r="G1688" s="89"/>
      <c r="H1688" s="90"/>
      <c r="L1688" s="89"/>
      <c r="M1688" s="90"/>
    </row>
    <row r="1689" spans="7:13" x14ac:dyDescent="0.35">
      <c r="G1689" s="89"/>
      <c r="H1689" s="90"/>
      <c r="L1689" s="89"/>
      <c r="M1689" s="90"/>
    </row>
    <row r="1690" spans="7:13" x14ac:dyDescent="0.35">
      <c r="G1690" s="89"/>
      <c r="H1690" s="90"/>
      <c r="L1690" s="89"/>
      <c r="M1690" s="90"/>
    </row>
    <row r="1691" spans="7:13" x14ac:dyDescent="0.35">
      <c r="G1691" s="89"/>
      <c r="H1691" s="90"/>
      <c r="L1691" s="89"/>
      <c r="M1691" s="90"/>
    </row>
    <row r="1692" spans="7:13" x14ac:dyDescent="0.35">
      <c r="G1692" s="89"/>
      <c r="H1692" s="90"/>
      <c r="L1692" s="89"/>
      <c r="M1692" s="90"/>
    </row>
    <row r="1693" spans="7:13" x14ac:dyDescent="0.35">
      <c r="G1693" s="89"/>
      <c r="H1693" s="90"/>
      <c r="L1693" s="89"/>
      <c r="M1693" s="90"/>
    </row>
    <row r="1694" spans="7:13" x14ac:dyDescent="0.35">
      <c r="G1694" s="89"/>
      <c r="H1694" s="90"/>
      <c r="L1694" s="89"/>
      <c r="M1694" s="90"/>
    </row>
    <row r="1695" spans="7:13" x14ac:dyDescent="0.35">
      <c r="G1695" s="89"/>
      <c r="H1695" s="90"/>
      <c r="L1695" s="89"/>
      <c r="M1695" s="90"/>
    </row>
    <row r="1696" spans="7:13" x14ac:dyDescent="0.35">
      <c r="G1696" s="89"/>
      <c r="H1696" s="90"/>
      <c r="L1696" s="89"/>
      <c r="M1696" s="90"/>
    </row>
    <row r="1697" spans="7:13" x14ac:dyDescent="0.35">
      <c r="G1697" s="89"/>
      <c r="H1697" s="90"/>
      <c r="L1697" s="89"/>
      <c r="M1697" s="90"/>
    </row>
    <row r="1698" spans="7:13" x14ac:dyDescent="0.35">
      <c r="G1698" s="89"/>
      <c r="H1698" s="90"/>
      <c r="L1698" s="89"/>
      <c r="M1698" s="90"/>
    </row>
    <row r="1699" spans="7:13" x14ac:dyDescent="0.35">
      <c r="G1699" s="89"/>
      <c r="H1699" s="90"/>
      <c r="L1699" s="89"/>
      <c r="M1699" s="90"/>
    </row>
    <row r="1700" spans="7:13" x14ac:dyDescent="0.35">
      <c r="G1700" s="89"/>
      <c r="H1700" s="90"/>
      <c r="L1700" s="89"/>
      <c r="M1700" s="90"/>
    </row>
    <row r="1701" spans="7:13" x14ac:dyDescent="0.35">
      <c r="G1701" s="89"/>
      <c r="H1701" s="90"/>
      <c r="L1701" s="89"/>
      <c r="M1701" s="90"/>
    </row>
    <row r="1702" spans="7:13" x14ac:dyDescent="0.35">
      <c r="G1702" s="89"/>
      <c r="H1702" s="90"/>
      <c r="L1702" s="89"/>
      <c r="M1702" s="90"/>
    </row>
    <row r="1703" spans="7:13" x14ac:dyDescent="0.35">
      <c r="G1703" s="89"/>
      <c r="H1703" s="90"/>
      <c r="L1703" s="89"/>
      <c r="M1703" s="90"/>
    </row>
    <row r="1704" spans="7:13" x14ac:dyDescent="0.35">
      <c r="G1704" s="89"/>
      <c r="H1704" s="90"/>
      <c r="L1704" s="89"/>
      <c r="M1704" s="90"/>
    </row>
    <row r="1705" spans="7:13" x14ac:dyDescent="0.35">
      <c r="G1705" s="89"/>
      <c r="H1705" s="90"/>
      <c r="L1705" s="89"/>
      <c r="M1705" s="90"/>
    </row>
    <row r="1706" spans="7:13" x14ac:dyDescent="0.35">
      <c r="G1706" s="89"/>
      <c r="H1706" s="90"/>
      <c r="L1706" s="89"/>
      <c r="M1706" s="90"/>
    </row>
    <row r="1707" spans="7:13" x14ac:dyDescent="0.35">
      <c r="G1707" s="89"/>
      <c r="H1707" s="90"/>
      <c r="L1707" s="89"/>
      <c r="M1707" s="90"/>
    </row>
    <row r="1708" spans="7:13" x14ac:dyDescent="0.35">
      <c r="G1708" s="89"/>
      <c r="H1708" s="90"/>
      <c r="L1708" s="89"/>
      <c r="M1708" s="90"/>
    </row>
    <row r="1709" spans="7:13" x14ac:dyDescent="0.35">
      <c r="G1709" s="89"/>
      <c r="H1709" s="90"/>
      <c r="L1709" s="89"/>
      <c r="M1709" s="90"/>
    </row>
    <row r="1710" spans="7:13" x14ac:dyDescent="0.35">
      <c r="G1710" s="89"/>
      <c r="H1710" s="90"/>
      <c r="L1710" s="89"/>
      <c r="M1710" s="90"/>
    </row>
    <row r="1711" spans="7:13" x14ac:dyDescent="0.35">
      <c r="G1711" s="89"/>
      <c r="H1711" s="90"/>
      <c r="L1711" s="89"/>
      <c r="M1711" s="90"/>
    </row>
    <row r="1712" spans="7:13" x14ac:dyDescent="0.35">
      <c r="G1712" s="89"/>
      <c r="H1712" s="90"/>
      <c r="L1712" s="89"/>
      <c r="M1712" s="90"/>
    </row>
    <row r="1713" spans="7:13" x14ac:dyDescent="0.35">
      <c r="G1713" s="89"/>
      <c r="H1713" s="90"/>
      <c r="L1713" s="89"/>
      <c r="M1713" s="90"/>
    </row>
    <row r="1714" spans="7:13" x14ac:dyDescent="0.35">
      <c r="G1714" s="89"/>
      <c r="H1714" s="90"/>
      <c r="L1714" s="89"/>
      <c r="M1714" s="90"/>
    </row>
    <row r="1715" spans="7:13" x14ac:dyDescent="0.35">
      <c r="G1715" s="89"/>
      <c r="H1715" s="90"/>
      <c r="L1715" s="89"/>
      <c r="M1715" s="90"/>
    </row>
    <row r="1716" spans="7:13" x14ac:dyDescent="0.35">
      <c r="G1716" s="89"/>
      <c r="H1716" s="90"/>
      <c r="L1716" s="89"/>
      <c r="M1716" s="90"/>
    </row>
    <row r="1717" spans="7:13" x14ac:dyDescent="0.35">
      <c r="G1717" s="89"/>
      <c r="H1717" s="90"/>
      <c r="L1717" s="89"/>
      <c r="M1717" s="90"/>
    </row>
    <row r="1718" spans="7:13" x14ac:dyDescent="0.35">
      <c r="G1718" s="89"/>
      <c r="H1718" s="90"/>
      <c r="L1718" s="89"/>
      <c r="M1718" s="90"/>
    </row>
    <row r="1719" spans="7:13" x14ac:dyDescent="0.35">
      <c r="G1719" s="89"/>
      <c r="H1719" s="90"/>
      <c r="L1719" s="89"/>
      <c r="M1719" s="90"/>
    </row>
    <row r="1720" spans="7:13" x14ac:dyDescent="0.35">
      <c r="G1720" s="89"/>
      <c r="H1720" s="90"/>
      <c r="L1720" s="89"/>
      <c r="M1720" s="90"/>
    </row>
    <row r="1721" spans="7:13" x14ac:dyDescent="0.35">
      <c r="G1721" s="89"/>
      <c r="H1721" s="90"/>
      <c r="L1721" s="89"/>
      <c r="M1721" s="90"/>
    </row>
    <row r="1722" spans="7:13" x14ac:dyDescent="0.35">
      <c r="G1722" s="89"/>
      <c r="H1722" s="90"/>
      <c r="L1722" s="89"/>
      <c r="M1722" s="90"/>
    </row>
    <row r="1723" spans="7:13" x14ac:dyDescent="0.35">
      <c r="G1723" s="89"/>
      <c r="H1723" s="90"/>
      <c r="L1723" s="89"/>
      <c r="M1723" s="90"/>
    </row>
    <row r="1724" spans="7:13" x14ac:dyDescent="0.35">
      <c r="G1724" s="89"/>
      <c r="H1724" s="90"/>
      <c r="L1724" s="89"/>
      <c r="M1724" s="90"/>
    </row>
    <row r="1725" spans="7:13" x14ac:dyDescent="0.35">
      <c r="G1725" s="89"/>
      <c r="H1725" s="90"/>
      <c r="L1725" s="89"/>
      <c r="M1725" s="90"/>
    </row>
    <row r="1726" spans="7:13" x14ac:dyDescent="0.35">
      <c r="G1726" s="89"/>
      <c r="H1726" s="90"/>
      <c r="L1726" s="89"/>
      <c r="M1726" s="90"/>
    </row>
    <row r="1727" spans="7:13" x14ac:dyDescent="0.35">
      <c r="G1727" s="89"/>
      <c r="H1727" s="90"/>
      <c r="L1727" s="89"/>
      <c r="M1727" s="90"/>
    </row>
    <row r="1728" spans="7:13" x14ac:dyDescent="0.35">
      <c r="G1728" s="89"/>
      <c r="H1728" s="90"/>
      <c r="L1728" s="89"/>
      <c r="M1728" s="90"/>
    </row>
    <row r="1729" spans="7:13" x14ac:dyDescent="0.35">
      <c r="G1729" s="89"/>
      <c r="H1729" s="90"/>
      <c r="L1729" s="89"/>
      <c r="M1729" s="90"/>
    </row>
    <row r="1730" spans="7:13" x14ac:dyDescent="0.35">
      <c r="G1730" s="89"/>
      <c r="H1730" s="90"/>
      <c r="L1730" s="89"/>
      <c r="M1730" s="90"/>
    </row>
    <row r="1731" spans="7:13" x14ac:dyDescent="0.35">
      <c r="G1731" s="89"/>
      <c r="H1731" s="90"/>
      <c r="L1731" s="89"/>
      <c r="M1731" s="90"/>
    </row>
    <row r="1732" spans="7:13" x14ac:dyDescent="0.35">
      <c r="G1732" s="89"/>
      <c r="H1732" s="90"/>
      <c r="L1732" s="89"/>
      <c r="M1732" s="90"/>
    </row>
    <row r="1733" spans="7:13" x14ac:dyDescent="0.35">
      <c r="G1733" s="89"/>
      <c r="H1733" s="90"/>
      <c r="L1733" s="89"/>
      <c r="M1733" s="90"/>
    </row>
    <row r="1734" spans="7:13" x14ac:dyDescent="0.35">
      <c r="G1734" s="89"/>
      <c r="H1734" s="90"/>
      <c r="L1734" s="89"/>
      <c r="M1734" s="90"/>
    </row>
    <row r="1735" spans="7:13" x14ac:dyDescent="0.35">
      <c r="G1735" s="89"/>
      <c r="H1735" s="90"/>
      <c r="L1735" s="89"/>
      <c r="M1735" s="90"/>
    </row>
    <row r="1736" spans="7:13" x14ac:dyDescent="0.35">
      <c r="G1736" s="89"/>
      <c r="H1736" s="90"/>
      <c r="L1736" s="89"/>
      <c r="M1736" s="90"/>
    </row>
    <row r="1737" spans="7:13" x14ac:dyDescent="0.35">
      <c r="G1737" s="89"/>
      <c r="H1737" s="90"/>
      <c r="L1737" s="89"/>
      <c r="M1737" s="90"/>
    </row>
    <row r="1738" spans="7:13" x14ac:dyDescent="0.35">
      <c r="G1738" s="89"/>
      <c r="H1738" s="90"/>
      <c r="L1738" s="89"/>
      <c r="M1738" s="90"/>
    </row>
    <row r="1739" spans="7:13" x14ac:dyDescent="0.35">
      <c r="G1739" s="89"/>
      <c r="H1739" s="90"/>
      <c r="L1739" s="89"/>
      <c r="M1739" s="90"/>
    </row>
    <row r="1740" spans="7:13" x14ac:dyDescent="0.35">
      <c r="G1740" s="89"/>
      <c r="H1740" s="90"/>
      <c r="L1740" s="89"/>
      <c r="M1740" s="90"/>
    </row>
    <row r="1741" spans="7:13" x14ac:dyDescent="0.35">
      <c r="G1741" s="89"/>
      <c r="H1741" s="90"/>
      <c r="L1741" s="89"/>
      <c r="M1741" s="90"/>
    </row>
    <row r="1742" spans="7:13" x14ac:dyDescent="0.35">
      <c r="G1742" s="89"/>
      <c r="H1742" s="90"/>
      <c r="L1742" s="89"/>
      <c r="M1742" s="90"/>
    </row>
    <row r="1743" spans="7:13" x14ac:dyDescent="0.35">
      <c r="G1743" s="89"/>
      <c r="H1743" s="90"/>
      <c r="L1743" s="89"/>
      <c r="M1743" s="90"/>
    </row>
    <row r="1744" spans="7:13" x14ac:dyDescent="0.35">
      <c r="G1744" s="89"/>
      <c r="H1744" s="90"/>
      <c r="L1744" s="89"/>
      <c r="M1744" s="90"/>
    </row>
    <row r="1745" spans="7:13" x14ac:dyDescent="0.35">
      <c r="G1745" s="89"/>
      <c r="H1745" s="90"/>
      <c r="L1745" s="89"/>
      <c r="M1745" s="90"/>
    </row>
    <row r="1746" spans="7:13" x14ac:dyDescent="0.35">
      <c r="G1746" s="89"/>
      <c r="H1746" s="90"/>
      <c r="L1746" s="89"/>
      <c r="M1746" s="90"/>
    </row>
    <row r="1747" spans="7:13" x14ac:dyDescent="0.35">
      <c r="G1747" s="89"/>
      <c r="H1747" s="90"/>
      <c r="L1747" s="89"/>
      <c r="M1747" s="90"/>
    </row>
    <row r="1748" spans="7:13" x14ac:dyDescent="0.35">
      <c r="G1748" s="89"/>
      <c r="H1748" s="90"/>
      <c r="L1748" s="89"/>
      <c r="M1748" s="90"/>
    </row>
    <row r="1749" spans="7:13" x14ac:dyDescent="0.35">
      <c r="G1749" s="89"/>
      <c r="H1749" s="90"/>
      <c r="L1749" s="89"/>
      <c r="M1749" s="90"/>
    </row>
    <row r="1750" spans="7:13" x14ac:dyDescent="0.35">
      <c r="G1750" s="89"/>
      <c r="H1750" s="90"/>
      <c r="L1750" s="89"/>
      <c r="M1750" s="90"/>
    </row>
    <row r="1751" spans="7:13" x14ac:dyDescent="0.35">
      <c r="G1751" s="89"/>
      <c r="H1751" s="90"/>
      <c r="L1751" s="89"/>
      <c r="M1751" s="90"/>
    </row>
    <row r="1752" spans="7:13" x14ac:dyDescent="0.35">
      <c r="G1752" s="89"/>
      <c r="H1752" s="90"/>
      <c r="L1752" s="89"/>
      <c r="M1752" s="90"/>
    </row>
    <row r="1753" spans="7:13" x14ac:dyDescent="0.35">
      <c r="G1753" s="89"/>
      <c r="H1753" s="90"/>
      <c r="L1753" s="89"/>
      <c r="M1753" s="90"/>
    </row>
    <row r="1754" spans="7:13" x14ac:dyDescent="0.35">
      <c r="G1754" s="89"/>
      <c r="H1754" s="90"/>
      <c r="L1754" s="89"/>
      <c r="M1754" s="90"/>
    </row>
    <row r="1755" spans="7:13" x14ac:dyDescent="0.35">
      <c r="G1755" s="89"/>
      <c r="H1755" s="90"/>
      <c r="L1755" s="89"/>
      <c r="M1755" s="90"/>
    </row>
    <row r="1756" spans="7:13" x14ac:dyDescent="0.35">
      <c r="G1756" s="89"/>
      <c r="H1756" s="90"/>
      <c r="L1756" s="89"/>
      <c r="M1756" s="90"/>
    </row>
    <row r="1757" spans="7:13" x14ac:dyDescent="0.35">
      <c r="G1757" s="89"/>
      <c r="H1757" s="90"/>
      <c r="L1757" s="89"/>
      <c r="M1757" s="90"/>
    </row>
    <row r="1758" spans="7:13" x14ac:dyDescent="0.35">
      <c r="G1758" s="89"/>
      <c r="H1758" s="90"/>
      <c r="L1758" s="89"/>
      <c r="M1758" s="90"/>
    </row>
    <row r="1759" spans="7:13" x14ac:dyDescent="0.35">
      <c r="G1759" s="89"/>
      <c r="H1759" s="90"/>
      <c r="L1759" s="89"/>
      <c r="M1759" s="90"/>
    </row>
    <row r="1760" spans="7:13" x14ac:dyDescent="0.35">
      <c r="G1760" s="89"/>
      <c r="H1760" s="90"/>
      <c r="L1760" s="89"/>
      <c r="M1760" s="90"/>
    </row>
    <row r="1761" spans="7:13" x14ac:dyDescent="0.35">
      <c r="G1761" s="89"/>
      <c r="H1761" s="90"/>
      <c r="L1761" s="89"/>
      <c r="M1761" s="90"/>
    </row>
    <row r="1762" spans="7:13" x14ac:dyDescent="0.35">
      <c r="G1762" s="89"/>
      <c r="H1762" s="90"/>
      <c r="L1762" s="89"/>
      <c r="M1762" s="90"/>
    </row>
    <row r="1763" spans="7:13" x14ac:dyDescent="0.35">
      <c r="G1763" s="89"/>
      <c r="H1763" s="90"/>
      <c r="L1763" s="89"/>
      <c r="M1763" s="90"/>
    </row>
    <row r="1764" spans="7:13" x14ac:dyDescent="0.35">
      <c r="G1764" s="89"/>
      <c r="H1764" s="90"/>
      <c r="L1764" s="89"/>
      <c r="M1764" s="90"/>
    </row>
    <row r="1765" spans="7:13" x14ac:dyDescent="0.35">
      <c r="G1765" s="89"/>
      <c r="H1765" s="90"/>
      <c r="L1765" s="89"/>
      <c r="M1765" s="90"/>
    </row>
    <row r="1766" spans="7:13" x14ac:dyDescent="0.35">
      <c r="G1766" s="89"/>
      <c r="H1766" s="90"/>
      <c r="L1766" s="89"/>
      <c r="M1766" s="90"/>
    </row>
    <row r="1767" spans="7:13" x14ac:dyDescent="0.35">
      <c r="G1767" s="89"/>
      <c r="H1767" s="90"/>
      <c r="L1767" s="89"/>
      <c r="M1767" s="90"/>
    </row>
    <row r="1768" spans="7:13" x14ac:dyDescent="0.35">
      <c r="G1768" s="89"/>
      <c r="H1768" s="90"/>
      <c r="L1768" s="89"/>
      <c r="M1768" s="90"/>
    </row>
    <row r="1769" spans="7:13" x14ac:dyDescent="0.35">
      <c r="G1769" s="89"/>
      <c r="H1769" s="90"/>
      <c r="L1769" s="89"/>
      <c r="M1769" s="90"/>
    </row>
    <row r="1770" spans="7:13" x14ac:dyDescent="0.35">
      <c r="G1770" s="89"/>
      <c r="H1770" s="90"/>
      <c r="L1770" s="89"/>
      <c r="M1770" s="90"/>
    </row>
    <row r="1771" spans="7:13" x14ac:dyDescent="0.35">
      <c r="G1771" s="89"/>
      <c r="H1771" s="90"/>
      <c r="L1771" s="89"/>
      <c r="M1771" s="90"/>
    </row>
    <row r="1772" spans="7:13" x14ac:dyDescent="0.35">
      <c r="G1772" s="89"/>
      <c r="H1772" s="90"/>
      <c r="L1772" s="89"/>
      <c r="M1772" s="90"/>
    </row>
    <row r="1773" spans="7:13" x14ac:dyDescent="0.35">
      <c r="G1773" s="89"/>
      <c r="H1773" s="90"/>
      <c r="L1773" s="89"/>
      <c r="M1773" s="90"/>
    </row>
    <row r="1774" spans="7:13" x14ac:dyDescent="0.35">
      <c r="G1774" s="89"/>
      <c r="H1774" s="90"/>
      <c r="L1774" s="89"/>
      <c r="M1774" s="90"/>
    </row>
    <row r="1775" spans="7:13" x14ac:dyDescent="0.35">
      <c r="G1775" s="89"/>
      <c r="H1775" s="90"/>
      <c r="L1775" s="89"/>
      <c r="M1775" s="90"/>
    </row>
    <row r="1776" spans="7:13" x14ac:dyDescent="0.35">
      <c r="G1776" s="89"/>
      <c r="H1776" s="90"/>
      <c r="L1776" s="89"/>
      <c r="M1776" s="90"/>
    </row>
    <row r="1777" spans="7:13" x14ac:dyDescent="0.35">
      <c r="G1777" s="89"/>
      <c r="H1777" s="90"/>
      <c r="L1777" s="89"/>
      <c r="M1777" s="90"/>
    </row>
    <row r="1778" spans="7:13" x14ac:dyDescent="0.35">
      <c r="G1778" s="89"/>
      <c r="H1778" s="90"/>
      <c r="L1778" s="89"/>
      <c r="M1778" s="90"/>
    </row>
    <row r="1779" spans="7:13" x14ac:dyDescent="0.35">
      <c r="G1779" s="89"/>
      <c r="H1779" s="90"/>
      <c r="L1779" s="89"/>
      <c r="M1779" s="90"/>
    </row>
    <row r="1780" spans="7:13" x14ac:dyDescent="0.35">
      <c r="G1780" s="89"/>
      <c r="H1780" s="90"/>
      <c r="L1780" s="89"/>
      <c r="M1780" s="90"/>
    </row>
    <row r="1781" spans="7:13" x14ac:dyDescent="0.35">
      <c r="G1781" s="89"/>
      <c r="H1781" s="90"/>
      <c r="L1781" s="89"/>
      <c r="M1781" s="90"/>
    </row>
    <row r="1782" spans="7:13" x14ac:dyDescent="0.35">
      <c r="G1782" s="89"/>
      <c r="H1782" s="90"/>
      <c r="L1782" s="89"/>
      <c r="M1782" s="90"/>
    </row>
    <row r="1783" spans="7:13" x14ac:dyDescent="0.35">
      <c r="G1783" s="89"/>
      <c r="H1783" s="90"/>
      <c r="L1783" s="89"/>
      <c r="M1783" s="90"/>
    </row>
    <row r="1784" spans="7:13" x14ac:dyDescent="0.35">
      <c r="G1784" s="89"/>
      <c r="H1784" s="90"/>
      <c r="L1784" s="89"/>
      <c r="M1784" s="90"/>
    </row>
    <row r="1785" spans="7:13" x14ac:dyDescent="0.35">
      <c r="G1785" s="89"/>
      <c r="H1785" s="90"/>
      <c r="L1785" s="89"/>
      <c r="M1785" s="90"/>
    </row>
    <row r="1786" spans="7:13" x14ac:dyDescent="0.35">
      <c r="G1786" s="89"/>
      <c r="H1786" s="90"/>
      <c r="L1786" s="89"/>
      <c r="M1786" s="90"/>
    </row>
    <row r="1787" spans="7:13" x14ac:dyDescent="0.35">
      <c r="G1787" s="89"/>
      <c r="H1787" s="90"/>
      <c r="L1787" s="89"/>
      <c r="M1787" s="90"/>
    </row>
    <row r="1788" spans="7:13" x14ac:dyDescent="0.35">
      <c r="G1788" s="89"/>
      <c r="H1788" s="90"/>
      <c r="L1788" s="89"/>
      <c r="M1788" s="90"/>
    </row>
    <row r="1789" spans="7:13" x14ac:dyDescent="0.35">
      <c r="G1789" s="89"/>
      <c r="H1789" s="90"/>
      <c r="L1789" s="89"/>
      <c r="M1789" s="90"/>
    </row>
    <row r="1790" spans="7:13" x14ac:dyDescent="0.35">
      <c r="G1790" s="89"/>
      <c r="H1790" s="90"/>
      <c r="L1790" s="89"/>
      <c r="M1790" s="90"/>
    </row>
    <row r="1791" spans="7:13" x14ac:dyDescent="0.35">
      <c r="G1791" s="89"/>
      <c r="H1791" s="90"/>
      <c r="L1791" s="89"/>
      <c r="M1791" s="90"/>
    </row>
    <row r="1792" spans="7:13" x14ac:dyDescent="0.35">
      <c r="G1792" s="89"/>
      <c r="H1792" s="90"/>
      <c r="L1792" s="89"/>
      <c r="M1792" s="90"/>
    </row>
    <row r="1793" spans="7:13" x14ac:dyDescent="0.35">
      <c r="G1793" s="89"/>
      <c r="H1793" s="90"/>
      <c r="L1793" s="89"/>
      <c r="M1793" s="90"/>
    </row>
    <row r="1794" spans="7:13" x14ac:dyDescent="0.35">
      <c r="G1794" s="89"/>
      <c r="H1794" s="90"/>
      <c r="L1794" s="89"/>
      <c r="M1794" s="90"/>
    </row>
    <row r="1795" spans="7:13" x14ac:dyDescent="0.35">
      <c r="G1795" s="89"/>
      <c r="H1795" s="90"/>
      <c r="L1795" s="89"/>
      <c r="M1795" s="90"/>
    </row>
    <row r="1796" spans="7:13" x14ac:dyDescent="0.35">
      <c r="G1796" s="89"/>
      <c r="H1796" s="90"/>
      <c r="L1796" s="89"/>
      <c r="M1796" s="90"/>
    </row>
    <row r="1797" spans="7:13" x14ac:dyDescent="0.35">
      <c r="G1797" s="89"/>
      <c r="H1797" s="90"/>
      <c r="L1797" s="89"/>
      <c r="M1797" s="90"/>
    </row>
    <row r="1798" spans="7:13" x14ac:dyDescent="0.35">
      <c r="G1798" s="89"/>
      <c r="H1798" s="90"/>
      <c r="L1798" s="89"/>
      <c r="M1798" s="90"/>
    </row>
    <row r="1799" spans="7:13" x14ac:dyDescent="0.35">
      <c r="G1799" s="89"/>
      <c r="H1799" s="90"/>
      <c r="L1799" s="89"/>
      <c r="M1799" s="90"/>
    </row>
    <row r="1800" spans="7:13" x14ac:dyDescent="0.35">
      <c r="G1800" s="89"/>
      <c r="H1800" s="90"/>
      <c r="L1800" s="89"/>
      <c r="M1800" s="90"/>
    </row>
    <row r="1801" spans="7:13" x14ac:dyDescent="0.35">
      <c r="G1801" s="89"/>
      <c r="H1801" s="90"/>
      <c r="L1801" s="89"/>
      <c r="M1801" s="90"/>
    </row>
    <row r="1802" spans="7:13" x14ac:dyDescent="0.35">
      <c r="G1802" s="89"/>
      <c r="H1802" s="90"/>
      <c r="L1802" s="89"/>
      <c r="M1802" s="90"/>
    </row>
    <row r="1803" spans="7:13" x14ac:dyDescent="0.35">
      <c r="G1803" s="89"/>
      <c r="H1803" s="90"/>
      <c r="L1803" s="89"/>
      <c r="M1803" s="90"/>
    </row>
    <row r="1804" spans="7:13" x14ac:dyDescent="0.35">
      <c r="G1804" s="89"/>
      <c r="H1804" s="90"/>
      <c r="L1804" s="89"/>
      <c r="M1804" s="90"/>
    </row>
    <row r="1805" spans="7:13" x14ac:dyDescent="0.35">
      <c r="G1805" s="89"/>
      <c r="H1805" s="90"/>
      <c r="L1805" s="89"/>
      <c r="M1805" s="90"/>
    </row>
    <row r="1806" spans="7:13" x14ac:dyDescent="0.35">
      <c r="G1806" s="89"/>
      <c r="H1806" s="90"/>
      <c r="L1806" s="89"/>
      <c r="M1806" s="90"/>
    </row>
    <row r="1807" spans="7:13" x14ac:dyDescent="0.35">
      <c r="G1807" s="89"/>
      <c r="H1807" s="90"/>
      <c r="L1807" s="89"/>
      <c r="M1807" s="90"/>
    </row>
    <row r="1808" spans="7:13" x14ac:dyDescent="0.35">
      <c r="G1808" s="89"/>
      <c r="H1808" s="90"/>
      <c r="L1808" s="89"/>
      <c r="M1808" s="90"/>
    </row>
    <row r="1809" spans="7:13" x14ac:dyDescent="0.35">
      <c r="G1809" s="89"/>
      <c r="H1809" s="90"/>
      <c r="L1809" s="89"/>
      <c r="M1809" s="90"/>
    </row>
    <row r="1810" spans="7:13" x14ac:dyDescent="0.35">
      <c r="G1810" s="89"/>
      <c r="H1810" s="90"/>
      <c r="L1810" s="89"/>
      <c r="M1810" s="90"/>
    </row>
    <row r="1811" spans="7:13" x14ac:dyDescent="0.35">
      <c r="G1811" s="89"/>
      <c r="H1811" s="90"/>
      <c r="L1811" s="89"/>
      <c r="M1811" s="90"/>
    </row>
    <row r="1812" spans="7:13" x14ac:dyDescent="0.35">
      <c r="G1812" s="89"/>
      <c r="H1812" s="90"/>
      <c r="L1812" s="89"/>
      <c r="M1812" s="90"/>
    </row>
    <row r="1813" spans="7:13" x14ac:dyDescent="0.35">
      <c r="G1813" s="89"/>
      <c r="H1813" s="90"/>
      <c r="L1813" s="89"/>
      <c r="M1813" s="90"/>
    </row>
    <row r="1814" spans="7:13" x14ac:dyDescent="0.35">
      <c r="G1814" s="89"/>
      <c r="H1814" s="90"/>
      <c r="L1814" s="89"/>
      <c r="M1814" s="90"/>
    </row>
    <row r="1815" spans="7:13" x14ac:dyDescent="0.35">
      <c r="G1815" s="89"/>
      <c r="H1815" s="90"/>
      <c r="L1815" s="89"/>
      <c r="M1815" s="90"/>
    </row>
    <row r="1816" spans="7:13" x14ac:dyDescent="0.35">
      <c r="G1816" s="89"/>
      <c r="H1816" s="90"/>
      <c r="L1816" s="89"/>
      <c r="M1816" s="90"/>
    </row>
    <row r="1817" spans="7:13" x14ac:dyDescent="0.35">
      <c r="G1817" s="89"/>
      <c r="H1817" s="90"/>
      <c r="L1817" s="89"/>
      <c r="M1817" s="90"/>
    </row>
    <row r="1818" spans="7:13" x14ac:dyDescent="0.35">
      <c r="G1818" s="89"/>
      <c r="H1818" s="90"/>
      <c r="L1818" s="89"/>
      <c r="M1818" s="90"/>
    </row>
    <row r="1819" spans="7:13" x14ac:dyDescent="0.35">
      <c r="G1819" s="89"/>
      <c r="H1819" s="90"/>
      <c r="L1819" s="89"/>
      <c r="M1819" s="90"/>
    </row>
    <row r="1820" spans="7:13" x14ac:dyDescent="0.35">
      <c r="G1820" s="89"/>
      <c r="H1820" s="90"/>
      <c r="L1820" s="89"/>
      <c r="M1820" s="90"/>
    </row>
    <row r="1821" spans="7:13" x14ac:dyDescent="0.35">
      <c r="G1821" s="89"/>
      <c r="H1821" s="90"/>
      <c r="L1821" s="89"/>
      <c r="M1821" s="90"/>
    </row>
    <row r="1822" spans="7:13" x14ac:dyDescent="0.35">
      <c r="G1822" s="89"/>
      <c r="H1822" s="90"/>
      <c r="L1822" s="89"/>
      <c r="M1822" s="90"/>
    </row>
    <row r="1823" spans="7:13" x14ac:dyDescent="0.35">
      <c r="G1823" s="89"/>
      <c r="H1823" s="90"/>
      <c r="L1823" s="89"/>
      <c r="M1823" s="90"/>
    </row>
    <row r="1824" spans="7:13" x14ac:dyDescent="0.35">
      <c r="G1824" s="89"/>
      <c r="H1824" s="90"/>
      <c r="L1824" s="89"/>
      <c r="M1824" s="90"/>
    </row>
    <row r="1825" spans="7:13" x14ac:dyDescent="0.35">
      <c r="G1825" s="89"/>
      <c r="H1825" s="90"/>
      <c r="L1825" s="89"/>
      <c r="M1825" s="90"/>
    </row>
    <row r="1826" spans="7:13" x14ac:dyDescent="0.35">
      <c r="G1826" s="89"/>
      <c r="H1826" s="90"/>
      <c r="L1826" s="89"/>
      <c r="M1826" s="90"/>
    </row>
    <row r="1827" spans="7:13" x14ac:dyDescent="0.35">
      <c r="G1827" s="89"/>
      <c r="H1827" s="90"/>
      <c r="L1827" s="89"/>
      <c r="M1827" s="90"/>
    </row>
    <row r="1828" spans="7:13" x14ac:dyDescent="0.35">
      <c r="G1828" s="89"/>
      <c r="H1828" s="90"/>
      <c r="L1828" s="89"/>
      <c r="M1828" s="90"/>
    </row>
    <row r="1829" spans="7:13" x14ac:dyDescent="0.35">
      <c r="G1829" s="89"/>
      <c r="H1829" s="90"/>
      <c r="L1829" s="89"/>
      <c r="M1829" s="90"/>
    </row>
    <row r="1830" spans="7:13" x14ac:dyDescent="0.35">
      <c r="G1830" s="89"/>
      <c r="H1830" s="90"/>
      <c r="L1830" s="89"/>
      <c r="M1830" s="90"/>
    </row>
    <row r="1831" spans="7:13" x14ac:dyDescent="0.35">
      <c r="G1831" s="89"/>
      <c r="H1831" s="90"/>
      <c r="L1831" s="89"/>
      <c r="M1831" s="90"/>
    </row>
    <row r="1832" spans="7:13" x14ac:dyDescent="0.35">
      <c r="G1832" s="89"/>
      <c r="H1832" s="90"/>
      <c r="L1832" s="89"/>
      <c r="M1832" s="90"/>
    </row>
    <row r="1833" spans="7:13" x14ac:dyDescent="0.35">
      <c r="G1833" s="89"/>
      <c r="H1833" s="90"/>
      <c r="L1833" s="89"/>
      <c r="M1833" s="90"/>
    </row>
    <row r="1834" spans="7:13" x14ac:dyDescent="0.35">
      <c r="G1834" s="89"/>
      <c r="H1834" s="90"/>
      <c r="L1834" s="89"/>
      <c r="M1834" s="90"/>
    </row>
    <row r="1835" spans="7:13" x14ac:dyDescent="0.35">
      <c r="G1835" s="89"/>
      <c r="H1835" s="90"/>
      <c r="L1835" s="89"/>
      <c r="M1835" s="90"/>
    </row>
    <row r="1836" spans="7:13" x14ac:dyDescent="0.35">
      <c r="G1836" s="89"/>
      <c r="H1836" s="90"/>
      <c r="L1836" s="89"/>
      <c r="M1836" s="90"/>
    </row>
    <row r="1837" spans="7:13" x14ac:dyDescent="0.35">
      <c r="G1837" s="89"/>
      <c r="H1837" s="90"/>
      <c r="L1837" s="89"/>
      <c r="M1837" s="90"/>
    </row>
    <row r="1838" spans="7:13" x14ac:dyDescent="0.35">
      <c r="G1838" s="89"/>
      <c r="H1838" s="90"/>
      <c r="L1838" s="89"/>
      <c r="M1838" s="90"/>
    </row>
    <row r="1839" spans="7:13" x14ac:dyDescent="0.35">
      <c r="G1839" s="89"/>
      <c r="H1839" s="90"/>
      <c r="L1839" s="89"/>
      <c r="M1839" s="90"/>
    </row>
    <row r="1840" spans="7:13" x14ac:dyDescent="0.35">
      <c r="G1840" s="89"/>
      <c r="H1840" s="90"/>
      <c r="L1840" s="89"/>
      <c r="M1840" s="90"/>
    </row>
    <row r="1841" spans="7:13" x14ac:dyDescent="0.35">
      <c r="G1841" s="89"/>
      <c r="H1841" s="90"/>
      <c r="L1841" s="89"/>
      <c r="M1841" s="90"/>
    </row>
    <row r="1842" spans="7:13" x14ac:dyDescent="0.35">
      <c r="G1842" s="89"/>
      <c r="H1842" s="90"/>
      <c r="L1842" s="89"/>
      <c r="M1842" s="90"/>
    </row>
    <row r="1843" spans="7:13" x14ac:dyDescent="0.35">
      <c r="G1843" s="89"/>
      <c r="H1843" s="90"/>
      <c r="L1843" s="89"/>
      <c r="M1843" s="90"/>
    </row>
    <row r="1844" spans="7:13" x14ac:dyDescent="0.35">
      <c r="G1844" s="89"/>
      <c r="H1844" s="90"/>
      <c r="L1844" s="89"/>
      <c r="M1844" s="90"/>
    </row>
    <row r="1845" spans="7:13" x14ac:dyDescent="0.35">
      <c r="G1845" s="89"/>
      <c r="H1845" s="90"/>
      <c r="L1845" s="89"/>
      <c r="M1845" s="90"/>
    </row>
    <row r="1846" spans="7:13" x14ac:dyDescent="0.35">
      <c r="G1846" s="89"/>
      <c r="H1846" s="90"/>
      <c r="L1846" s="89"/>
      <c r="M1846" s="90"/>
    </row>
    <row r="1847" spans="7:13" x14ac:dyDescent="0.35">
      <c r="G1847" s="89"/>
      <c r="H1847" s="90"/>
      <c r="L1847" s="89"/>
      <c r="M1847" s="90"/>
    </row>
    <row r="1848" spans="7:13" x14ac:dyDescent="0.35">
      <c r="G1848" s="89"/>
      <c r="H1848" s="90"/>
      <c r="L1848" s="89"/>
      <c r="M1848" s="90"/>
    </row>
    <row r="1849" spans="7:13" x14ac:dyDescent="0.35">
      <c r="G1849" s="89"/>
      <c r="H1849" s="90"/>
      <c r="L1849" s="89"/>
      <c r="M1849" s="90"/>
    </row>
    <row r="1850" spans="7:13" x14ac:dyDescent="0.35">
      <c r="G1850" s="89"/>
      <c r="H1850" s="90"/>
      <c r="L1850" s="89"/>
      <c r="M1850" s="90"/>
    </row>
    <row r="1851" spans="7:13" x14ac:dyDescent="0.35">
      <c r="G1851" s="89"/>
      <c r="H1851" s="90"/>
      <c r="L1851" s="89"/>
      <c r="M1851" s="90"/>
    </row>
    <row r="1852" spans="7:13" x14ac:dyDescent="0.35">
      <c r="G1852" s="89"/>
      <c r="H1852" s="90"/>
      <c r="L1852" s="89"/>
      <c r="M1852" s="90"/>
    </row>
    <row r="1853" spans="7:13" x14ac:dyDescent="0.35">
      <c r="G1853" s="89"/>
      <c r="H1853" s="90"/>
      <c r="L1853" s="89"/>
      <c r="M1853" s="90"/>
    </row>
    <row r="1854" spans="7:13" x14ac:dyDescent="0.35">
      <c r="G1854" s="89"/>
      <c r="H1854" s="90"/>
      <c r="L1854" s="89"/>
      <c r="M1854" s="90"/>
    </row>
    <row r="1855" spans="7:13" x14ac:dyDescent="0.35">
      <c r="G1855" s="89"/>
      <c r="H1855" s="90"/>
      <c r="L1855" s="89"/>
      <c r="M1855" s="90"/>
    </row>
    <row r="1856" spans="7:13" x14ac:dyDescent="0.35">
      <c r="G1856" s="89"/>
      <c r="H1856" s="90"/>
      <c r="L1856" s="89"/>
      <c r="M1856" s="90"/>
    </row>
    <row r="1857" spans="7:13" x14ac:dyDescent="0.35">
      <c r="G1857" s="89"/>
      <c r="H1857" s="90"/>
      <c r="L1857" s="89"/>
      <c r="M1857" s="90"/>
    </row>
    <row r="1858" spans="7:13" x14ac:dyDescent="0.35">
      <c r="G1858" s="89"/>
      <c r="H1858" s="90"/>
      <c r="L1858" s="89"/>
      <c r="M1858" s="90"/>
    </row>
    <row r="1859" spans="7:13" x14ac:dyDescent="0.35">
      <c r="G1859" s="89"/>
      <c r="H1859" s="90"/>
      <c r="L1859" s="89"/>
      <c r="M1859" s="90"/>
    </row>
    <row r="1860" spans="7:13" x14ac:dyDescent="0.35">
      <c r="G1860" s="89"/>
      <c r="H1860" s="90"/>
      <c r="L1860" s="89"/>
      <c r="M1860" s="90"/>
    </row>
    <row r="1861" spans="7:13" x14ac:dyDescent="0.35">
      <c r="G1861" s="89"/>
      <c r="H1861" s="90"/>
      <c r="L1861" s="89"/>
      <c r="M1861" s="90"/>
    </row>
    <row r="1862" spans="7:13" x14ac:dyDescent="0.35">
      <c r="G1862" s="89"/>
      <c r="H1862" s="90"/>
      <c r="L1862" s="89"/>
      <c r="M1862" s="90"/>
    </row>
    <row r="1863" spans="7:13" x14ac:dyDescent="0.35">
      <c r="G1863" s="89"/>
      <c r="H1863" s="90"/>
      <c r="L1863" s="89"/>
      <c r="M1863" s="90"/>
    </row>
    <row r="1864" spans="7:13" x14ac:dyDescent="0.35">
      <c r="G1864" s="89"/>
      <c r="H1864" s="90"/>
      <c r="L1864" s="89"/>
      <c r="M1864" s="90"/>
    </row>
    <row r="1865" spans="7:13" x14ac:dyDescent="0.35">
      <c r="G1865" s="89"/>
      <c r="H1865" s="90"/>
      <c r="L1865" s="89"/>
      <c r="M1865" s="90"/>
    </row>
    <row r="1866" spans="7:13" x14ac:dyDescent="0.35">
      <c r="G1866" s="89"/>
      <c r="H1866" s="90"/>
      <c r="L1866" s="89"/>
      <c r="M1866" s="90"/>
    </row>
    <row r="1867" spans="7:13" x14ac:dyDescent="0.35">
      <c r="G1867" s="89"/>
      <c r="H1867" s="90"/>
      <c r="L1867" s="89"/>
      <c r="M1867" s="90"/>
    </row>
    <row r="1868" spans="7:13" x14ac:dyDescent="0.35">
      <c r="G1868" s="89"/>
      <c r="H1868" s="90"/>
      <c r="L1868" s="89"/>
      <c r="M1868" s="90"/>
    </row>
    <row r="1869" spans="7:13" x14ac:dyDescent="0.35">
      <c r="G1869" s="89"/>
      <c r="H1869" s="90"/>
      <c r="L1869" s="89"/>
      <c r="M1869" s="90"/>
    </row>
    <row r="1870" spans="7:13" x14ac:dyDescent="0.35">
      <c r="G1870" s="89"/>
      <c r="H1870" s="90"/>
      <c r="L1870" s="89"/>
      <c r="M1870" s="90"/>
    </row>
    <row r="1871" spans="7:13" x14ac:dyDescent="0.35">
      <c r="G1871" s="89"/>
      <c r="H1871" s="90"/>
      <c r="L1871" s="89"/>
      <c r="M1871" s="90"/>
    </row>
    <row r="1872" spans="7:13" x14ac:dyDescent="0.35">
      <c r="G1872" s="89"/>
      <c r="H1872" s="90"/>
      <c r="L1872" s="89"/>
      <c r="M1872" s="90"/>
    </row>
    <row r="1873" spans="7:13" x14ac:dyDescent="0.35">
      <c r="G1873" s="89"/>
      <c r="H1873" s="90"/>
      <c r="L1873" s="89"/>
      <c r="M1873" s="90"/>
    </row>
    <row r="1874" spans="7:13" x14ac:dyDescent="0.35">
      <c r="G1874" s="89"/>
      <c r="H1874" s="90"/>
      <c r="L1874" s="89"/>
      <c r="M1874" s="90"/>
    </row>
    <row r="1875" spans="7:13" x14ac:dyDescent="0.35">
      <c r="G1875" s="89"/>
      <c r="H1875" s="90"/>
      <c r="L1875" s="89"/>
      <c r="M1875" s="90"/>
    </row>
    <row r="1876" spans="7:13" x14ac:dyDescent="0.35">
      <c r="G1876" s="89"/>
      <c r="H1876" s="90"/>
      <c r="L1876" s="89"/>
      <c r="M1876" s="90"/>
    </row>
    <row r="1877" spans="7:13" x14ac:dyDescent="0.35">
      <c r="G1877" s="89"/>
      <c r="H1877" s="90"/>
      <c r="L1877" s="89"/>
      <c r="M1877" s="90"/>
    </row>
    <row r="1878" spans="7:13" x14ac:dyDescent="0.35">
      <c r="G1878" s="89"/>
      <c r="H1878" s="90"/>
      <c r="L1878" s="89"/>
      <c r="M1878" s="90"/>
    </row>
    <row r="1879" spans="7:13" x14ac:dyDescent="0.35">
      <c r="G1879" s="89"/>
      <c r="H1879" s="90"/>
      <c r="L1879" s="89"/>
      <c r="M1879" s="90"/>
    </row>
    <row r="1880" spans="7:13" x14ac:dyDescent="0.35">
      <c r="G1880" s="89"/>
      <c r="H1880" s="90"/>
      <c r="L1880" s="89"/>
      <c r="M1880" s="90"/>
    </row>
    <row r="1881" spans="7:13" x14ac:dyDescent="0.35">
      <c r="G1881" s="89"/>
      <c r="H1881" s="90"/>
      <c r="L1881" s="89"/>
      <c r="M1881" s="90"/>
    </row>
    <row r="1882" spans="7:13" x14ac:dyDescent="0.35">
      <c r="G1882" s="89"/>
      <c r="H1882" s="90"/>
      <c r="L1882" s="89"/>
      <c r="M1882" s="90"/>
    </row>
    <row r="1883" spans="7:13" x14ac:dyDescent="0.35">
      <c r="G1883" s="89"/>
      <c r="H1883" s="90"/>
      <c r="L1883" s="89"/>
      <c r="M1883" s="90"/>
    </row>
    <row r="1884" spans="7:13" x14ac:dyDescent="0.35">
      <c r="G1884" s="89"/>
      <c r="H1884" s="90"/>
      <c r="L1884" s="89"/>
      <c r="M1884" s="90"/>
    </row>
    <row r="1885" spans="7:13" x14ac:dyDescent="0.35">
      <c r="G1885" s="89"/>
      <c r="H1885" s="90"/>
      <c r="L1885" s="89"/>
      <c r="M1885" s="90"/>
    </row>
    <row r="1886" spans="7:13" x14ac:dyDescent="0.35">
      <c r="G1886" s="89"/>
      <c r="H1886" s="90"/>
      <c r="L1886" s="89"/>
      <c r="M1886" s="90"/>
    </row>
    <row r="1887" spans="7:13" x14ac:dyDescent="0.35">
      <c r="G1887" s="89"/>
      <c r="H1887" s="90"/>
      <c r="L1887" s="89"/>
      <c r="M1887" s="90"/>
    </row>
    <row r="1888" spans="7:13" x14ac:dyDescent="0.35">
      <c r="G1888" s="89"/>
      <c r="H1888" s="90"/>
      <c r="L1888" s="89"/>
      <c r="M1888" s="90"/>
    </row>
    <row r="1889" spans="7:13" x14ac:dyDescent="0.35">
      <c r="G1889" s="89"/>
      <c r="H1889" s="90"/>
      <c r="L1889" s="89"/>
      <c r="M1889" s="90"/>
    </row>
    <row r="1890" spans="7:13" x14ac:dyDescent="0.35">
      <c r="G1890" s="89"/>
      <c r="H1890" s="90"/>
      <c r="L1890" s="89"/>
      <c r="M1890" s="90"/>
    </row>
    <row r="1891" spans="7:13" x14ac:dyDescent="0.35">
      <c r="G1891" s="89"/>
      <c r="H1891" s="90"/>
      <c r="L1891" s="89"/>
      <c r="M1891" s="90"/>
    </row>
    <row r="1892" spans="7:13" x14ac:dyDescent="0.35">
      <c r="G1892" s="89"/>
      <c r="H1892" s="90"/>
      <c r="L1892" s="89"/>
      <c r="M1892" s="90"/>
    </row>
    <row r="1893" spans="7:13" x14ac:dyDescent="0.35">
      <c r="G1893" s="89"/>
      <c r="H1893" s="90"/>
      <c r="L1893" s="89"/>
      <c r="M1893" s="90"/>
    </row>
    <row r="1894" spans="7:13" x14ac:dyDescent="0.35">
      <c r="G1894" s="89"/>
      <c r="H1894" s="90"/>
      <c r="L1894" s="89"/>
      <c r="M1894" s="90"/>
    </row>
    <row r="1895" spans="7:13" x14ac:dyDescent="0.35">
      <c r="G1895" s="89"/>
      <c r="H1895" s="90"/>
      <c r="L1895" s="89"/>
      <c r="M1895" s="90"/>
    </row>
    <row r="1896" spans="7:13" x14ac:dyDescent="0.35">
      <c r="G1896" s="89"/>
      <c r="H1896" s="90"/>
      <c r="L1896" s="89"/>
      <c r="M1896" s="90"/>
    </row>
    <row r="1897" spans="7:13" x14ac:dyDescent="0.35">
      <c r="G1897" s="89"/>
      <c r="H1897" s="90"/>
      <c r="L1897" s="89"/>
      <c r="M1897" s="90"/>
    </row>
    <row r="1898" spans="7:13" x14ac:dyDescent="0.35">
      <c r="G1898" s="89"/>
      <c r="H1898" s="90"/>
      <c r="L1898" s="89"/>
      <c r="M1898" s="90"/>
    </row>
    <row r="1899" spans="7:13" x14ac:dyDescent="0.35">
      <c r="G1899" s="89"/>
      <c r="H1899" s="90"/>
      <c r="L1899" s="89"/>
      <c r="M1899" s="90"/>
    </row>
    <row r="1900" spans="7:13" x14ac:dyDescent="0.35">
      <c r="G1900" s="89"/>
      <c r="H1900" s="90"/>
      <c r="L1900" s="89"/>
      <c r="M1900" s="90"/>
    </row>
    <row r="1901" spans="7:13" x14ac:dyDescent="0.35">
      <c r="G1901" s="89"/>
      <c r="H1901" s="90"/>
      <c r="L1901" s="89"/>
      <c r="M1901" s="90"/>
    </row>
    <row r="1902" spans="7:13" x14ac:dyDescent="0.35">
      <c r="G1902" s="89"/>
      <c r="H1902" s="90"/>
      <c r="L1902" s="89"/>
      <c r="M1902" s="90"/>
    </row>
    <row r="1903" spans="7:13" x14ac:dyDescent="0.35">
      <c r="G1903" s="89"/>
      <c r="H1903" s="90"/>
      <c r="L1903" s="89"/>
      <c r="M1903" s="90"/>
    </row>
    <row r="1904" spans="7:13" x14ac:dyDescent="0.35">
      <c r="G1904" s="89"/>
      <c r="H1904" s="90"/>
      <c r="L1904" s="89"/>
      <c r="M1904" s="90"/>
    </row>
    <row r="1905" spans="7:13" x14ac:dyDescent="0.35">
      <c r="G1905" s="89"/>
      <c r="H1905" s="90"/>
      <c r="L1905" s="89"/>
      <c r="M1905" s="90"/>
    </row>
    <row r="1906" spans="7:13" x14ac:dyDescent="0.35">
      <c r="G1906" s="89"/>
      <c r="H1906" s="90"/>
      <c r="L1906" s="89"/>
      <c r="M1906" s="90"/>
    </row>
    <row r="1907" spans="7:13" x14ac:dyDescent="0.35">
      <c r="G1907" s="89"/>
      <c r="H1907" s="90"/>
      <c r="L1907" s="89"/>
      <c r="M1907" s="90"/>
    </row>
    <row r="1908" spans="7:13" x14ac:dyDescent="0.35">
      <c r="G1908" s="89"/>
      <c r="H1908" s="90"/>
      <c r="L1908" s="89"/>
      <c r="M1908" s="90"/>
    </row>
    <row r="1909" spans="7:13" x14ac:dyDescent="0.35">
      <c r="G1909" s="89"/>
      <c r="H1909" s="90"/>
      <c r="L1909" s="89"/>
      <c r="M1909" s="90"/>
    </row>
    <row r="1910" spans="7:13" x14ac:dyDescent="0.35">
      <c r="G1910" s="89"/>
      <c r="H1910" s="90"/>
      <c r="L1910" s="89"/>
      <c r="M1910" s="90"/>
    </row>
    <row r="1911" spans="7:13" x14ac:dyDescent="0.35">
      <c r="G1911" s="89"/>
      <c r="H1911" s="90"/>
      <c r="L1911" s="89"/>
      <c r="M1911" s="90"/>
    </row>
    <row r="1912" spans="7:13" x14ac:dyDescent="0.35">
      <c r="G1912" s="89"/>
      <c r="H1912" s="90"/>
      <c r="L1912" s="89"/>
      <c r="M1912" s="90"/>
    </row>
    <row r="1913" spans="7:13" x14ac:dyDescent="0.35">
      <c r="G1913" s="89"/>
      <c r="H1913" s="90"/>
      <c r="L1913" s="89"/>
      <c r="M1913" s="90"/>
    </row>
    <row r="1914" spans="7:13" x14ac:dyDescent="0.35">
      <c r="G1914" s="89"/>
      <c r="H1914" s="90"/>
      <c r="L1914" s="89"/>
      <c r="M1914" s="90"/>
    </row>
    <row r="1915" spans="7:13" x14ac:dyDescent="0.35">
      <c r="G1915" s="89"/>
      <c r="H1915" s="90"/>
      <c r="L1915" s="89"/>
      <c r="M1915" s="90"/>
    </row>
    <row r="1916" spans="7:13" x14ac:dyDescent="0.35">
      <c r="G1916" s="89"/>
      <c r="H1916" s="90"/>
      <c r="L1916" s="89"/>
      <c r="M1916" s="90"/>
    </row>
    <row r="1917" spans="7:13" x14ac:dyDescent="0.35">
      <c r="G1917" s="89"/>
      <c r="H1917" s="90"/>
      <c r="L1917" s="89"/>
      <c r="M1917" s="90"/>
    </row>
    <row r="1918" spans="7:13" x14ac:dyDescent="0.35">
      <c r="G1918" s="89"/>
      <c r="H1918" s="90"/>
      <c r="L1918" s="89"/>
      <c r="M1918" s="90"/>
    </row>
    <row r="1919" spans="7:13" x14ac:dyDescent="0.35">
      <c r="G1919" s="89"/>
      <c r="H1919" s="90"/>
      <c r="L1919" s="89"/>
      <c r="M1919" s="90"/>
    </row>
    <row r="1920" spans="7:13" x14ac:dyDescent="0.35">
      <c r="G1920" s="89"/>
      <c r="H1920" s="90"/>
      <c r="L1920" s="89"/>
      <c r="M1920" s="90"/>
    </row>
    <row r="1921" spans="7:13" x14ac:dyDescent="0.35">
      <c r="G1921" s="89"/>
      <c r="H1921" s="90"/>
      <c r="L1921" s="89"/>
      <c r="M1921" s="90"/>
    </row>
    <row r="1922" spans="7:13" x14ac:dyDescent="0.35">
      <c r="G1922" s="89"/>
      <c r="H1922" s="90"/>
      <c r="L1922" s="89"/>
      <c r="M1922" s="90"/>
    </row>
    <row r="1923" spans="7:13" x14ac:dyDescent="0.35">
      <c r="G1923" s="89"/>
      <c r="H1923" s="90"/>
      <c r="L1923" s="89"/>
      <c r="M1923" s="90"/>
    </row>
    <row r="1924" spans="7:13" x14ac:dyDescent="0.35">
      <c r="G1924" s="89"/>
      <c r="H1924" s="90"/>
      <c r="L1924" s="89"/>
      <c r="M1924" s="90"/>
    </row>
    <row r="1925" spans="7:13" x14ac:dyDescent="0.35">
      <c r="G1925" s="89"/>
      <c r="H1925" s="90"/>
      <c r="L1925" s="89"/>
      <c r="M1925" s="90"/>
    </row>
    <row r="1926" spans="7:13" x14ac:dyDescent="0.35">
      <c r="G1926" s="89"/>
      <c r="H1926" s="90"/>
      <c r="L1926" s="89"/>
      <c r="M1926" s="90"/>
    </row>
    <row r="1927" spans="7:13" x14ac:dyDescent="0.35">
      <c r="G1927" s="89"/>
      <c r="H1927" s="90"/>
      <c r="L1927" s="89"/>
      <c r="M1927" s="90"/>
    </row>
    <row r="1928" spans="7:13" x14ac:dyDescent="0.35">
      <c r="G1928" s="89"/>
      <c r="H1928" s="90"/>
      <c r="L1928" s="89"/>
      <c r="M1928" s="90"/>
    </row>
    <row r="1929" spans="7:13" x14ac:dyDescent="0.35">
      <c r="G1929" s="89"/>
      <c r="H1929" s="90"/>
      <c r="L1929" s="89"/>
      <c r="M1929" s="90"/>
    </row>
    <row r="1930" spans="7:13" x14ac:dyDescent="0.35">
      <c r="G1930" s="89"/>
      <c r="H1930" s="90"/>
      <c r="L1930" s="89"/>
      <c r="M1930" s="90"/>
    </row>
    <row r="1931" spans="7:13" x14ac:dyDescent="0.35">
      <c r="G1931" s="89"/>
      <c r="H1931" s="90"/>
      <c r="L1931" s="89"/>
      <c r="M1931" s="90"/>
    </row>
    <row r="1932" spans="7:13" x14ac:dyDescent="0.35">
      <c r="G1932" s="89"/>
      <c r="H1932" s="90"/>
      <c r="L1932" s="89"/>
      <c r="M1932" s="90"/>
    </row>
    <row r="1933" spans="7:13" x14ac:dyDescent="0.35">
      <c r="G1933" s="89"/>
      <c r="H1933" s="90"/>
      <c r="L1933" s="89"/>
      <c r="M1933" s="90"/>
    </row>
    <row r="1934" spans="7:13" x14ac:dyDescent="0.35">
      <c r="G1934" s="89"/>
      <c r="H1934" s="90"/>
      <c r="L1934" s="89"/>
      <c r="M1934" s="90"/>
    </row>
    <row r="1935" spans="7:13" x14ac:dyDescent="0.35">
      <c r="G1935" s="89"/>
      <c r="H1935" s="90"/>
      <c r="L1935" s="89"/>
      <c r="M1935" s="90"/>
    </row>
    <row r="1936" spans="7:13" x14ac:dyDescent="0.35">
      <c r="G1936" s="89"/>
      <c r="H1936" s="90"/>
      <c r="L1936" s="89"/>
      <c r="M1936" s="90"/>
    </row>
    <row r="1937" spans="7:13" x14ac:dyDescent="0.35">
      <c r="G1937" s="89"/>
      <c r="H1937" s="90"/>
      <c r="L1937" s="89"/>
      <c r="M1937" s="90"/>
    </row>
    <row r="1938" spans="7:13" x14ac:dyDescent="0.35">
      <c r="G1938" s="89"/>
      <c r="H1938" s="90"/>
      <c r="L1938" s="89"/>
      <c r="M1938" s="90"/>
    </row>
    <row r="1939" spans="7:13" x14ac:dyDescent="0.35">
      <c r="G1939" s="89"/>
      <c r="H1939" s="90"/>
      <c r="L1939" s="89"/>
      <c r="M1939" s="90"/>
    </row>
    <row r="1940" spans="7:13" x14ac:dyDescent="0.35">
      <c r="G1940" s="89"/>
      <c r="H1940" s="90"/>
      <c r="L1940" s="89"/>
      <c r="M1940" s="90"/>
    </row>
    <row r="1941" spans="7:13" x14ac:dyDescent="0.35">
      <c r="G1941" s="89"/>
      <c r="H1941" s="90"/>
      <c r="L1941" s="89"/>
      <c r="M1941" s="90"/>
    </row>
    <row r="1942" spans="7:13" x14ac:dyDescent="0.35">
      <c r="G1942" s="89"/>
      <c r="H1942" s="90"/>
      <c r="L1942" s="89"/>
      <c r="M1942" s="90"/>
    </row>
    <row r="1943" spans="7:13" x14ac:dyDescent="0.35">
      <c r="G1943" s="89"/>
      <c r="H1943" s="90"/>
      <c r="L1943" s="89"/>
      <c r="M1943" s="90"/>
    </row>
    <row r="1944" spans="7:13" x14ac:dyDescent="0.35">
      <c r="G1944" s="89"/>
      <c r="H1944" s="90"/>
      <c r="L1944" s="89"/>
      <c r="M1944" s="90"/>
    </row>
    <row r="1945" spans="7:13" x14ac:dyDescent="0.35">
      <c r="G1945" s="89"/>
      <c r="H1945" s="90"/>
      <c r="L1945" s="89"/>
      <c r="M1945" s="90"/>
    </row>
    <row r="1946" spans="7:13" x14ac:dyDescent="0.35">
      <c r="G1946" s="89"/>
      <c r="H1946" s="90"/>
      <c r="L1946" s="89"/>
      <c r="M1946" s="90"/>
    </row>
    <row r="1947" spans="7:13" x14ac:dyDescent="0.35">
      <c r="G1947" s="89"/>
      <c r="H1947" s="90"/>
      <c r="L1947" s="89"/>
      <c r="M1947" s="90"/>
    </row>
    <row r="1948" spans="7:13" x14ac:dyDescent="0.35">
      <c r="G1948" s="89"/>
      <c r="H1948" s="90"/>
      <c r="L1948" s="89"/>
      <c r="M1948" s="90"/>
    </row>
    <row r="1949" spans="7:13" x14ac:dyDescent="0.35">
      <c r="G1949" s="89"/>
      <c r="H1949" s="90"/>
      <c r="L1949" s="89"/>
      <c r="M1949" s="90"/>
    </row>
    <row r="1950" spans="7:13" x14ac:dyDescent="0.35">
      <c r="G1950" s="89"/>
      <c r="H1950" s="90"/>
      <c r="L1950" s="89"/>
      <c r="M1950" s="90"/>
    </row>
    <row r="1951" spans="7:13" x14ac:dyDescent="0.35">
      <c r="G1951" s="89"/>
      <c r="H1951" s="90"/>
      <c r="L1951" s="89"/>
      <c r="M1951" s="90"/>
    </row>
    <row r="1952" spans="7:13" x14ac:dyDescent="0.35">
      <c r="G1952" s="89"/>
      <c r="H1952" s="90"/>
      <c r="L1952" s="89"/>
      <c r="M1952" s="90"/>
    </row>
    <row r="1953" spans="7:13" x14ac:dyDescent="0.35">
      <c r="G1953" s="89"/>
      <c r="H1953" s="90"/>
      <c r="L1953" s="89"/>
      <c r="M1953" s="90"/>
    </row>
    <row r="1954" spans="7:13" x14ac:dyDescent="0.35">
      <c r="G1954" s="89"/>
      <c r="H1954" s="90"/>
      <c r="L1954" s="89"/>
      <c r="M1954" s="90"/>
    </row>
    <row r="1955" spans="7:13" x14ac:dyDescent="0.35">
      <c r="G1955" s="89"/>
      <c r="H1955" s="90"/>
      <c r="L1955" s="89"/>
      <c r="M1955" s="90"/>
    </row>
    <row r="1956" spans="7:13" x14ac:dyDescent="0.35">
      <c r="G1956" s="89"/>
      <c r="H1956" s="90"/>
      <c r="L1956" s="89"/>
      <c r="M1956" s="90"/>
    </row>
    <row r="1957" spans="7:13" x14ac:dyDescent="0.35">
      <c r="G1957" s="89"/>
      <c r="H1957" s="90"/>
      <c r="L1957" s="89"/>
      <c r="M1957" s="90"/>
    </row>
    <row r="1958" spans="7:13" x14ac:dyDescent="0.35">
      <c r="G1958" s="89"/>
      <c r="H1958" s="90"/>
      <c r="L1958" s="89"/>
      <c r="M1958" s="90"/>
    </row>
    <row r="1959" spans="7:13" x14ac:dyDescent="0.35">
      <c r="G1959" s="89"/>
      <c r="H1959" s="90"/>
      <c r="L1959" s="89"/>
      <c r="M1959" s="90"/>
    </row>
    <row r="1960" spans="7:13" x14ac:dyDescent="0.35">
      <c r="G1960" s="89"/>
      <c r="H1960" s="90"/>
      <c r="L1960" s="89"/>
      <c r="M1960" s="90"/>
    </row>
    <row r="1961" spans="7:13" x14ac:dyDescent="0.35">
      <c r="G1961" s="89"/>
      <c r="H1961" s="90"/>
      <c r="L1961" s="89"/>
      <c r="M1961" s="90"/>
    </row>
    <row r="1962" spans="7:13" x14ac:dyDescent="0.35">
      <c r="G1962" s="89"/>
      <c r="H1962" s="90"/>
      <c r="L1962" s="89"/>
      <c r="M1962" s="90"/>
    </row>
    <row r="1963" spans="7:13" x14ac:dyDescent="0.35">
      <c r="G1963" s="89"/>
      <c r="H1963" s="90"/>
      <c r="L1963" s="89"/>
      <c r="M1963" s="90"/>
    </row>
    <row r="1964" spans="7:13" x14ac:dyDescent="0.35">
      <c r="G1964" s="89"/>
      <c r="H1964" s="90"/>
      <c r="L1964" s="89"/>
      <c r="M1964" s="90"/>
    </row>
    <row r="1965" spans="7:13" x14ac:dyDescent="0.35">
      <c r="G1965" s="89"/>
      <c r="H1965" s="90"/>
      <c r="L1965" s="89"/>
      <c r="M1965" s="90"/>
    </row>
    <row r="1966" spans="7:13" x14ac:dyDescent="0.35">
      <c r="G1966" s="89"/>
      <c r="H1966" s="90"/>
      <c r="L1966" s="89"/>
      <c r="M1966" s="90"/>
    </row>
    <row r="1967" spans="7:13" x14ac:dyDescent="0.35">
      <c r="G1967" s="89"/>
      <c r="H1967" s="90"/>
      <c r="L1967" s="89"/>
      <c r="M1967" s="90"/>
    </row>
    <row r="1968" spans="7:13" x14ac:dyDescent="0.35">
      <c r="G1968" s="89"/>
      <c r="H1968" s="90"/>
      <c r="L1968" s="89"/>
      <c r="M1968" s="90"/>
    </row>
    <row r="1969" spans="7:13" x14ac:dyDescent="0.35">
      <c r="G1969" s="89"/>
      <c r="H1969" s="90"/>
      <c r="L1969" s="89"/>
      <c r="M1969" s="90"/>
    </row>
    <row r="1970" spans="7:13" x14ac:dyDescent="0.35">
      <c r="G1970" s="89"/>
      <c r="H1970" s="90"/>
      <c r="L1970" s="89"/>
      <c r="M1970" s="90"/>
    </row>
    <row r="1971" spans="7:13" x14ac:dyDescent="0.35">
      <c r="G1971" s="89"/>
      <c r="H1971" s="90"/>
      <c r="L1971" s="89"/>
      <c r="M1971" s="90"/>
    </row>
    <row r="1972" spans="7:13" x14ac:dyDescent="0.35">
      <c r="G1972" s="89"/>
      <c r="H1972" s="90"/>
      <c r="L1972" s="89"/>
      <c r="M1972" s="90"/>
    </row>
    <row r="1973" spans="7:13" x14ac:dyDescent="0.35">
      <c r="G1973" s="89"/>
      <c r="H1973" s="90"/>
      <c r="L1973" s="89"/>
      <c r="M1973" s="90"/>
    </row>
    <row r="1974" spans="7:13" x14ac:dyDescent="0.35">
      <c r="G1974" s="89"/>
      <c r="H1974" s="90"/>
      <c r="L1974" s="89"/>
      <c r="M1974" s="90"/>
    </row>
    <row r="1975" spans="7:13" x14ac:dyDescent="0.35">
      <c r="G1975" s="89"/>
      <c r="H1975" s="90"/>
      <c r="L1975" s="89"/>
      <c r="M1975" s="90"/>
    </row>
    <row r="1976" spans="7:13" x14ac:dyDescent="0.35">
      <c r="G1976" s="89"/>
      <c r="H1976" s="90"/>
      <c r="L1976" s="89"/>
      <c r="M1976" s="90"/>
    </row>
    <row r="1977" spans="7:13" x14ac:dyDescent="0.35">
      <c r="G1977" s="89"/>
      <c r="H1977" s="90"/>
      <c r="L1977" s="89"/>
      <c r="M1977" s="90"/>
    </row>
    <row r="1978" spans="7:13" x14ac:dyDescent="0.35">
      <c r="G1978" s="89"/>
      <c r="H1978" s="90"/>
      <c r="L1978" s="89"/>
      <c r="M1978" s="90"/>
    </row>
    <row r="1979" spans="7:13" x14ac:dyDescent="0.35">
      <c r="G1979" s="89"/>
      <c r="H1979" s="90"/>
      <c r="L1979" s="89"/>
      <c r="M1979" s="90"/>
    </row>
    <row r="1980" spans="7:13" x14ac:dyDescent="0.35">
      <c r="G1980" s="89"/>
      <c r="H1980" s="90"/>
      <c r="L1980" s="89"/>
      <c r="M1980" s="90"/>
    </row>
    <row r="1981" spans="7:13" x14ac:dyDescent="0.35">
      <c r="G1981" s="89"/>
      <c r="H1981" s="90"/>
      <c r="L1981" s="89"/>
      <c r="M1981" s="90"/>
    </row>
    <row r="1982" spans="7:13" x14ac:dyDescent="0.35">
      <c r="G1982" s="89"/>
      <c r="H1982" s="90"/>
      <c r="L1982" s="89"/>
      <c r="M1982" s="90"/>
    </row>
    <row r="1983" spans="7:13" x14ac:dyDescent="0.35">
      <c r="G1983" s="89"/>
      <c r="H1983" s="90"/>
      <c r="L1983" s="89"/>
      <c r="M1983" s="90"/>
    </row>
    <row r="1984" spans="7:13" x14ac:dyDescent="0.35">
      <c r="G1984" s="89"/>
      <c r="H1984" s="90"/>
      <c r="L1984" s="89"/>
      <c r="M1984" s="90"/>
    </row>
    <row r="1985" spans="7:13" x14ac:dyDescent="0.35">
      <c r="G1985" s="89"/>
      <c r="H1985" s="90"/>
      <c r="L1985" s="89"/>
      <c r="M1985" s="90"/>
    </row>
    <row r="1986" spans="7:13" x14ac:dyDescent="0.35">
      <c r="G1986" s="89"/>
      <c r="H1986" s="90"/>
      <c r="L1986" s="89"/>
      <c r="M1986" s="90"/>
    </row>
    <row r="1987" spans="7:13" x14ac:dyDescent="0.35">
      <c r="G1987" s="89"/>
      <c r="H1987" s="90"/>
      <c r="L1987" s="89"/>
      <c r="M1987" s="90"/>
    </row>
    <row r="1988" spans="7:13" x14ac:dyDescent="0.35">
      <c r="G1988" s="89"/>
      <c r="H1988" s="90"/>
      <c r="L1988" s="89"/>
      <c r="M1988" s="90"/>
    </row>
    <row r="1989" spans="7:13" x14ac:dyDescent="0.35">
      <c r="G1989" s="89"/>
      <c r="H1989" s="90"/>
      <c r="L1989" s="89"/>
      <c r="M1989" s="90"/>
    </row>
    <row r="1990" spans="7:13" x14ac:dyDescent="0.35">
      <c r="G1990" s="89"/>
      <c r="H1990" s="90"/>
      <c r="L1990" s="89"/>
      <c r="M1990" s="90"/>
    </row>
    <row r="1991" spans="7:13" x14ac:dyDescent="0.35">
      <c r="G1991" s="89"/>
      <c r="H1991" s="90"/>
      <c r="L1991" s="89"/>
      <c r="M1991" s="90"/>
    </row>
    <row r="1992" spans="7:13" x14ac:dyDescent="0.35">
      <c r="G1992" s="89"/>
      <c r="H1992" s="90"/>
      <c r="L1992" s="89"/>
      <c r="M1992" s="90"/>
    </row>
    <row r="1993" spans="7:13" x14ac:dyDescent="0.35">
      <c r="G1993" s="89"/>
      <c r="H1993" s="90"/>
      <c r="L1993" s="89"/>
      <c r="M1993" s="90"/>
    </row>
    <row r="1994" spans="7:13" x14ac:dyDescent="0.35">
      <c r="G1994" s="89"/>
      <c r="H1994" s="90"/>
      <c r="L1994" s="89"/>
      <c r="M1994" s="90"/>
    </row>
    <row r="1995" spans="7:13" x14ac:dyDescent="0.35">
      <c r="G1995" s="89"/>
      <c r="H1995" s="90"/>
      <c r="L1995" s="89"/>
      <c r="M1995" s="90"/>
    </row>
    <row r="1996" spans="7:13" x14ac:dyDescent="0.35">
      <c r="G1996" s="89"/>
      <c r="H1996" s="90"/>
      <c r="L1996" s="89"/>
      <c r="M1996" s="90"/>
    </row>
    <row r="1997" spans="7:13" x14ac:dyDescent="0.35">
      <c r="G1997" s="89"/>
      <c r="H1997" s="90"/>
      <c r="L1997" s="89"/>
      <c r="M1997" s="90"/>
    </row>
    <row r="1998" spans="7:13" x14ac:dyDescent="0.35">
      <c r="G1998" s="89"/>
      <c r="H1998" s="90"/>
      <c r="L1998" s="89"/>
      <c r="M1998" s="90"/>
    </row>
    <row r="1999" spans="7:13" x14ac:dyDescent="0.35">
      <c r="G1999" s="89"/>
      <c r="H1999" s="90"/>
      <c r="L1999" s="89"/>
      <c r="M1999" s="90"/>
    </row>
    <row r="2000" spans="7:13" x14ac:dyDescent="0.35">
      <c r="G2000" s="89"/>
      <c r="H2000" s="90"/>
      <c r="L2000" s="89"/>
      <c r="M2000" s="90"/>
    </row>
    <row r="2001" spans="7:13" x14ac:dyDescent="0.35">
      <c r="G2001" s="89"/>
      <c r="H2001" s="90"/>
      <c r="L2001" s="89"/>
      <c r="M2001" s="90"/>
    </row>
    <row r="2002" spans="7:13" x14ac:dyDescent="0.35">
      <c r="G2002" s="89"/>
      <c r="H2002" s="90"/>
      <c r="L2002" s="89"/>
      <c r="M2002" s="90"/>
    </row>
    <row r="2003" spans="7:13" x14ac:dyDescent="0.35">
      <c r="G2003" s="89"/>
      <c r="H2003" s="90"/>
      <c r="L2003" s="89"/>
      <c r="M2003" s="90"/>
    </row>
    <row r="2004" spans="7:13" x14ac:dyDescent="0.35">
      <c r="G2004" s="89"/>
      <c r="H2004" s="90"/>
      <c r="L2004" s="89"/>
      <c r="M2004" s="90"/>
    </row>
    <row r="2005" spans="7:13" x14ac:dyDescent="0.35">
      <c r="G2005" s="89"/>
      <c r="H2005" s="90"/>
      <c r="L2005" s="89"/>
      <c r="M2005" s="90"/>
    </row>
    <row r="2006" spans="7:13" x14ac:dyDescent="0.35">
      <c r="G2006" s="89"/>
      <c r="H2006" s="90"/>
      <c r="L2006" s="89"/>
      <c r="M2006" s="90"/>
    </row>
    <row r="2007" spans="7:13" x14ac:dyDescent="0.35">
      <c r="G2007" s="89"/>
      <c r="H2007" s="90"/>
      <c r="L2007" s="89"/>
      <c r="M2007" s="90"/>
    </row>
    <row r="2008" spans="7:13" x14ac:dyDescent="0.35">
      <c r="G2008" s="89"/>
      <c r="H2008" s="90"/>
      <c r="L2008" s="89"/>
      <c r="M2008" s="90"/>
    </row>
    <row r="2009" spans="7:13" x14ac:dyDescent="0.35">
      <c r="G2009" s="89"/>
      <c r="H2009" s="90"/>
      <c r="L2009" s="89"/>
      <c r="M2009" s="90"/>
    </row>
    <row r="2010" spans="7:13" x14ac:dyDescent="0.35">
      <c r="G2010" s="89"/>
      <c r="H2010" s="90"/>
      <c r="L2010" s="89"/>
      <c r="M2010" s="90"/>
    </row>
    <row r="2011" spans="7:13" x14ac:dyDescent="0.35">
      <c r="G2011" s="89"/>
      <c r="H2011" s="90"/>
      <c r="L2011" s="89"/>
      <c r="M2011" s="90"/>
    </row>
    <row r="2012" spans="7:13" x14ac:dyDescent="0.35">
      <c r="G2012" s="89"/>
      <c r="H2012" s="90"/>
      <c r="L2012" s="89"/>
      <c r="M2012" s="90"/>
    </row>
    <row r="2013" spans="7:13" x14ac:dyDescent="0.35">
      <c r="G2013" s="89"/>
      <c r="H2013" s="90"/>
      <c r="L2013" s="89"/>
      <c r="M2013" s="90"/>
    </row>
    <row r="2014" spans="7:13" x14ac:dyDescent="0.35">
      <c r="G2014" s="89"/>
      <c r="H2014" s="90"/>
      <c r="L2014" s="89"/>
      <c r="M2014" s="90"/>
    </row>
    <row r="2015" spans="7:13" x14ac:dyDescent="0.35">
      <c r="G2015" s="89"/>
      <c r="H2015" s="90"/>
      <c r="L2015" s="89"/>
      <c r="M2015" s="90"/>
    </row>
    <row r="2016" spans="7:13" x14ac:dyDescent="0.35">
      <c r="G2016" s="89"/>
      <c r="H2016" s="90"/>
      <c r="L2016" s="89"/>
      <c r="M2016" s="90"/>
    </row>
    <row r="2017" spans="7:13" x14ac:dyDescent="0.35">
      <c r="G2017" s="89"/>
      <c r="H2017" s="90"/>
      <c r="L2017" s="89"/>
      <c r="M2017" s="90"/>
    </row>
    <row r="2018" spans="7:13" x14ac:dyDescent="0.35">
      <c r="G2018" s="89"/>
      <c r="H2018" s="90"/>
      <c r="L2018" s="89"/>
      <c r="M2018" s="90"/>
    </row>
    <row r="2019" spans="7:13" x14ac:dyDescent="0.35">
      <c r="G2019" s="89"/>
      <c r="H2019" s="90"/>
      <c r="L2019" s="89"/>
      <c r="M2019" s="90"/>
    </row>
    <row r="2020" spans="7:13" x14ac:dyDescent="0.35">
      <c r="G2020" s="89"/>
      <c r="H2020" s="90"/>
      <c r="L2020" s="89"/>
      <c r="M2020" s="90"/>
    </row>
    <row r="2021" spans="7:13" x14ac:dyDescent="0.35">
      <c r="G2021" s="89"/>
      <c r="H2021" s="90"/>
      <c r="L2021" s="89"/>
      <c r="M2021" s="90"/>
    </row>
    <row r="2022" spans="7:13" x14ac:dyDescent="0.35">
      <c r="G2022" s="89"/>
      <c r="H2022" s="90"/>
      <c r="L2022" s="89"/>
      <c r="M2022" s="90"/>
    </row>
    <row r="2023" spans="7:13" x14ac:dyDescent="0.35">
      <c r="G2023" s="89"/>
      <c r="H2023" s="90"/>
      <c r="L2023" s="89"/>
      <c r="M2023" s="90"/>
    </row>
    <row r="2024" spans="7:13" x14ac:dyDescent="0.35">
      <c r="G2024" s="89"/>
      <c r="H2024" s="90"/>
      <c r="L2024" s="89"/>
      <c r="M2024" s="90"/>
    </row>
    <row r="2025" spans="7:13" x14ac:dyDescent="0.35">
      <c r="G2025" s="89"/>
      <c r="H2025" s="90"/>
      <c r="L2025" s="89"/>
      <c r="M2025" s="90"/>
    </row>
    <row r="2026" spans="7:13" x14ac:dyDescent="0.35">
      <c r="G2026" s="89"/>
      <c r="H2026" s="90"/>
      <c r="L2026" s="89"/>
      <c r="M2026" s="90"/>
    </row>
    <row r="2027" spans="7:13" x14ac:dyDescent="0.35">
      <c r="G2027" s="89"/>
      <c r="H2027" s="90"/>
      <c r="L2027" s="89"/>
      <c r="M2027" s="90"/>
    </row>
    <row r="2028" spans="7:13" x14ac:dyDescent="0.35">
      <c r="G2028" s="89"/>
      <c r="H2028" s="90"/>
      <c r="L2028" s="89"/>
      <c r="M2028" s="90"/>
    </row>
    <row r="2029" spans="7:13" x14ac:dyDescent="0.35">
      <c r="G2029" s="89"/>
      <c r="H2029" s="90"/>
      <c r="L2029" s="89"/>
      <c r="M2029" s="90"/>
    </row>
    <row r="2030" spans="7:13" x14ac:dyDescent="0.35">
      <c r="G2030" s="89"/>
      <c r="H2030" s="90"/>
      <c r="L2030" s="89"/>
      <c r="M2030" s="90"/>
    </row>
    <row r="2031" spans="7:13" x14ac:dyDescent="0.35">
      <c r="G2031" s="89"/>
      <c r="H2031" s="90"/>
      <c r="L2031" s="89"/>
      <c r="M2031" s="90"/>
    </row>
    <row r="2032" spans="7:13" x14ac:dyDescent="0.35">
      <c r="G2032" s="89"/>
      <c r="H2032" s="90"/>
      <c r="L2032" s="89"/>
      <c r="M2032" s="90"/>
    </row>
    <row r="2033" spans="7:13" x14ac:dyDescent="0.35">
      <c r="G2033" s="89"/>
      <c r="H2033" s="90"/>
      <c r="L2033" s="89"/>
      <c r="M2033" s="90"/>
    </row>
    <row r="2034" spans="7:13" x14ac:dyDescent="0.35">
      <c r="G2034" s="89"/>
      <c r="H2034" s="90"/>
      <c r="L2034" s="89"/>
      <c r="M2034" s="90"/>
    </row>
    <row r="2035" spans="7:13" x14ac:dyDescent="0.35">
      <c r="G2035" s="89"/>
      <c r="H2035" s="90"/>
      <c r="L2035" s="89"/>
      <c r="M2035" s="90"/>
    </row>
    <row r="2036" spans="7:13" x14ac:dyDescent="0.35">
      <c r="G2036" s="89"/>
      <c r="H2036" s="90"/>
      <c r="L2036" s="89"/>
      <c r="M2036" s="90"/>
    </row>
    <row r="2037" spans="7:13" x14ac:dyDescent="0.35">
      <c r="G2037" s="89"/>
      <c r="H2037" s="90"/>
      <c r="L2037" s="89"/>
      <c r="M2037" s="90"/>
    </row>
    <row r="2038" spans="7:13" x14ac:dyDescent="0.35">
      <c r="G2038" s="89"/>
      <c r="H2038" s="90"/>
      <c r="L2038" s="89"/>
      <c r="M2038" s="90"/>
    </row>
    <row r="2039" spans="7:13" x14ac:dyDescent="0.35">
      <c r="G2039" s="89"/>
      <c r="H2039" s="90"/>
      <c r="L2039" s="89"/>
      <c r="M2039" s="90"/>
    </row>
    <row r="2040" spans="7:13" x14ac:dyDescent="0.35">
      <c r="G2040" s="89"/>
      <c r="H2040" s="90"/>
      <c r="L2040" s="89"/>
      <c r="M2040" s="90"/>
    </row>
    <row r="2041" spans="7:13" x14ac:dyDescent="0.35">
      <c r="G2041" s="89"/>
      <c r="H2041" s="90"/>
      <c r="L2041" s="89"/>
      <c r="M2041" s="90"/>
    </row>
    <row r="2042" spans="7:13" x14ac:dyDescent="0.35">
      <c r="G2042" s="89"/>
      <c r="H2042" s="90"/>
      <c r="L2042" s="89"/>
      <c r="M2042" s="90"/>
    </row>
    <row r="2043" spans="7:13" x14ac:dyDescent="0.35">
      <c r="G2043" s="89"/>
      <c r="H2043" s="90"/>
      <c r="L2043" s="89"/>
      <c r="M2043" s="90"/>
    </row>
    <row r="2044" spans="7:13" x14ac:dyDescent="0.35">
      <c r="G2044" s="89"/>
      <c r="H2044" s="90"/>
      <c r="L2044" s="89"/>
      <c r="M2044" s="90"/>
    </row>
    <row r="2045" spans="7:13" x14ac:dyDescent="0.35">
      <c r="G2045" s="89"/>
      <c r="H2045" s="90"/>
      <c r="L2045" s="89"/>
      <c r="M2045" s="90"/>
    </row>
    <row r="2046" spans="7:13" x14ac:dyDescent="0.35">
      <c r="G2046" s="89"/>
      <c r="H2046" s="90"/>
      <c r="L2046" s="89"/>
      <c r="M2046" s="90"/>
    </row>
    <row r="2047" spans="7:13" x14ac:dyDescent="0.35">
      <c r="G2047" s="89"/>
      <c r="H2047" s="90"/>
      <c r="L2047" s="89"/>
      <c r="M2047" s="90"/>
    </row>
    <row r="2048" spans="7:13" x14ac:dyDescent="0.35">
      <c r="G2048" s="89"/>
      <c r="H2048" s="90"/>
      <c r="L2048" s="89"/>
      <c r="M2048" s="90"/>
    </row>
    <row r="2049" spans="7:13" x14ac:dyDescent="0.35">
      <c r="G2049" s="89"/>
      <c r="H2049" s="90"/>
      <c r="L2049" s="89"/>
      <c r="M2049" s="90"/>
    </row>
    <row r="2050" spans="7:13" x14ac:dyDescent="0.35">
      <c r="G2050" s="89"/>
      <c r="H2050" s="90"/>
      <c r="L2050" s="89"/>
      <c r="M2050" s="90"/>
    </row>
    <row r="2051" spans="7:13" x14ac:dyDescent="0.35">
      <c r="G2051" s="89"/>
      <c r="H2051" s="90"/>
      <c r="L2051" s="89"/>
      <c r="M2051" s="90"/>
    </row>
    <row r="2052" spans="7:13" x14ac:dyDescent="0.35">
      <c r="G2052" s="89"/>
      <c r="H2052" s="90"/>
      <c r="L2052" s="89"/>
      <c r="M2052" s="90"/>
    </row>
    <row r="2053" spans="7:13" x14ac:dyDescent="0.35">
      <c r="G2053" s="89"/>
      <c r="H2053" s="90"/>
      <c r="L2053" s="89"/>
      <c r="M2053" s="90"/>
    </row>
    <row r="2054" spans="7:13" x14ac:dyDescent="0.35">
      <c r="G2054" s="89"/>
      <c r="H2054" s="90"/>
      <c r="L2054" s="89"/>
      <c r="M2054" s="90"/>
    </row>
    <row r="2055" spans="7:13" x14ac:dyDescent="0.35">
      <c r="G2055" s="89"/>
      <c r="H2055" s="90"/>
      <c r="L2055" s="89"/>
      <c r="M2055" s="90"/>
    </row>
    <row r="2056" spans="7:13" x14ac:dyDescent="0.35">
      <c r="G2056" s="89"/>
      <c r="H2056" s="90"/>
      <c r="L2056" s="89"/>
      <c r="M2056" s="90"/>
    </row>
    <row r="2057" spans="7:13" x14ac:dyDescent="0.35">
      <c r="G2057" s="89"/>
      <c r="H2057" s="90"/>
      <c r="L2057" s="89"/>
      <c r="M2057" s="90"/>
    </row>
    <row r="2058" spans="7:13" x14ac:dyDescent="0.35">
      <c r="G2058" s="89"/>
      <c r="H2058" s="90"/>
      <c r="L2058" s="89"/>
      <c r="M2058" s="90"/>
    </row>
    <row r="2059" spans="7:13" x14ac:dyDescent="0.35">
      <c r="G2059" s="89"/>
      <c r="H2059" s="90"/>
      <c r="L2059" s="89"/>
      <c r="M2059" s="90"/>
    </row>
    <row r="2060" spans="7:13" x14ac:dyDescent="0.35">
      <c r="G2060" s="89"/>
      <c r="H2060" s="90"/>
      <c r="L2060" s="89"/>
      <c r="M2060" s="90"/>
    </row>
    <row r="2061" spans="7:13" x14ac:dyDescent="0.35">
      <c r="G2061" s="89"/>
      <c r="H2061" s="90"/>
      <c r="L2061" s="89"/>
      <c r="M2061" s="90"/>
    </row>
    <row r="2062" spans="7:13" x14ac:dyDescent="0.35">
      <c r="G2062" s="89"/>
      <c r="H2062" s="90"/>
      <c r="L2062" s="89"/>
      <c r="M2062" s="90"/>
    </row>
    <row r="2063" spans="7:13" x14ac:dyDescent="0.35">
      <c r="G2063" s="89"/>
      <c r="H2063" s="90"/>
      <c r="L2063" s="89"/>
      <c r="M2063" s="90"/>
    </row>
    <row r="2064" spans="7:13" x14ac:dyDescent="0.35">
      <c r="G2064" s="89"/>
      <c r="H2064" s="90"/>
      <c r="L2064" s="89"/>
      <c r="M2064" s="90"/>
    </row>
    <row r="2065" spans="7:13" x14ac:dyDescent="0.35">
      <c r="G2065" s="89"/>
      <c r="H2065" s="90"/>
      <c r="L2065" s="89"/>
      <c r="M2065" s="90"/>
    </row>
    <row r="2066" spans="7:13" x14ac:dyDescent="0.35">
      <c r="G2066" s="89"/>
      <c r="H2066" s="90"/>
      <c r="L2066" s="89"/>
      <c r="M2066" s="90"/>
    </row>
    <row r="2067" spans="7:13" x14ac:dyDescent="0.35">
      <c r="G2067" s="89"/>
      <c r="H2067" s="90"/>
      <c r="L2067" s="89"/>
      <c r="M2067" s="90"/>
    </row>
    <row r="2068" spans="7:13" x14ac:dyDescent="0.35">
      <c r="G2068" s="89"/>
      <c r="H2068" s="90"/>
      <c r="L2068" s="89"/>
      <c r="M2068" s="90"/>
    </row>
    <row r="2069" spans="7:13" x14ac:dyDescent="0.35">
      <c r="G2069" s="89"/>
      <c r="H2069" s="90"/>
      <c r="L2069" s="89"/>
      <c r="M2069" s="90"/>
    </row>
    <row r="2070" spans="7:13" x14ac:dyDescent="0.35">
      <c r="G2070" s="89"/>
      <c r="H2070" s="90"/>
      <c r="L2070" s="89"/>
      <c r="M2070" s="90"/>
    </row>
    <row r="2071" spans="7:13" x14ac:dyDescent="0.35">
      <c r="G2071" s="89"/>
      <c r="H2071" s="90"/>
      <c r="L2071" s="89"/>
      <c r="M2071" s="90"/>
    </row>
    <row r="2072" spans="7:13" x14ac:dyDescent="0.35">
      <c r="G2072" s="89"/>
      <c r="H2072" s="90"/>
      <c r="L2072" s="89"/>
      <c r="M2072" s="90"/>
    </row>
    <row r="2073" spans="7:13" x14ac:dyDescent="0.35">
      <c r="G2073" s="89"/>
      <c r="H2073" s="90"/>
      <c r="L2073" s="89"/>
      <c r="M2073" s="90"/>
    </row>
    <row r="2074" spans="7:13" x14ac:dyDescent="0.35">
      <c r="G2074" s="89"/>
      <c r="H2074" s="90"/>
      <c r="L2074" s="89"/>
      <c r="M2074" s="90"/>
    </row>
    <row r="2075" spans="7:13" x14ac:dyDescent="0.35">
      <c r="G2075" s="89"/>
      <c r="H2075" s="90"/>
      <c r="L2075" s="89"/>
      <c r="M2075" s="90"/>
    </row>
    <row r="2076" spans="7:13" x14ac:dyDescent="0.35">
      <c r="G2076" s="89"/>
      <c r="H2076" s="90"/>
      <c r="L2076" s="89"/>
      <c r="M2076" s="90"/>
    </row>
    <row r="2077" spans="7:13" x14ac:dyDescent="0.35">
      <c r="G2077" s="89"/>
      <c r="H2077" s="90"/>
      <c r="L2077" s="89"/>
      <c r="M2077" s="90"/>
    </row>
    <row r="2078" spans="7:13" x14ac:dyDescent="0.35">
      <c r="G2078" s="89"/>
      <c r="H2078" s="90"/>
      <c r="L2078" s="89"/>
      <c r="M2078" s="90"/>
    </row>
    <row r="2079" spans="7:13" x14ac:dyDescent="0.35">
      <c r="G2079" s="89"/>
      <c r="H2079" s="90"/>
      <c r="L2079" s="89"/>
      <c r="M2079" s="90"/>
    </row>
    <row r="2080" spans="7:13" x14ac:dyDescent="0.35">
      <c r="G2080" s="89"/>
      <c r="H2080" s="90"/>
      <c r="L2080" s="89"/>
      <c r="M2080" s="90"/>
    </row>
    <row r="2081" spans="7:13" x14ac:dyDescent="0.35">
      <c r="G2081" s="89"/>
      <c r="H2081" s="90"/>
      <c r="L2081" s="89"/>
      <c r="M2081" s="90"/>
    </row>
    <row r="2082" spans="7:13" x14ac:dyDescent="0.35">
      <c r="G2082" s="89"/>
      <c r="H2082" s="90"/>
      <c r="L2082" s="89"/>
      <c r="M2082" s="90"/>
    </row>
    <row r="2083" spans="7:13" x14ac:dyDescent="0.35">
      <c r="G2083" s="89"/>
      <c r="H2083" s="90"/>
      <c r="L2083" s="89"/>
      <c r="M2083" s="90"/>
    </row>
    <row r="2084" spans="7:13" x14ac:dyDescent="0.35">
      <c r="G2084" s="89"/>
      <c r="H2084" s="90"/>
      <c r="L2084" s="89"/>
      <c r="M2084" s="90"/>
    </row>
    <row r="2085" spans="7:13" x14ac:dyDescent="0.35">
      <c r="G2085" s="89"/>
      <c r="H2085" s="90"/>
      <c r="L2085" s="89"/>
      <c r="M2085" s="90"/>
    </row>
    <row r="2086" spans="7:13" x14ac:dyDescent="0.35">
      <c r="G2086" s="89"/>
      <c r="H2086" s="90"/>
      <c r="L2086" s="89"/>
      <c r="M2086" s="90"/>
    </row>
    <row r="2087" spans="7:13" x14ac:dyDescent="0.35">
      <c r="G2087" s="89"/>
      <c r="H2087" s="90"/>
      <c r="L2087" s="89"/>
      <c r="M2087" s="90"/>
    </row>
    <row r="2088" spans="7:13" x14ac:dyDescent="0.35">
      <c r="G2088" s="89"/>
      <c r="H2088" s="90"/>
      <c r="L2088" s="89"/>
      <c r="M2088" s="90"/>
    </row>
    <row r="2089" spans="7:13" x14ac:dyDescent="0.35">
      <c r="G2089" s="89"/>
      <c r="H2089" s="90"/>
      <c r="L2089" s="89"/>
      <c r="M2089" s="90"/>
    </row>
    <row r="2090" spans="7:13" x14ac:dyDescent="0.35">
      <c r="G2090" s="89"/>
      <c r="H2090" s="90"/>
      <c r="L2090" s="89"/>
      <c r="M2090" s="90"/>
    </row>
    <row r="2091" spans="7:13" x14ac:dyDescent="0.35">
      <c r="G2091" s="89"/>
      <c r="H2091" s="90"/>
      <c r="L2091" s="89"/>
      <c r="M2091" s="90"/>
    </row>
    <row r="2092" spans="7:13" x14ac:dyDescent="0.35">
      <c r="G2092" s="89"/>
      <c r="H2092" s="90"/>
      <c r="L2092" s="89"/>
      <c r="M2092" s="90"/>
    </row>
    <row r="2093" spans="7:13" x14ac:dyDescent="0.35">
      <c r="G2093" s="89"/>
      <c r="H2093" s="90"/>
      <c r="L2093" s="89"/>
      <c r="M2093" s="90"/>
    </row>
    <row r="2094" spans="7:13" x14ac:dyDescent="0.35">
      <c r="G2094" s="89"/>
      <c r="H2094" s="90"/>
      <c r="L2094" s="89"/>
      <c r="M2094" s="90"/>
    </row>
    <row r="2095" spans="7:13" x14ac:dyDescent="0.35">
      <c r="G2095" s="89"/>
      <c r="H2095" s="90"/>
      <c r="L2095" s="89"/>
      <c r="M2095" s="90"/>
    </row>
    <row r="2096" spans="7:13" x14ac:dyDescent="0.35">
      <c r="G2096" s="89"/>
      <c r="H2096" s="90"/>
      <c r="L2096" s="89"/>
      <c r="M2096" s="90"/>
    </row>
    <row r="2097" spans="7:13" x14ac:dyDescent="0.35">
      <c r="G2097" s="89"/>
      <c r="H2097" s="90"/>
      <c r="L2097" s="89"/>
      <c r="M2097" s="90"/>
    </row>
    <row r="2098" spans="7:13" x14ac:dyDescent="0.35">
      <c r="G2098" s="89"/>
      <c r="H2098" s="90"/>
      <c r="L2098" s="89"/>
      <c r="M2098" s="90"/>
    </row>
    <row r="2099" spans="7:13" x14ac:dyDescent="0.35">
      <c r="G2099" s="89"/>
      <c r="H2099" s="90"/>
      <c r="L2099" s="89"/>
      <c r="M2099" s="90"/>
    </row>
    <row r="2100" spans="7:13" x14ac:dyDescent="0.35">
      <c r="G2100" s="89"/>
      <c r="H2100" s="90"/>
      <c r="L2100" s="89"/>
      <c r="M2100" s="90"/>
    </row>
    <row r="2101" spans="7:13" x14ac:dyDescent="0.35">
      <c r="G2101" s="89"/>
      <c r="H2101" s="90"/>
      <c r="L2101" s="89"/>
      <c r="M2101" s="90"/>
    </row>
    <row r="2102" spans="7:13" x14ac:dyDescent="0.35">
      <c r="G2102" s="89"/>
      <c r="H2102" s="90"/>
      <c r="L2102" s="89"/>
      <c r="M2102" s="90"/>
    </row>
    <row r="2103" spans="7:13" x14ac:dyDescent="0.35">
      <c r="G2103" s="89"/>
      <c r="H2103" s="90"/>
      <c r="L2103" s="89"/>
      <c r="M2103" s="90"/>
    </row>
    <row r="2104" spans="7:13" x14ac:dyDescent="0.35">
      <c r="G2104" s="89"/>
      <c r="H2104" s="90"/>
      <c r="L2104" s="89"/>
      <c r="M2104" s="90"/>
    </row>
    <row r="2105" spans="7:13" x14ac:dyDescent="0.35">
      <c r="G2105" s="89"/>
      <c r="H2105" s="90"/>
      <c r="L2105" s="89"/>
      <c r="M2105" s="90"/>
    </row>
    <row r="2106" spans="7:13" x14ac:dyDescent="0.35">
      <c r="G2106" s="89"/>
      <c r="H2106" s="90"/>
      <c r="L2106" s="89"/>
      <c r="M2106" s="90"/>
    </row>
    <row r="2107" spans="7:13" x14ac:dyDescent="0.35">
      <c r="G2107" s="89"/>
      <c r="H2107" s="90"/>
      <c r="L2107" s="89"/>
      <c r="M2107" s="90"/>
    </row>
    <row r="2108" spans="7:13" x14ac:dyDescent="0.35">
      <c r="G2108" s="89"/>
      <c r="H2108" s="90"/>
      <c r="L2108" s="89"/>
      <c r="M2108" s="90"/>
    </row>
    <row r="2109" spans="7:13" x14ac:dyDescent="0.35">
      <c r="G2109" s="89"/>
      <c r="H2109" s="90"/>
      <c r="L2109" s="89"/>
      <c r="M2109" s="90"/>
    </row>
    <row r="2110" spans="7:13" x14ac:dyDescent="0.35">
      <c r="G2110" s="89"/>
      <c r="H2110" s="90"/>
      <c r="L2110" s="89"/>
      <c r="M2110" s="90"/>
    </row>
    <row r="2111" spans="7:13" x14ac:dyDescent="0.35">
      <c r="G2111" s="89"/>
      <c r="H2111" s="90"/>
      <c r="L2111" s="89"/>
      <c r="M2111" s="90"/>
    </row>
    <row r="2112" spans="7:13" x14ac:dyDescent="0.35">
      <c r="G2112" s="89"/>
      <c r="H2112" s="90"/>
      <c r="L2112" s="89"/>
      <c r="M2112" s="90"/>
    </row>
    <row r="2113" spans="7:13" x14ac:dyDescent="0.35">
      <c r="G2113" s="89"/>
      <c r="H2113" s="90"/>
      <c r="L2113" s="89"/>
      <c r="M2113" s="90"/>
    </row>
    <row r="2114" spans="7:13" x14ac:dyDescent="0.35">
      <c r="G2114" s="89"/>
      <c r="H2114" s="90"/>
      <c r="L2114" s="89"/>
      <c r="M2114" s="90"/>
    </row>
    <row r="2115" spans="7:13" x14ac:dyDescent="0.35">
      <c r="G2115" s="89"/>
      <c r="H2115" s="90"/>
      <c r="L2115" s="89"/>
      <c r="M2115" s="90"/>
    </row>
    <row r="2116" spans="7:13" x14ac:dyDescent="0.35">
      <c r="G2116" s="89"/>
      <c r="H2116" s="90"/>
      <c r="L2116" s="89"/>
      <c r="M2116" s="90"/>
    </row>
    <row r="2117" spans="7:13" x14ac:dyDescent="0.35">
      <c r="G2117" s="89"/>
      <c r="H2117" s="90"/>
      <c r="L2117" s="89"/>
      <c r="M2117" s="90"/>
    </row>
    <row r="2118" spans="7:13" x14ac:dyDescent="0.35">
      <c r="G2118" s="89"/>
      <c r="H2118" s="90"/>
      <c r="L2118" s="89"/>
      <c r="M2118" s="90"/>
    </row>
    <row r="2119" spans="7:13" x14ac:dyDescent="0.35">
      <c r="G2119" s="89"/>
      <c r="H2119" s="90"/>
      <c r="L2119" s="89"/>
      <c r="M2119" s="90"/>
    </row>
    <row r="2120" spans="7:13" x14ac:dyDescent="0.35">
      <c r="G2120" s="89"/>
      <c r="H2120" s="90"/>
      <c r="L2120" s="89"/>
      <c r="M2120" s="90"/>
    </row>
    <row r="2121" spans="7:13" x14ac:dyDescent="0.35">
      <c r="G2121" s="89"/>
      <c r="H2121" s="90"/>
      <c r="L2121" s="89"/>
      <c r="M2121" s="90"/>
    </row>
    <row r="2122" spans="7:13" x14ac:dyDescent="0.35">
      <c r="G2122" s="89"/>
      <c r="H2122" s="90"/>
      <c r="L2122" s="89"/>
      <c r="M2122" s="90"/>
    </row>
    <row r="2123" spans="7:13" x14ac:dyDescent="0.35">
      <c r="G2123" s="89"/>
      <c r="H2123" s="90"/>
      <c r="L2123" s="89"/>
      <c r="M2123" s="90"/>
    </row>
    <row r="2124" spans="7:13" x14ac:dyDescent="0.35">
      <c r="G2124" s="89"/>
      <c r="H2124" s="90"/>
      <c r="L2124" s="89"/>
      <c r="M2124" s="90"/>
    </row>
    <row r="2125" spans="7:13" x14ac:dyDescent="0.35">
      <c r="G2125" s="89"/>
      <c r="H2125" s="90"/>
      <c r="L2125" s="89"/>
      <c r="M2125" s="90"/>
    </row>
    <row r="2126" spans="7:13" x14ac:dyDescent="0.35">
      <c r="G2126" s="89"/>
      <c r="H2126" s="90"/>
      <c r="L2126" s="89"/>
      <c r="M2126" s="90"/>
    </row>
    <row r="2127" spans="7:13" x14ac:dyDescent="0.35">
      <c r="G2127" s="89"/>
      <c r="H2127" s="90"/>
      <c r="L2127" s="89"/>
      <c r="M2127" s="90"/>
    </row>
    <row r="2128" spans="7:13" x14ac:dyDescent="0.35">
      <c r="G2128" s="89"/>
      <c r="H2128" s="90"/>
      <c r="L2128" s="89"/>
      <c r="M2128" s="90"/>
    </row>
    <row r="2129" spans="7:13" x14ac:dyDescent="0.35">
      <c r="G2129" s="89"/>
      <c r="H2129" s="90"/>
      <c r="L2129" s="89"/>
      <c r="M2129" s="90"/>
    </row>
    <row r="2130" spans="7:13" x14ac:dyDescent="0.35">
      <c r="G2130" s="89"/>
      <c r="H2130" s="90"/>
      <c r="L2130" s="89"/>
      <c r="M2130" s="90"/>
    </row>
    <row r="2131" spans="7:13" x14ac:dyDescent="0.35">
      <c r="G2131" s="89"/>
      <c r="H2131" s="90"/>
      <c r="L2131" s="89"/>
      <c r="M2131" s="90"/>
    </row>
    <row r="2132" spans="7:13" x14ac:dyDescent="0.35">
      <c r="G2132" s="89"/>
      <c r="H2132" s="90"/>
      <c r="L2132" s="89"/>
      <c r="M2132" s="90"/>
    </row>
    <row r="2133" spans="7:13" x14ac:dyDescent="0.35">
      <c r="G2133" s="89"/>
      <c r="H2133" s="90"/>
      <c r="L2133" s="89"/>
      <c r="M2133" s="90"/>
    </row>
    <row r="2134" spans="7:13" x14ac:dyDescent="0.35">
      <c r="G2134" s="89"/>
      <c r="H2134" s="90"/>
      <c r="L2134" s="89"/>
      <c r="M2134" s="90"/>
    </row>
    <row r="2135" spans="7:13" x14ac:dyDescent="0.35">
      <c r="G2135" s="89"/>
      <c r="H2135" s="90"/>
      <c r="L2135" s="89"/>
      <c r="M2135" s="90"/>
    </row>
    <row r="2136" spans="7:13" x14ac:dyDescent="0.35">
      <c r="G2136" s="89"/>
      <c r="H2136" s="90"/>
      <c r="L2136" s="89"/>
      <c r="M2136" s="90"/>
    </row>
    <row r="2137" spans="7:13" x14ac:dyDescent="0.35">
      <c r="G2137" s="89"/>
      <c r="H2137" s="90"/>
      <c r="L2137" s="89"/>
      <c r="M2137" s="90"/>
    </row>
    <row r="2138" spans="7:13" x14ac:dyDescent="0.35">
      <c r="G2138" s="89"/>
      <c r="H2138" s="90"/>
      <c r="L2138" s="89"/>
      <c r="M2138" s="90"/>
    </row>
    <row r="2139" spans="7:13" x14ac:dyDescent="0.35">
      <c r="G2139" s="89"/>
      <c r="H2139" s="90"/>
      <c r="L2139" s="89"/>
      <c r="M2139" s="90"/>
    </row>
    <row r="2140" spans="7:13" x14ac:dyDescent="0.35">
      <c r="G2140" s="89"/>
      <c r="H2140" s="90"/>
      <c r="L2140" s="89"/>
      <c r="M2140" s="90"/>
    </row>
    <row r="2141" spans="7:13" x14ac:dyDescent="0.35">
      <c r="G2141" s="89"/>
      <c r="H2141" s="90"/>
      <c r="L2141" s="89"/>
      <c r="M2141" s="90"/>
    </row>
    <row r="2142" spans="7:13" x14ac:dyDescent="0.35">
      <c r="G2142" s="89"/>
      <c r="H2142" s="90"/>
      <c r="L2142" s="89"/>
      <c r="M2142" s="90"/>
    </row>
    <row r="2143" spans="7:13" x14ac:dyDescent="0.35">
      <c r="G2143" s="89"/>
      <c r="H2143" s="90"/>
      <c r="L2143" s="89"/>
      <c r="M2143" s="90"/>
    </row>
    <row r="2144" spans="7:13" x14ac:dyDescent="0.35">
      <c r="G2144" s="89"/>
      <c r="H2144" s="90"/>
      <c r="L2144" s="89"/>
      <c r="M2144" s="90"/>
    </row>
    <row r="2145" spans="7:13" x14ac:dyDescent="0.35">
      <c r="G2145" s="89"/>
      <c r="H2145" s="90"/>
      <c r="L2145" s="89"/>
      <c r="M2145" s="90"/>
    </row>
    <row r="2146" spans="7:13" x14ac:dyDescent="0.35">
      <c r="G2146" s="89"/>
      <c r="H2146" s="90"/>
      <c r="L2146" s="89"/>
      <c r="M2146" s="90"/>
    </row>
    <row r="2147" spans="7:13" x14ac:dyDescent="0.35">
      <c r="G2147" s="89"/>
      <c r="H2147" s="90"/>
      <c r="L2147" s="89"/>
      <c r="M2147" s="90"/>
    </row>
    <row r="2148" spans="7:13" x14ac:dyDescent="0.35">
      <c r="G2148" s="89"/>
      <c r="H2148" s="90"/>
      <c r="L2148" s="89"/>
      <c r="M2148" s="90"/>
    </row>
    <row r="2149" spans="7:13" x14ac:dyDescent="0.35">
      <c r="G2149" s="89"/>
      <c r="H2149" s="90"/>
      <c r="L2149" s="89"/>
      <c r="M2149" s="90"/>
    </row>
    <row r="2150" spans="7:13" x14ac:dyDescent="0.35">
      <c r="G2150" s="89"/>
      <c r="H2150" s="90"/>
      <c r="L2150" s="89"/>
      <c r="M2150" s="90"/>
    </row>
    <row r="2151" spans="7:13" x14ac:dyDescent="0.35">
      <c r="G2151" s="89"/>
      <c r="H2151" s="90"/>
      <c r="L2151" s="89"/>
      <c r="M2151" s="90"/>
    </row>
    <row r="2152" spans="7:13" x14ac:dyDescent="0.35">
      <c r="G2152" s="89"/>
      <c r="H2152" s="90"/>
      <c r="L2152" s="89"/>
      <c r="M2152" s="90"/>
    </row>
    <row r="2153" spans="7:13" x14ac:dyDescent="0.35">
      <c r="G2153" s="89"/>
      <c r="H2153" s="90"/>
      <c r="L2153" s="89"/>
      <c r="M2153" s="90"/>
    </row>
    <row r="2154" spans="7:13" x14ac:dyDescent="0.35">
      <c r="G2154" s="89"/>
      <c r="H2154" s="90"/>
      <c r="L2154" s="89"/>
      <c r="M2154" s="90"/>
    </row>
    <row r="2155" spans="7:13" x14ac:dyDescent="0.35">
      <c r="G2155" s="89"/>
      <c r="H2155" s="90"/>
      <c r="L2155" s="89"/>
      <c r="M2155" s="90"/>
    </row>
    <row r="2156" spans="7:13" x14ac:dyDescent="0.35">
      <c r="G2156" s="89"/>
      <c r="H2156" s="90"/>
      <c r="L2156" s="89"/>
      <c r="M2156" s="90"/>
    </row>
    <row r="2157" spans="7:13" x14ac:dyDescent="0.35">
      <c r="G2157" s="89"/>
      <c r="H2157" s="90"/>
      <c r="L2157" s="89"/>
      <c r="M2157" s="90"/>
    </row>
    <row r="2158" spans="7:13" x14ac:dyDescent="0.35">
      <c r="G2158" s="89"/>
      <c r="H2158" s="90"/>
      <c r="L2158" s="89"/>
      <c r="M2158" s="90"/>
    </row>
    <row r="2159" spans="7:13" x14ac:dyDescent="0.35">
      <c r="G2159" s="89"/>
      <c r="H2159" s="90"/>
      <c r="L2159" s="89"/>
      <c r="M2159" s="90"/>
    </row>
    <row r="2160" spans="7:13" x14ac:dyDescent="0.35">
      <c r="G2160" s="89"/>
      <c r="H2160" s="90"/>
      <c r="L2160" s="89"/>
      <c r="M2160" s="90"/>
    </row>
    <row r="2161" spans="7:13" x14ac:dyDescent="0.35">
      <c r="G2161" s="89"/>
      <c r="H2161" s="90"/>
      <c r="L2161" s="89"/>
      <c r="M2161" s="90"/>
    </row>
    <row r="2162" spans="7:13" x14ac:dyDescent="0.35">
      <c r="G2162" s="89"/>
      <c r="H2162" s="90"/>
      <c r="L2162" s="89"/>
      <c r="M2162" s="90"/>
    </row>
    <row r="2163" spans="7:13" x14ac:dyDescent="0.35">
      <c r="G2163" s="89"/>
      <c r="H2163" s="90"/>
      <c r="L2163" s="89"/>
      <c r="M2163" s="90"/>
    </row>
    <row r="2164" spans="7:13" x14ac:dyDescent="0.35">
      <c r="G2164" s="89"/>
      <c r="H2164" s="90"/>
      <c r="L2164" s="89"/>
      <c r="M2164" s="90"/>
    </row>
    <row r="2165" spans="7:13" x14ac:dyDescent="0.35">
      <c r="G2165" s="89"/>
      <c r="H2165" s="90"/>
      <c r="L2165" s="89"/>
      <c r="M2165" s="90"/>
    </row>
    <row r="2166" spans="7:13" x14ac:dyDescent="0.35">
      <c r="G2166" s="89"/>
      <c r="H2166" s="90"/>
      <c r="L2166" s="89"/>
      <c r="M2166" s="90"/>
    </row>
    <row r="2167" spans="7:13" x14ac:dyDescent="0.35">
      <c r="G2167" s="89"/>
      <c r="H2167" s="90"/>
      <c r="L2167" s="89"/>
      <c r="M2167" s="90"/>
    </row>
    <row r="2168" spans="7:13" x14ac:dyDescent="0.35">
      <c r="G2168" s="89"/>
      <c r="H2168" s="90"/>
      <c r="L2168" s="89"/>
      <c r="M2168" s="90"/>
    </row>
    <row r="2169" spans="7:13" x14ac:dyDescent="0.35">
      <c r="G2169" s="89"/>
      <c r="H2169" s="90"/>
      <c r="L2169" s="89"/>
      <c r="M2169" s="90"/>
    </row>
    <row r="2170" spans="7:13" x14ac:dyDescent="0.35">
      <c r="G2170" s="89"/>
      <c r="H2170" s="90"/>
      <c r="L2170" s="89"/>
      <c r="M2170" s="90"/>
    </row>
    <row r="2171" spans="7:13" x14ac:dyDescent="0.35">
      <c r="G2171" s="89"/>
      <c r="H2171" s="90"/>
      <c r="L2171" s="89"/>
      <c r="M2171" s="90"/>
    </row>
    <row r="2172" spans="7:13" x14ac:dyDescent="0.35">
      <c r="G2172" s="89"/>
      <c r="H2172" s="90"/>
      <c r="L2172" s="89"/>
      <c r="M2172" s="90"/>
    </row>
    <row r="2173" spans="7:13" x14ac:dyDescent="0.35">
      <c r="G2173" s="89"/>
      <c r="H2173" s="90"/>
      <c r="L2173" s="89"/>
      <c r="M2173" s="90"/>
    </row>
    <row r="2174" spans="7:13" x14ac:dyDescent="0.35">
      <c r="G2174" s="89"/>
      <c r="H2174" s="90"/>
      <c r="L2174" s="89"/>
      <c r="M2174" s="90"/>
    </row>
    <row r="2175" spans="7:13" x14ac:dyDescent="0.35">
      <c r="G2175" s="89"/>
      <c r="H2175" s="90"/>
      <c r="L2175" s="89"/>
      <c r="M2175" s="90"/>
    </row>
    <row r="2176" spans="7:13" x14ac:dyDescent="0.35">
      <c r="G2176" s="89"/>
      <c r="H2176" s="90"/>
      <c r="L2176" s="89"/>
      <c r="M2176" s="90"/>
    </row>
    <row r="2177" spans="7:13" x14ac:dyDescent="0.35">
      <c r="G2177" s="89"/>
      <c r="H2177" s="90"/>
      <c r="L2177" s="89"/>
      <c r="M2177" s="90"/>
    </row>
    <row r="2178" spans="7:13" x14ac:dyDescent="0.35">
      <c r="G2178" s="89"/>
      <c r="H2178" s="90"/>
      <c r="L2178" s="89"/>
      <c r="M2178" s="90"/>
    </row>
    <row r="2179" spans="7:13" x14ac:dyDescent="0.35">
      <c r="G2179" s="89"/>
      <c r="H2179" s="90"/>
      <c r="L2179" s="89"/>
      <c r="M2179" s="90"/>
    </row>
    <row r="2180" spans="7:13" x14ac:dyDescent="0.35">
      <c r="G2180" s="89"/>
      <c r="H2180" s="90"/>
      <c r="L2180" s="89"/>
      <c r="M2180" s="90"/>
    </row>
    <row r="2181" spans="7:13" x14ac:dyDescent="0.35">
      <c r="G2181" s="89"/>
      <c r="H2181" s="90"/>
      <c r="L2181" s="89"/>
      <c r="M2181" s="90"/>
    </row>
    <row r="2182" spans="7:13" x14ac:dyDescent="0.35">
      <c r="G2182" s="89"/>
      <c r="H2182" s="90"/>
      <c r="L2182" s="89"/>
      <c r="M2182" s="90"/>
    </row>
    <row r="2183" spans="7:13" x14ac:dyDescent="0.35">
      <c r="G2183" s="89"/>
      <c r="H2183" s="90"/>
      <c r="L2183" s="89"/>
      <c r="M2183" s="90"/>
    </row>
    <row r="2184" spans="7:13" x14ac:dyDescent="0.35">
      <c r="G2184" s="89"/>
      <c r="H2184" s="90"/>
      <c r="L2184" s="89"/>
      <c r="M2184" s="90"/>
    </row>
    <row r="2185" spans="7:13" x14ac:dyDescent="0.35">
      <c r="G2185" s="89"/>
      <c r="H2185" s="90"/>
      <c r="L2185" s="89"/>
      <c r="M2185" s="90"/>
    </row>
    <row r="2186" spans="7:13" x14ac:dyDescent="0.35">
      <c r="G2186" s="89"/>
      <c r="H2186" s="90"/>
      <c r="L2186" s="89"/>
      <c r="M2186" s="90"/>
    </row>
    <row r="2187" spans="7:13" x14ac:dyDescent="0.35">
      <c r="G2187" s="89"/>
      <c r="H2187" s="90"/>
      <c r="L2187" s="89"/>
      <c r="M2187" s="90"/>
    </row>
    <row r="2188" spans="7:13" x14ac:dyDescent="0.35">
      <c r="G2188" s="89"/>
      <c r="H2188" s="90"/>
      <c r="L2188" s="89"/>
      <c r="M2188" s="90"/>
    </row>
    <row r="2189" spans="7:13" x14ac:dyDescent="0.35">
      <c r="G2189" s="89"/>
      <c r="H2189" s="90"/>
      <c r="L2189" s="89"/>
      <c r="M2189" s="90"/>
    </row>
    <row r="2190" spans="7:13" x14ac:dyDescent="0.35">
      <c r="G2190" s="89"/>
      <c r="H2190" s="90"/>
      <c r="L2190" s="89"/>
      <c r="M2190" s="90"/>
    </row>
    <row r="2191" spans="7:13" x14ac:dyDescent="0.35">
      <c r="G2191" s="89"/>
      <c r="H2191" s="90"/>
      <c r="L2191" s="89"/>
      <c r="M2191" s="90"/>
    </row>
    <row r="2192" spans="7:13" x14ac:dyDescent="0.35">
      <c r="G2192" s="89"/>
      <c r="H2192" s="90"/>
      <c r="L2192" s="89"/>
      <c r="M2192" s="90"/>
    </row>
    <row r="2193" spans="7:13" x14ac:dyDescent="0.35">
      <c r="G2193" s="89"/>
      <c r="H2193" s="90"/>
      <c r="L2193" s="89"/>
      <c r="M2193" s="90"/>
    </row>
    <row r="2194" spans="7:13" x14ac:dyDescent="0.35">
      <c r="G2194" s="89"/>
      <c r="H2194" s="90"/>
      <c r="L2194" s="89"/>
      <c r="M2194" s="90"/>
    </row>
    <row r="2195" spans="7:13" x14ac:dyDescent="0.35">
      <c r="G2195" s="89"/>
      <c r="H2195" s="90"/>
      <c r="L2195" s="89"/>
      <c r="M2195" s="90"/>
    </row>
    <row r="2196" spans="7:13" x14ac:dyDescent="0.35">
      <c r="G2196" s="89"/>
      <c r="H2196" s="90"/>
      <c r="L2196" s="89"/>
      <c r="M2196" s="90"/>
    </row>
    <row r="2197" spans="7:13" x14ac:dyDescent="0.35">
      <c r="G2197" s="89"/>
      <c r="H2197" s="90"/>
      <c r="L2197" s="89"/>
      <c r="M2197" s="90"/>
    </row>
    <row r="2198" spans="7:13" x14ac:dyDescent="0.35">
      <c r="G2198" s="89"/>
      <c r="H2198" s="90"/>
      <c r="L2198" s="89"/>
      <c r="M2198" s="90"/>
    </row>
    <row r="2199" spans="7:13" x14ac:dyDescent="0.35">
      <c r="G2199" s="89"/>
      <c r="H2199" s="90"/>
      <c r="L2199" s="89"/>
      <c r="M2199" s="90"/>
    </row>
    <row r="2200" spans="7:13" x14ac:dyDescent="0.35">
      <c r="G2200" s="89"/>
      <c r="H2200" s="90"/>
      <c r="L2200" s="89"/>
      <c r="M2200" s="90"/>
    </row>
    <row r="2201" spans="7:13" x14ac:dyDescent="0.35">
      <c r="G2201" s="89"/>
      <c r="H2201" s="90"/>
      <c r="L2201" s="89"/>
      <c r="M2201" s="90"/>
    </row>
    <row r="2202" spans="7:13" x14ac:dyDescent="0.35">
      <c r="G2202" s="89"/>
      <c r="H2202" s="90"/>
      <c r="L2202" s="89"/>
      <c r="M2202" s="90"/>
    </row>
    <row r="2203" spans="7:13" x14ac:dyDescent="0.35">
      <c r="G2203" s="89"/>
      <c r="H2203" s="90"/>
      <c r="L2203" s="89"/>
      <c r="M2203" s="90"/>
    </row>
    <row r="2204" spans="7:13" x14ac:dyDescent="0.35">
      <c r="G2204" s="89"/>
      <c r="H2204" s="90"/>
      <c r="L2204" s="89"/>
      <c r="M2204" s="90"/>
    </row>
    <row r="2205" spans="7:13" x14ac:dyDescent="0.35">
      <c r="G2205" s="89"/>
      <c r="H2205" s="90"/>
      <c r="L2205" s="89"/>
      <c r="M2205" s="90"/>
    </row>
    <row r="2206" spans="7:13" x14ac:dyDescent="0.35">
      <c r="G2206" s="89"/>
      <c r="H2206" s="90"/>
      <c r="L2206" s="89"/>
      <c r="M2206" s="90"/>
    </row>
    <row r="2207" spans="7:13" x14ac:dyDescent="0.35">
      <c r="G2207" s="89"/>
      <c r="H2207" s="90"/>
      <c r="L2207" s="89"/>
      <c r="M2207" s="90"/>
    </row>
    <row r="2208" spans="7:13" x14ac:dyDescent="0.35">
      <c r="G2208" s="89"/>
      <c r="H2208" s="90"/>
      <c r="L2208" s="89"/>
      <c r="M2208" s="90"/>
    </row>
    <row r="2209" spans="7:13" x14ac:dyDescent="0.35">
      <c r="G2209" s="89"/>
      <c r="H2209" s="90"/>
      <c r="L2209" s="89"/>
      <c r="M2209" s="90"/>
    </row>
    <row r="2210" spans="7:13" x14ac:dyDescent="0.35">
      <c r="G2210" s="89"/>
      <c r="H2210" s="90"/>
      <c r="L2210" s="89"/>
      <c r="M2210" s="90"/>
    </row>
    <row r="2211" spans="7:13" x14ac:dyDescent="0.35">
      <c r="G2211" s="89"/>
      <c r="H2211" s="90"/>
      <c r="L2211" s="89"/>
      <c r="M2211" s="90"/>
    </row>
    <row r="2212" spans="7:13" x14ac:dyDescent="0.35">
      <c r="G2212" s="89"/>
      <c r="H2212" s="90"/>
      <c r="L2212" s="89"/>
      <c r="M2212" s="90"/>
    </row>
    <row r="2213" spans="7:13" x14ac:dyDescent="0.35">
      <c r="G2213" s="89"/>
      <c r="H2213" s="90"/>
      <c r="L2213" s="89"/>
      <c r="M2213" s="90"/>
    </row>
    <row r="2214" spans="7:13" x14ac:dyDescent="0.35">
      <c r="G2214" s="89"/>
      <c r="H2214" s="90"/>
      <c r="L2214" s="89"/>
      <c r="M2214" s="90"/>
    </row>
    <row r="2215" spans="7:13" x14ac:dyDescent="0.35">
      <c r="G2215" s="89"/>
      <c r="H2215" s="90"/>
      <c r="L2215" s="89"/>
      <c r="M2215" s="90"/>
    </row>
    <row r="2216" spans="7:13" x14ac:dyDescent="0.35">
      <c r="G2216" s="89"/>
      <c r="H2216" s="90"/>
      <c r="L2216" s="89"/>
      <c r="M2216" s="90"/>
    </row>
    <row r="2217" spans="7:13" x14ac:dyDescent="0.35">
      <c r="G2217" s="89"/>
      <c r="H2217" s="90"/>
      <c r="L2217" s="89"/>
      <c r="M2217" s="90"/>
    </row>
    <row r="2218" spans="7:13" x14ac:dyDescent="0.35">
      <c r="G2218" s="89"/>
      <c r="H2218" s="90"/>
      <c r="L2218" s="89"/>
      <c r="M2218" s="90"/>
    </row>
    <row r="2219" spans="7:13" x14ac:dyDescent="0.35">
      <c r="G2219" s="89"/>
      <c r="H2219" s="90"/>
      <c r="L2219" s="89"/>
      <c r="M2219" s="90"/>
    </row>
    <row r="2220" spans="7:13" x14ac:dyDescent="0.35">
      <c r="G2220" s="89"/>
      <c r="H2220" s="90"/>
      <c r="L2220" s="89"/>
      <c r="M2220" s="90"/>
    </row>
    <row r="2221" spans="7:13" x14ac:dyDescent="0.35">
      <c r="G2221" s="89"/>
      <c r="H2221" s="90"/>
      <c r="L2221" s="89"/>
      <c r="M2221" s="90"/>
    </row>
    <row r="2222" spans="7:13" x14ac:dyDescent="0.35">
      <c r="G2222" s="89"/>
      <c r="H2222" s="90"/>
      <c r="L2222" s="89"/>
      <c r="M2222" s="90"/>
    </row>
    <row r="2223" spans="7:13" x14ac:dyDescent="0.35">
      <c r="G2223" s="89"/>
      <c r="H2223" s="90"/>
      <c r="L2223" s="89"/>
      <c r="M2223" s="90"/>
    </row>
    <row r="2224" spans="7:13" x14ac:dyDescent="0.35">
      <c r="G2224" s="89"/>
      <c r="H2224" s="90"/>
      <c r="L2224" s="89"/>
      <c r="M2224" s="90"/>
    </row>
    <row r="2225" spans="7:13" x14ac:dyDescent="0.35">
      <c r="G2225" s="89"/>
      <c r="H2225" s="90"/>
      <c r="L2225" s="89"/>
      <c r="M2225" s="90"/>
    </row>
    <row r="2226" spans="7:13" x14ac:dyDescent="0.35">
      <c r="G2226" s="89"/>
      <c r="H2226" s="90"/>
      <c r="L2226" s="89"/>
      <c r="M2226" s="90"/>
    </row>
    <row r="2227" spans="7:13" x14ac:dyDescent="0.35">
      <c r="G2227" s="89"/>
      <c r="H2227" s="90"/>
      <c r="L2227" s="89"/>
      <c r="M2227" s="90"/>
    </row>
    <row r="2228" spans="7:13" x14ac:dyDescent="0.35">
      <c r="G2228" s="89"/>
      <c r="H2228" s="90"/>
      <c r="L2228" s="89"/>
      <c r="M2228" s="90"/>
    </row>
    <row r="2229" spans="7:13" x14ac:dyDescent="0.35">
      <c r="G2229" s="89"/>
      <c r="H2229" s="90"/>
      <c r="L2229" s="89"/>
      <c r="M2229" s="90"/>
    </row>
    <row r="2230" spans="7:13" x14ac:dyDescent="0.35">
      <c r="G2230" s="89"/>
      <c r="H2230" s="90"/>
      <c r="L2230" s="89"/>
      <c r="M2230" s="90"/>
    </row>
    <row r="2231" spans="7:13" x14ac:dyDescent="0.35">
      <c r="G2231" s="89"/>
      <c r="H2231" s="90"/>
      <c r="L2231" s="89"/>
      <c r="M2231" s="90"/>
    </row>
    <row r="2232" spans="7:13" x14ac:dyDescent="0.35">
      <c r="G2232" s="89"/>
      <c r="H2232" s="90"/>
      <c r="L2232" s="89"/>
      <c r="M2232" s="90"/>
    </row>
    <row r="2233" spans="7:13" x14ac:dyDescent="0.35">
      <c r="G2233" s="89"/>
      <c r="H2233" s="90"/>
      <c r="L2233" s="89"/>
      <c r="M2233" s="90"/>
    </row>
    <row r="2234" spans="7:13" x14ac:dyDescent="0.35">
      <c r="G2234" s="89"/>
      <c r="H2234" s="90"/>
      <c r="L2234" s="89"/>
      <c r="M2234" s="90"/>
    </row>
    <row r="2235" spans="7:13" x14ac:dyDescent="0.35">
      <c r="G2235" s="89"/>
      <c r="H2235" s="90"/>
      <c r="L2235" s="89"/>
      <c r="M2235" s="90"/>
    </row>
    <row r="2236" spans="7:13" x14ac:dyDescent="0.35">
      <c r="G2236" s="89"/>
      <c r="H2236" s="90"/>
      <c r="L2236" s="89"/>
      <c r="M2236" s="90"/>
    </row>
    <row r="2237" spans="7:13" x14ac:dyDescent="0.35">
      <c r="G2237" s="89"/>
      <c r="H2237" s="90"/>
      <c r="L2237" s="89"/>
      <c r="M2237" s="90"/>
    </row>
    <row r="2238" spans="7:13" x14ac:dyDescent="0.35">
      <c r="G2238" s="89"/>
      <c r="H2238" s="90"/>
      <c r="L2238" s="89"/>
      <c r="M2238" s="90"/>
    </row>
    <row r="2239" spans="7:13" x14ac:dyDescent="0.35">
      <c r="G2239" s="89"/>
      <c r="H2239" s="90"/>
      <c r="L2239" s="89"/>
      <c r="M2239" s="90"/>
    </row>
    <row r="2240" spans="7:13" x14ac:dyDescent="0.35">
      <c r="G2240" s="89"/>
      <c r="H2240" s="90"/>
      <c r="L2240" s="89"/>
      <c r="M2240" s="90"/>
    </row>
    <row r="2241" spans="7:13" x14ac:dyDescent="0.35">
      <c r="G2241" s="89"/>
      <c r="H2241" s="90"/>
      <c r="L2241" s="89"/>
      <c r="M2241" s="90"/>
    </row>
    <row r="2242" spans="7:13" x14ac:dyDescent="0.35">
      <c r="G2242" s="89"/>
      <c r="H2242" s="90"/>
      <c r="L2242" s="89"/>
      <c r="M2242" s="90"/>
    </row>
    <row r="2243" spans="7:13" x14ac:dyDescent="0.35">
      <c r="G2243" s="89"/>
      <c r="H2243" s="90"/>
      <c r="L2243" s="89"/>
      <c r="M2243" s="90"/>
    </row>
    <row r="2244" spans="7:13" x14ac:dyDescent="0.35">
      <c r="G2244" s="89"/>
      <c r="H2244" s="90"/>
      <c r="L2244" s="89"/>
      <c r="M2244" s="90"/>
    </row>
    <row r="2245" spans="7:13" x14ac:dyDescent="0.35">
      <c r="G2245" s="89"/>
      <c r="H2245" s="90"/>
      <c r="L2245" s="89"/>
      <c r="M2245" s="90"/>
    </row>
    <row r="2246" spans="7:13" x14ac:dyDescent="0.35">
      <c r="G2246" s="89"/>
      <c r="H2246" s="90"/>
      <c r="L2246" s="89"/>
      <c r="M2246" s="90"/>
    </row>
    <row r="2247" spans="7:13" x14ac:dyDescent="0.35">
      <c r="G2247" s="89"/>
      <c r="H2247" s="90"/>
      <c r="L2247" s="89"/>
      <c r="M2247" s="90"/>
    </row>
    <row r="2248" spans="7:13" x14ac:dyDescent="0.35">
      <c r="G2248" s="89"/>
      <c r="H2248" s="90"/>
      <c r="L2248" s="89"/>
      <c r="M2248" s="90"/>
    </row>
    <row r="2249" spans="7:13" x14ac:dyDescent="0.35">
      <c r="G2249" s="89"/>
      <c r="H2249" s="90"/>
      <c r="L2249" s="89"/>
      <c r="M2249" s="90"/>
    </row>
    <row r="2250" spans="7:13" x14ac:dyDescent="0.35">
      <c r="G2250" s="89"/>
      <c r="H2250" s="90"/>
      <c r="L2250" s="89"/>
      <c r="M2250" s="90"/>
    </row>
    <row r="2251" spans="7:13" x14ac:dyDescent="0.35">
      <c r="G2251" s="89"/>
      <c r="H2251" s="90"/>
      <c r="L2251" s="89"/>
      <c r="M2251" s="90"/>
    </row>
    <row r="2252" spans="7:13" x14ac:dyDescent="0.35">
      <c r="G2252" s="89"/>
      <c r="H2252" s="90"/>
      <c r="L2252" s="89"/>
      <c r="M2252" s="90"/>
    </row>
    <row r="2253" spans="7:13" x14ac:dyDescent="0.35">
      <c r="G2253" s="89"/>
      <c r="H2253" s="90"/>
      <c r="L2253" s="89"/>
      <c r="M2253" s="90"/>
    </row>
    <row r="2254" spans="7:13" x14ac:dyDescent="0.35">
      <c r="G2254" s="89"/>
      <c r="H2254" s="90"/>
      <c r="L2254" s="89"/>
      <c r="M2254" s="90"/>
    </row>
    <row r="2255" spans="7:13" x14ac:dyDescent="0.35">
      <c r="G2255" s="89"/>
      <c r="H2255" s="90"/>
      <c r="L2255" s="89"/>
      <c r="M2255" s="90"/>
    </row>
    <row r="2256" spans="7:13" x14ac:dyDescent="0.35">
      <c r="G2256" s="89"/>
      <c r="H2256" s="90"/>
      <c r="L2256" s="89"/>
      <c r="M2256" s="90"/>
    </row>
    <row r="2257" spans="7:13" x14ac:dyDescent="0.35">
      <c r="G2257" s="89"/>
      <c r="H2257" s="90"/>
      <c r="L2257" s="89"/>
      <c r="M2257" s="90"/>
    </row>
    <row r="2258" spans="7:13" x14ac:dyDescent="0.35">
      <c r="G2258" s="89"/>
      <c r="H2258" s="90"/>
      <c r="L2258" s="89"/>
      <c r="M2258" s="90"/>
    </row>
    <row r="2259" spans="7:13" x14ac:dyDescent="0.35">
      <c r="G2259" s="89"/>
      <c r="H2259" s="90"/>
      <c r="L2259" s="89"/>
      <c r="M2259" s="90"/>
    </row>
    <row r="2260" spans="7:13" x14ac:dyDescent="0.35">
      <c r="G2260" s="89"/>
      <c r="H2260" s="90"/>
      <c r="L2260" s="89"/>
      <c r="M2260" s="90"/>
    </row>
    <row r="2261" spans="7:13" x14ac:dyDescent="0.35">
      <c r="G2261" s="89"/>
      <c r="H2261" s="90"/>
      <c r="L2261" s="89"/>
      <c r="M2261" s="90"/>
    </row>
    <row r="2262" spans="7:13" x14ac:dyDescent="0.35">
      <c r="G2262" s="89"/>
      <c r="H2262" s="90"/>
      <c r="L2262" s="89"/>
      <c r="M2262" s="90"/>
    </row>
    <row r="2263" spans="7:13" x14ac:dyDescent="0.35">
      <c r="G2263" s="89"/>
      <c r="H2263" s="90"/>
      <c r="L2263" s="89"/>
      <c r="M2263" s="90"/>
    </row>
    <row r="2264" spans="7:13" x14ac:dyDescent="0.35">
      <c r="G2264" s="89"/>
      <c r="H2264" s="90"/>
      <c r="L2264" s="89"/>
      <c r="M2264" s="90"/>
    </row>
    <row r="2265" spans="7:13" x14ac:dyDescent="0.35">
      <c r="G2265" s="89"/>
      <c r="H2265" s="90"/>
      <c r="L2265" s="89"/>
      <c r="M2265" s="90"/>
    </row>
    <row r="2266" spans="7:13" x14ac:dyDescent="0.35">
      <c r="G2266" s="89"/>
      <c r="H2266" s="90"/>
      <c r="L2266" s="89"/>
      <c r="M2266" s="90"/>
    </row>
    <row r="2267" spans="7:13" x14ac:dyDescent="0.35">
      <c r="G2267" s="89"/>
      <c r="H2267" s="90"/>
      <c r="L2267" s="89"/>
      <c r="M2267" s="90"/>
    </row>
    <row r="2268" spans="7:13" x14ac:dyDescent="0.35">
      <c r="G2268" s="89"/>
      <c r="H2268" s="90"/>
      <c r="L2268" s="89"/>
      <c r="M2268" s="90"/>
    </row>
    <row r="2269" spans="7:13" x14ac:dyDescent="0.35">
      <c r="G2269" s="89"/>
      <c r="H2269" s="90"/>
      <c r="L2269" s="89"/>
      <c r="M2269" s="90"/>
    </row>
    <row r="2270" spans="7:13" x14ac:dyDescent="0.35">
      <c r="G2270" s="89"/>
      <c r="H2270" s="90"/>
      <c r="L2270" s="89"/>
      <c r="M2270" s="90"/>
    </row>
    <row r="2271" spans="7:13" x14ac:dyDescent="0.35">
      <c r="G2271" s="89"/>
      <c r="H2271" s="90"/>
      <c r="L2271" s="89"/>
      <c r="M2271" s="90"/>
    </row>
    <row r="2272" spans="7:13" x14ac:dyDescent="0.35">
      <c r="G2272" s="89"/>
      <c r="H2272" s="90"/>
      <c r="L2272" s="89"/>
      <c r="M2272" s="90"/>
    </row>
    <row r="2273" spans="7:13" x14ac:dyDescent="0.35">
      <c r="G2273" s="89"/>
      <c r="H2273" s="90"/>
      <c r="L2273" s="89"/>
      <c r="M2273" s="90"/>
    </row>
    <row r="2274" spans="7:13" x14ac:dyDescent="0.35">
      <c r="G2274" s="89"/>
      <c r="H2274" s="90"/>
      <c r="L2274" s="89"/>
      <c r="M2274" s="90"/>
    </row>
    <row r="2275" spans="7:13" x14ac:dyDescent="0.35">
      <c r="G2275" s="89"/>
      <c r="H2275" s="90"/>
      <c r="L2275" s="89"/>
      <c r="M2275" s="90"/>
    </row>
    <row r="2276" spans="7:13" x14ac:dyDescent="0.35">
      <c r="G2276" s="89"/>
      <c r="H2276" s="90"/>
      <c r="L2276" s="89"/>
      <c r="M2276" s="90"/>
    </row>
    <row r="2277" spans="7:13" x14ac:dyDescent="0.35">
      <c r="G2277" s="89"/>
      <c r="H2277" s="90"/>
      <c r="L2277" s="89"/>
      <c r="M2277" s="90"/>
    </row>
    <row r="2278" spans="7:13" x14ac:dyDescent="0.35">
      <c r="G2278" s="89"/>
      <c r="H2278" s="90"/>
      <c r="L2278" s="89"/>
      <c r="M2278" s="90"/>
    </row>
    <row r="2279" spans="7:13" x14ac:dyDescent="0.35">
      <c r="G2279" s="89"/>
      <c r="H2279" s="90"/>
      <c r="L2279" s="89"/>
      <c r="M2279" s="90"/>
    </row>
    <row r="2280" spans="7:13" x14ac:dyDescent="0.35">
      <c r="G2280" s="89"/>
      <c r="H2280" s="90"/>
      <c r="L2280" s="89"/>
      <c r="M2280" s="90"/>
    </row>
    <row r="2281" spans="7:13" x14ac:dyDescent="0.35">
      <c r="G2281" s="89"/>
      <c r="H2281" s="90"/>
      <c r="L2281" s="89"/>
      <c r="M2281" s="90"/>
    </row>
    <row r="2282" spans="7:13" x14ac:dyDescent="0.35">
      <c r="G2282" s="89"/>
      <c r="H2282" s="90"/>
      <c r="L2282" s="89"/>
      <c r="M2282" s="90"/>
    </row>
    <row r="2283" spans="7:13" x14ac:dyDescent="0.35">
      <c r="G2283" s="89"/>
      <c r="H2283" s="90"/>
      <c r="L2283" s="89"/>
      <c r="M2283" s="90"/>
    </row>
    <row r="2284" spans="7:13" x14ac:dyDescent="0.35">
      <c r="G2284" s="89"/>
      <c r="H2284" s="90"/>
      <c r="L2284" s="89"/>
      <c r="M2284" s="90"/>
    </row>
    <row r="2285" spans="7:13" x14ac:dyDescent="0.35">
      <c r="G2285" s="89"/>
      <c r="H2285" s="90"/>
      <c r="L2285" s="89"/>
      <c r="M2285" s="90"/>
    </row>
    <row r="2286" spans="7:13" x14ac:dyDescent="0.35">
      <c r="G2286" s="89"/>
      <c r="H2286" s="90"/>
      <c r="L2286" s="89"/>
      <c r="M2286" s="90"/>
    </row>
    <row r="2287" spans="7:13" x14ac:dyDescent="0.35">
      <c r="G2287" s="89"/>
      <c r="H2287" s="90"/>
      <c r="L2287" s="89"/>
      <c r="M2287" s="90"/>
    </row>
    <row r="2288" spans="7:13" x14ac:dyDescent="0.35">
      <c r="G2288" s="89"/>
      <c r="H2288" s="90"/>
      <c r="L2288" s="89"/>
      <c r="M2288" s="90"/>
    </row>
    <row r="2289" spans="7:13" x14ac:dyDescent="0.35">
      <c r="G2289" s="89"/>
      <c r="H2289" s="90"/>
      <c r="L2289" s="89"/>
      <c r="M2289" s="90"/>
    </row>
    <row r="2290" spans="7:13" x14ac:dyDescent="0.35">
      <c r="G2290" s="89"/>
      <c r="H2290" s="90"/>
      <c r="L2290" s="89"/>
      <c r="M2290" s="90"/>
    </row>
    <row r="2291" spans="7:13" x14ac:dyDescent="0.35">
      <c r="G2291" s="89"/>
      <c r="H2291" s="90"/>
      <c r="L2291" s="89"/>
      <c r="M2291" s="90"/>
    </row>
    <row r="2292" spans="7:13" x14ac:dyDescent="0.35">
      <c r="G2292" s="89"/>
      <c r="H2292" s="90"/>
      <c r="L2292" s="89"/>
      <c r="M2292" s="90"/>
    </row>
    <row r="2293" spans="7:13" x14ac:dyDescent="0.35">
      <c r="G2293" s="89"/>
      <c r="H2293" s="90"/>
      <c r="L2293" s="89"/>
      <c r="M2293" s="90"/>
    </row>
    <row r="2294" spans="7:13" x14ac:dyDescent="0.35">
      <c r="G2294" s="89"/>
      <c r="H2294" s="90"/>
      <c r="L2294" s="89"/>
      <c r="M2294" s="90"/>
    </row>
    <row r="2295" spans="7:13" x14ac:dyDescent="0.35">
      <c r="G2295" s="89"/>
      <c r="H2295" s="90"/>
      <c r="L2295" s="89"/>
      <c r="M2295" s="90"/>
    </row>
    <row r="2296" spans="7:13" x14ac:dyDescent="0.35">
      <c r="G2296" s="89"/>
      <c r="H2296" s="90"/>
      <c r="L2296" s="89"/>
      <c r="M2296" s="90"/>
    </row>
    <row r="2297" spans="7:13" x14ac:dyDescent="0.35">
      <c r="G2297" s="89"/>
      <c r="H2297" s="90"/>
      <c r="L2297" s="89"/>
      <c r="M2297" s="90"/>
    </row>
    <row r="2298" spans="7:13" x14ac:dyDescent="0.35">
      <c r="G2298" s="89"/>
      <c r="H2298" s="90"/>
      <c r="L2298" s="89"/>
      <c r="M2298" s="90"/>
    </row>
    <row r="2299" spans="7:13" x14ac:dyDescent="0.35">
      <c r="G2299" s="89"/>
      <c r="H2299" s="90"/>
      <c r="L2299" s="89"/>
      <c r="M2299" s="90"/>
    </row>
    <row r="2300" spans="7:13" x14ac:dyDescent="0.35">
      <c r="G2300" s="89"/>
      <c r="H2300" s="90"/>
      <c r="L2300" s="89"/>
      <c r="M2300" s="90"/>
    </row>
    <row r="2301" spans="7:13" x14ac:dyDescent="0.35">
      <c r="G2301" s="89"/>
      <c r="H2301" s="90"/>
      <c r="L2301" s="89"/>
      <c r="M2301" s="90"/>
    </row>
    <row r="2302" spans="7:13" x14ac:dyDescent="0.35">
      <c r="G2302" s="89"/>
      <c r="H2302" s="90"/>
      <c r="L2302" s="89"/>
      <c r="M2302" s="90"/>
    </row>
    <row r="2303" spans="7:13" x14ac:dyDescent="0.35">
      <c r="G2303" s="89"/>
      <c r="H2303" s="90"/>
      <c r="L2303" s="89"/>
      <c r="M2303" s="90"/>
    </row>
    <row r="2304" spans="7:13" x14ac:dyDescent="0.35">
      <c r="G2304" s="89"/>
      <c r="H2304" s="90"/>
      <c r="L2304" s="89"/>
      <c r="M2304" s="90"/>
    </row>
    <row r="2305" spans="7:13" x14ac:dyDescent="0.35">
      <c r="G2305" s="89"/>
      <c r="H2305" s="90"/>
      <c r="L2305" s="89"/>
      <c r="M2305" s="90"/>
    </row>
    <row r="2306" spans="7:13" x14ac:dyDescent="0.35">
      <c r="G2306" s="89"/>
      <c r="H2306" s="90"/>
      <c r="L2306" s="89"/>
      <c r="M2306" s="90"/>
    </row>
    <row r="2307" spans="7:13" x14ac:dyDescent="0.35">
      <c r="G2307" s="89"/>
      <c r="H2307" s="90"/>
      <c r="L2307" s="89"/>
      <c r="M2307" s="90"/>
    </row>
    <row r="2308" spans="7:13" x14ac:dyDescent="0.35">
      <c r="G2308" s="89"/>
      <c r="H2308" s="90"/>
      <c r="L2308" s="89"/>
      <c r="M2308" s="90"/>
    </row>
    <row r="2309" spans="7:13" x14ac:dyDescent="0.35">
      <c r="G2309" s="89"/>
      <c r="H2309" s="90"/>
      <c r="L2309" s="89"/>
      <c r="M2309" s="90"/>
    </row>
    <row r="2310" spans="7:13" x14ac:dyDescent="0.35">
      <c r="G2310" s="89"/>
      <c r="H2310" s="90"/>
      <c r="L2310" s="89"/>
      <c r="M2310" s="90"/>
    </row>
    <row r="2311" spans="7:13" x14ac:dyDescent="0.35">
      <c r="G2311" s="89"/>
      <c r="H2311" s="90"/>
      <c r="L2311" s="89"/>
      <c r="M2311" s="90"/>
    </row>
    <row r="2312" spans="7:13" x14ac:dyDescent="0.35">
      <c r="G2312" s="89"/>
      <c r="H2312" s="90"/>
      <c r="L2312" s="89"/>
      <c r="M2312" s="90"/>
    </row>
    <row r="2313" spans="7:13" x14ac:dyDescent="0.35">
      <c r="G2313" s="89"/>
      <c r="H2313" s="90"/>
      <c r="L2313" s="89"/>
      <c r="M2313" s="90"/>
    </row>
    <row r="2314" spans="7:13" x14ac:dyDescent="0.35">
      <c r="G2314" s="89"/>
      <c r="H2314" s="90"/>
      <c r="L2314" s="89"/>
      <c r="M2314" s="90"/>
    </row>
    <row r="2315" spans="7:13" x14ac:dyDescent="0.35">
      <c r="G2315" s="89"/>
      <c r="H2315" s="90"/>
      <c r="L2315" s="89"/>
      <c r="M2315" s="90"/>
    </row>
    <row r="2316" spans="7:13" x14ac:dyDescent="0.35">
      <c r="G2316" s="89"/>
      <c r="H2316" s="90"/>
      <c r="L2316" s="89"/>
      <c r="M2316" s="90"/>
    </row>
    <row r="2317" spans="7:13" x14ac:dyDescent="0.35">
      <c r="G2317" s="89"/>
      <c r="H2317" s="90"/>
      <c r="L2317" s="89"/>
      <c r="M2317" s="90"/>
    </row>
    <row r="2318" spans="7:13" x14ac:dyDescent="0.35">
      <c r="G2318" s="89"/>
      <c r="H2318" s="90"/>
      <c r="L2318" s="89"/>
      <c r="M2318" s="90"/>
    </row>
    <row r="2319" spans="7:13" x14ac:dyDescent="0.35">
      <c r="G2319" s="89"/>
      <c r="H2319" s="90"/>
      <c r="L2319" s="89"/>
      <c r="M2319" s="90"/>
    </row>
    <row r="2320" spans="7:13" x14ac:dyDescent="0.35">
      <c r="G2320" s="89"/>
      <c r="H2320" s="90"/>
      <c r="L2320" s="89"/>
      <c r="M2320" s="90"/>
    </row>
    <row r="2321" spans="7:13" x14ac:dyDescent="0.35">
      <c r="G2321" s="89"/>
      <c r="H2321" s="90"/>
      <c r="L2321" s="89"/>
      <c r="M2321" s="90"/>
    </row>
    <row r="2322" spans="7:13" x14ac:dyDescent="0.35">
      <c r="G2322" s="89"/>
      <c r="H2322" s="90"/>
      <c r="L2322" s="89"/>
      <c r="M2322" s="90"/>
    </row>
    <row r="2323" spans="7:13" x14ac:dyDescent="0.35">
      <c r="G2323" s="89"/>
      <c r="H2323" s="90"/>
      <c r="L2323" s="89"/>
      <c r="M2323" s="90"/>
    </row>
    <row r="2324" spans="7:13" x14ac:dyDescent="0.35">
      <c r="G2324" s="89"/>
      <c r="H2324" s="90"/>
      <c r="L2324" s="89"/>
      <c r="M2324" s="90"/>
    </row>
    <row r="2325" spans="7:13" x14ac:dyDescent="0.35">
      <c r="G2325" s="89"/>
      <c r="H2325" s="90"/>
      <c r="L2325" s="89"/>
      <c r="M2325" s="90"/>
    </row>
    <row r="2326" spans="7:13" x14ac:dyDescent="0.35">
      <c r="G2326" s="89"/>
      <c r="H2326" s="90"/>
      <c r="L2326" s="89"/>
      <c r="M2326" s="90"/>
    </row>
    <row r="2327" spans="7:13" x14ac:dyDescent="0.35">
      <c r="G2327" s="89"/>
      <c r="H2327" s="90"/>
      <c r="L2327" s="89"/>
      <c r="M2327" s="90"/>
    </row>
    <row r="2328" spans="7:13" x14ac:dyDescent="0.35">
      <c r="G2328" s="89"/>
      <c r="H2328" s="90"/>
      <c r="L2328" s="89"/>
      <c r="M2328" s="90"/>
    </row>
    <row r="2329" spans="7:13" x14ac:dyDescent="0.35">
      <c r="G2329" s="89"/>
      <c r="H2329" s="90"/>
      <c r="L2329" s="89"/>
      <c r="M2329" s="90"/>
    </row>
    <row r="2330" spans="7:13" x14ac:dyDescent="0.35">
      <c r="G2330" s="89"/>
      <c r="H2330" s="90"/>
      <c r="L2330" s="89"/>
      <c r="M2330" s="90"/>
    </row>
    <row r="2331" spans="7:13" x14ac:dyDescent="0.35">
      <c r="G2331" s="89"/>
      <c r="H2331" s="90"/>
      <c r="L2331" s="89"/>
      <c r="M2331" s="90"/>
    </row>
    <row r="2332" spans="7:13" x14ac:dyDescent="0.35">
      <c r="G2332" s="89"/>
      <c r="H2332" s="90"/>
      <c r="L2332" s="89"/>
      <c r="M2332" s="90"/>
    </row>
    <row r="2333" spans="7:13" x14ac:dyDescent="0.35">
      <c r="G2333" s="89"/>
      <c r="H2333" s="90"/>
      <c r="L2333" s="89"/>
      <c r="M2333" s="90"/>
    </row>
    <row r="2334" spans="7:13" x14ac:dyDescent="0.35">
      <c r="G2334" s="89"/>
      <c r="H2334" s="90"/>
      <c r="L2334" s="89"/>
      <c r="M2334" s="90"/>
    </row>
    <row r="2335" spans="7:13" x14ac:dyDescent="0.35">
      <c r="G2335" s="89"/>
      <c r="H2335" s="90"/>
      <c r="L2335" s="89"/>
      <c r="M2335" s="90"/>
    </row>
    <row r="2336" spans="7:13" x14ac:dyDescent="0.35">
      <c r="G2336" s="89"/>
      <c r="H2336" s="90"/>
      <c r="L2336" s="89"/>
      <c r="M2336" s="90"/>
    </row>
    <row r="2337" spans="7:13" x14ac:dyDescent="0.35">
      <c r="G2337" s="89"/>
      <c r="H2337" s="90"/>
      <c r="L2337" s="89"/>
      <c r="M2337" s="90"/>
    </row>
    <row r="2338" spans="7:13" x14ac:dyDescent="0.35">
      <c r="G2338" s="89"/>
      <c r="H2338" s="90"/>
      <c r="L2338" s="89"/>
      <c r="M2338" s="90"/>
    </row>
    <row r="2339" spans="7:13" x14ac:dyDescent="0.35">
      <c r="G2339" s="89"/>
      <c r="H2339" s="90"/>
      <c r="L2339" s="89"/>
      <c r="M2339" s="90"/>
    </row>
    <row r="2340" spans="7:13" x14ac:dyDescent="0.35">
      <c r="G2340" s="89"/>
      <c r="H2340" s="90"/>
      <c r="L2340" s="89"/>
      <c r="M2340" s="90"/>
    </row>
    <row r="2341" spans="7:13" x14ac:dyDescent="0.35">
      <c r="G2341" s="89"/>
      <c r="H2341" s="90"/>
      <c r="L2341" s="89"/>
      <c r="M2341" s="90"/>
    </row>
    <row r="2342" spans="7:13" x14ac:dyDescent="0.35">
      <c r="G2342" s="89"/>
      <c r="H2342" s="90"/>
      <c r="L2342" s="89"/>
      <c r="M2342" s="90"/>
    </row>
    <row r="2343" spans="7:13" x14ac:dyDescent="0.35">
      <c r="G2343" s="89"/>
      <c r="H2343" s="90"/>
      <c r="L2343" s="89"/>
      <c r="M2343" s="90"/>
    </row>
    <row r="2344" spans="7:13" x14ac:dyDescent="0.35">
      <c r="G2344" s="89"/>
      <c r="H2344" s="90"/>
      <c r="L2344" s="89"/>
      <c r="M2344" s="90"/>
    </row>
    <row r="2345" spans="7:13" x14ac:dyDescent="0.35">
      <c r="G2345" s="89"/>
      <c r="H2345" s="90"/>
      <c r="L2345" s="89"/>
      <c r="M2345" s="90"/>
    </row>
    <row r="2346" spans="7:13" x14ac:dyDescent="0.35">
      <c r="G2346" s="89"/>
      <c r="H2346" s="90"/>
      <c r="L2346" s="89"/>
      <c r="M2346" s="90"/>
    </row>
    <row r="2347" spans="7:13" x14ac:dyDescent="0.35">
      <c r="G2347" s="89"/>
      <c r="H2347" s="90"/>
      <c r="L2347" s="89"/>
      <c r="M2347" s="90"/>
    </row>
    <row r="2348" spans="7:13" x14ac:dyDescent="0.35">
      <c r="G2348" s="89"/>
      <c r="H2348" s="90"/>
      <c r="L2348" s="89"/>
      <c r="M2348" s="90"/>
    </row>
    <row r="2349" spans="7:13" x14ac:dyDescent="0.35">
      <c r="G2349" s="89"/>
      <c r="H2349" s="90"/>
      <c r="L2349" s="89"/>
      <c r="M2349" s="90"/>
    </row>
    <row r="2350" spans="7:13" x14ac:dyDescent="0.35">
      <c r="G2350" s="89"/>
      <c r="H2350" s="90"/>
      <c r="L2350" s="89"/>
      <c r="M2350" s="90"/>
    </row>
    <row r="2351" spans="7:13" x14ac:dyDescent="0.35">
      <c r="G2351" s="89"/>
      <c r="H2351" s="90"/>
      <c r="L2351" s="89"/>
      <c r="M2351" s="90"/>
    </row>
    <row r="2352" spans="7:13" x14ac:dyDescent="0.35">
      <c r="G2352" s="89"/>
      <c r="H2352" s="90"/>
      <c r="L2352" s="89"/>
      <c r="M2352" s="90"/>
    </row>
    <row r="2353" spans="7:13" x14ac:dyDescent="0.35">
      <c r="G2353" s="89"/>
      <c r="H2353" s="90"/>
      <c r="L2353" s="89"/>
      <c r="M2353" s="90"/>
    </row>
    <row r="2354" spans="7:13" x14ac:dyDescent="0.35">
      <c r="G2354" s="89"/>
      <c r="H2354" s="90"/>
      <c r="L2354" s="89"/>
      <c r="M2354" s="90"/>
    </row>
    <row r="2355" spans="7:13" x14ac:dyDescent="0.35">
      <c r="G2355" s="89"/>
      <c r="H2355" s="90"/>
      <c r="L2355" s="89"/>
      <c r="M2355" s="90"/>
    </row>
    <row r="2356" spans="7:13" x14ac:dyDescent="0.35">
      <c r="G2356" s="89"/>
      <c r="H2356" s="90"/>
      <c r="L2356" s="89"/>
      <c r="M2356" s="90"/>
    </row>
    <row r="2357" spans="7:13" x14ac:dyDescent="0.35">
      <c r="G2357" s="89"/>
      <c r="H2357" s="90"/>
      <c r="L2357" s="89"/>
      <c r="M2357" s="90"/>
    </row>
    <row r="2358" spans="7:13" x14ac:dyDescent="0.35">
      <c r="G2358" s="89"/>
      <c r="H2358" s="90"/>
      <c r="L2358" s="89"/>
      <c r="M2358" s="90"/>
    </row>
    <row r="2359" spans="7:13" x14ac:dyDescent="0.35">
      <c r="G2359" s="89"/>
      <c r="H2359" s="90"/>
      <c r="L2359" s="89"/>
      <c r="M2359" s="90"/>
    </row>
    <row r="2360" spans="7:13" x14ac:dyDescent="0.35">
      <c r="G2360" s="89"/>
      <c r="H2360" s="90"/>
      <c r="L2360" s="89"/>
      <c r="M2360" s="90"/>
    </row>
    <row r="2361" spans="7:13" x14ac:dyDescent="0.35">
      <c r="G2361" s="89"/>
      <c r="H2361" s="90"/>
      <c r="L2361" s="89"/>
      <c r="M2361" s="90"/>
    </row>
    <row r="2362" spans="7:13" x14ac:dyDescent="0.35">
      <c r="G2362" s="89"/>
      <c r="H2362" s="90"/>
      <c r="L2362" s="89"/>
      <c r="M2362" s="90"/>
    </row>
    <row r="2363" spans="7:13" x14ac:dyDescent="0.35">
      <c r="G2363" s="89"/>
      <c r="H2363" s="90"/>
      <c r="L2363" s="89"/>
      <c r="M2363" s="90"/>
    </row>
    <row r="2364" spans="7:13" x14ac:dyDescent="0.35">
      <c r="G2364" s="89"/>
      <c r="H2364" s="90"/>
      <c r="L2364" s="89"/>
      <c r="M2364" s="90"/>
    </row>
    <row r="2365" spans="7:13" x14ac:dyDescent="0.35">
      <c r="G2365" s="89"/>
      <c r="H2365" s="90"/>
      <c r="L2365" s="89"/>
      <c r="M2365" s="90"/>
    </row>
    <row r="2366" spans="7:13" x14ac:dyDescent="0.35">
      <c r="G2366" s="89"/>
      <c r="H2366" s="90"/>
      <c r="L2366" s="89"/>
      <c r="M2366" s="90"/>
    </row>
    <row r="2367" spans="7:13" x14ac:dyDescent="0.35">
      <c r="G2367" s="89"/>
      <c r="H2367" s="90"/>
      <c r="L2367" s="89"/>
      <c r="M2367" s="90"/>
    </row>
    <row r="2368" spans="7:13" x14ac:dyDescent="0.35">
      <c r="G2368" s="89"/>
      <c r="H2368" s="90"/>
      <c r="L2368" s="89"/>
      <c r="M2368" s="90"/>
    </row>
    <row r="2369" spans="7:13" x14ac:dyDescent="0.35">
      <c r="G2369" s="89"/>
      <c r="H2369" s="90"/>
      <c r="L2369" s="89"/>
      <c r="M2369" s="90"/>
    </row>
    <row r="2370" spans="7:13" x14ac:dyDescent="0.35">
      <c r="G2370" s="89"/>
      <c r="H2370" s="90"/>
      <c r="L2370" s="89"/>
      <c r="M2370" s="90"/>
    </row>
    <row r="2371" spans="7:13" x14ac:dyDescent="0.35">
      <c r="G2371" s="89"/>
      <c r="H2371" s="90"/>
      <c r="L2371" s="89"/>
      <c r="M2371" s="90"/>
    </row>
    <row r="2372" spans="7:13" x14ac:dyDescent="0.35">
      <c r="G2372" s="89"/>
      <c r="H2372" s="90"/>
      <c r="L2372" s="89"/>
      <c r="M2372" s="90"/>
    </row>
    <row r="2373" spans="7:13" x14ac:dyDescent="0.35">
      <c r="G2373" s="89"/>
      <c r="H2373" s="90"/>
      <c r="L2373" s="89"/>
      <c r="M2373" s="90"/>
    </row>
    <row r="2374" spans="7:13" x14ac:dyDescent="0.35">
      <c r="G2374" s="89"/>
      <c r="H2374" s="90"/>
      <c r="L2374" s="89"/>
      <c r="M2374" s="90"/>
    </row>
    <row r="2375" spans="7:13" x14ac:dyDescent="0.35">
      <c r="G2375" s="89"/>
      <c r="H2375" s="90"/>
      <c r="L2375" s="89"/>
      <c r="M2375" s="90"/>
    </row>
    <row r="2376" spans="7:13" x14ac:dyDescent="0.35">
      <c r="G2376" s="89"/>
      <c r="H2376" s="90"/>
      <c r="L2376" s="89"/>
      <c r="M2376" s="90"/>
    </row>
    <row r="2377" spans="7:13" x14ac:dyDescent="0.35">
      <c r="G2377" s="89"/>
      <c r="H2377" s="90"/>
      <c r="L2377" s="89"/>
      <c r="M2377" s="90"/>
    </row>
    <row r="2378" spans="7:13" x14ac:dyDescent="0.35">
      <c r="G2378" s="89"/>
      <c r="H2378" s="90"/>
      <c r="L2378" s="89"/>
      <c r="M2378" s="90"/>
    </row>
    <row r="2379" spans="7:13" x14ac:dyDescent="0.35">
      <c r="G2379" s="89"/>
      <c r="H2379" s="90"/>
      <c r="L2379" s="89"/>
      <c r="M2379" s="90"/>
    </row>
    <row r="2380" spans="7:13" x14ac:dyDescent="0.35">
      <c r="G2380" s="89"/>
      <c r="H2380" s="90"/>
      <c r="L2380" s="89"/>
      <c r="M2380" s="90"/>
    </row>
    <row r="2381" spans="7:13" x14ac:dyDescent="0.35">
      <c r="G2381" s="89"/>
      <c r="H2381" s="90"/>
      <c r="L2381" s="89"/>
      <c r="M2381" s="90"/>
    </row>
    <row r="2382" spans="7:13" x14ac:dyDescent="0.35">
      <c r="G2382" s="89"/>
      <c r="H2382" s="90"/>
      <c r="L2382" s="89"/>
      <c r="M2382" s="90"/>
    </row>
    <row r="2383" spans="7:13" x14ac:dyDescent="0.35">
      <c r="G2383" s="89"/>
      <c r="H2383" s="90"/>
      <c r="L2383" s="89"/>
      <c r="M2383" s="90"/>
    </row>
    <row r="2384" spans="7:13" x14ac:dyDescent="0.35">
      <c r="G2384" s="89"/>
      <c r="H2384" s="90"/>
      <c r="L2384" s="89"/>
      <c r="M2384" s="90"/>
    </row>
    <row r="2385" spans="7:13" x14ac:dyDescent="0.35">
      <c r="G2385" s="89"/>
      <c r="H2385" s="90"/>
      <c r="L2385" s="89"/>
      <c r="M2385" s="90"/>
    </row>
    <row r="2386" spans="7:13" x14ac:dyDescent="0.35">
      <c r="G2386" s="89"/>
      <c r="H2386" s="90"/>
      <c r="L2386" s="89"/>
      <c r="M2386" s="90"/>
    </row>
    <row r="2387" spans="7:13" x14ac:dyDescent="0.35">
      <c r="G2387" s="89"/>
      <c r="H2387" s="90"/>
      <c r="L2387" s="89"/>
      <c r="M2387" s="90"/>
    </row>
    <row r="2388" spans="7:13" x14ac:dyDescent="0.35">
      <c r="G2388" s="89"/>
      <c r="H2388" s="90"/>
      <c r="L2388" s="89"/>
      <c r="M2388" s="90"/>
    </row>
    <row r="2389" spans="7:13" x14ac:dyDescent="0.35">
      <c r="G2389" s="89"/>
      <c r="H2389" s="90"/>
      <c r="L2389" s="89"/>
      <c r="M2389" s="90"/>
    </row>
    <row r="2390" spans="7:13" x14ac:dyDescent="0.35">
      <c r="G2390" s="89"/>
      <c r="H2390" s="90"/>
      <c r="L2390" s="89"/>
      <c r="M2390" s="90"/>
    </row>
    <row r="2391" spans="7:13" x14ac:dyDescent="0.35">
      <c r="G2391" s="89"/>
      <c r="H2391" s="90"/>
      <c r="L2391" s="89"/>
      <c r="M2391" s="90"/>
    </row>
    <row r="2392" spans="7:13" x14ac:dyDescent="0.35">
      <c r="G2392" s="89"/>
      <c r="H2392" s="90"/>
      <c r="L2392" s="89"/>
      <c r="M2392" s="90"/>
    </row>
    <row r="2393" spans="7:13" x14ac:dyDescent="0.35">
      <c r="G2393" s="89"/>
      <c r="H2393" s="90"/>
      <c r="L2393" s="89"/>
      <c r="M2393" s="90"/>
    </row>
    <row r="2394" spans="7:13" x14ac:dyDescent="0.35">
      <c r="G2394" s="89"/>
      <c r="H2394" s="90"/>
      <c r="L2394" s="89"/>
      <c r="M2394" s="90"/>
    </row>
    <row r="2395" spans="7:13" x14ac:dyDescent="0.35">
      <c r="G2395" s="89"/>
      <c r="H2395" s="90"/>
      <c r="L2395" s="89"/>
      <c r="M2395" s="90"/>
    </row>
    <row r="2396" spans="7:13" x14ac:dyDescent="0.35">
      <c r="G2396" s="89"/>
      <c r="H2396" s="90"/>
      <c r="L2396" s="89"/>
      <c r="M2396" s="90"/>
    </row>
    <row r="2397" spans="7:13" x14ac:dyDescent="0.35">
      <c r="G2397" s="89"/>
      <c r="H2397" s="90"/>
      <c r="L2397" s="89"/>
      <c r="M2397" s="90"/>
    </row>
    <row r="2398" spans="7:13" x14ac:dyDescent="0.35">
      <c r="G2398" s="89"/>
      <c r="H2398" s="90"/>
      <c r="L2398" s="89"/>
      <c r="M2398" s="90"/>
    </row>
    <row r="2399" spans="7:13" x14ac:dyDescent="0.35">
      <c r="G2399" s="89"/>
      <c r="H2399" s="90"/>
      <c r="L2399" s="89"/>
      <c r="M2399" s="90"/>
    </row>
    <row r="2400" spans="7:13" x14ac:dyDescent="0.35">
      <c r="G2400" s="89"/>
      <c r="H2400" s="90"/>
      <c r="L2400" s="89"/>
      <c r="M2400" s="90"/>
    </row>
    <row r="2401" spans="7:13" x14ac:dyDescent="0.35">
      <c r="G2401" s="89"/>
      <c r="H2401" s="90"/>
      <c r="L2401" s="89"/>
      <c r="M2401" s="90"/>
    </row>
    <row r="2402" spans="7:13" x14ac:dyDescent="0.35">
      <c r="G2402" s="89"/>
      <c r="H2402" s="90"/>
      <c r="L2402" s="89"/>
      <c r="M2402" s="90"/>
    </row>
    <row r="2403" spans="7:13" x14ac:dyDescent="0.35">
      <c r="G2403" s="89"/>
      <c r="H2403" s="90"/>
      <c r="L2403" s="89"/>
      <c r="M2403" s="90"/>
    </row>
    <row r="2404" spans="7:13" x14ac:dyDescent="0.35">
      <c r="G2404" s="89"/>
      <c r="H2404" s="90"/>
      <c r="L2404" s="89"/>
      <c r="M2404" s="90"/>
    </row>
    <row r="2405" spans="7:13" x14ac:dyDescent="0.35">
      <c r="G2405" s="89"/>
      <c r="H2405" s="90"/>
      <c r="L2405" s="89"/>
      <c r="M2405" s="90"/>
    </row>
    <row r="2406" spans="7:13" x14ac:dyDescent="0.35">
      <c r="G2406" s="89"/>
      <c r="H2406" s="90"/>
      <c r="L2406" s="89"/>
      <c r="M2406" s="90"/>
    </row>
    <row r="2407" spans="7:13" x14ac:dyDescent="0.35">
      <c r="G2407" s="89"/>
      <c r="H2407" s="90"/>
      <c r="L2407" s="89"/>
      <c r="M2407" s="90"/>
    </row>
    <row r="2408" spans="7:13" x14ac:dyDescent="0.35">
      <c r="G2408" s="89"/>
      <c r="H2408" s="90"/>
      <c r="L2408" s="89"/>
      <c r="M2408" s="90"/>
    </row>
    <row r="2409" spans="7:13" x14ac:dyDescent="0.35">
      <c r="G2409" s="89"/>
      <c r="H2409" s="90"/>
      <c r="L2409" s="89"/>
      <c r="M2409" s="90"/>
    </row>
    <row r="2410" spans="7:13" x14ac:dyDescent="0.35">
      <c r="G2410" s="89"/>
      <c r="H2410" s="90"/>
      <c r="L2410" s="89"/>
      <c r="M2410" s="90"/>
    </row>
    <row r="2411" spans="7:13" x14ac:dyDescent="0.35">
      <c r="G2411" s="89"/>
      <c r="H2411" s="90"/>
      <c r="L2411" s="89"/>
      <c r="M2411" s="90"/>
    </row>
    <row r="2412" spans="7:13" x14ac:dyDescent="0.35">
      <c r="G2412" s="89"/>
      <c r="H2412" s="90"/>
      <c r="L2412" s="89"/>
      <c r="M2412" s="90"/>
    </row>
    <row r="2413" spans="7:13" x14ac:dyDescent="0.35">
      <c r="G2413" s="89"/>
      <c r="H2413" s="90"/>
      <c r="L2413" s="89"/>
      <c r="M2413" s="90"/>
    </row>
    <row r="2414" spans="7:13" x14ac:dyDescent="0.35">
      <c r="G2414" s="89"/>
      <c r="H2414" s="90"/>
      <c r="L2414" s="89"/>
      <c r="M2414" s="90"/>
    </row>
    <row r="2415" spans="7:13" x14ac:dyDescent="0.35">
      <c r="G2415" s="89"/>
      <c r="H2415" s="90"/>
      <c r="L2415" s="89"/>
      <c r="M2415" s="90"/>
    </row>
    <row r="2416" spans="7:13" x14ac:dyDescent="0.35">
      <c r="G2416" s="89"/>
      <c r="H2416" s="90"/>
      <c r="L2416" s="89"/>
      <c r="M2416" s="90"/>
    </row>
    <row r="2417" spans="7:13" x14ac:dyDescent="0.35">
      <c r="G2417" s="89"/>
      <c r="H2417" s="90"/>
      <c r="L2417" s="89"/>
      <c r="M2417" s="90"/>
    </row>
    <row r="2418" spans="7:13" x14ac:dyDescent="0.35">
      <c r="G2418" s="89"/>
      <c r="H2418" s="90"/>
      <c r="L2418" s="89"/>
      <c r="M2418" s="90"/>
    </row>
    <row r="2419" spans="7:13" x14ac:dyDescent="0.35">
      <c r="G2419" s="89"/>
      <c r="H2419" s="90"/>
      <c r="L2419" s="89"/>
      <c r="M2419" s="90"/>
    </row>
    <row r="2420" spans="7:13" x14ac:dyDescent="0.35">
      <c r="G2420" s="89"/>
      <c r="H2420" s="90"/>
      <c r="L2420" s="89"/>
      <c r="M2420" s="90"/>
    </row>
    <row r="2421" spans="7:13" x14ac:dyDescent="0.35">
      <c r="G2421" s="89"/>
      <c r="H2421" s="90"/>
      <c r="L2421" s="89"/>
      <c r="M2421" s="90"/>
    </row>
    <row r="2422" spans="7:13" x14ac:dyDescent="0.35">
      <c r="G2422" s="89"/>
      <c r="H2422" s="90"/>
      <c r="L2422" s="89"/>
      <c r="M2422" s="90"/>
    </row>
    <row r="2423" spans="7:13" x14ac:dyDescent="0.35">
      <c r="G2423" s="89"/>
      <c r="H2423" s="90"/>
      <c r="L2423" s="89"/>
      <c r="M2423" s="90"/>
    </row>
    <row r="2424" spans="7:13" x14ac:dyDescent="0.35">
      <c r="G2424" s="89"/>
      <c r="H2424" s="90"/>
      <c r="L2424" s="89"/>
      <c r="M2424" s="90"/>
    </row>
    <row r="2425" spans="7:13" x14ac:dyDescent="0.35">
      <c r="G2425" s="89"/>
      <c r="H2425" s="90"/>
      <c r="L2425" s="89"/>
      <c r="M2425" s="90"/>
    </row>
    <row r="2426" spans="7:13" x14ac:dyDescent="0.35">
      <c r="G2426" s="89"/>
      <c r="H2426" s="90"/>
      <c r="L2426" s="89"/>
      <c r="M2426" s="90"/>
    </row>
    <row r="2427" spans="7:13" x14ac:dyDescent="0.35">
      <c r="G2427" s="89"/>
      <c r="H2427" s="90"/>
      <c r="L2427" s="89"/>
      <c r="M2427" s="90"/>
    </row>
    <row r="2428" spans="7:13" x14ac:dyDescent="0.35">
      <c r="G2428" s="89"/>
      <c r="H2428" s="90"/>
      <c r="L2428" s="89"/>
      <c r="M2428" s="90"/>
    </row>
    <row r="2429" spans="7:13" x14ac:dyDescent="0.35">
      <c r="G2429" s="89"/>
      <c r="H2429" s="90"/>
      <c r="L2429" s="89"/>
      <c r="M2429" s="90"/>
    </row>
    <row r="2430" spans="7:13" x14ac:dyDescent="0.35">
      <c r="G2430" s="89"/>
      <c r="H2430" s="90"/>
      <c r="L2430" s="89"/>
      <c r="M2430" s="90"/>
    </row>
    <row r="2431" spans="7:13" x14ac:dyDescent="0.35">
      <c r="G2431" s="89"/>
      <c r="H2431" s="90"/>
      <c r="L2431" s="89"/>
      <c r="M2431" s="90"/>
    </row>
    <row r="2432" spans="7:13" x14ac:dyDescent="0.35">
      <c r="G2432" s="89"/>
      <c r="H2432" s="90"/>
      <c r="L2432" s="89"/>
      <c r="M2432" s="90"/>
    </row>
    <row r="2433" spans="7:13" x14ac:dyDescent="0.35">
      <c r="G2433" s="89"/>
      <c r="H2433" s="90"/>
      <c r="L2433" s="89"/>
      <c r="M2433" s="90"/>
    </row>
    <row r="2434" spans="7:13" x14ac:dyDescent="0.35">
      <c r="G2434" s="89"/>
      <c r="H2434" s="90"/>
      <c r="L2434" s="89"/>
      <c r="M2434" s="90"/>
    </row>
    <row r="2435" spans="7:13" x14ac:dyDescent="0.35">
      <c r="G2435" s="89"/>
      <c r="H2435" s="90"/>
      <c r="L2435" s="89"/>
      <c r="M2435" s="90"/>
    </row>
    <row r="2436" spans="7:13" x14ac:dyDescent="0.35">
      <c r="G2436" s="89"/>
      <c r="H2436" s="90"/>
      <c r="L2436" s="89"/>
      <c r="M2436" s="90"/>
    </row>
    <row r="2437" spans="7:13" x14ac:dyDescent="0.35">
      <c r="G2437" s="89"/>
      <c r="H2437" s="90"/>
      <c r="L2437" s="89"/>
      <c r="M2437" s="90"/>
    </row>
    <row r="2438" spans="7:13" x14ac:dyDescent="0.35">
      <c r="G2438" s="89"/>
      <c r="H2438" s="90"/>
      <c r="L2438" s="89"/>
      <c r="M2438" s="90"/>
    </row>
    <row r="2439" spans="7:13" x14ac:dyDescent="0.35">
      <c r="G2439" s="89"/>
      <c r="H2439" s="90"/>
      <c r="L2439" s="89"/>
      <c r="M2439" s="90"/>
    </row>
    <row r="2440" spans="7:13" x14ac:dyDescent="0.35">
      <c r="G2440" s="89"/>
      <c r="H2440" s="90"/>
      <c r="L2440" s="89"/>
      <c r="M2440" s="90"/>
    </row>
    <row r="2441" spans="7:13" x14ac:dyDescent="0.35">
      <c r="G2441" s="89"/>
      <c r="H2441" s="90"/>
      <c r="L2441" s="89"/>
      <c r="M2441" s="90"/>
    </row>
    <row r="2442" spans="7:13" x14ac:dyDescent="0.35">
      <c r="G2442" s="89"/>
      <c r="H2442" s="90"/>
      <c r="L2442" s="89"/>
      <c r="M2442" s="90"/>
    </row>
    <row r="2443" spans="7:13" x14ac:dyDescent="0.35">
      <c r="G2443" s="89"/>
      <c r="H2443" s="90"/>
      <c r="L2443" s="89"/>
      <c r="M2443" s="90"/>
    </row>
    <row r="2444" spans="7:13" x14ac:dyDescent="0.35">
      <c r="G2444" s="89"/>
      <c r="H2444" s="90"/>
      <c r="L2444" s="89"/>
      <c r="M2444" s="90"/>
    </row>
    <row r="2445" spans="7:13" x14ac:dyDescent="0.35">
      <c r="G2445" s="89"/>
      <c r="H2445" s="90"/>
      <c r="L2445" s="89"/>
      <c r="M2445" s="90"/>
    </row>
    <row r="2446" spans="7:13" x14ac:dyDescent="0.35">
      <c r="G2446" s="89"/>
      <c r="H2446" s="90"/>
      <c r="L2446" s="89"/>
      <c r="M2446" s="90"/>
    </row>
    <row r="2447" spans="7:13" x14ac:dyDescent="0.35">
      <c r="G2447" s="89"/>
      <c r="H2447" s="90"/>
      <c r="L2447" s="89"/>
      <c r="M2447" s="90"/>
    </row>
    <row r="2448" spans="7:13" x14ac:dyDescent="0.35">
      <c r="G2448" s="89"/>
      <c r="H2448" s="90"/>
      <c r="L2448" s="89"/>
      <c r="M2448" s="90"/>
    </row>
    <row r="2449" spans="7:13" x14ac:dyDescent="0.35">
      <c r="G2449" s="89"/>
      <c r="H2449" s="90"/>
      <c r="L2449" s="89"/>
      <c r="M2449" s="90"/>
    </row>
    <row r="2450" spans="7:13" x14ac:dyDescent="0.35">
      <c r="G2450" s="89"/>
      <c r="H2450" s="90"/>
      <c r="L2450" s="89"/>
      <c r="M2450" s="90"/>
    </row>
    <row r="2451" spans="7:13" x14ac:dyDescent="0.35">
      <c r="G2451" s="89"/>
      <c r="H2451" s="90"/>
      <c r="L2451" s="89"/>
      <c r="M2451" s="90"/>
    </row>
    <row r="2452" spans="7:13" x14ac:dyDescent="0.35">
      <c r="G2452" s="89"/>
      <c r="H2452" s="90"/>
      <c r="L2452" s="89"/>
      <c r="M2452" s="90"/>
    </row>
    <row r="2453" spans="7:13" x14ac:dyDescent="0.35">
      <c r="G2453" s="89"/>
      <c r="H2453" s="90"/>
      <c r="L2453" s="89"/>
      <c r="M2453" s="90"/>
    </row>
    <row r="2454" spans="7:13" x14ac:dyDescent="0.35">
      <c r="G2454" s="89"/>
      <c r="H2454" s="90"/>
      <c r="L2454" s="89"/>
      <c r="M2454" s="90"/>
    </row>
    <row r="2455" spans="7:13" x14ac:dyDescent="0.35">
      <c r="G2455" s="89"/>
      <c r="H2455" s="90"/>
      <c r="L2455" s="89"/>
      <c r="M2455" s="90"/>
    </row>
    <row r="2456" spans="7:13" x14ac:dyDescent="0.35">
      <c r="G2456" s="89"/>
      <c r="H2456" s="90"/>
      <c r="L2456" s="89"/>
      <c r="M2456" s="90"/>
    </row>
    <row r="2457" spans="7:13" x14ac:dyDescent="0.35">
      <c r="G2457" s="89"/>
      <c r="H2457" s="90"/>
      <c r="L2457" s="89"/>
      <c r="M2457" s="90"/>
    </row>
    <row r="2458" spans="7:13" x14ac:dyDescent="0.35">
      <c r="G2458" s="89"/>
      <c r="H2458" s="90"/>
      <c r="L2458" s="89"/>
      <c r="M2458" s="90"/>
    </row>
    <row r="2459" spans="7:13" x14ac:dyDescent="0.35">
      <c r="G2459" s="89"/>
      <c r="H2459" s="90"/>
      <c r="L2459" s="89"/>
      <c r="M2459" s="90"/>
    </row>
    <row r="2460" spans="7:13" x14ac:dyDescent="0.35">
      <c r="G2460" s="89"/>
      <c r="H2460" s="90"/>
      <c r="L2460" s="89"/>
      <c r="M2460" s="90"/>
    </row>
    <row r="2461" spans="7:13" x14ac:dyDescent="0.35">
      <c r="G2461" s="89"/>
      <c r="H2461" s="90"/>
      <c r="L2461" s="89"/>
      <c r="M2461" s="90"/>
    </row>
    <row r="2462" spans="7:13" x14ac:dyDescent="0.35">
      <c r="G2462" s="89"/>
      <c r="H2462" s="90"/>
      <c r="L2462" s="89"/>
      <c r="M2462" s="90"/>
    </row>
    <row r="2463" spans="7:13" x14ac:dyDescent="0.35">
      <c r="G2463" s="89"/>
      <c r="H2463" s="90"/>
      <c r="L2463" s="89"/>
      <c r="M2463" s="90"/>
    </row>
    <row r="2464" spans="7:13" x14ac:dyDescent="0.35">
      <c r="G2464" s="89"/>
      <c r="H2464" s="90"/>
      <c r="L2464" s="89"/>
      <c r="M2464" s="90"/>
    </row>
    <row r="2465" spans="7:13" x14ac:dyDescent="0.35">
      <c r="G2465" s="89"/>
      <c r="H2465" s="90"/>
      <c r="L2465" s="89"/>
      <c r="M2465" s="90"/>
    </row>
    <row r="2466" spans="7:13" x14ac:dyDescent="0.35">
      <c r="G2466" s="89"/>
      <c r="H2466" s="90"/>
      <c r="L2466" s="89"/>
      <c r="M2466" s="90"/>
    </row>
    <row r="2467" spans="7:13" x14ac:dyDescent="0.35">
      <c r="G2467" s="89"/>
      <c r="H2467" s="90"/>
      <c r="L2467" s="89"/>
      <c r="M2467" s="90"/>
    </row>
    <row r="2468" spans="7:13" x14ac:dyDescent="0.35">
      <c r="G2468" s="89"/>
      <c r="H2468" s="90"/>
      <c r="L2468" s="89"/>
      <c r="M2468" s="90"/>
    </row>
    <row r="2469" spans="7:13" x14ac:dyDescent="0.35">
      <c r="G2469" s="89"/>
      <c r="H2469" s="90"/>
      <c r="L2469" s="89"/>
      <c r="M2469" s="90"/>
    </row>
    <row r="2470" spans="7:13" x14ac:dyDescent="0.35">
      <c r="G2470" s="89"/>
      <c r="H2470" s="90"/>
      <c r="L2470" s="89"/>
      <c r="M2470" s="90"/>
    </row>
    <row r="2471" spans="7:13" x14ac:dyDescent="0.35">
      <c r="G2471" s="89"/>
      <c r="H2471" s="90"/>
      <c r="L2471" s="89"/>
      <c r="M2471" s="90"/>
    </row>
    <row r="2472" spans="7:13" x14ac:dyDescent="0.35">
      <c r="G2472" s="89"/>
      <c r="H2472" s="90"/>
      <c r="L2472" s="89"/>
      <c r="M2472" s="90"/>
    </row>
    <row r="2473" spans="7:13" x14ac:dyDescent="0.35">
      <c r="G2473" s="89"/>
      <c r="H2473" s="90"/>
      <c r="L2473" s="89"/>
      <c r="M2473" s="90"/>
    </row>
    <row r="2474" spans="7:13" x14ac:dyDescent="0.35">
      <c r="G2474" s="89"/>
      <c r="H2474" s="90"/>
      <c r="L2474" s="89"/>
      <c r="M2474" s="90"/>
    </row>
    <row r="2475" spans="7:13" x14ac:dyDescent="0.35">
      <c r="G2475" s="89"/>
      <c r="H2475" s="90"/>
      <c r="L2475" s="89"/>
      <c r="M2475" s="90"/>
    </row>
    <row r="2476" spans="7:13" x14ac:dyDescent="0.35">
      <c r="G2476" s="89"/>
      <c r="H2476" s="90"/>
      <c r="L2476" s="89"/>
      <c r="M2476" s="90"/>
    </row>
    <row r="2477" spans="7:13" x14ac:dyDescent="0.35">
      <c r="G2477" s="89"/>
      <c r="H2477" s="90"/>
      <c r="L2477" s="89"/>
      <c r="M2477" s="90"/>
    </row>
    <row r="2478" spans="7:13" x14ac:dyDescent="0.35">
      <c r="G2478" s="89"/>
      <c r="H2478" s="90"/>
      <c r="L2478" s="89"/>
      <c r="M2478" s="90"/>
    </row>
    <row r="2479" spans="7:13" x14ac:dyDescent="0.35">
      <c r="G2479" s="89"/>
      <c r="H2479" s="90"/>
      <c r="L2479" s="89"/>
      <c r="M2479" s="90"/>
    </row>
    <row r="2480" spans="7:13" x14ac:dyDescent="0.35">
      <c r="G2480" s="89"/>
      <c r="H2480" s="90"/>
      <c r="L2480" s="89"/>
      <c r="M2480" s="90"/>
    </row>
    <row r="2481" spans="7:13" x14ac:dyDescent="0.35">
      <c r="G2481" s="89"/>
      <c r="H2481" s="90"/>
      <c r="L2481" s="89"/>
      <c r="M2481" s="90"/>
    </row>
    <row r="2482" spans="7:13" x14ac:dyDescent="0.35">
      <c r="G2482" s="89"/>
      <c r="H2482" s="90"/>
      <c r="L2482" s="89"/>
      <c r="M2482" s="90"/>
    </row>
    <row r="2483" spans="7:13" x14ac:dyDescent="0.35">
      <c r="G2483" s="89"/>
      <c r="H2483" s="90"/>
      <c r="L2483" s="89"/>
      <c r="M2483" s="90"/>
    </row>
    <row r="2484" spans="7:13" x14ac:dyDescent="0.35">
      <c r="G2484" s="89"/>
      <c r="H2484" s="90"/>
      <c r="L2484" s="89"/>
      <c r="M2484" s="90"/>
    </row>
    <row r="2485" spans="7:13" x14ac:dyDescent="0.35">
      <c r="G2485" s="89"/>
      <c r="H2485" s="90"/>
      <c r="L2485" s="89"/>
      <c r="M2485" s="90"/>
    </row>
    <row r="2486" spans="7:13" x14ac:dyDescent="0.35">
      <c r="G2486" s="89"/>
      <c r="H2486" s="90"/>
      <c r="L2486" s="89"/>
      <c r="M2486" s="90"/>
    </row>
    <row r="2487" spans="7:13" x14ac:dyDescent="0.35">
      <c r="G2487" s="89"/>
      <c r="H2487" s="90"/>
      <c r="L2487" s="89"/>
      <c r="M2487" s="90"/>
    </row>
    <row r="2488" spans="7:13" x14ac:dyDescent="0.35">
      <c r="G2488" s="89"/>
      <c r="H2488" s="90"/>
      <c r="L2488" s="89"/>
      <c r="M2488" s="90"/>
    </row>
    <row r="2489" spans="7:13" x14ac:dyDescent="0.35">
      <c r="G2489" s="89"/>
      <c r="H2489" s="90"/>
      <c r="L2489" s="89"/>
      <c r="M2489" s="90"/>
    </row>
    <row r="2490" spans="7:13" x14ac:dyDescent="0.35">
      <c r="G2490" s="89"/>
      <c r="H2490" s="90"/>
      <c r="L2490" s="89"/>
      <c r="M2490" s="90"/>
    </row>
    <row r="2491" spans="7:13" x14ac:dyDescent="0.35">
      <c r="G2491" s="89"/>
      <c r="H2491" s="90"/>
      <c r="L2491" s="89"/>
      <c r="M2491" s="90"/>
    </row>
    <row r="2492" spans="7:13" x14ac:dyDescent="0.35">
      <c r="G2492" s="89"/>
      <c r="H2492" s="90"/>
      <c r="L2492" s="89"/>
      <c r="M2492" s="90"/>
    </row>
    <row r="2493" spans="7:13" x14ac:dyDescent="0.35">
      <c r="G2493" s="89"/>
      <c r="H2493" s="90"/>
      <c r="L2493" s="89"/>
      <c r="M2493" s="90"/>
    </row>
    <row r="2494" spans="7:13" x14ac:dyDescent="0.35">
      <c r="G2494" s="89"/>
      <c r="H2494" s="90"/>
      <c r="L2494" s="89"/>
      <c r="M2494" s="90"/>
    </row>
    <row r="2495" spans="7:13" x14ac:dyDescent="0.35">
      <c r="G2495" s="89"/>
      <c r="H2495" s="90"/>
      <c r="L2495" s="89"/>
      <c r="M2495" s="90"/>
    </row>
    <row r="2496" spans="7:13" x14ac:dyDescent="0.35">
      <c r="G2496" s="89"/>
      <c r="H2496" s="90"/>
      <c r="L2496" s="89"/>
      <c r="M2496" s="90"/>
    </row>
    <row r="2497" spans="7:13" x14ac:dyDescent="0.35">
      <c r="G2497" s="89"/>
      <c r="H2497" s="90"/>
      <c r="L2497" s="89"/>
      <c r="M2497" s="90"/>
    </row>
    <row r="2498" spans="7:13" x14ac:dyDescent="0.35">
      <c r="G2498" s="89"/>
      <c r="H2498" s="90"/>
      <c r="L2498" s="89"/>
      <c r="M2498" s="90"/>
    </row>
    <row r="2499" spans="7:13" x14ac:dyDescent="0.35">
      <c r="G2499" s="89"/>
      <c r="H2499" s="90"/>
      <c r="L2499" s="89"/>
      <c r="M2499" s="90"/>
    </row>
    <row r="2500" spans="7:13" x14ac:dyDescent="0.35">
      <c r="G2500" s="89"/>
      <c r="H2500" s="90"/>
      <c r="L2500" s="89"/>
      <c r="M2500" s="90"/>
    </row>
    <row r="2501" spans="7:13" x14ac:dyDescent="0.35">
      <c r="G2501" s="89"/>
      <c r="H2501" s="90"/>
      <c r="L2501" s="89"/>
      <c r="M2501" s="90"/>
    </row>
    <row r="2502" spans="7:13" x14ac:dyDescent="0.35">
      <c r="G2502" s="89"/>
      <c r="H2502" s="90"/>
      <c r="L2502" s="89"/>
      <c r="M2502" s="90"/>
    </row>
    <row r="2503" spans="7:13" x14ac:dyDescent="0.35">
      <c r="G2503" s="89"/>
      <c r="H2503" s="90"/>
      <c r="L2503" s="89"/>
      <c r="M2503" s="90"/>
    </row>
    <row r="2504" spans="7:13" x14ac:dyDescent="0.35">
      <c r="G2504" s="89"/>
      <c r="H2504" s="90"/>
      <c r="L2504" s="89"/>
      <c r="M2504" s="90"/>
    </row>
    <row r="2505" spans="7:13" x14ac:dyDescent="0.35">
      <c r="G2505" s="89"/>
      <c r="H2505" s="90"/>
      <c r="L2505" s="89"/>
      <c r="M2505" s="90"/>
    </row>
    <row r="2506" spans="7:13" x14ac:dyDescent="0.35">
      <c r="G2506" s="89"/>
      <c r="H2506" s="90"/>
      <c r="L2506" s="89"/>
      <c r="M2506" s="90"/>
    </row>
    <row r="2507" spans="7:13" x14ac:dyDescent="0.35">
      <c r="G2507" s="89"/>
      <c r="H2507" s="90"/>
      <c r="L2507" s="89"/>
      <c r="M2507" s="90"/>
    </row>
    <row r="2508" spans="7:13" x14ac:dyDescent="0.35">
      <c r="G2508" s="89"/>
      <c r="H2508" s="90"/>
      <c r="L2508" s="89"/>
      <c r="M2508" s="90"/>
    </row>
    <row r="2509" spans="7:13" x14ac:dyDescent="0.35">
      <c r="G2509" s="89"/>
      <c r="H2509" s="90"/>
      <c r="L2509" s="89"/>
      <c r="M2509" s="90"/>
    </row>
    <row r="2510" spans="7:13" x14ac:dyDescent="0.35">
      <c r="G2510" s="89"/>
      <c r="H2510" s="90"/>
      <c r="L2510" s="89"/>
      <c r="M2510" s="90"/>
    </row>
    <row r="2511" spans="7:13" x14ac:dyDescent="0.35">
      <c r="G2511" s="89"/>
      <c r="H2511" s="90"/>
      <c r="L2511" s="89"/>
      <c r="M2511" s="90"/>
    </row>
    <row r="2512" spans="7:13" x14ac:dyDescent="0.35">
      <c r="G2512" s="89"/>
      <c r="H2512" s="90"/>
      <c r="L2512" s="89"/>
      <c r="M2512" s="90"/>
    </row>
    <row r="2513" spans="7:13" x14ac:dyDescent="0.35">
      <c r="G2513" s="89"/>
      <c r="H2513" s="90"/>
      <c r="L2513" s="89"/>
      <c r="M2513" s="90"/>
    </row>
    <row r="2514" spans="7:13" x14ac:dyDescent="0.35">
      <c r="G2514" s="89"/>
      <c r="H2514" s="90"/>
      <c r="L2514" s="89"/>
      <c r="M2514" s="90"/>
    </row>
    <row r="2515" spans="7:13" x14ac:dyDescent="0.35">
      <c r="G2515" s="89"/>
      <c r="H2515" s="90"/>
      <c r="L2515" s="89"/>
      <c r="M2515" s="90"/>
    </row>
    <row r="2516" spans="7:13" x14ac:dyDescent="0.35">
      <c r="G2516" s="89"/>
      <c r="H2516" s="90"/>
      <c r="L2516" s="89"/>
      <c r="M2516" s="90"/>
    </row>
    <row r="2517" spans="7:13" x14ac:dyDescent="0.35">
      <c r="G2517" s="89"/>
      <c r="H2517" s="90"/>
      <c r="L2517" s="89"/>
      <c r="M2517" s="90"/>
    </row>
    <row r="2518" spans="7:13" x14ac:dyDescent="0.35">
      <c r="G2518" s="89"/>
      <c r="H2518" s="90"/>
      <c r="L2518" s="89"/>
      <c r="M2518" s="90"/>
    </row>
    <row r="2519" spans="7:13" x14ac:dyDescent="0.35">
      <c r="G2519" s="89"/>
      <c r="H2519" s="90"/>
      <c r="L2519" s="89"/>
      <c r="M2519" s="90"/>
    </row>
    <row r="2520" spans="7:13" x14ac:dyDescent="0.35">
      <c r="G2520" s="89"/>
      <c r="H2520" s="90"/>
      <c r="L2520" s="89"/>
      <c r="M2520" s="90"/>
    </row>
    <row r="2521" spans="7:13" x14ac:dyDescent="0.35">
      <c r="G2521" s="89"/>
      <c r="H2521" s="90"/>
      <c r="L2521" s="89"/>
      <c r="M2521" s="90"/>
    </row>
    <row r="2522" spans="7:13" x14ac:dyDescent="0.35">
      <c r="G2522" s="89"/>
      <c r="H2522" s="90"/>
      <c r="L2522" s="89"/>
      <c r="M2522" s="90"/>
    </row>
    <row r="2523" spans="7:13" x14ac:dyDescent="0.35">
      <c r="G2523" s="89"/>
      <c r="H2523" s="90"/>
      <c r="L2523" s="89"/>
      <c r="M2523" s="90"/>
    </row>
    <row r="2524" spans="7:13" x14ac:dyDescent="0.35">
      <c r="G2524" s="89"/>
      <c r="H2524" s="90"/>
      <c r="L2524" s="89"/>
      <c r="M2524" s="90"/>
    </row>
    <row r="2525" spans="7:13" x14ac:dyDescent="0.35">
      <c r="G2525" s="89"/>
      <c r="H2525" s="90"/>
      <c r="L2525" s="89"/>
      <c r="M2525" s="90"/>
    </row>
    <row r="2526" spans="7:13" x14ac:dyDescent="0.35">
      <c r="G2526" s="89"/>
      <c r="H2526" s="90"/>
      <c r="L2526" s="89"/>
      <c r="M2526" s="90"/>
    </row>
    <row r="2527" spans="7:13" x14ac:dyDescent="0.35">
      <c r="G2527" s="89"/>
      <c r="H2527" s="90"/>
      <c r="L2527" s="89"/>
      <c r="M2527" s="90"/>
    </row>
    <row r="2528" spans="7:13" x14ac:dyDescent="0.35">
      <c r="G2528" s="89"/>
      <c r="H2528" s="90"/>
      <c r="L2528" s="89"/>
      <c r="M2528" s="90"/>
    </row>
    <row r="2529" spans="7:13" x14ac:dyDescent="0.35">
      <c r="G2529" s="89"/>
      <c r="H2529" s="90"/>
      <c r="L2529" s="89"/>
      <c r="M2529" s="90"/>
    </row>
    <row r="2530" spans="7:13" x14ac:dyDescent="0.35">
      <c r="G2530" s="89"/>
      <c r="H2530" s="90"/>
      <c r="L2530" s="89"/>
      <c r="M2530" s="90"/>
    </row>
    <row r="2531" spans="7:13" x14ac:dyDescent="0.35">
      <c r="G2531" s="89"/>
      <c r="H2531" s="90"/>
      <c r="L2531" s="89"/>
      <c r="M2531" s="90"/>
    </row>
    <row r="2532" spans="7:13" x14ac:dyDescent="0.35">
      <c r="G2532" s="89"/>
      <c r="H2532" s="90"/>
      <c r="L2532" s="89"/>
      <c r="M2532" s="90"/>
    </row>
    <row r="2533" spans="7:13" x14ac:dyDescent="0.35">
      <c r="G2533" s="89"/>
      <c r="H2533" s="90"/>
      <c r="L2533" s="89"/>
      <c r="M2533" s="90"/>
    </row>
    <row r="2534" spans="7:13" x14ac:dyDescent="0.35">
      <c r="G2534" s="89"/>
      <c r="H2534" s="90"/>
      <c r="L2534" s="89"/>
      <c r="M2534" s="90"/>
    </row>
    <row r="2535" spans="7:13" x14ac:dyDescent="0.35">
      <c r="G2535" s="89"/>
      <c r="H2535" s="90"/>
      <c r="L2535" s="89"/>
      <c r="M2535" s="90"/>
    </row>
    <row r="2536" spans="7:13" x14ac:dyDescent="0.35">
      <c r="G2536" s="89"/>
      <c r="H2536" s="90"/>
      <c r="L2536" s="89"/>
      <c r="M2536" s="90"/>
    </row>
    <row r="2537" spans="7:13" x14ac:dyDescent="0.35">
      <c r="G2537" s="89"/>
      <c r="H2537" s="90"/>
      <c r="L2537" s="89"/>
      <c r="M2537" s="90"/>
    </row>
    <row r="2538" spans="7:13" x14ac:dyDescent="0.35">
      <c r="G2538" s="89"/>
      <c r="H2538" s="90"/>
      <c r="L2538" s="89"/>
      <c r="M2538" s="90"/>
    </row>
    <row r="2539" spans="7:13" x14ac:dyDescent="0.35">
      <c r="G2539" s="89"/>
      <c r="H2539" s="90"/>
      <c r="L2539" s="89"/>
      <c r="M2539" s="90"/>
    </row>
    <row r="2540" spans="7:13" x14ac:dyDescent="0.35">
      <c r="G2540" s="89"/>
      <c r="H2540" s="90"/>
      <c r="L2540" s="89"/>
      <c r="M2540" s="90"/>
    </row>
    <row r="2541" spans="7:13" x14ac:dyDescent="0.35">
      <c r="G2541" s="89"/>
      <c r="H2541" s="90"/>
      <c r="L2541" s="89"/>
      <c r="M2541" s="90"/>
    </row>
    <row r="2542" spans="7:13" x14ac:dyDescent="0.35">
      <c r="G2542" s="89"/>
      <c r="H2542" s="90"/>
      <c r="L2542" s="89"/>
      <c r="M2542" s="90"/>
    </row>
    <row r="2543" spans="7:13" x14ac:dyDescent="0.35">
      <c r="G2543" s="89"/>
      <c r="H2543" s="90"/>
      <c r="L2543" s="89"/>
      <c r="M2543" s="90"/>
    </row>
    <row r="2544" spans="7:13" x14ac:dyDescent="0.35">
      <c r="G2544" s="89"/>
      <c r="H2544" s="90"/>
      <c r="L2544" s="89"/>
      <c r="M2544" s="90"/>
    </row>
    <row r="2545" spans="7:13" x14ac:dyDescent="0.35">
      <c r="G2545" s="89"/>
      <c r="H2545" s="90"/>
      <c r="L2545" s="89"/>
      <c r="M2545" s="90"/>
    </row>
    <row r="2546" spans="7:13" x14ac:dyDescent="0.35">
      <c r="G2546" s="89"/>
      <c r="H2546" s="90"/>
      <c r="L2546" s="89"/>
      <c r="M2546" s="90"/>
    </row>
    <row r="2547" spans="7:13" x14ac:dyDescent="0.35">
      <c r="G2547" s="89"/>
      <c r="H2547" s="90"/>
      <c r="L2547" s="89"/>
      <c r="M2547" s="90"/>
    </row>
    <row r="2548" spans="7:13" x14ac:dyDescent="0.35">
      <c r="G2548" s="89"/>
      <c r="H2548" s="90"/>
      <c r="L2548" s="89"/>
      <c r="M2548" s="90"/>
    </row>
    <row r="2549" spans="7:13" x14ac:dyDescent="0.35">
      <c r="G2549" s="89"/>
      <c r="H2549" s="90"/>
      <c r="L2549" s="89"/>
      <c r="M2549" s="90"/>
    </row>
    <row r="2550" spans="7:13" x14ac:dyDescent="0.35">
      <c r="G2550" s="89"/>
      <c r="H2550" s="90"/>
      <c r="L2550" s="89"/>
      <c r="M2550" s="90"/>
    </row>
    <row r="2551" spans="7:13" x14ac:dyDescent="0.35">
      <c r="G2551" s="89"/>
      <c r="H2551" s="90"/>
      <c r="L2551" s="89"/>
      <c r="M2551" s="90"/>
    </row>
    <row r="2552" spans="7:13" x14ac:dyDescent="0.35">
      <c r="G2552" s="89"/>
      <c r="H2552" s="90"/>
      <c r="L2552" s="89"/>
      <c r="M2552" s="90"/>
    </row>
    <row r="2553" spans="7:13" x14ac:dyDescent="0.35">
      <c r="G2553" s="89"/>
      <c r="H2553" s="90"/>
      <c r="L2553" s="89"/>
      <c r="M2553" s="90"/>
    </row>
    <row r="2554" spans="7:13" x14ac:dyDescent="0.35">
      <c r="G2554" s="89"/>
      <c r="H2554" s="90"/>
      <c r="L2554" s="89"/>
      <c r="M2554" s="90"/>
    </row>
    <row r="2555" spans="7:13" x14ac:dyDescent="0.35">
      <c r="G2555" s="89"/>
      <c r="H2555" s="90"/>
      <c r="L2555" s="89"/>
      <c r="M2555" s="90"/>
    </row>
    <row r="2556" spans="7:13" x14ac:dyDescent="0.35">
      <c r="G2556" s="89"/>
      <c r="H2556" s="90"/>
      <c r="L2556" s="89"/>
      <c r="M2556" s="90"/>
    </row>
    <row r="2557" spans="7:13" x14ac:dyDescent="0.35">
      <c r="G2557" s="89"/>
      <c r="H2557" s="90"/>
      <c r="L2557" s="89"/>
      <c r="M2557" s="90"/>
    </row>
    <row r="2558" spans="7:13" x14ac:dyDescent="0.35">
      <c r="G2558" s="89"/>
      <c r="H2558" s="90"/>
      <c r="L2558" s="89"/>
      <c r="M2558" s="90"/>
    </row>
    <row r="2559" spans="7:13" x14ac:dyDescent="0.35">
      <c r="G2559" s="89"/>
      <c r="H2559" s="90"/>
      <c r="L2559" s="89"/>
      <c r="M2559" s="90"/>
    </row>
    <row r="2560" spans="7:13" x14ac:dyDescent="0.35">
      <c r="G2560" s="89"/>
      <c r="H2560" s="90"/>
      <c r="L2560" s="89"/>
      <c r="M2560" s="90"/>
    </row>
    <row r="2561" spans="7:13" x14ac:dyDescent="0.35">
      <c r="G2561" s="89"/>
      <c r="H2561" s="90"/>
      <c r="L2561" s="89"/>
      <c r="M2561" s="90"/>
    </row>
    <row r="2562" spans="7:13" x14ac:dyDescent="0.35">
      <c r="G2562" s="89"/>
      <c r="H2562" s="90"/>
      <c r="L2562" s="89"/>
      <c r="M2562" s="90"/>
    </row>
    <row r="2563" spans="7:13" x14ac:dyDescent="0.35">
      <c r="G2563" s="89"/>
      <c r="H2563" s="90"/>
      <c r="L2563" s="89"/>
      <c r="M2563" s="90"/>
    </row>
    <row r="2564" spans="7:13" x14ac:dyDescent="0.35">
      <c r="G2564" s="89"/>
      <c r="H2564" s="90"/>
      <c r="L2564" s="89"/>
      <c r="M2564" s="90"/>
    </row>
    <row r="2565" spans="7:13" x14ac:dyDescent="0.35">
      <c r="G2565" s="89"/>
      <c r="H2565" s="90"/>
      <c r="L2565" s="89"/>
      <c r="M2565" s="90"/>
    </row>
    <row r="2566" spans="7:13" x14ac:dyDescent="0.35">
      <c r="G2566" s="89"/>
      <c r="H2566" s="90"/>
      <c r="L2566" s="89"/>
      <c r="M2566" s="90"/>
    </row>
    <row r="2567" spans="7:13" x14ac:dyDescent="0.35">
      <c r="G2567" s="89"/>
      <c r="H2567" s="90"/>
      <c r="L2567" s="89"/>
      <c r="M2567" s="90"/>
    </row>
    <row r="2568" spans="7:13" x14ac:dyDescent="0.35">
      <c r="G2568" s="89"/>
      <c r="H2568" s="90"/>
      <c r="L2568" s="89"/>
      <c r="M2568" s="90"/>
    </row>
    <row r="2569" spans="7:13" x14ac:dyDescent="0.35">
      <c r="G2569" s="89"/>
      <c r="H2569" s="90"/>
      <c r="L2569" s="89"/>
      <c r="M2569" s="90"/>
    </row>
    <row r="2570" spans="7:13" x14ac:dyDescent="0.35">
      <c r="G2570" s="89"/>
      <c r="H2570" s="90"/>
      <c r="L2570" s="89"/>
      <c r="M2570" s="90"/>
    </row>
    <row r="2571" spans="7:13" x14ac:dyDescent="0.35">
      <c r="G2571" s="89"/>
      <c r="H2571" s="90"/>
      <c r="L2571" s="89"/>
      <c r="M2571" s="90"/>
    </row>
    <row r="2572" spans="7:13" x14ac:dyDescent="0.35">
      <c r="G2572" s="89"/>
      <c r="H2572" s="90"/>
      <c r="L2572" s="89"/>
      <c r="M2572" s="90"/>
    </row>
    <row r="2573" spans="7:13" x14ac:dyDescent="0.35">
      <c r="G2573" s="89"/>
      <c r="H2573" s="90"/>
      <c r="L2573" s="89"/>
      <c r="M2573" s="90"/>
    </row>
    <row r="2574" spans="7:13" x14ac:dyDescent="0.35">
      <c r="G2574" s="89"/>
      <c r="H2574" s="90"/>
      <c r="L2574" s="89"/>
      <c r="M2574" s="90"/>
    </row>
    <row r="2575" spans="7:13" x14ac:dyDescent="0.35">
      <c r="G2575" s="89"/>
      <c r="H2575" s="90"/>
      <c r="L2575" s="89"/>
      <c r="M2575" s="90"/>
    </row>
    <row r="2576" spans="7:13" x14ac:dyDescent="0.35">
      <c r="G2576" s="89"/>
      <c r="H2576" s="90"/>
      <c r="L2576" s="89"/>
      <c r="M2576" s="90"/>
    </row>
    <row r="2577" spans="7:13" x14ac:dyDescent="0.35">
      <c r="G2577" s="89"/>
      <c r="H2577" s="90"/>
      <c r="L2577" s="89"/>
      <c r="M2577" s="90"/>
    </row>
    <row r="2578" spans="7:13" x14ac:dyDescent="0.35">
      <c r="G2578" s="89"/>
      <c r="H2578" s="90"/>
      <c r="L2578" s="89"/>
      <c r="M2578" s="90"/>
    </row>
    <row r="2579" spans="7:13" x14ac:dyDescent="0.35">
      <c r="G2579" s="89"/>
      <c r="H2579" s="90"/>
      <c r="L2579" s="89"/>
      <c r="M2579" s="90"/>
    </row>
    <row r="2580" spans="7:13" x14ac:dyDescent="0.35">
      <c r="G2580" s="89"/>
      <c r="H2580" s="90"/>
      <c r="L2580" s="89"/>
      <c r="M2580" s="90"/>
    </row>
    <row r="2581" spans="7:13" x14ac:dyDescent="0.35">
      <c r="G2581" s="89"/>
      <c r="H2581" s="90"/>
      <c r="L2581" s="89"/>
      <c r="M2581" s="90"/>
    </row>
    <row r="2582" spans="7:13" x14ac:dyDescent="0.35">
      <c r="G2582" s="89"/>
      <c r="H2582" s="90"/>
      <c r="L2582" s="89"/>
      <c r="M2582" s="90"/>
    </row>
    <row r="2583" spans="7:13" x14ac:dyDescent="0.35">
      <c r="G2583" s="89"/>
      <c r="H2583" s="90"/>
      <c r="L2583" s="89"/>
      <c r="M2583" s="90"/>
    </row>
    <row r="2584" spans="7:13" x14ac:dyDescent="0.35">
      <c r="G2584" s="89"/>
      <c r="H2584" s="90"/>
      <c r="L2584" s="89"/>
      <c r="M2584" s="90"/>
    </row>
    <row r="2585" spans="7:13" x14ac:dyDescent="0.35">
      <c r="G2585" s="89"/>
      <c r="H2585" s="90"/>
      <c r="L2585" s="89"/>
      <c r="M2585" s="90"/>
    </row>
    <row r="2586" spans="7:13" x14ac:dyDescent="0.35">
      <c r="G2586" s="89"/>
      <c r="H2586" s="90"/>
      <c r="L2586" s="89"/>
      <c r="M2586" s="90"/>
    </row>
    <row r="2587" spans="7:13" x14ac:dyDescent="0.35">
      <c r="G2587" s="89"/>
      <c r="H2587" s="90"/>
      <c r="L2587" s="89"/>
      <c r="M2587" s="90"/>
    </row>
    <row r="2588" spans="7:13" x14ac:dyDescent="0.35">
      <c r="G2588" s="89"/>
      <c r="H2588" s="90"/>
      <c r="L2588" s="89"/>
      <c r="M2588" s="90"/>
    </row>
    <row r="2589" spans="7:13" x14ac:dyDescent="0.35">
      <c r="G2589" s="89"/>
      <c r="H2589" s="90"/>
      <c r="L2589" s="89"/>
      <c r="M2589" s="90"/>
    </row>
    <row r="2590" spans="7:13" x14ac:dyDescent="0.35">
      <c r="G2590" s="89"/>
      <c r="H2590" s="90"/>
      <c r="L2590" s="89"/>
      <c r="M2590" s="90"/>
    </row>
    <row r="2591" spans="7:13" x14ac:dyDescent="0.35">
      <c r="G2591" s="89"/>
      <c r="H2591" s="90"/>
      <c r="L2591" s="89"/>
      <c r="M2591" s="90"/>
    </row>
    <row r="2592" spans="7:13" x14ac:dyDescent="0.35">
      <c r="G2592" s="89"/>
      <c r="H2592" s="90"/>
      <c r="L2592" s="89"/>
      <c r="M2592" s="90"/>
    </row>
    <row r="2593" spans="7:13" x14ac:dyDescent="0.35">
      <c r="G2593" s="89"/>
      <c r="H2593" s="90"/>
      <c r="L2593" s="89"/>
      <c r="M2593" s="90"/>
    </row>
    <row r="2594" spans="7:13" x14ac:dyDescent="0.35">
      <c r="G2594" s="89"/>
      <c r="H2594" s="90"/>
      <c r="L2594" s="89"/>
      <c r="M2594" s="90"/>
    </row>
    <row r="2595" spans="7:13" x14ac:dyDescent="0.35">
      <c r="G2595" s="89"/>
      <c r="H2595" s="90"/>
      <c r="L2595" s="89"/>
      <c r="M2595" s="90"/>
    </row>
    <row r="2596" spans="7:13" x14ac:dyDescent="0.35">
      <c r="G2596" s="89"/>
      <c r="H2596" s="90"/>
      <c r="L2596" s="89"/>
      <c r="M2596" s="90"/>
    </row>
    <row r="2597" spans="7:13" x14ac:dyDescent="0.35">
      <c r="G2597" s="89"/>
      <c r="H2597" s="90"/>
      <c r="L2597" s="89"/>
      <c r="M2597" s="90"/>
    </row>
    <row r="2598" spans="7:13" x14ac:dyDescent="0.35">
      <c r="G2598" s="89"/>
      <c r="H2598" s="90"/>
      <c r="L2598" s="89"/>
      <c r="M2598" s="90"/>
    </row>
    <row r="2599" spans="7:13" x14ac:dyDescent="0.35">
      <c r="G2599" s="89"/>
      <c r="H2599" s="90"/>
      <c r="L2599" s="89"/>
      <c r="M2599" s="90"/>
    </row>
    <row r="2600" spans="7:13" x14ac:dyDescent="0.35">
      <c r="G2600" s="89"/>
      <c r="H2600" s="90"/>
      <c r="L2600" s="89"/>
      <c r="M2600" s="90"/>
    </row>
    <row r="2601" spans="7:13" x14ac:dyDescent="0.35">
      <c r="G2601" s="89"/>
      <c r="H2601" s="90"/>
      <c r="L2601" s="89"/>
      <c r="M2601" s="90"/>
    </row>
    <row r="2602" spans="7:13" x14ac:dyDescent="0.35">
      <c r="G2602" s="89"/>
      <c r="H2602" s="90"/>
      <c r="L2602" s="89"/>
      <c r="M2602" s="90"/>
    </row>
    <row r="2603" spans="7:13" x14ac:dyDescent="0.35">
      <c r="G2603" s="89"/>
      <c r="H2603" s="90"/>
      <c r="L2603" s="89"/>
      <c r="M2603" s="90"/>
    </row>
    <row r="2604" spans="7:13" x14ac:dyDescent="0.35">
      <c r="G2604" s="89"/>
      <c r="H2604" s="90"/>
      <c r="L2604" s="89"/>
      <c r="M2604" s="90"/>
    </row>
    <row r="2605" spans="7:13" x14ac:dyDescent="0.35">
      <c r="G2605" s="89"/>
      <c r="H2605" s="90"/>
      <c r="L2605" s="89"/>
      <c r="M2605" s="90"/>
    </row>
    <row r="2606" spans="7:13" x14ac:dyDescent="0.35">
      <c r="G2606" s="89"/>
      <c r="H2606" s="90"/>
      <c r="L2606" s="89"/>
      <c r="M2606" s="90"/>
    </row>
    <row r="2607" spans="7:13" x14ac:dyDescent="0.35">
      <c r="G2607" s="89"/>
      <c r="H2607" s="90"/>
      <c r="L2607" s="89"/>
      <c r="M2607" s="90"/>
    </row>
    <row r="2608" spans="7:13" x14ac:dyDescent="0.35">
      <c r="G2608" s="89"/>
      <c r="H2608" s="90"/>
      <c r="L2608" s="89"/>
      <c r="M2608" s="90"/>
    </row>
    <row r="2609" spans="7:13" x14ac:dyDescent="0.35">
      <c r="G2609" s="89"/>
      <c r="H2609" s="90"/>
      <c r="L2609" s="89"/>
      <c r="M2609" s="90"/>
    </row>
    <row r="2610" spans="7:13" x14ac:dyDescent="0.35">
      <c r="G2610" s="89"/>
      <c r="H2610" s="90"/>
      <c r="L2610" s="89"/>
      <c r="M2610" s="90"/>
    </row>
    <row r="2611" spans="7:13" x14ac:dyDescent="0.35">
      <c r="G2611" s="89"/>
      <c r="H2611" s="90"/>
      <c r="L2611" s="89"/>
      <c r="M2611" s="90"/>
    </row>
    <row r="2612" spans="7:13" x14ac:dyDescent="0.35">
      <c r="G2612" s="89"/>
      <c r="H2612" s="90"/>
      <c r="L2612" s="89"/>
      <c r="M2612" s="90"/>
    </row>
    <row r="2613" spans="7:13" x14ac:dyDescent="0.35">
      <c r="G2613" s="89"/>
      <c r="H2613" s="90"/>
      <c r="L2613" s="89"/>
      <c r="M2613" s="90"/>
    </row>
    <row r="2614" spans="7:13" x14ac:dyDescent="0.35">
      <c r="G2614" s="89"/>
      <c r="H2614" s="90"/>
      <c r="L2614" s="89"/>
      <c r="M2614" s="90"/>
    </row>
    <row r="2615" spans="7:13" x14ac:dyDescent="0.35">
      <c r="G2615" s="89"/>
      <c r="H2615" s="90"/>
      <c r="L2615" s="89"/>
      <c r="M2615" s="90"/>
    </row>
    <row r="2616" spans="7:13" x14ac:dyDescent="0.35">
      <c r="G2616" s="89"/>
      <c r="H2616" s="90"/>
      <c r="L2616" s="89"/>
      <c r="M2616" s="90"/>
    </row>
    <row r="2617" spans="7:13" x14ac:dyDescent="0.35">
      <c r="G2617" s="89"/>
      <c r="H2617" s="90"/>
      <c r="L2617" s="89"/>
      <c r="M2617" s="90"/>
    </row>
    <row r="2618" spans="7:13" x14ac:dyDescent="0.35">
      <c r="G2618" s="89"/>
      <c r="H2618" s="90"/>
      <c r="L2618" s="89"/>
      <c r="M2618" s="90"/>
    </row>
    <row r="2619" spans="7:13" x14ac:dyDescent="0.35">
      <c r="G2619" s="89"/>
      <c r="H2619" s="90"/>
      <c r="L2619" s="89"/>
      <c r="M2619" s="90"/>
    </row>
    <row r="2620" spans="7:13" x14ac:dyDescent="0.35">
      <c r="G2620" s="89"/>
      <c r="H2620" s="90"/>
      <c r="L2620" s="89"/>
      <c r="M2620" s="90"/>
    </row>
    <row r="2621" spans="7:13" x14ac:dyDescent="0.35">
      <c r="G2621" s="89"/>
      <c r="H2621" s="90"/>
      <c r="L2621" s="89"/>
      <c r="M2621" s="90"/>
    </row>
    <row r="2622" spans="7:13" x14ac:dyDescent="0.35">
      <c r="G2622" s="89"/>
      <c r="H2622" s="90"/>
      <c r="L2622" s="89"/>
      <c r="M2622" s="90"/>
    </row>
    <row r="2623" spans="7:13" x14ac:dyDescent="0.35">
      <c r="G2623" s="89"/>
      <c r="H2623" s="90"/>
      <c r="L2623" s="89"/>
      <c r="M2623" s="90"/>
    </row>
    <row r="2624" spans="7:13" x14ac:dyDescent="0.35">
      <c r="G2624" s="89"/>
      <c r="H2624" s="90"/>
      <c r="L2624" s="89"/>
      <c r="M2624" s="90"/>
    </row>
    <row r="2625" spans="7:13" x14ac:dyDescent="0.35">
      <c r="G2625" s="89"/>
      <c r="H2625" s="90"/>
      <c r="L2625" s="89"/>
      <c r="M2625" s="90"/>
    </row>
    <row r="2626" spans="7:13" x14ac:dyDescent="0.35">
      <c r="G2626" s="89"/>
      <c r="H2626" s="90"/>
      <c r="L2626" s="89"/>
      <c r="M2626" s="90"/>
    </row>
    <row r="2627" spans="7:13" x14ac:dyDescent="0.35">
      <c r="G2627" s="89"/>
      <c r="H2627" s="90"/>
      <c r="L2627" s="89"/>
      <c r="M2627" s="90"/>
    </row>
    <row r="2628" spans="7:13" x14ac:dyDescent="0.35">
      <c r="G2628" s="89"/>
      <c r="H2628" s="90"/>
      <c r="L2628" s="89"/>
      <c r="M2628" s="90"/>
    </row>
    <row r="2629" spans="7:13" x14ac:dyDescent="0.35">
      <c r="G2629" s="89"/>
      <c r="H2629" s="90"/>
      <c r="L2629" s="89"/>
      <c r="M2629" s="90"/>
    </row>
    <row r="2630" spans="7:13" x14ac:dyDescent="0.35">
      <c r="G2630" s="89"/>
      <c r="H2630" s="90"/>
      <c r="L2630" s="89"/>
      <c r="M2630" s="90"/>
    </row>
    <row r="2631" spans="7:13" x14ac:dyDescent="0.35">
      <c r="G2631" s="89"/>
      <c r="H2631" s="90"/>
      <c r="L2631" s="89"/>
      <c r="M2631" s="90"/>
    </row>
    <row r="2632" spans="7:13" x14ac:dyDescent="0.35">
      <c r="G2632" s="89"/>
      <c r="H2632" s="90"/>
      <c r="L2632" s="89"/>
      <c r="M2632" s="90"/>
    </row>
    <row r="2633" spans="7:13" x14ac:dyDescent="0.35">
      <c r="G2633" s="89"/>
      <c r="H2633" s="90"/>
      <c r="L2633" s="89"/>
      <c r="M2633" s="90"/>
    </row>
    <row r="2634" spans="7:13" x14ac:dyDescent="0.35">
      <c r="G2634" s="89"/>
      <c r="H2634" s="90"/>
      <c r="L2634" s="89"/>
      <c r="M2634" s="90"/>
    </row>
    <row r="2635" spans="7:13" x14ac:dyDescent="0.35">
      <c r="G2635" s="89"/>
      <c r="H2635" s="90"/>
      <c r="L2635" s="89"/>
      <c r="M2635" s="90"/>
    </row>
    <row r="2636" spans="7:13" x14ac:dyDescent="0.35">
      <c r="G2636" s="89"/>
      <c r="H2636" s="90"/>
      <c r="L2636" s="89"/>
      <c r="M2636" s="90"/>
    </row>
    <row r="2637" spans="7:13" x14ac:dyDescent="0.35">
      <c r="G2637" s="89"/>
      <c r="H2637" s="90"/>
      <c r="L2637" s="89"/>
      <c r="M2637" s="90"/>
    </row>
    <row r="2638" spans="7:13" x14ac:dyDescent="0.35">
      <c r="G2638" s="89"/>
      <c r="H2638" s="90"/>
      <c r="L2638" s="89"/>
      <c r="M2638" s="90"/>
    </row>
    <row r="2639" spans="7:13" x14ac:dyDescent="0.35">
      <c r="G2639" s="89"/>
      <c r="H2639" s="90"/>
      <c r="L2639" s="89"/>
      <c r="M2639" s="90"/>
    </row>
    <row r="2640" spans="7:13" x14ac:dyDescent="0.35">
      <c r="G2640" s="89"/>
      <c r="H2640" s="90"/>
      <c r="L2640" s="89"/>
      <c r="M2640" s="90"/>
    </row>
    <row r="2641" spans="7:13" x14ac:dyDescent="0.35">
      <c r="G2641" s="89"/>
      <c r="H2641" s="90"/>
      <c r="L2641" s="89"/>
      <c r="M2641" s="90"/>
    </row>
    <row r="2642" spans="7:13" x14ac:dyDescent="0.35">
      <c r="G2642" s="89"/>
      <c r="H2642" s="90"/>
      <c r="L2642" s="89"/>
      <c r="M2642" s="90"/>
    </row>
    <row r="2643" spans="7:13" x14ac:dyDescent="0.35">
      <c r="G2643" s="89"/>
      <c r="H2643" s="90"/>
      <c r="L2643" s="89"/>
      <c r="M2643" s="90"/>
    </row>
    <row r="2644" spans="7:13" x14ac:dyDescent="0.35">
      <c r="G2644" s="89"/>
      <c r="H2644" s="90"/>
      <c r="L2644" s="89"/>
      <c r="M2644" s="90"/>
    </row>
    <row r="2645" spans="7:13" x14ac:dyDescent="0.35">
      <c r="G2645" s="89"/>
      <c r="H2645" s="90"/>
      <c r="L2645" s="89"/>
      <c r="M2645" s="90"/>
    </row>
    <row r="2646" spans="7:13" x14ac:dyDescent="0.35">
      <c r="G2646" s="89"/>
      <c r="H2646" s="90"/>
      <c r="L2646" s="89"/>
      <c r="M2646" s="90"/>
    </row>
    <row r="2647" spans="7:13" x14ac:dyDescent="0.35">
      <c r="G2647" s="89"/>
      <c r="H2647" s="90"/>
      <c r="L2647" s="89"/>
      <c r="M2647" s="90"/>
    </row>
    <row r="2648" spans="7:13" x14ac:dyDescent="0.35">
      <c r="G2648" s="89"/>
      <c r="H2648" s="90"/>
      <c r="L2648" s="89"/>
      <c r="M2648" s="90"/>
    </row>
    <row r="2649" spans="7:13" x14ac:dyDescent="0.35">
      <c r="G2649" s="89"/>
      <c r="H2649" s="90"/>
      <c r="L2649" s="89"/>
      <c r="M2649" s="90"/>
    </row>
    <row r="2650" spans="7:13" x14ac:dyDescent="0.35">
      <c r="G2650" s="89"/>
      <c r="H2650" s="90"/>
      <c r="L2650" s="89"/>
      <c r="M2650" s="90"/>
    </row>
    <row r="2651" spans="7:13" x14ac:dyDescent="0.35">
      <c r="G2651" s="89"/>
      <c r="H2651" s="90"/>
      <c r="L2651" s="89"/>
      <c r="M2651" s="90"/>
    </row>
    <row r="2652" spans="7:13" x14ac:dyDescent="0.35">
      <c r="G2652" s="89"/>
      <c r="H2652" s="90"/>
      <c r="L2652" s="89"/>
      <c r="M2652" s="90"/>
    </row>
    <row r="2653" spans="7:13" x14ac:dyDescent="0.35">
      <c r="G2653" s="89"/>
      <c r="H2653" s="90"/>
      <c r="L2653" s="89"/>
      <c r="M2653" s="90"/>
    </row>
    <row r="2654" spans="7:13" x14ac:dyDescent="0.35">
      <c r="G2654" s="89"/>
      <c r="H2654" s="90"/>
      <c r="L2654" s="89"/>
      <c r="M2654" s="90"/>
    </row>
    <row r="2655" spans="7:13" x14ac:dyDescent="0.35">
      <c r="G2655" s="89"/>
      <c r="H2655" s="90"/>
      <c r="L2655" s="89"/>
      <c r="M2655" s="90"/>
    </row>
    <row r="2656" spans="7:13" x14ac:dyDescent="0.35">
      <c r="G2656" s="89"/>
      <c r="H2656" s="90"/>
      <c r="L2656" s="89"/>
      <c r="M2656" s="90"/>
    </row>
    <row r="2657" spans="7:13" x14ac:dyDescent="0.35">
      <c r="G2657" s="89"/>
      <c r="H2657" s="90"/>
      <c r="L2657" s="89"/>
      <c r="M2657" s="90"/>
    </row>
    <row r="2658" spans="7:13" x14ac:dyDescent="0.35">
      <c r="G2658" s="89"/>
      <c r="H2658" s="90"/>
      <c r="L2658" s="89"/>
      <c r="M2658" s="90"/>
    </row>
    <row r="2659" spans="7:13" x14ac:dyDescent="0.35">
      <c r="G2659" s="89"/>
      <c r="H2659" s="90"/>
      <c r="L2659" s="89"/>
      <c r="M2659" s="90"/>
    </row>
    <row r="2660" spans="7:13" x14ac:dyDescent="0.35">
      <c r="G2660" s="89"/>
      <c r="H2660" s="90"/>
      <c r="L2660" s="89"/>
      <c r="M2660" s="90"/>
    </row>
    <row r="2661" spans="7:13" x14ac:dyDescent="0.35">
      <c r="G2661" s="89"/>
      <c r="H2661" s="90"/>
      <c r="L2661" s="89"/>
      <c r="M2661" s="90"/>
    </row>
    <row r="2662" spans="7:13" x14ac:dyDescent="0.35">
      <c r="G2662" s="89"/>
      <c r="H2662" s="90"/>
      <c r="L2662" s="89"/>
      <c r="M2662" s="90"/>
    </row>
    <row r="2663" spans="7:13" x14ac:dyDescent="0.35">
      <c r="G2663" s="89"/>
      <c r="H2663" s="90"/>
      <c r="L2663" s="89"/>
      <c r="M2663" s="90"/>
    </row>
    <row r="2664" spans="7:13" x14ac:dyDescent="0.35">
      <c r="G2664" s="89"/>
      <c r="H2664" s="90"/>
      <c r="L2664" s="89"/>
      <c r="M2664" s="90"/>
    </row>
    <row r="2665" spans="7:13" x14ac:dyDescent="0.35">
      <c r="G2665" s="89"/>
      <c r="H2665" s="90"/>
      <c r="L2665" s="89"/>
      <c r="M2665" s="90"/>
    </row>
    <row r="2666" spans="7:13" x14ac:dyDescent="0.35">
      <c r="G2666" s="89"/>
      <c r="H2666" s="90"/>
      <c r="L2666" s="89"/>
      <c r="M2666" s="90"/>
    </row>
    <row r="2667" spans="7:13" x14ac:dyDescent="0.35">
      <c r="G2667" s="89"/>
      <c r="H2667" s="90"/>
      <c r="L2667" s="89"/>
      <c r="M2667" s="90"/>
    </row>
    <row r="2668" spans="7:13" x14ac:dyDescent="0.35">
      <c r="G2668" s="89"/>
      <c r="H2668" s="90"/>
      <c r="L2668" s="89"/>
      <c r="M2668" s="90"/>
    </row>
    <row r="2669" spans="7:13" x14ac:dyDescent="0.35">
      <c r="G2669" s="89"/>
      <c r="H2669" s="90"/>
      <c r="L2669" s="89"/>
      <c r="M2669" s="90"/>
    </row>
    <row r="2670" spans="7:13" x14ac:dyDescent="0.35">
      <c r="G2670" s="89"/>
      <c r="H2670" s="90"/>
      <c r="L2670" s="89"/>
      <c r="M2670" s="90"/>
    </row>
    <row r="2671" spans="7:13" x14ac:dyDescent="0.35">
      <c r="G2671" s="89"/>
      <c r="H2671" s="90"/>
      <c r="L2671" s="89"/>
      <c r="M2671" s="90"/>
    </row>
    <row r="2672" spans="7:13" x14ac:dyDescent="0.35">
      <c r="G2672" s="89"/>
      <c r="H2672" s="90"/>
      <c r="L2672" s="89"/>
      <c r="M2672" s="90"/>
    </row>
    <row r="2673" spans="7:13" x14ac:dyDescent="0.35">
      <c r="G2673" s="89"/>
      <c r="H2673" s="90"/>
      <c r="L2673" s="89"/>
      <c r="M2673" s="90"/>
    </row>
    <row r="2674" spans="7:13" x14ac:dyDescent="0.35">
      <c r="G2674" s="89"/>
      <c r="H2674" s="90"/>
      <c r="L2674" s="89"/>
      <c r="M2674" s="90"/>
    </row>
    <row r="2675" spans="7:13" x14ac:dyDescent="0.35">
      <c r="G2675" s="89"/>
      <c r="H2675" s="90"/>
      <c r="L2675" s="89"/>
      <c r="M2675" s="90"/>
    </row>
    <row r="2676" spans="7:13" x14ac:dyDescent="0.35">
      <c r="G2676" s="89"/>
      <c r="H2676" s="90"/>
      <c r="L2676" s="89"/>
      <c r="M2676" s="90"/>
    </row>
    <row r="2677" spans="7:13" x14ac:dyDescent="0.35">
      <c r="G2677" s="89"/>
      <c r="H2677" s="90"/>
      <c r="L2677" s="89"/>
      <c r="M2677" s="90"/>
    </row>
    <row r="2678" spans="7:13" x14ac:dyDescent="0.35">
      <c r="G2678" s="89"/>
      <c r="H2678" s="90"/>
      <c r="L2678" s="89"/>
      <c r="M2678" s="90"/>
    </row>
    <row r="2679" spans="7:13" x14ac:dyDescent="0.35">
      <c r="G2679" s="89"/>
      <c r="H2679" s="90"/>
      <c r="L2679" s="89"/>
      <c r="M2679" s="90"/>
    </row>
    <row r="2680" spans="7:13" x14ac:dyDescent="0.35">
      <c r="G2680" s="89"/>
      <c r="H2680" s="90"/>
      <c r="L2680" s="89"/>
      <c r="M2680" s="90"/>
    </row>
    <row r="2681" spans="7:13" x14ac:dyDescent="0.35">
      <c r="G2681" s="89"/>
      <c r="H2681" s="90"/>
      <c r="L2681" s="89"/>
      <c r="M2681" s="90"/>
    </row>
    <row r="2682" spans="7:13" x14ac:dyDescent="0.35">
      <c r="G2682" s="89"/>
      <c r="H2682" s="90"/>
      <c r="L2682" s="89"/>
      <c r="M2682" s="90"/>
    </row>
    <row r="2683" spans="7:13" x14ac:dyDescent="0.35">
      <c r="G2683" s="89"/>
      <c r="H2683" s="90"/>
      <c r="L2683" s="89"/>
      <c r="M2683" s="90"/>
    </row>
    <row r="2684" spans="7:13" x14ac:dyDescent="0.35">
      <c r="G2684" s="89"/>
      <c r="H2684" s="90"/>
      <c r="L2684" s="89"/>
      <c r="M2684" s="90"/>
    </row>
    <row r="2685" spans="7:13" x14ac:dyDescent="0.35">
      <c r="G2685" s="89"/>
      <c r="H2685" s="90"/>
      <c r="L2685" s="89"/>
      <c r="M2685" s="90"/>
    </row>
    <row r="2686" spans="7:13" x14ac:dyDescent="0.35">
      <c r="G2686" s="89"/>
      <c r="H2686" s="90"/>
      <c r="L2686" s="89"/>
      <c r="M2686" s="90"/>
    </row>
    <row r="2687" spans="7:13" x14ac:dyDescent="0.35">
      <c r="G2687" s="89"/>
      <c r="H2687" s="90"/>
      <c r="L2687" s="89"/>
      <c r="M2687" s="90"/>
    </row>
    <row r="2688" spans="7:13" x14ac:dyDescent="0.35">
      <c r="G2688" s="89"/>
      <c r="H2688" s="90"/>
      <c r="L2688" s="89"/>
      <c r="M2688" s="90"/>
    </row>
    <row r="2689" spans="7:13" x14ac:dyDescent="0.35">
      <c r="G2689" s="89"/>
      <c r="H2689" s="90"/>
      <c r="L2689" s="89"/>
      <c r="M2689" s="90"/>
    </row>
    <row r="2690" spans="7:13" x14ac:dyDescent="0.35">
      <c r="G2690" s="89"/>
      <c r="H2690" s="90"/>
      <c r="L2690" s="89"/>
      <c r="M2690" s="90"/>
    </row>
    <row r="2691" spans="7:13" x14ac:dyDescent="0.35">
      <c r="G2691" s="89"/>
      <c r="H2691" s="90"/>
      <c r="L2691" s="89"/>
      <c r="M2691" s="90"/>
    </row>
    <row r="2692" spans="7:13" x14ac:dyDescent="0.35">
      <c r="G2692" s="89"/>
      <c r="H2692" s="90"/>
      <c r="L2692" s="89"/>
      <c r="M2692" s="90"/>
    </row>
    <row r="2693" spans="7:13" x14ac:dyDescent="0.35">
      <c r="G2693" s="89"/>
      <c r="H2693" s="90"/>
      <c r="L2693" s="89"/>
      <c r="M2693" s="90"/>
    </row>
    <row r="2694" spans="7:13" x14ac:dyDescent="0.35">
      <c r="G2694" s="89"/>
      <c r="H2694" s="90"/>
      <c r="L2694" s="89"/>
      <c r="M2694" s="90"/>
    </row>
    <row r="2695" spans="7:13" x14ac:dyDescent="0.35">
      <c r="G2695" s="89"/>
      <c r="H2695" s="90"/>
      <c r="L2695" s="89"/>
      <c r="M2695" s="90"/>
    </row>
    <row r="2696" spans="7:13" x14ac:dyDescent="0.35">
      <c r="G2696" s="89"/>
      <c r="H2696" s="90"/>
      <c r="L2696" s="89"/>
      <c r="M2696" s="90"/>
    </row>
    <row r="2697" spans="7:13" x14ac:dyDescent="0.35">
      <c r="G2697" s="89"/>
      <c r="H2697" s="90"/>
      <c r="L2697" s="89"/>
      <c r="M2697" s="90"/>
    </row>
    <row r="2698" spans="7:13" x14ac:dyDescent="0.35">
      <c r="G2698" s="89"/>
      <c r="H2698" s="90"/>
      <c r="L2698" s="89"/>
      <c r="M2698" s="90"/>
    </row>
    <row r="2699" spans="7:13" x14ac:dyDescent="0.35">
      <c r="G2699" s="89"/>
      <c r="H2699" s="90"/>
      <c r="L2699" s="89"/>
      <c r="M2699" s="90"/>
    </row>
    <row r="2700" spans="7:13" x14ac:dyDescent="0.35">
      <c r="G2700" s="89"/>
      <c r="H2700" s="90"/>
      <c r="L2700" s="89"/>
      <c r="M2700" s="90"/>
    </row>
    <row r="2701" spans="7:13" x14ac:dyDescent="0.35">
      <c r="G2701" s="89"/>
      <c r="H2701" s="90"/>
      <c r="L2701" s="89"/>
      <c r="M2701" s="90"/>
    </row>
    <row r="2702" spans="7:13" x14ac:dyDescent="0.35">
      <c r="G2702" s="89"/>
      <c r="H2702" s="90"/>
      <c r="L2702" s="89"/>
      <c r="M2702" s="90"/>
    </row>
    <row r="2703" spans="7:13" x14ac:dyDescent="0.35">
      <c r="G2703" s="89"/>
      <c r="H2703" s="90"/>
      <c r="L2703" s="89"/>
      <c r="M2703" s="90"/>
    </row>
    <row r="2704" spans="7:13" x14ac:dyDescent="0.35">
      <c r="G2704" s="89"/>
      <c r="H2704" s="90"/>
      <c r="L2704" s="89"/>
      <c r="M2704" s="90"/>
    </row>
    <row r="2705" spans="7:13" x14ac:dyDescent="0.35">
      <c r="G2705" s="89"/>
      <c r="H2705" s="90"/>
      <c r="L2705" s="89"/>
      <c r="M2705" s="90"/>
    </row>
    <row r="2706" spans="7:13" x14ac:dyDescent="0.35">
      <c r="G2706" s="89"/>
      <c r="H2706" s="90"/>
      <c r="L2706" s="89"/>
      <c r="M2706" s="90"/>
    </row>
    <row r="2707" spans="7:13" x14ac:dyDescent="0.35">
      <c r="G2707" s="89"/>
      <c r="H2707" s="90"/>
      <c r="L2707" s="89"/>
      <c r="M2707" s="90"/>
    </row>
    <row r="2708" spans="7:13" x14ac:dyDescent="0.35">
      <c r="G2708" s="89"/>
      <c r="H2708" s="90"/>
      <c r="L2708" s="89"/>
      <c r="M2708" s="90"/>
    </row>
    <row r="2709" spans="7:13" x14ac:dyDescent="0.35">
      <c r="G2709" s="89"/>
      <c r="H2709" s="90"/>
      <c r="L2709" s="89"/>
      <c r="M2709" s="90"/>
    </row>
    <row r="2710" spans="7:13" x14ac:dyDescent="0.35">
      <c r="G2710" s="89"/>
      <c r="H2710" s="90"/>
      <c r="L2710" s="89"/>
      <c r="M2710" s="90"/>
    </row>
    <row r="2711" spans="7:13" x14ac:dyDescent="0.35">
      <c r="G2711" s="89"/>
      <c r="H2711" s="90"/>
      <c r="L2711" s="89"/>
      <c r="M2711" s="90"/>
    </row>
    <row r="2712" spans="7:13" x14ac:dyDescent="0.35">
      <c r="G2712" s="89"/>
      <c r="H2712" s="90"/>
      <c r="L2712" s="89"/>
      <c r="M2712" s="90"/>
    </row>
    <row r="2713" spans="7:13" x14ac:dyDescent="0.35">
      <c r="G2713" s="89"/>
      <c r="H2713" s="90"/>
      <c r="L2713" s="89"/>
      <c r="M2713" s="90"/>
    </row>
    <row r="2714" spans="7:13" x14ac:dyDescent="0.35">
      <c r="G2714" s="89"/>
      <c r="H2714" s="90"/>
      <c r="L2714" s="89"/>
      <c r="M2714" s="90"/>
    </row>
    <row r="2715" spans="7:13" x14ac:dyDescent="0.35">
      <c r="G2715" s="89"/>
      <c r="H2715" s="90"/>
      <c r="L2715" s="89"/>
      <c r="M2715" s="90"/>
    </row>
    <row r="2716" spans="7:13" x14ac:dyDescent="0.35">
      <c r="G2716" s="89"/>
      <c r="H2716" s="90"/>
      <c r="L2716" s="89"/>
      <c r="M2716" s="90"/>
    </row>
    <row r="2717" spans="7:13" x14ac:dyDescent="0.35">
      <c r="G2717" s="89"/>
      <c r="H2717" s="90"/>
      <c r="L2717" s="89"/>
      <c r="M2717" s="90"/>
    </row>
    <row r="2718" spans="7:13" x14ac:dyDescent="0.35">
      <c r="G2718" s="89"/>
      <c r="H2718" s="90"/>
      <c r="L2718" s="89"/>
      <c r="M2718" s="90"/>
    </row>
    <row r="2719" spans="7:13" x14ac:dyDescent="0.35">
      <c r="G2719" s="89"/>
      <c r="H2719" s="90"/>
      <c r="L2719" s="89"/>
      <c r="M2719" s="90"/>
    </row>
    <row r="2720" spans="7:13" x14ac:dyDescent="0.35">
      <c r="G2720" s="89"/>
      <c r="H2720" s="90"/>
      <c r="L2720" s="89"/>
      <c r="M2720" s="90"/>
    </row>
    <row r="2721" spans="7:13" x14ac:dyDescent="0.35">
      <c r="G2721" s="89"/>
      <c r="H2721" s="90"/>
      <c r="L2721" s="89"/>
      <c r="M2721" s="90"/>
    </row>
    <row r="2722" spans="7:13" x14ac:dyDescent="0.35">
      <c r="G2722" s="89"/>
      <c r="H2722" s="90"/>
      <c r="L2722" s="89"/>
      <c r="M2722" s="90"/>
    </row>
    <row r="2723" spans="7:13" x14ac:dyDescent="0.35">
      <c r="G2723" s="89"/>
      <c r="H2723" s="90"/>
      <c r="L2723" s="89"/>
      <c r="M2723" s="90"/>
    </row>
    <row r="2724" spans="7:13" x14ac:dyDescent="0.35">
      <c r="G2724" s="89"/>
      <c r="H2724" s="90"/>
      <c r="L2724" s="89"/>
      <c r="M2724" s="90"/>
    </row>
    <row r="2725" spans="7:13" x14ac:dyDescent="0.35">
      <c r="G2725" s="89"/>
      <c r="H2725" s="90"/>
      <c r="L2725" s="89"/>
      <c r="M2725" s="90"/>
    </row>
    <row r="2726" spans="7:13" x14ac:dyDescent="0.35">
      <c r="G2726" s="89"/>
      <c r="H2726" s="90"/>
      <c r="L2726" s="89"/>
      <c r="M2726" s="90"/>
    </row>
    <row r="2727" spans="7:13" x14ac:dyDescent="0.35">
      <c r="G2727" s="89"/>
      <c r="H2727" s="90"/>
      <c r="L2727" s="89"/>
      <c r="M2727" s="90"/>
    </row>
    <row r="2728" spans="7:13" x14ac:dyDescent="0.35">
      <c r="G2728" s="89"/>
      <c r="H2728" s="90"/>
      <c r="L2728" s="89"/>
      <c r="M2728" s="90"/>
    </row>
    <row r="2729" spans="7:13" x14ac:dyDescent="0.35">
      <c r="G2729" s="89"/>
      <c r="H2729" s="90"/>
      <c r="L2729" s="89"/>
      <c r="M2729" s="90"/>
    </row>
    <row r="2730" spans="7:13" x14ac:dyDescent="0.35">
      <c r="G2730" s="89"/>
      <c r="H2730" s="90"/>
      <c r="L2730" s="89"/>
      <c r="M2730" s="90"/>
    </row>
    <row r="2731" spans="7:13" x14ac:dyDescent="0.35">
      <c r="G2731" s="89"/>
      <c r="H2731" s="90"/>
      <c r="L2731" s="89"/>
      <c r="M2731" s="90"/>
    </row>
    <row r="2732" spans="7:13" x14ac:dyDescent="0.35">
      <c r="G2732" s="89"/>
      <c r="H2732" s="90"/>
      <c r="L2732" s="89"/>
      <c r="M2732" s="90"/>
    </row>
    <row r="2733" spans="7:13" x14ac:dyDescent="0.35">
      <c r="G2733" s="89"/>
      <c r="H2733" s="90"/>
      <c r="L2733" s="89"/>
      <c r="M2733" s="90"/>
    </row>
    <row r="2734" spans="7:13" x14ac:dyDescent="0.35">
      <c r="G2734" s="89"/>
      <c r="H2734" s="90"/>
      <c r="L2734" s="89"/>
      <c r="M2734" s="90"/>
    </row>
    <row r="2735" spans="7:13" x14ac:dyDescent="0.35">
      <c r="G2735" s="89"/>
      <c r="H2735" s="90"/>
      <c r="L2735" s="89"/>
      <c r="M2735" s="90"/>
    </row>
    <row r="2736" spans="7:13" x14ac:dyDescent="0.35">
      <c r="G2736" s="89"/>
      <c r="H2736" s="90"/>
      <c r="L2736" s="89"/>
      <c r="M2736" s="90"/>
    </row>
    <row r="2737" spans="7:13" x14ac:dyDescent="0.35">
      <c r="G2737" s="89"/>
      <c r="H2737" s="90"/>
      <c r="L2737" s="89"/>
      <c r="M2737" s="90"/>
    </row>
    <row r="2738" spans="7:13" x14ac:dyDescent="0.35">
      <c r="G2738" s="89"/>
      <c r="H2738" s="90"/>
      <c r="L2738" s="89"/>
      <c r="M2738" s="90"/>
    </row>
    <row r="2739" spans="7:13" x14ac:dyDescent="0.35">
      <c r="G2739" s="89"/>
      <c r="H2739" s="90"/>
      <c r="L2739" s="89"/>
      <c r="M2739" s="90"/>
    </row>
    <row r="2740" spans="7:13" x14ac:dyDescent="0.35">
      <c r="G2740" s="89"/>
      <c r="H2740" s="90"/>
      <c r="L2740" s="89"/>
      <c r="M2740" s="90"/>
    </row>
    <row r="2741" spans="7:13" x14ac:dyDescent="0.35">
      <c r="G2741" s="89"/>
      <c r="H2741" s="90"/>
      <c r="L2741" s="89"/>
      <c r="M2741" s="90"/>
    </row>
    <row r="2742" spans="7:13" x14ac:dyDescent="0.35">
      <c r="G2742" s="89"/>
      <c r="H2742" s="90"/>
      <c r="L2742" s="89"/>
      <c r="M2742" s="90"/>
    </row>
    <row r="2743" spans="7:13" x14ac:dyDescent="0.35">
      <c r="G2743" s="89"/>
      <c r="H2743" s="90"/>
      <c r="L2743" s="89"/>
      <c r="M2743" s="90"/>
    </row>
    <row r="2744" spans="7:13" x14ac:dyDescent="0.35">
      <c r="G2744" s="89"/>
      <c r="H2744" s="90"/>
      <c r="L2744" s="89"/>
      <c r="M2744" s="90"/>
    </row>
    <row r="2745" spans="7:13" x14ac:dyDescent="0.35">
      <c r="G2745" s="89"/>
      <c r="H2745" s="90"/>
      <c r="L2745" s="89"/>
      <c r="M2745" s="90"/>
    </row>
    <row r="2746" spans="7:13" x14ac:dyDescent="0.35">
      <c r="G2746" s="89"/>
      <c r="H2746" s="90"/>
      <c r="L2746" s="89"/>
      <c r="M2746" s="90"/>
    </row>
    <row r="2747" spans="7:13" x14ac:dyDescent="0.35">
      <c r="G2747" s="89"/>
      <c r="H2747" s="90"/>
      <c r="L2747" s="89"/>
      <c r="M2747" s="90"/>
    </row>
    <row r="2748" spans="7:13" x14ac:dyDescent="0.35">
      <c r="G2748" s="89"/>
      <c r="H2748" s="90"/>
      <c r="L2748" s="89"/>
      <c r="M2748" s="90"/>
    </row>
    <row r="2749" spans="7:13" x14ac:dyDescent="0.35">
      <c r="G2749" s="89"/>
      <c r="H2749" s="90"/>
      <c r="L2749" s="89"/>
      <c r="M2749" s="90"/>
    </row>
    <row r="2750" spans="7:13" x14ac:dyDescent="0.35">
      <c r="G2750" s="89"/>
      <c r="H2750" s="90"/>
      <c r="L2750" s="89"/>
      <c r="M2750" s="90"/>
    </row>
    <row r="2751" spans="7:13" x14ac:dyDescent="0.35">
      <c r="G2751" s="89"/>
      <c r="H2751" s="90"/>
      <c r="L2751" s="89"/>
      <c r="M2751" s="90"/>
    </row>
    <row r="2752" spans="7:13" x14ac:dyDescent="0.35">
      <c r="G2752" s="89"/>
      <c r="H2752" s="90"/>
      <c r="L2752" s="89"/>
      <c r="M2752" s="90"/>
    </row>
    <row r="2753" spans="7:13" x14ac:dyDescent="0.35">
      <c r="G2753" s="89"/>
      <c r="H2753" s="90"/>
      <c r="L2753" s="89"/>
      <c r="M2753" s="90"/>
    </row>
    <row r="2754" spans="7:13" x14ac:dyDescent="0.35">
      <c r="G2754" s="89"/>
      <c r="H2754" s="90"/>
      <c r="L2754" s="89"/>
      <c r="M2754" s="90"/>
    </row>
    <row r="2755" spans="7:13" x14ac:dyDescent="0.35">
      <c r="G2755" s="89"/>
      <c r="H2755" s="90"/>
      <c r="L2755" s="89"/>
      <c r="M2755" s="90"/>
    </row>
    <row r="2756" spans="7:13" x14ac:dyDescent="0.35">
      <c r="G2756" s="89"/>
      <c r="H2756" s="90"/>
      <c r="L2756" s="89"/>
      <c r="M2756" s="90"/>
    </row>
    <row r="2757" spans="7:13" x14ac:dyDescent="0.35">
      <c r="G2757" s="89"/>
      <c r="H2757" s="90"/>
      <c r="L2757" s="89"/>
      <c r="M2757" s="90"/>
    </row>
    <row r="2758" spans="7:13" x14ac:dyDescent="0.35">
      <c r="G2758" s="89"/>
      <c r="H2758" s="90"/>
      <c r="L2758" s="89"/>
      <c r="M2758" s="90"/>
    </row>
    <row r="2759" spans="7:13" x14ac:dyDescent="0.35">
      <c r="G2759" s="89"/>
      <c r="H2759" s="90"/>
      <c r="L2759" s="89"/>
      <c r="M2759" s="90"/>
    </row>
    <row r="2760" spans="7:13" x14ac:dyDescent="0.35">
      <c r="G2760" s="89"/>
      <c r="H2760" s="90"/>
      <c r="L2760" s="89"/>
      <c r="M2760" s="90"/>
    </row>
    <row r="2761" spans="7:13" x14ac:dyDescent="0.35">
      <c r="G2761" s="89"/>
      <c r="H2761" s="90"/>
      <c r="L2761" s="89"/>
      <c r="M2761" s="90"/>
    </row>
    <row r="2762" spans="7:13" x14ac:dyDescent="0.35">
      <c r="G2762" s="89"/>
      <c r="H2762" s="90"/>
      <c r="L2762" s="89"/>
      <c r="M2762" s="90"/>
    </row>
    <row r="2763" spans="7:13" x14ac:dyDescent="0.35">
      <c r="G2763" s="89"/>
      <c r="H2763" s="90"/>
      <c r="L2763" s="89"/>
      <c r="M2763" s="90"/>
    </row>
    <row r="2764" spans="7:13" x14ac:dyDescent="0.35">
      <c r="G2764" s="89"/>
      <c r="H2764" s="90"/>
      <c r="L2764" s="89"/>
      <c r="M2764" s="90"/>
    </row>
    <row r="2765" spans="7:13" x14ac:dyDescent="0.35">
      <c r="G2765" s="89"/>
      <c r="H2765" s="90"/>
      <c r="L2765" s="89"/>
      <c r="M2765" s="90"/>
    </row>
    <row r="2766" spans="7:13" x14ac:dyDescent="0.35">
      <c r="G2766" s="89"/>
      <c r="H2766" s="90"/>
      <c r="L2766" s="89"/>
      <c r="M2766" s="90"/>
    </row>
    <row r="2767" spans="7:13" x14ac:dyDescent="0.35">
      <c r="G2767" s="89"/>
      <c r="H2767" s="90"/>
      <c r="L2767" s="89"/>
      <c r="M2767" s="90"/>
    </row>
    <row r="2768" spans="7:13" x14ac:dyDescent="0.35">
      <c r="G2768" s="89"/>
      <c r="H2768" s="90"/>
      <c r="L2768" s="89"/>
      <c r="M2768" s="90"/>
    </row>
    <row r="2769" spans="7:13" x14ac:dyDescent="0.35">
      <c r="G2769" s="89"/>
      <c r="H2769" s="90"/>
      <c r="L2769" s="89"/>
      <c r="M2769" s="90"/>
    </row>
    <row r="2770" spans="7:13" x14ac:dyDescent="0.35">
      <c r="G2770" s="89"/>
      <c r="H2770" s="90"/>
      <c r="L2770" s="89"/>
      <c r="M2770" s="90"/>
    </row>
    <row r="2771" spans="7:13" x14ac:dyDescent="0.35">
      <c r="G2771" s="89"/>
      <c r="H2771" s="90"/>
      <c r="L2771" s="89"/>
      <c r="M2771" s="90"/>
    </row>
    <row r="2772" spans="7:13" x14ac:dyDescent="0.35">
      <c r="G2772" s="89"/>
      <c r="H2772" s="90"/>
      <c r="L2772" s="89"/>
      <c r="M2772" s="90"/>
    </row>
    <row r="2773" spans="7:13" x14ac:dyDescent="0.35">
      <c r="G2773" s="89"/>
      <c r="H2773" s="90"/>
      <c r="L2773" s="89"/>
      <c r="M2773" s="90"/>
    </row>
    <row r="2774" spans="7:13" x14ac:dyDescent="0.35">
      <c r="G2774" s="89"/>
      <c r="H2774" s="90"/>
      <c r="L2774" s="89"/>
      <c r="M2774" s="90"/>
    </row>
    <row r="2775" spans="7:13" x14ac:dyDescent="0.35">
      <c r="G2775" s="89"/>
      <c r="H2775" s="90"/>
      <c r="L2775" s="89"/>
      <c r="M2775" s="90"/>
    </row>
    <row r="2776" spans="7:13" x14ac:dyDescent="0.35">
      <c r="G2776" s="89"/>
      <c r="H2776" s="90"/>
      <c r="L2776" s="89"/>
      <c r="M2776" s="90"/>
    </row>
    <row r="2777" spans="7:13" x14ac:dyDescent="0.35">
      <c r="G2777" s="89"/>
      <c r="H2777" s="90"/>
      <c r="L2777" s="89"/>
      <c r="M2777" s="90"/>
    </row>
    <row r="2778" spans="7:13" x14ac:dyDescent="0.35">
      <c r="G2778" s="89"/>
      <c r="H2778" s="90"/>
      <c r="L2778" s="89"/>
      <c r="M2778" s="90"/>
    </row>
    <row r="2779" spans="7:13" x14ac:dyDescent="0.35">
      <c r="G2779" s="89"/>
      <c r="H2779" s="90"/>
      <c r="L2779" s="89"/>
      <c r="M2779" s="90"/>
    </row>
    <row r="2780" spans="7:13" x14ac:dyDescent="0.35">
      <c r="G2780" s="89"/>
      <c r="H2780" s="90"/>
      <c r="L2780" s="89"/>
      <c r="M2780" s="90"/>
    </row>
    <row r="2781" spans="7:13" x14ac:dyDescent="0.35">
      <c r="G2781" s="89"/>
      <c r="H2781" s="90"/>
      <c r="L2781" s="89"/>
      <c r="M2781" s="90"/>
    </row>
    <row r="2782" spans="7:13" x14ac:dyDescent="0.35">
      <c r="G2782" s="89"/>
      <c r="H2782" s="90"/>
      <c r="L2782" s="89"/>
      <c r="M2782" s="90"/>
    </row>
    <row r="2783" spans="7:13" x14ac:dyDescent="0.35">
      <c r="G2783" s="89"/>
      <c r="H2783" s="90"/>
      <c r="L2783" s="89"/>
      <c r="M2783" s="90"/>
    </row>
    <row r="2784" spans="7:13" x14ac:dyDescent="0.35">
      <c r="G2784" s="89"/>
      <c r="H2784" s="90"/>
      <c r="L2784" s="89"/>
      <c r="M2784" s="90"/>
    </row>
    <row r="2785" spans="7:13" x14ac:dyDescent="0.35">
      <c r="G2785" s="89"/>
      <c r="H2785" s="90"/>
      <c r="L2785" s="89"/>
      <c r="M2785" s="90"/>
    </row>
    <row r="2786" spans="7:13" x14ac:dyDescent="0.35">
      <c r="G2786" s="89"/>
      <c r="H2786" s="90"/>
      <c r="L2786" s="89"/>
      <c r="M2786" s="90"/>
    </row>
    <row r="2787" spans="7:13" x14ac:dyDescent="0.35">
      <c r="G2787" s="89"/>
      <c r="H2787" s="90"/>
      <c r="L2787" s="89"/>
      <c r="M2787" s="90"/>
    </row>
    <row r="2788" spans="7:13" x14ac:dyDescent="0.35">
      <c r="G2788" s="89"/>
      <c r="H2788" s="90"/>
      <c r="L2788" s="89"/>
      <c r="M2788" s="90"/>
    </row>
    <row r="2789" spans="7:13" x14ac:dyDescent="0.35">
      <c r="G2789" s="89"/>
      <c r="H2789" s="90"/>
      <c r="L2789" s="89"/>
      <c r="M2789" s="90"/>
    </row>
    <row r="2790" spans="7:13" x14ac:dyDescent="0.35">
      <c r="G2790" s="89"/>
      <c r="H2790" s="90"/>
      <c r="L2790" s="89"/>
      <c r="M2790" s="90"/>
    </row>
    <row r="2791" spans="7:13" x14ac:dyDescent="0.35">
      <c r="G2791" s="89"/>
      <c r="H2791" s="90"/>
      <c r="L2791" s="89"/>
      <c r="M2791" s="90"/>
    </row>
    <row r="2792" spans="7:13" x14ac:dyDescent="0.35">
      <c r="G2792" s="89"/>
      <c r="H2792" s="90"/>
      <c r="L2792" s="89"/>
      <c r="M2792" s="90"/>
    </row>
    <row r="2793" spans="7:13" x14ac:dyDescent="0.35">
      <c r="G2793" s="89"/>
      <c r="H2793" s="90"/>
      <c r="L2793" s="89"/>
      <c r="M2793" s="90"/>
    </row>
    <row r="2794" spans="7:13" x14ac:dyDescent="0.35">
      <c r="G2794" s="89"/>
      <c r="H2794" s="90"/>
      <c r="L2794" s="89"/>
      <c r="M2794" s="90"/>
    </row>
    <row r="2795" spans="7:13" x14ac:dyDescent="0.35">
      <c r="G2795" s="89"/>
      <c r="H2795" s="90"/>
      <c r="L2795" s="89"/>
      <c r="M2795" s="90"/>
    </row>
    <row r="2796" spans="7:13" x14ac:dyDescent="0.35">
      <c r="G2796" s="89"/>
      <c r="H2796" s="90"/>
      <c r="L2796" s="89"/>
      <c r="M2796" s="90"/>
    </row>
    <row r="2797" spans="7:13" x14ac:dyDescent="0.35">
      <c r="G2797" s="89"/>
      <c r="H2797" s="90"/>
      <c r="L2797" s="89"/>
      <c r="M2797" s="90"/>
    </row>
    <row r="2798" spans="7:13" x14ac:dyDescent="0.35">
      <c r="G2798" s="89"/>
      <c r="H2798" s="90"/>
      <c r="L2798" s="89"/>
      <c r="M2798" s="90"/>
    </row>
    <row r="2799" spans="7:13" x14ac:dyDescent="0.35">
      <c r="G2799" s="89"/>
      <c r="H2799" s="90"/>
      <c r="L2799" s="89"/>
      <c r="M2799" s="90"/>
    </row>
    <row r="2800" spans="7:13" x14ac:dyDescent="0.35">
      <c r="G2800" s="89"/>
      <c r="H2800" s="90"/>
      <c r="L2800" s="89"/>
      <c r="M2800" s="90"/>
    </row>
    <row r="2801" spans="7:13" x14ac:dyDescent="0.35">
      <c r="G2801" s="89"/>
      <c r="H2801" s="90"/>
      <c r="L2801" s="89"/>
      <c r="M2801" s="90"/>
    </row>
    <row r="2802" spans="7:13" x14ac:dyDescent="0.35">
      <c r="G2802" s="89"/>
      <c r="H2802" s="90"/>
      <c r="L2802" s="89"/>
      <c r="M2802" s="90"/>
    </row>
    <row r="2803" spans="7:13" x14ac:dyDescent="0.35">
      <c r="G2803" s="89"/>
      <c r="H2803" s="90"/>
      <c r="L2803" s="89"/>
      <c r="M2803" s="90"/>
    </row>
    <row r="2804" spans="7:13" x14ac:dyDescent="0.35">
      <c r="G2804" s="89"/>
      <c r="H2804" s="90"/>
      <c r="L2804" s="89"/>
      <c r="M2804" s="90"/>
    </row>
    <row r="2805" spans="7:13" x14ac:dyDescent="0.35">
      <c r="G2805" s="89"/>
      <c r="H2805" s="90"/>
      <c r="L2805" s="89"/>
      <c r="M2805" s="90"/>
    </row>
    <row r="2806" spans="7:13" x14ac:dyDescent="0.35">
      <c r="G2806" s="89"/>
      <c r="H2806" s="90"/>
      <c r="L2806" s="89"/>
      <c r="M2806" s="90"/>
    </row>
    <row r="2807" spans="7:13" x14ac:dyDescent="0.35">
      <c r="G2807" s="89"/>
      <c r="H2807" s="90"/>
      <c r="L2807" s="89"/>
      <c r="M2807" s="90"/>
    </row>
    <row r="2808" spans="7:13" x14ac:dyDescent="0.35">
      <c r="G2808" s="89"/>
      <c r="H2808" s="90"/>
      <c r="L2808" s="89"/>
      <c r="M2808" s="90"/>
    </row>
    <row r="2809" spans="7:13" x14ac:dyDescent="0.35">
      <c r="G2809" s="89"/>
      <c r="H2809" s="90"/>
      <c r="L2809" s="89"/>
      <c r="M2809" s="90"/>
    </row>
    <row r="2810" spans="7:13" x14ac:dyDescent="0.35">
      <c r="G2810" s="89"/>
      <c r="H2810" s="90"/>
      <c r="L2810" s="89"/>
      <c r="M2810" s="90"/>
    </row>
    <row r="2811" spans="7:13" x14ac:dyDescent="0.35">
      <c r="G2811" s="89"/>
      <c r="H2811" s="90"/>
      <c r="L2811" s="89"/>
      <c r="M2811" s="90"/>
    </row>
    <row r="2812" spans="7:13" x14ac:dyDescent="0.35">
      <c r="G2812" s="89"/>
      <c r="H2812" s="90"/>
      <c r="L2812" s="89"/>
      <c r="M2812" s="90"/>
    </row>
    <row r="2813" spans="7:13" x14ac:dyDescent="0.35">
      <c r="G2813" s="89"/>
      <c r="H2813" s="90"/>
      <c r="L2813" s="89"/>
      <c r="M2813" s="90"/>
    </row>
    <row r="2814" spans="7:13" x14ac:dyDescent="0.35">
      <c r="G2814" s="89"/>
      <c r="H2814" s="90"/>
      <c r="L2814" s="89"/>
      <c r="M2814" s="90"/>
    </row>
    <row r="2815" spans="7:13" x14ac:dyDescent="0.35">
      <c r="G2815" s="89"/>
      <c r="H2815" s="90"/>
      <c r="L2815" s="89"/>
      <c r="M2815" s="90"/>
    </row>
    <row r="2816" spans="7:13" x14ac:dyDescent="0.35">
      <c r="G2816" s="89"/>
      <c r="H2816" s="90"/>
      <c r="L2816" s="89"/>
      <c r="M2816" s="90"/>
    </row>
    <row r="2817" spans="7:13" x14ac:dyDescent="0.35">
      <c r="G2817" s="89"/>
      <c r="H2817" s="90"/>
      <c r="L2817" s="89"/>
      <c r="M2817" s="90"/>
    </row>
    <row r="2818" spans="7:13" x14ac:dyDescent="0.35">
      <c r="G2818" s="89"/>
      <c r="H2818" s="90"/>
      <c r="L2818" s="89"/>
      <c r="M2818" s="90"/>
    </row>
    <row r="2819" spans="7:13" x14ac:dyDescent="0.35">
      <c r="G2819" s="89"/>
      <c r="H2819" s="90"/>
      <c r="L2819" s="89"/>
      <c r="M2819" s="90"/>
    </row>
    <row r="2820" spans="7:13" x14ac:dyDescent="0.35">
      <c r="G2820" s="89"/>
      <c r="H2820" s="90"/>
      <c r="L2820" s="89"/>
      <c r="M2820" s="90"/>
    </row>
    <row r="2821" spans="7:13" x14ac:dyDescent="0.35">
      <c r="G2821" s="89"/>
      <c r="H2821" s="90"/>
      <c r="L2821" s="89"/>
      <c r="M2821" s="90"/>
    </row>
    <row r="2822" spans="7:13" x14ac:dyDescent="0.35">
      <c r="G2822" s="89"/>
      <c r="H2822" s="90"/>
      <c r="L2822" s="89"/>
      <c r="M2822" s="90"/>
    </row>
    <row r="2823" spans="7:13" x14ac:dyDescent="0.35">
      <c r="G2823" s="89"/>
      <c r="H2823" s="90"/>
      <c r="L2823" s="89"/>
      <c r="M2823" s="90"/>
    </row>
    <row r="2824" spans="7:13" x14ac:dyDescent="0.35">
      <c r="G2824" s="89"/>
      <c r="H2824" s="90"/>
      <c r="L2824" s="89"/>
      <c r="M2824" s="90"/>
    </row>
    <row r="2825" spans="7:13" x14ac:dyDescent="0.35">
      <c r="G2825" s="89"/>
      <c r="H2825" s="90"/>
      <c r="L2825" s="89"/>
      <c r="M2825" s="90"/>
    </row>
    <row r="2826" spans="7:13" x14ac:dyDescent="0.35">
      <c r="G2826" s="89"/>
      <c r="H2826" s="90"/>
      <c r="L2826" s="89"/>
      <c r="M2826" s="90"/>
    </row>
    <row r="2827" spans="7:13" x14ac:dyDescent="0.35">
      <c r="G2827" s="89"/>
      <c r="H2827" s="90"/>
      <c r="L2827" s="89"/>
      <c r="M2827" s="90"/>
    </row>
    <row r="2828" spans="7:13" x14ac:dyDescent="0.35">
      <c r="G2828" s="89"/>
      <c r="H2828" s="90"/>
      <c r="L2828" s="89"/>
      <c r="M2828" s="90"/>
    </row>
    <row r="2829" spans="7:13" x14ac:dyDescent="0.35">
      <c r="G2829" s="89"/>
      <c r="H2829" s="90"/>
      <c r="L2829" s="89"/>
      <c r="M2829" s="90"/>
    </row>
    <row r="2830" spans="7:13" x14ac:dyDescent="0.35">
      <c r="G2830" s="89"/>
      <c r="H2830" s="90"/>
      <c r="L2830" s="89"/>
      <c r="M2830" s="90"/>
    </row>
    <row r="2831" spans="7:13" x14ac:dyDescent="0.35">
      <c r="G2831" s="89"/>
      <c r="H2831" s="90"/>
      <c r="L2831" s="89"/>
      <c r="M2831" s="90"/>
    </row>
    <row r="2832" spans="7:13" x14ac:dyDescent="0.35">
      <c r="G2832" s="89"/>
      <c r="H2832" s="90"/>
      <c r="L2832" s="89"/>
      <c r="M2832" s="90"/>
    </row>
    <row r="2833" spans="7:13" x14ac:dyDescent="0.35">
      <c r="G2833" s="89"/>
      <c r="H2833" s="90"/>
      <c r="L2833" s="89"/>
      <c r="M2833" s="90"/>
    </row>
    <row r="2834" spans="7:13" x14ac:dyDescent="0.35">
      <c r="G2834" s="89"/>
      <c r="H2834" s="90"/>
      <c r="L2834" s="89"/>
      <c r="M2834" s="90"/>
    </row>
    <row r="2835" spans="7:13" x14ac:dyDescent="0.35">
      <c r="G2835" s="89"/>
      <c r="H2835" s="90"/>
      <c r="L2835" s="89"/>
      <c r="M2835" s="90"/>
    </row>
    <row r="2836" spans="7:13" x14ac:dyDescent="0.35">
      <c r="G2836" s="89"/>
      <c r="H2836" s="90"/>
      <c r="L2836" s="89"/>
      <c r="M2836" s="90"/>
    </row>
    <row r="2837" spans="7:13" x14ac:dyDescent="0.35">
      <c r="G2837" s="89"/>
      <c r="H2837" s="90"/>
      <c r="L2837" s="89"/>
      <c r="M2837" s="90"/>
    </row>
    <row r="2838" spans="7:13" x14ac:dyDescent="0.35">
      <c r="G2838" s="89"/>
      <c r="H2838" s="90"/>
      <c r="L2838" s="89"/>
      <c r="M2838" s="90"/>
    </row>
    <row r="2839" spans="7:13" x14ac:dyDescent="0.35">
      <c r="G2839" s="89"/>
      <c r="H2839" s="90"/>
      <c r="L2839" s="89"/>
      <c r="M2839" s="90"/>
    </row>
    <row r="2840" spans="7:13" x14ac:dyDescent="0.35">
      <c r="G2840" s="89"/>
      <c r="H2840" s="90"/>
      <c r="L2840" s="89"/>
      <c r="M2840" s="90"/>
    </row>
    <row r="2841" spans="7:13" x14ac:dyDescent="0.35">
      <c r="G2841" s="89"/>
      <c r="H2841" s="90"/>
      <c r="L2841" s="89"/>
      <c r="M2841" s="90"/>
    </row>
    <row r="2842" spans="7:13" x14ac:dyDescent="0.35">
      <c r="G2842" s="89"/>
      <c r="H2842" s="90"/>
      <c r="L2842" s="89"/>
      <c r="M2842" s="90"/>
    </row>
    <row r="2843" spans="7:13" x14ac:dyDescent="0.35">
      <c r="G2843" s="89"/>
      <c r="H2843" s="90"/>
      <c r="L2843" s="89"/>
      <c r="M2843" s="90"/>
    </row>
    <row r="2844" spans="7:13" x14ac:dyDescent="0.35">
      <c r="G2844" s="89"/>
      <c r="H2844" s="90"/>
      <c r="L2844" s="89"/>
      <c r="M2844" s="90"/>
    </row>
    <row r="2845" spans="7:13" x14ac:dyDescent="0.35">
      <c r="G2845" s="89"/>
      <c r="H2845" s="90"/>
      <c r="L2845" s="89"/>
      <c r="M2845" s="90"/>
    </row>
    <row r="2846" spans="7:13" x14ac:dyDescent="0.35">
      <c r="G2846" s="89"/>
      <c r="H2846" s="90"/>
      <c r="L2846" s="89"/>
      <c r="M2846" s="90"/>
    </row>
    <row r="2847" spans="7:13" x14ac:dyDescent="0.35">
      <c r="G2847" s="89"/>
      <c r="H2847" s="90"/>
      <c r="L2847" s="89"/>
      <c r="M2847" s="90"/>
    </row>
    <row r="2848" spans="7:13" x14ac:dyDescent="0.35">
      <c r="G2848" s="89"/>
      <c r="H2848" s="90"/>
      <c r="L2848" s="89"/>
      <c r="M2848" s="90"/>
    </row>
    <row r="2849" spans="7:13" x14ac:dyDescent="0.35">
      <c r="G2849" s="89"/>
      <c r="H2849" s="90"/>
      <c r="L2849" s="89"/>
      <c r="M2849" s="90"/>
    </row>
    <row r="2850" spans="7:13" x14ac:dyDescent="0.35">
      <c r="G2850" s="89"/>
      <c r="H2850" s="90"/>
      <c r="L2850" s="89"/>
      <c r="M2850" s="90"/>
    </row>
    <row r="2851" spans="7:13" x14ac:dyDescent="0.35">
      <c r="G2851" s="89"/>
      <c r="H2851" s="90"/>
      <c r="L2851" s="89"/>
      <c r="M2851" s="90"/>
    </row>
    <row r="2852" spans="7:13" x14ac:dyDescent="0.35">
      <c r="G2852" s="89"/>
      <c r="H2852" s="90"/>
      <c r="L2852" s="89"/>
      <c r="M2852" s="90"/>
    </row>
    <row r="2853" spans="7:13" x14ac:dyDescent="0.35">
      <c r="G2853" s="89"/>
      <c r="H2853" s="90"/>
      <c r="L2853" s="89"/>
      <c r="M2853" s="90"/>
    </row>
    <row r="2854" spans="7:13" x14ac:dyDescent="0.35">
      <c r="G2854" s="89"/>
      <c r="H2854" s="90"/>
      <c r="L2854" s="89"/>
      <c r="M2854" s="90"/>
    </row>
    <row r="2855" spans="7:13" x14ac:dyDescent="0.35">
      <c r="G2855" s="89"/>
      <c r="H2855" s="90"/>
      <c r="L2855" s="89"/>
      <c r="M2855" s="90"/>
    </row>
    <row r="2856" spans="7:13" x14ac:dyDescent="0.35">
      <c r="G2856" s="89"/>
      <c r="H2856" s="90"/>
      <c r="L2856" s="89"/>
      <c r="M2856" s="90"/>
    </row>
    <row r="2857" spans="7:13" x14ac:dyDescent="0.35">
      <c r="G2857" s="89"/>
      <c r="H2857" s="90"/>
      <c r="L2857" s="89"/>
      <c r="M2857" s="90"/>
    </row>
    <row r="2858" spans="7:13" x14ac:dyDescent="0.35">
      <c r="G2858" s="89"/>
      <c r="H2858" s="90"/>
      <c r="L2858" s="89"/>
      <c r="M2858" s="90"/>
    </row>
    <row r="2859" spans="7:13" x14ac:dyDescent="0.35">
      <c r="G2859" s="89"/>
      <c r="H2859" s="90"/>
      <c r="L2859" s="89"/>
      <c r="M2859" s="90"/>
    </row>
    <row r="2860" spans="7:13" x14ac:dyDescent="0.35">
      <c r="G2860" s="89"/>
      <c r="H2860" s="90"/>
      <c r="L2860" s="89"/>
      <c r="M2860" s="90"/>
    </row>
    <row r="2861" spans="7:13" x14ac:dyDescent="0.35">
      <c r="G2861" s="89"/>
      <c r="H2861" s="90"/>
      <c r="L2861" s="89"/>
      <c r="M2861" s="90"/>
    </row>
    <row r="2862" spans="7:13" x14ac:dyDescent="0.35">
      <c r="G2862" s="89"/>
      <c r="H2862" s="90"/>
      <c r="L2862" s="89"/>
      <c r="M2862" s="90"/>
    </row>
    <row r="2863" spans="7:13" x14ac:dyDescent="0.35">
      <c r="G2863" s="89"/>
      <c r="H2863" s="90"/>
      <c r="L2863" s="89"/>
      <c r="M2863" s="90"/>
    </row>
    <row r="2864" spans="7:13" x14ac:dyDescent="0.35">
      <c r="G2864" s="89"/>
      <c r="H2864" s="90"/>
      <c r="L2864" s="89"/>
      <c r="M2864" s="90"/>
    </row>
    <row r="2865" spans="7:13" x14ac:dyDescent="0.35">
      <c r="G2865" s="89"/>
      <c r="H2865" s="90"/>
      <c r="L2865" s="89"/>
      <c r="M2865" s="90"/>
    </row>
    <row r="2866" spans="7:13" x14ac:dyDescent="0.35">
      <c r="G2866" s="89"/>
      <c r="H2866" s="90"/>
      <c r="L2866" s="89"/>
      <c r="M2866" s="90"/>
    </row>
    <row r="2867" spans="7:13" x14ac:dyDescent="0.35">
      <c r="G2867" s="89"/>
      <c r="H2867" s="90"/>
      <c r="L2867" s="89"/>
      <c r="M2867" s="90"/>
    </row>
    <row r="2868" spans="7:13" x14ac:dyDescent="0.35">
      <c r="G2868" s="89"/>
      <c r="H2868" s="90"/>
      <c r="L2868" s="89"/>
      <c r="M2868" s="90"/>
    </row>
    <row r="2869" spans="7:13" x14ac:dyDescent="0.35">
      <c r="G2869" s="89"/>
      <c r="H2869" s="90"/>
      <c r="L2869" s="89"/>
      <c r="M2869" s="90"/>
    </row>
    <row r="2870" spans="7:13" x14ac:dyDescent="0.35">
      <c r="G2870" s="89"/>
      <c r="H2870" s="90"/>
      <c r="L2870" s="89"/>
      <c r="M2870" s="90"/>
    </row>
    <row r="2871" spans="7:13" x14ac:dyDescent="0.35">
      <c r="G2871" s="89"/>
      <c r="H2871" s="90"/>
      <c r="L2871" s="89"/>
      <c r="M2871" s="90"/>
    </row>
    <row r="2872" spans="7:13" x14ac:dyDescent="0.35">
      <c r="G2872" s="89"/>
      <c r="H2872" s="90"/>
      <c r="L2872" s="89"/>
      <c r="M2872" s="90"/>
    </row>
    <row r="2873" spans="7:13" x14ac:dyDescent="0.35">
      <c r="G2873" s="89"/>
      <c r="H2873" s="90"/>
      <c r="L2873" s="89"/>
      <c r="M2873" s="90"/>
    </row>
    <row r="2874" spans="7:13" x14ac:dyDescent="0.35">
      <c r="G2874" s="89"/>
      <c r="H2874" s="90"/>
      <c r="L2874" s="89"/>
      <c r="M2874" s="90"/>
    </row>
    <row r="2875" spans="7:13" x14ac:dyDescent="0.35">
      <c r="G2875" s="89"/>
      <c r="H2875" s="90"/>
      <c r="L2875" s="89"/>
      <c r="M2875" s="90"/>
    </row>
    <row r="2876" spans="7:13" x14ac:dyDescent="0.35">
      <c r="G2876" s="89"/>
      <c r="H2876" s="90"/>
      <c r="L2876" s="89"/>
      <c r="M2876" s="90"/>
    </row>
    <row r="2877" spans="7:13" x14ac:dyDescent="0.35">
      <c r="G2877" s="89"/>
      <c r="H2877" s="90"/>
      <c r="L2877" s="89"/>
      <c r="M2877" s="90"/>
    </row>
    <row r="2878" spans="7:13" x14ac:dyDescent="0.35">
      <c r="G2878" s="89"/>
      <c r="H2878" s="90"/>
      <c r="L2878" s="89"/>
      <c r="M2878" s="90"/>
    </row>
    <row r="2879" spans="7:13" x14ac:dyDescent="0.35">
      <c r="G2879" s="89"/>
      <c r="H2879" s="90"/>
      <c r="L2879" s="89"/>
      <c r="M2879" s="90"/>
    </row>
    <row r="2880" spans="7:13" x14ac:dyDescent="0.35">
      <c r="G2880" s="89"/>
      <c r="H2880" s="90"/>
      <c r="L2880" s="89"/>
      <c r="M2880" s="90"/>
    </row>
    <row r="2881" spans="7:13" x14ac:dyDescent="0.35">
      <c r="G2881" s="89"/>
      <c r="H2881" s="90"/>
      <c r="L2881" s="89"/>
      <c r="M2881" s="90"/>
    </row>
    <row r="2882" spans="7:13" x14ac:dyDescent="0.35">
      <c r="G2882" s="89"/>
      <c r="H2882" s="90"/>
      <c r="L2882" s="89"/>
      <c r="M2882" s="90"/>
    </row>
    <row r="2883" spans="7:13" x14ac:dyDescent="0.35">
      <c r="G2883" s="89"/>
      <c r="H2883" s="90"/>
      <c r="L2883" s="89"/>
      <c r="M2883" s="90"/>
    </row>
    <row r="2884" spans="7:13" x14ac:dyDescent="0.35">
      <c r="G2884" s="89"/>
      <c r="H2884" s="90"/>
      <c r="L2884" s="89"/>
      <c r="M2884" s="90"/>
    </row>
    <row r="2885" spans="7:13" x14ac:dyDescent="0.35">
      <c r="G2885" s="89"/>
      <c r="H2885" s="90"/>
      <c r="L2885" s="89"/>
      <c r="M2885" s="90"/>
    </row>
    <row r="2886" spans="7:13" x14ac:dyDescent="0.35">
      <c r="G2886" s="89"/>
      <c r="H2886" s="90"/>
      <c r="L2886" s="89"/>
      <c r="M2886" s="90"/>
    </row>
    <row r="2887" spans="7:13" x14ac:dyDescent="0.35">
      <c r="G2887" s="89"/>
      <c r="H2887" s="90"/>
      <c r="L2887" s="89"/>
      <c r="M2887" s="90"/>
    </row>
    <row r="2888" spans="7:13" x14ac:dyDescent="0.35">
      <c r="G2888" s="89"/>
      <c r="H2888" s="90"/>
      <c r="L2888" s="89"/>
      <c r="M2888" s="90"/>
    </row>
    <row r="2889" spans="7:13" x14ac:dyDescent="0.35">
      <c r="G2889" s="89"/>
      <c r="H2889" s="90"/>
      <c r="L2889" s="89"/>
      <c r="M2889" s="90"/>
    </row>
    <row r="2890" spans="7:13" x14ac:dyDescent="0.35">
      <c r="G2890" s="89"/>
      <c r="H2890" s="90"/>
      <c r="L2890" s="89"/>
      <c r="M2890" s="90"/>
    </row>
    <row r="2891" spans="7:13" x14ac:dyDescent="0.35">
      <c r="G2891" s="89"/>
      <c r="H2891" s="90"/>
      <c r="L2891" s="89"/>
      <c r="M2891" s="90"/>
    </row>
    <row r="2892" spans="7:13" x14ac:dyDescent="0.35">
      <c r="G2892" s="89"/>
      <c r="H2892" s="90"/>
      <c r="L2892" s="89"/>
      <c r="M2892" s="90"/>
    </row>
    <row r="2893" spans="7:13" x14ac:dyDescent="0.35">
      <c r="G2893" s="89"/>
      <c r="H2893" s="90"/>
      <c r="L2893" s="89"/>
      <c r="M2893" s="90"/>
    </row>
    <row r="2894" spans="7:13" x14ac:dyDescent="0.35">
      <c r="G2894" s="89"/>
      <c r="H2894" s="90"/>
      <c r="L2894" s="89"/>
      <c r="M2894" s="90"/>
    </row>
    <row r="2895" spans="7:13" x14ac:dyDescent="0.35">
      <c r="G2895" s="89"/>
      <c r="H2895" s="90"/>
      <c r="L2895" s="89"/>
      <c r="M2895" s="90"/>
    </row>
    <row r="2896" spans="7:13" x14ac:dyDescent="0.35">
      <c r="G2896" s="89"/>
      <c r="H2896" s="90"/>
      <c r="L2896" s="89"/>
      <c r="M2896" s="90"/>
    </row>
    <row r="2897" spans="7:13" x14ac:dyDescent="0.35">
      <c r="G2897" s="89"/>
      <c r="H2897" s="90"/>
      <c r="L2897" s="89"/>
      <c r="M2897" s="90"/>
    </row>
    <row r="2898" spans="7:13" x14ac:dyDescent="0.35">
      <c r="G2898" s="89"/>
      <c r="H2898" s="90"/>
      <c r="L2898" s="89"/>
      <c r="M2898" s="90"/>
    </row>
    <row r="2899" spans="7:13" x14ac:dyDescent="0.35">
      <c r="G2899" s="89"/>
      <c r="H2899" s="90"/>
      <c r="L2899" s="89"/>
      <c r="M2899" s="90"/>
    </row>
    <row r="2900" spans="7:13" x14ac:dyDescent="0.35">
      <c r="G2900" s="89"/>
      <c r="H2900" s="90"/>
      <c r="L2900" s="89"/>
      <c r="M2900" s="90"/>
    </row>
    <row r="2901" spans="7:13" x14ac:dyDescent="0.35">
      <c r="G2901" s="89"/>
      <c r="H2901" s="90"/>
      <c r="L2901" s="89"/>
      <c r="M2901" s="90"/>
    </row>
    <row r="2902" spans="7:13" x14ac:dyDescent="0.35">
      <c r="G2902" s="89"/>
      <c r="H2902" s="90"/>
      <c r="L2902" s="89"/>
      <c r="M2902" s="90"/>
    </row>
    <row r="2903" spans="7:13" x14ac:dyDescent="0.35">
      <c r="G2903" s="89"/>
      <c r="H2903" s="90"/>
      <c r="L2903" s="89"/>
      <c r="M2903" s="90"/>
    </row>
    <row r="2904" spans="7:13" x14ac:dyDescent="0.35">
      <c r="G2904" s="89"/>
      <c r="H2904" s="90"/>
      <c r="L2904" s="89"/>
      <c r="M2904" s="90"/>
    </row>
    <row r="2905" spans="7:13" x14ac:dyDescent="0.35">
      <c r="G2905" s="89"/>
      <c r="H2905" s="90"/>
      <c r="L2905" s="89"/>
      <c r="M2905" s="90"/>
    </row>
    <row r="2906" spans="7:13" x14ac:dyDescent="0.35">
      <c r="G2906" s="89"/>
      <c r="H2906" s="90"/>
      <c r="L2906" s="89"/>
      <c r="M2906" s="90"/>
    </row>
    <row r="2907" spans="7:13" x14ac:dyDescent="0.35">
      <c r="G2907" s="89"/>
      <c r="H2907" s="90"/>
      <c r="L2907" s="89"/>
      <c r="M2907" s="90"/>
    </row>
    <row r="2908" spans="7:13" x14ac:dyDescent="0.35">
      <c r="G2908" s="89"/>
      <c r="H2908" s="90"/>
      <c r="L2908" s="89"/>
      <c r="M2908" s="90"/>
    </row>
    <row r="2909" spans="7:13" x14ac:dyDescent="0.35">
      <c r="G2909" s="89"/>
      <c r="H2909" s="90"/>
      <c r="L2909" s="89"/>
      <c r="M2909" s="90"/>
    </row>
    <row r="2910" spans="7:13" x14ac:dyDescent="0.35">
      <c r="G2910" s="89"/>
      <c r="H2910" s="90"/>
      <c r="L2910" s="89"/>
      <c r="M2910" s="90"/>
    </row>
    <row r="2911" spans="7:13" x14ac:dyDescent="0.35">
      <c r="G2911" s="89"/>
      <c r="H2911" s="90"/>
      <c r="L2911" s="89"/>
      <c r="M2911" s="90"/>
    </row>
    <row r="2912" spans="7:13" x14ac:dyDescent="0.35">
      <c r="G2912" s="89"/>
      <c r="H2912" s="90"/>
      <c r="L2912" s="89"/>
      <c r="M2912" s="90"/>
    </row>
    <row r="2913" spans="7:13" x14ac:dyDescent="0.35">
      <c r="G2913" s="89"/>
      <c r="H2913" s="90"/>
      <c r="L2913" s="89"/>
      <c r="M2913" s="90"/>
    </row>
    <row r="2914" spans="7:13" x14ac:dyDescent="0.35">
      <c r="G2914" s="89"/>
      <c r="H2914" s="90"/>
      <c r="L2914" s="89"/>
      <c r="M2914" s="90"/>
    </row>
    <row r="2915" spans="7:13" x14ac:dyDescent="0.35">
      <c r="G2915" s="89"/>
      <c r="H2915" s="90"/>
      <c r="L2915" s="89"/>
      <c r="M2915" s="90"/>
    </row>
    <row r="2916" spans="7:13" x14ac:dyDescent="0.35">
      <c r="G2916" s="89"/>
      <c r="H2916" s="90"/>
      <c r="L2916" s="89"/>
      <c r="M2916" s="90"/>
    </row>
    <row r="2917" spans="7:13" x14ac:dyDescent="0.35">
      <c r="G2917" s="89"/>
      <c r="H2917" s="90"/>
      <c r="L2917" s="89"/>
      <c r="M2917" s="90"/>
    </row>
    <row r="2918" spans="7:13" x14ac:dyDescent="0.35">
      <c r="G2918" s="89"/>
      <c r="H2918" s="90"/>
      <c r="L2918" s="89"/>
      <c r="M2918" s="90"/>
    </row>
    <row r="2919" spans="7:13" x14ac:dyDescent="0.35">
      <c r="G2919" s="89"/>
      <c r="H2919" s="90"/>
      <c r="L2919" s="89"/>
      <c r="M2919" s="90"/>
    </row>
    <row r="2920" spans="7:13" x14ac:dyDescent="0.35">
      <c r="G2920" s="89"/>
      <c r="H2920" s="90"/>
      <c r="L2920" s="89"/>
      <c r="M2920" s="90"/>
    </row>
    <row r="2921" spans="7:13" x14ac:dyDescent="0.35">
      <c r="G2921" s="89"/>
      <c r="H2921" s="90"/>
      <c r="L2921" s="89"/>
      <c r="M2921" s="90"/>
    </row>
    <row r="2922" spans="7:13" x14ac:dyDescent="0.35">
      <c r="G2922" s="89"/>
      <c r="H2922" s="90"/>
      <c r="L2922" s="89"/>
      <c r="M2922" s="90"/>
    </row>
    <row r="2923" spans="7:13" x14ac:dyDescent="0.35">
      <c r="G2923" s="89"/>
      <c r="H2923" s="90"/>
      <c r="L2923" s="89"/>
      <c r="M2923" s="90"/>
    </row>
    <row r="2924" spans="7:13" x14ac:dyDescent="0.35">
      <c r="G2924" s="89"/>
      <c r="H2924" s="90"/>
      <c r="L2924" s="89"/>
      <c r="M2924" s="90"/>
    </row>
    <row r="2925" spans="7:13" x14ac:dyDescent="0.35">
      <c r="G2925" s="89"/>
      <c r="H2925" s="90"/>
      <c r="L2925" s="89"/>
      <c r="M2925" s="90"/>
    </row>
    <row r="2926" spans="7:13" x14ac:dyDescent="0.35">
      <c r="G2926" s="89"/>
      <c r="H2926" s="90"/>
      <c r="L2926" s="89"/>
      <c r="M2926" s="90"/>
    </row>
    <row r="2927" spans="7:13" x14ac:dyDescent="0.35">
      <c r="G2927" s="89"/>
      <c r="H2927" s="90"/>
      <c r="L2927" s="89"/>
      <c r="M2927" s="90"/>
    </row>
    <row r="2928" spans="7:13" x14ac:dyDescent="0.35">
      <c r="G2928" s="89"/>
      <c r="H2928" s="90"/>
      <c r="L2928" s="89"/>
      <c r="M2928" s="90"/>
    </row>
    <row r="2929" spans="7:13" x14ac:dyDescent="0.35">
      <c r="G2929" s="89"/>
      <c r="H2929" s="90"/>
      <c r="L2929" s="89"/>
      <c r="M2929" s="90"/>
    </row>
    <row r="2930" spans="7:13" x14ac:dyDescent="0.35">
      <c r="G2930" s="89"/>
      <c r="H2930" s="90"/>
      <c r="L2930" s="89"/>
      <c r="M2930" s="90"/>
    </row>
    <row r="2931" spans="7:13" x14ac:dyDescent="0.35">
      <c r="G2931" s="89"/>
      <c r="H2931" s="90"/>
      <c r="L2931" s="89"/>
      <c r="M2931" s="90"/>
    </row>
    <row r="2932" spans="7:13" x14ac:dyDescent="0.35">
      <c r="G2932" s="89"/>
      <c r="H2932" s="90"/>
      <c r="L2932" s="89"/>
      <c r="M2932" s="90"/>
    </row>
    <row r="2933" spans="7:13" x14ac:dyDescent="0.35">
      <c r="G2933" s="89"/>
      <c r="H2933" s="90"/>
      <c r="L2933" s="89"/>
      <c r="M2933" s="90"/>
    </row>
    <row r="2934" spans="7:13" x14ac:dyDescent="0.35">
      <c r="G2934" s="89"/>
      <c r="H2934" s="90"/>
      <c r="L2934" s="89"/>
      <c r="M2934" s="90"/>
    </row>
    <row r="2935" spans="7:13" x14ac:dyDescent="0.35">
      <c r="G2935" s="89"/>
      <c r="H2935" s="90"/>
      <c r="L2935" s="89"/>
      <c r="M2935" s="90"/>
    </row>
    <row r="2936" spans="7:13" x14ac:dyDescent="0.35">
      <c r="G2936" s="89"/>
      <c r="H2936" s="90"/>
      <c r="L2936" s="89"/>
      <c r="M2936" s="90"/>
    </row>
    <row r="2937" spans="7:13" x14ac:dyDescent="0.35">
      <c r="G2937" s="89"/>
      <c r="H2937" s="90"/>
      <c r="L2937" s="89"/>
      <c r="M2937" s="90"/>
    </row>
    <row r="2938" spans="7:13" x14ac:dyDescent="0.35">
      <c r="G2938" s="89"/>
      <c r="H2938" s="90"/>
      <c r="L2938" s="89"/>
      <c r="M2938" s="90"/>
    </row>
    <row r="2939" spans="7:13" x14ac:dyDescent="0.35">
      <c r="G2939" s="89"/>
      <c r="H2939" s="90"/>
      <c r="L2939" s="89"/>
      <c r="M2939" s="90"/>
    </row>
    <row r="2940" spans="7:13" x14ac:dyDescent="0.35">
      <c r="G2940" s="89"/>
      <c r="H2940" s="90"/>
      <c r="L2940" s="89"/>
      <c r="M2940" s="90"/>
    </row>
    <row r="2941" spans="7:13" x14ac:dyDescent="0.35">
      <c r="G2941" s="89"/>
      <c r="H2941" s="90"/>
      <c r="L2941" s="89"/>
      <c r="M2941" s="90"/>
    </row>
    <row r="2942" spans="7:13" x14ac:dyDescent="0.35">
      <c r="G2942" s="89"/>
      <c r="H2942" s="90"/>
      <c r="L2942" s="89"/>
      <c r="M2942" s="90"/>
    </row>
    <row r="2943" spans="7:13" x14ac:dyDescent="0.35">
      <c r="G2943" s="89"/>
      <c r="H2943" s="90"/>
      <c r="L2943" s="89"/>
      <c r="M2943" s="90"/>
    </row>
    <row r="2944" spans="7:13" x14ac:dyDescent="0.35">
      <c r="G2944" s="89"/>
      <c r="H2944" s="90"/>
      <c r="L2944" s="89"/>
      <c r="M2944" s="90"/>
    </row>
    <row r="2945" spans="7:13" x14ac:dyDescent="0.35">
      <c r="G2945" s="89"/>
      <c r="H2945" s="90"/>
      <c r="L2945" s="89"/>
      <c r="M2945" s="90"/>
    </row>
    <row r="2946" spans="7:13" x14ac:dyDescent="0.35">
      <c r="G2946" s="89"/>
      <c r="H2946" s="90"/>
      <c r="L2946" s="89"/>
      <c r="M2946" s="90"/>
    </row>
    <row r="2947" spans="7:13" x14ac:dyDescent="0.35">
      <c r="G2947" s="89"/>
      <c r="H2947" s="90"/>
      <c r="L2947" s="89"/>
      <c r="M2947" s="90"/>
    </row>
    <row r="2948" spans="7:13" x14ac:dyDescent="0.35">
      <c r="G2948" s="89"/>
      <c r="H2948" s="90"/>
      <c r="L2948" s="89"/>
      <c r="M2948" s="90"/>
    </row>
    <row r="2949" spans="7:13" x14ac:dyDescent="0.35">
      <c r="G2949" s="89"/>
      <c r="H2949" s="90"/>
      <c r="L2949" s="89"/>
      <c r="M2949" s="90"/>
    </row>
    <row r="2950" spans="7:13" x14ac:dyDescent="0.35">
      <c r="G2950" s="89"/>
      <c r="H2950" s="90"/>
      <c r="L2950" s="89"/>
      <c r="M2950" s="90"/>
    </row>
    <row r="2951" spans="7:13" x14ac:dyDescent="0.35">
      <c r="G2951" s="89"/>
      <c r="H2951" s="90"/>
      <c r="L2951" s="89"/>
      <c r="M2951" s="90"/>
    </row>
    <row r="2952" spans="7:13" x14ac:dyDescent="0.35">
      <c r="G2952" s="89"/>
      <c r="H2952" s="90"/>
      <c r="L2952" s="89"/>
      <c r="M2952" s="90"/>
    </row>
    <row r="2953" spans="7:13" x14ac:dyDescent="0.35">
      <c r="G2953" s="89"/>
      <c r="H2953" s="90"/>
      <c r="L2953" s="89"/>
      <c r="M2953" s="90"/>
    </row>
    <row r="2954" spans="7:13" x14ac:dyDescent="0.35">
      <c r="G2954" s="89"/>
      <c r="H2954" s="90"/>
      <c r="L2954" s="89"/>
      <c r="M2954" s="90"/>
    </row>
    <row r="2955" spans="7:13" x14ac:dyDescent="0.35">
      <c r="G2955" s="89"/>
      <c r="H2955" s="90"/>
      <c r="L2955" s="89"/>
      <c r="M2955" s="90"/>
    </row>
    <row r="2956" spans="7:13" x14ac:dyDescent="0.35">
      <c r="G2956" s="89"/>
      <c r="H2956" s="90"/>
      <c r="L2956" s="89"/>
      <c r="M2956" s="90"/>
    </row>
    <row r="2957" spans="7:13" x14ac:dyDescent="0.35">
      <c r="G2957" s="89"/>
      <c r="H2957" s="90"/>
      <c r="L2957" s="89"/>
      <c r="M2957" s="90"/>
    </row>
    <row r="2958" spans="7:13" x14ac:dyDescent="0.35">
      <c r="G2958" s="89"/>
      <c r="H2958" s="90"/>
      <c r="L2958" s="89"/>
      <c r="M2958" s="90"/>
    </row>
    <row r="2959" spans="7:13" x14ac:dyDescent="0.35">
      <c r="G2959" s="89"/>
      <c r="H2959" s="90"/>
      <c r="L2959" s="89"/>
      <c r="M2959" s="90"/>
    </row>
    <row r="2960" spans="7:13" x14ac:dyDescent="0.35">
      <c r="G2960" s="89"/>
      <c r="H2960" s="90"/>
      <c r="L2960" s="89"/>
      <c r="M2960" s="90"/>
    </row>
    <row r="2961" spans="7:13" x14ac:dyDescent="0.35">
      <c r="G2961" s="89"/>
      <c r="H2961" s="90"/>
      <c r="L2961" s="89"/>
      <c r="M2961" s="90"/>
    </row>
    <row r="2962" spans="7:13" x14ac:dyDescent="0.35">
      <c r="G2962" s="89"/>
      <c r="H2962" s="90"/>
      <c r="L2962" s="89"/>
      <c r="M2962" s="90"/>
    </row>
    <row r="2963" spans="7:13" x14ac:dyDescent="0.35">
      <c r="G2963" s="89"/>
      <c r="H2963" s="90"/>
      <c r="L2963" s="89"/>
      <c r="M2963" s="90"/>
    </row>
    <row r="2964" spans="7:13" x14ac:dyDescent="0.35">
      <c r="G2964" s="89"/>
      <c r="H2964" s="90"/>
      <c r="L2964" s="89"/>
      <c r="M2964" s="90"/>
    </row>
    <row r="2965" spans="7:13" x14ac:dyDescent="0.35">
      <c r="G2965" s="89"/>
      <c r="H2965" s="90"/>
      <c r="L2965" s="89"/>
      <c r="M2965" s="90"/>
    </row>
    <row r="2966" spans="7:13" x14ac:dyDescent="0.35">
      <c r="G2966" s="89"/>
      <c r="H2966" s="90"/>
      <c r="L2966" s="89"/>
      <c r="M2966" s="90"/>
    </row>
    <row r="2967" spans="7:13" x14ac:dyDescent="0.35">
      <c r="G2967" s="89"/>
      <c r="H2967" s="90"/>
      <c r="L2967" s="89"/>
      <c r="M2967" s="90"/>
    </row>
    <row r="2968" spans="7:13" x14ac:dyDescent="0.35">
      <c r="G2968" s="89"/>
      <c r="H2968" s="90"/>
      <c r="L2968" s="89"/>
      <c r="M2968" s="90"/>
    </row>
    <row r="2969" spans="7:13" x14ac:dyDescent="0.35">
      <c r="G2969" s="89"/>
      <c r="H2969" s="90"/>
      <c r="L2969" s="89"/>
      <c r="M2969" s="90"/>
    </row>
    <row r="2970" spans="7:13" x14ac:dyDescent="0.35">
      <c r="G2970" s="89"/>
      <c r="H2970" s="90"/>
      <c r="L2970" s="89"/>
      <c r="M2970" s="90"/>
    </row>
    <row r="2971" spans="7:13" x14ac:dyDescent="0.35">
      <c r="G2971" s="89"/>
      <c r="H2971" s="90"/>
      <c r="L2971" s="89"/>
      <c r="M2971" s="90"/>
    </row>
    <row r="2972" spans="7:13" x14ac:dyDescent="0.35">
      <c r="G2972" s="89"/>
      <c r="H2972" s="90"/>
      <c r="L2972" s="89"/>
      <c r="M2972" s="90"/>
    </row>
    <row r="2973" spans="7:13" x14ac:dyDescent="0.35">
      <c r="G2973" s="89"/>
      <c r="H2973" s="90"/>
      <c r="L2973" s="89"/>
      <c r="M2973" s="90"/>
    </row>
    <row r="2974" spans="7:13" x14ac:dyDescent="0.35">
      <c r="G2974" s="89"/>
      <c r="H2974" s="90"/>
      <c r="L2974" s="89"/>
      <c r="M2974" s="90"/>
    </row>
    <row r="2975" spans="7:13" x14ac:dyDescent="0.35">
      <c r="G2975" s="89"/>
      <c r="H2975" s="90"/>
      <c r="L2975" s="89"/>
      <c r="M2975" s="90"/>
    </row>
    <row r="2976" spans="7:13" x14ac:dyDescent="0.35">
      <c r="G2976" s="89"/>
      <c r="H2976" s="90"/>
      <c r="L2976" s="89"/>
      <c r="M2976" s="90"/>
    </row>
    <row r="2977" spans="7:13" x14ac:dyDescent="0.35">
      <c r="G2977" s="89"/>
      <c r="H2977" s="90"/>
      <c r="L2977" s="89"/>
      <c r="M2977" s="90"/>
    </row>
    <row r="2978" spans="7:13" x14ac:dyDescent="0.35">
      <c r="G2978" s="89"/>
      <c r="H2978" s="90"/>
      <c r="L2978" s="89"/>
      <c r="M2978" s="90"/>
    </row>
    <row r="2979" spans="7:13" x14ac:dyDescent="0.35">
      <c r="G2979" s="89"/>
      <c r="H2979" s="90"/>
      <c r="L2979" s="89"/>
      <c r="M2979" s="90"/>
    </row>
    <row r="2980" spans="7:13" x14ac:dyDescent="0.35">
      <c r="G2980" s="89"/>
      <c r="H2980" s="90"/>
      <c r="L2980" s="89"/>
      <c r="M2980" s="90"/>
    </row>
    <row r="2981" spans="7:13" x14ac:dyDescent="0.35">
      <c r="G2981" s="89"/>
      <c r="H2981" s="90"/>
      <c r="L2981" s="89"/>
      <c r="M2981" s="90"/>
    </row>
    <row r="2982" spans="7:13" x14ac:dyDescent="0.35">
      <c r="G2982" s="89"/>
      <c r="H2982" s="90"/>
      <c r="L2982" s="89"/>
      <c r="M2982" s="90"/>
    </row>
    <row r="2983" spans="7:13" x14ac:dyDescent="0.35">
      <c r="G2983" s="89"/>
      <c r="H2983" s="90"/>
      <c r="L2983" s="89"/>
      <c r="M2983" s="90"/>
    </row>
    <row r="2984" spans="7:13" x14ac:dyDescent="0.35">
      <c r="G2984" s="89"/>
      <c r="H2984" s="90"/>
      <c r="L2984" s="89"/>
      <c r="M2984" s="90"/>
    </row>
    <row r="2985" spans="7:13" x14ac:dyDescent="0.35">
      <c r="G2985" s="89"/>
      <c r="H2985" s="90"/>
      <c r="L2985" s="89"/>
      <c r="M2985" s="90"/>
    </row>
    <row r="2986" spans="7:13" x14ac:dyDescent="0.35">
      <c r="G2986" s="89"/>
      <c r="H2986" s="90"/>
      <c r="L2986" s="89"/>
      <c r="M2986" s="90"/>
    </row>
    <row r="2987" spans="7:13" x14ac:dyDescent="0.35">
      <c r="G2987" s="89"/>
      <c r="H2987" s="90"/>
      <c r="L2987" s="89"/>
      <c r="M2987" s="90"/>
    </row>
    <row r="2988" spans="7:13" x14ac:dyDescent="0.35">
      <c r="G2988" s="89"/>
      <c r="H2988" s="90"/>
      <c r="L2988" s="89"/>
      <c r="M2988" s="90"/>
    </row>
    <row r="2989" spans="7:13" x14ac:dyDescent="0.35">
      <c r="G2989" s="89"/>
      <c r="H2989" s="90"/>
      <c r="L2989" s="89"/>
      <c r="M2989" s="90"/>
    </row>
    <row r="2990" spans="7:13" x14ac:dyDescent="0.35">
      <c r="G2990" s="89"/>
      <c r="H2990" s="90"/>
      <c r="L2990" s="89"/>
      <c r="M2990" s="90"/>
    </row>
    <row r="2991" spans="7:13" x14ac:dyDescent="0.35">
      <c r="G2991" s="89"/>
      <c r="H2991" s="90"/>
      <c r="L2991" s="89"/>
      <c r="M2991" s="90"/>
    </row>
    <row r="2992" spans="7:13" x14ac:dyDescent="0.35">
      <c r="G2992" s="89"/>
      <c r="H2992" s="90"/>
      <c r="L2992" s="89"/>
      <c r="M2992" s="90"/>
    </row>
    <row r="2993" spans="7:13" x14ac:dyDescent="0.35">
      <c r="G2993" s="89"/>
      <c r="H2993" s="90"/>
      <c r="L2993" s="89"/>
      <c r="M2993" s="90"/>
    </row>
    <row r="2994" spans="7:13" x14ac:dyDescent="0.35">
      <c r="G2994" s="89"/>
      <c r="H2994" s="90"/>
      <c r="L2994" s="89"/>
      <c r="M2994" s="90"/>
    </row>
    <row r="2995" spans="7:13" x14ac:dyDescent="0.35">
      <c r="G2995" s="89"/>
      <c r="H2995" s="90"/>
      <c r="L2995" s="89"/>
      <c r="M2995" s="90"/>
    </row>
    <row r="2996" spans="7:13" x14ac:dyDescent="0.35">
      <c r="G2996" s="89"/>
      <c r="H2996" s="90"/>
      <c r="L2996" s="89"/>
      <c r="M2996" s="90"/>
    </row>
    <row r="2997" spans="7:13" x14ac:dyDescent="0.35">
      <c r="G2997" s="89"/>
      <c r="H2997" s="90"/>
      <c r="L2997" s="89"/>
      <c r="M2997" s="90"/>
    </row>
    <row r="2998" spans="7:13" x14ac:dyDescent="0.35">
      <c r="G2998" s="89"/>
      <c r="H2998" s="90"/>
      <c r="L2998" s="89"/>
      <c r="M2998" s="90"/>
    </row>
    <row r="2999" spans="7:13" x14ac:dyDescent="0.35">
      <c r="G2999" s="89"/>
      <c r="H2999" s="90"/>
      <c r="L2999" s="89"/>
      <c r="M2999" s="90"/>
    </row>
    <row r="3000" spans="7:13" x14ac:dyDescent="0.35">
      <c r="G3000" s="89"/>
      <c r="H3000" s="90"/>
      <c r="L3000" s="89"/>
      <c r="M3000" s="90"/>
    </row>
    <row r="3001" spans="7:13" x14ac:dyDescent="0.35">
      <c r="G3001" s="89"/>
      <c r="H3001" s="90"/>
      <c r="L3001" s="89"/>
      <c r="M3001" s="90"/>
    </row>
    <row r="3002" spans="7:13" x14ac:dyDescent="0.35">
      <c r="G3002" s="89"/>
      <c r="H3002" s="90"/>
      <c r="L3002" s="89"/>
      <c r="M3002" s="90"/>
    </row>
    <row r="3003" spans="7:13" x14ac:dyDescent="0.35">
      <c r="G3003" s="89"/>
      <c r="H3003" s="90"/>
      <c r="L3003" s="89"/>
      <c r="M3003" s="90"/>
    </row>
    <row r="3004" spans="7:13" x14ac:dyDescent="0.35">
      <c r="G3004" s="89"/>
      <c r="H3004" s="90"/>
      <c r="L3004" s="89"/>
      <c r="M3004" s="90"/>
    </row>
    <row r="3005" spans="7:13" x14ac:dyDescent="0.35">
      <c r="G3005" s="89"/>
      <c r="H3005" s="90"/>
      <c r="L3005" s="89"/>
      <c r="M3005" s="90"/>
    </row>
    <row r="3006" spans="7:13" x14ac:dyDescent="0.35">
      <c r="G3006" s="89"/>
      <c r="H3006" s="90"/>
      <c r="L3006" s="89"/>
      <c r="M3006" s="90"/>
    </row>
    <row r="3007" spans="7:13" x14ac:dyDescent="0.35">
      <c r="G3007" s="89"/>
      <c r="H3007" s="90"/>
      <c r="L3007" s="89"/>
      <c r="M3007" s="90"/>
    </row>
    <row r="3008" spans="7:13" x14ac:dyDescent="0.35">
      <c r="G3008" s="89"/>
      <c r="H3008" s="90"/>
      <c r="L3008" s="89"/>
      <c r="M3008" s="90"/>
    </row>
    <row r="3009" spans="7:13" x14ac:dyDescent="0.35">
      <c r="G3009" s="89"/>
      <c r="H3009" s="90"/>
      <c r="L3009" s="89"/>
      <c r="M3009" s="90"/>
    </row>
    <row r="3010" spans="7:13" x14ac:dyDescent="0.35">
      <c r="G3010" s="89"/>
      <c r="H3010" s="90"/>
      <c r="L3010" s="89"/>
      <c r="M3010" s="90"/>
    </row>
    <row r="3011" spans="7:13" x14ac:dyDescent="0.35">
      <c r="G3011" s="89"/>
      <c r="H3011" s="90"/>
      <c r="L3011" s="89"/>
      <c r="M3011" s="90"/>
    </row>
    <row r="3012" spans="7:13" x14ac:dyDescent="0.35">
      <c r="G3012" s="89"/>
      <c r="H3012" s="90"/>
      <c r="L3012" s="89"/>
      <c r="M3012" s="90"/>
    </row>
    <row r="3013" spans="7:13" x14ac:dyDescent="0.35">
      <c r="G3013" s="89"/>
      <c r="H3013" s="90"/>
      <c r="L3013" s="89"/>
      <c r="M3013" s="90"/>
    </row>
    <row r="3014" spans="7:13" x14ac:dyDescent="0.35">
      <c r="G3014" s="89"/>
      <c r="H3014" s="90"/>
      <c r="L3014" s="89"/>
      <c r="M3014" s="90"/>
    </row>
    <row r="3015" spans="7:13" x14ac:dyDescent="0.35">
      <c r="G3015" s="89"/>
      <c r="H3015" s="90"/>
      <c r="L3015" s="89"/>
      <c r="M3015" s="90"/>
    </row>
    <row r="3016" spans="7:13" x14ac:dyDescent="0.35">
      <c r="G3016" s="89"/>
      <c r="H3016" s="90"/>
      <c r="L3016" s="89"/>
      <c r="M3016" s="90"/>
    </row>
    <row r="3017" spans="7:13" x14ac:dyDescent="0.35">
      <c r="G3017" s="89"/>
      <c r="H3017" s="90"/>
      <c r="L3017" s="89"/>
      <c r="M3017" s="90"/>
    </row>
    <row r="3018" spans="7:13" x14ac:dyDescent="0.35">
      <c r="G3018" s="89"/>
      <c r="H3018" s="90"/>
      <c r="L3018" s="89"/>
      <c r="M3018" s="90"/>
    </row>
    <row r="3019" spans="7:13" x14ac:dyDescent="0.35">
      <c r="G3019" s="89"/>
      <c r="H3019" s="90"/>
      <c r="L3019" s="89"/>
      <c r="M3019" s="90"/>
    </row>
    <row r="3020" spans="7:13" x14ac:dyDescent="0.35">
      <c r="G3020" s="89"/>
      <c r="H3020" s="90"/>
      <c r="L3020" s="89"/>
      <c r="M3020" s="90"/>
    </row>
    <row r="3021" spans="7:13" x14ac:dyDescent="0.35">
      <c r="G3021" s="89"/>
      <c r="H3021" s="90"/>
      <c r="L3021" s="89"/>
      <c r="M3021" s="90"/>
    </row>
    <row r="3022" spans="7:13" x14ac:dyDescent="0.35">
      <c r="G3022" s="89"/>
      <c r="H3022" s="90"/>
      <c r="L3022" s="89"/>
      <c r="M3022" s="90"/>
    </row>
    <row r="3023" spans="7:13" x14ac:dyDescent="0.35">
      <c r="G3023" s="89"/>
      <c r="H3023" s="90"/>
      <c r="L3023" s="89"/>
      <c r="M3023" s="90"/>
    </row>
    <row r="3024" spans="7:13" x14ac:dyDescent="0.35">
      <c r="G3024" s="89"/>
      <c r="H3024" s="90"/>
      <c r="L3024" s="89"/>
      <c r="M3024" s="90"/>
    </row>
    <row r="3025" spans="7:13" x14ac:dyDescent="0.35">
      <c r="G3025" s="89"/>
      <c r="H3025" s="90"/>
      <c r="L3025" s="89"/>
      <c r="M3025" s="90"/>
    </row>
    <row r="3026" spans="7:13" x14ac:dyDescent="0.35">
      <c r="G3026" s="89"/>
      <c r="H3026" s="90"/>
      <c r="L3026" s="89"/>
      <c r="M3026" s="90"/>
    </row>
    <row r="3027" spans="7:13" x14ac:dyDescent="0.35">
      <c r="G3027" s="89"/>
      <c r="H3027" s="90"/>
      <c r="L3027" s="89"/>
      <c r="M3027" s="90"/>
    </row>
    <row r="3028" spans="7:13" x14ac:dyDescent="0.35">
      <c r="G3028" s="89"/>
      <c r="H3028" s="90"/>
      <c r="L3028" s="89"/>
      <c r="M3028" s="90"/>
    </row>
    <row r="3029" spans="7:13" x14ac:dyDescent="0.35">
      <c r="G3029" s="89"/>
      <c r="H3029" s="90"/>
      <c r="L3029" s="89"/>
      <c r="M3029" s="90"/>
    </row>
    <row r="3030" spans="7:13" x14ac:dyDescent="0.35">
      <c r="G3030" s="89"/>
      <c r="H3030" s="90"/>
      <c r="L3030" s="89"/>
      <c r="M3030" s="90"/>
    </row>
    <row r="3031" spans="7:13" x14ac:dyDescent="0.35">
      <c r="G3031" s="89"/>
      <c r="H3031" s="90"/>
      <c r="L3031" s="89"/>
      <c r="M3031" s="90"/>
    </row>
    <row r="3032" spans="7:13" x14ac:dyDescent="0.35">
      <c r="G3032" s="89"/>
      <c r="H3032" s="90"/>
      <c r="L3032" s="89"/>
      <c r="M3032" s="90"/>
    </row>
    <row r="3033" spans="7:13" x14ac:dyDescent="0.35">
      <c r="G3033" s="89"/>
      <c r="H3033" s="90"/>
      <c r="L3033" s="89"/>
      <c r="M3033" s="90"/>
    </row>
    <row r="3034" spans="7:13" x14ac:dyDescent="0.35">
      <c r="G3034" s="89"/>
      <c r="H3034" s="90"/>
      <c r="L3034" s="89"/>
      <c r="M3034" s="90"/>
    </row>
    <row r="3035" spans="7:13" x14ac:dyDescent="0.35">
      <c r="G3035" s="89"/>
      <c r="H3035" s="90"/>
      <c r="L3035" s="89"/>
      <c r="M3035" s="90"/>
    </row>
    <row r="3036" spans="7:13" x14ac:dyDescent="0.35">
      <c r="G3036" s="89"/>
      <c r="H3036" s="90"/>
      <c r="L3036" s="89"/>
      <c r="M3036" s="90"/>
    </row>
    <row r="3037" spans="7:13" x14ac:dyDescent="0.35">
      <c r="G3037" s="89"/>
      <c r="H3037" s="90"/>
      <c r="L3037" s="89"/>
      <c r="M3037" s="90"/>
    </row>
    <row r="3038" spans="7:13" x14ac:dyDescent="0.35">
      <c r="G3038" s="89"/>
      <c r="H3038" s="90"/>
      <c r="L3038" s="89"/>
      <c r="M3038" s="90"/>
    </row>
    <row r="3039" spans="7:13" x14ac:dyDescent="0.35">
      <c r="G3039" s="89"/>
      <c r="H3039" s="90"/>
      <c r="L3039" s="89"/>
      <c r="M3039" s="90"/>
    </row>
    <row r="3040" spans="7:13" x14ac:dyDescent="0.35">
      <c r="G3040" s="89"/>
      <c r="H3040" s="90"/>
      <c r="L3040" s="89"/>
      <c r="M3040" s="90"/>
    </row>
    <row r="3041" spans="7:13" x14ac:dyDescent="0.35">
      <c r="G3041" s="89"/>
      <c r="H3041" s="90"/>
      <c r="L3041" s="89"/>
      <c r="M3041" s="90"/>
    </row>
    <row r="3042" spans="7:13" x14ac:dyDescent="0.35">
      <c r="G3042" s="89"/>
      <c r="H3042" s="90"/>
      <c r="L3042" s="89"/>
      <c r="M3042" s="90"/>
    </row>
    <row r="3043" spans="7:13" x14ac:dyDescent="0.35">
      <c r="G3043" s="89"/>
      <c r="H3043" s="90"/>
      <c r="L3043" s="89"/>
      <c r="M3043" s="90"/>
    </row>
    <row r="3044" spans="7:13" x14ac:dyDescent="0.35">
      <c r="G3044" s="89"/>
      <c r="H3044" s="90"/>
      <c r="L3044" s="89"/>
      <c r="M3044" s="90"/>
    </row>
    <row r="3045" spans="7:13" x14ac:dyDescent="0.35">
      <c r="G3045" s="89"/>
      <c r="H3045" s="90"/>
      <c r="L3045" s="89"/>
      <c r="M3045" s="90"/>
    </row>
    <row r="3046" spans="7:13" x14ac:dyDescent="0.35">
      <c r="G3046" s="89"/>
      <c r="H3046" s="90"/>
      <c r="L3046" s="89"/>
      <c r="M3046" s="90"/>
    </row>
    <row r="3047" spans="7:13" x14ac:dyDescent="0.35">
      <c r="G3047" s="89"/>
      <c r="H3047" s="90"/>
      <c r="L3047" s="89"/>
      <c r="M3047" s="90"/>
    </row>
    <row r="3048" spans="7:13" x14ac:dyDescent="0.35">
      <c r="G3048" s="89"/>
      <c r="H3048" s="90"/>
      <c r="L3048" s="89"/>
      <c r="M3048" s="90"/>
    </row>
    <row r="3049" spans="7:13" x14ac:dyDescent="0.35">
      <c r="G3049" s="89"/>
      <c r="H3049" s="90"/>
      <c r="L3049" s="89"/>
      <c r="M3049" s="90"/>
    </row>
    <row r="3050" spans="7:13" x14ac:dyDescent="0.35">
      <c r="G3050" s="89"/>
      <c r="H3050" s="90"/>
      <c r="L3050" s="89"/>
      <c r="M3050" s="90"/>
    </row>
    <row r="3051" spans="7:13" x14ac:dyDescent="0.35">
      <c r="G3051" s="89"/>
      <c r="H3051" s="90"/>
      <c r="L3051" s="89"/>
      <c r="M3051" s="90"/>
    </row>
    <row r="3052" spans="7:13" x14ac:dyDescent="0.35">
      <c r="G3052" s="89"/>
      <c r="H3052" s="90"/>
      <c r="L3052" s="89"/>
      <c r="M3052" s="90"/>
    </row>
    <row r="3053" spans="7:13" x14ac:dyDescent="0.35">
      <c r="G3053" s="89"/>
      <c r="H3053" s="90"/>
      <c r="L3053" s="89"/>
      <c r="M3053" s="90"/>
    </row>
    <row r="3054" spans="7:13" x14ac:dyDescent="0.35">
      <c r="G3054" s="89"/>
      <c r="H3054" s="90"/>
      <c r="L3054" s="89"/>
      <c r="M3054" s="90"/>
    </row>
    <row r="3055" spans="7:13" x14ac:dyDescent="0.35">
      <c r="G3055" s="89"/>
      <c r="H3055" s="90"/>
      <c r="L3055" s="89"/>
      <c r="M3055" s="90"/>
    </row>
    <row r="3056" spans="7:13" x14ac:dyDescent="0.35">
      <c r="G3056" s="89"/>
      <c r="H3056" s="90"/>
      <c r="L3056" s="89"/>
      <c r="M3056" s="90"/>
    </row>
    <row r="3057" spans="7:13" x14ac:dyDescent="0.35">
      <c r="G3057" s="89"/>
      <c r="H3057" s="90"/>
      <c r="L3057" s="89"/>
      <c r="M3057" s="90"/>
    </row>
    <row r="3058" spans="7:13" x14ac:dyDescent="0.35">
      <c r="G3058" s="89"/>
      <c r="H3058" s="90"/>
      <c r="L3058" s="89"/>
      <c r="M3058" s="90"/>
    </row>
    <row r="3059" spans="7:13" x14ac:dyDescent="0.35">
      <c r="G3059" s="89"/>
      <c r="H3059" s="90"/>
      <c r="L3059" s="89"/>
      <c r="M3059" s="90"/>
    </row>
    <row r="3060" spans="7:13" x14ac:dyDescent="0.35">
      <c r="G3060" s="89"/>
      <c r="H3060" s="90"/>
      <c r="L3060" s="89"/>
      <c r="M3060" s="90"/>
    </row>
    <row r="3061" spans="7:13" x14ac:dyDescent="0.35">
      <c r="G3061" s="89"/>
      <c r="H3061" s="90"/>
      <c r="L3061" s="89"/>
      <c r="M3061" s="90"/>
    </row>
    <row r="3062" spans="7:13" x14ac:dyDescent="0.35">
      <c r="G3062" s="89"/>
      <c r="H3062" s="90"/>
      <c r="L3062" s="89"/>
      <c r="M3062" s="90"/>
    </row>
    <row r="3063" spans="7:13" x14ac:dyDescent="0.35">
      <c r="G3063" s="89"/>
      <c r="H3063" s="90"/>
      <c r="L3063" s="89"/>
      <c r="M3063" s="90"/>
    </row>
    <row r="3064" spans="7:13" x14ac:dyDescent="0.35">
      <c r="G3064" s="89"/>
      <c r="H3064" s="90"/>
      <c r="L3064" s="89"/>
      <c r="M3064" s="90"/>
    </row>
    <row r="3065" spans="7:13" x14ac:dyDescent="0.35">
      <c r="G3065" s="89"/>
      <c r="H3065" s="90"/>
      <c r="L3065" s="89"/>
      <c r="M3065" s="90"/>
    </row>
    <row r="3066" spans="7:13" x14ac:dyDescent="0.35">
      <c r="G3066" s="89"/>
      <c r="H3066" s="90"/>
      <c r="L3066" s="89"/>
      <c r="M3066" s="90"/>
    </row>
    <row r="3067" spans="7:13" x14ac:dyDescent="0.35">
      <c r="G3067" s="89"/>
      <c r="H3067" s="90"/>
      <c r="L3067" s="89"/>
      <c r="M3067" s="90"/>
    </row>
    <row r="3068" spans="7:13" x14ac:dyDescent="0.35">
      <c r="G3068" s="89"/>
      <c r="H3068" s="90"/>
      <c r="L3068" s="89"/>
      <c r="M3068" s="90"/>
    </row>
    <row r="3069" spans="7:13" x14ac:dyDescent="0.35">
      <c r="G3069" s="89"/>
      <c r="H3069" s="90"/>
      <c r="L3069" s="89"/>
      <c r="M3069" s="90"/>
    </row>
    <row r="3070" spans="7:13" x14ac:dyDescent="0.35">
      <c r="G3070" s="89"/>
      <c r="H3070" s="90"/>
      <c r="L3070" s="89"/>
      <c r="M3070" s="90"/>
    </row>
    <row r="3071" spans="7:13" x14ac:dyDescent="0.35">
      <c r="G3071" s="89"/>
      <c r="H3071" s="90"/>
      <c r="L3071" s="89"/>
      <c r="M3071" s="90"/>
    </row>
    <row r="3072" spans="7:13" x14ac:dyDescent="0.35">
      <c r="G3072" s="89"/>
      <c r="H3072" s="90"/>
      <c r="L3072" s="89"/>
      <c r="M3072" s="90"/>
    </row>
    <row r="3073" spans="7:13" x14ac:dyDescent="0.35">
      <c r="G3073" s="89"/>
      <c r="H3073" s="90"/>
      <c r="L3073" s="89"/>
      <c r="M3073" s="90"/>
    </row>
    <row r="3074" spans="7:13" x14ac:dyDescent="0.35">
      <c r="G3074" s="89"/>
      <c r="H3074" s="90"/>
      <c r="L3074" s="89"/>
      <c r="M3074" s="90"/>
    </row>
    <row r="3075" spans="7:13" x14ac:dyDescent="0.35">
      <c r="G3075" s="89"/>
      <c r="H3075" s="90"/>
      <c r="L3075" s="89"/>
      <c r="M3075" s="90"/>
    </row>
    <row r="3076" spans="7:13" x14ac:dyDescent="0.35">
      <c r="G3076" s="89"/>
      <c r="H3076" s="90"/>
      <c r="L3076" s="89"/>
      <c r="M3076" s="90"/>
    </row>
    <row r="3077" spans="7:13" x14ac:dyDescent="0.35">
      <c r="G3077" s="89"/>
      <c r="H3077" s="90"/>
      <c r="L3077" s="89"/>
      <c r="M3077" s="90"/>
    </row>
    <row r="3078" spans="7:13" x14ac:dyDescent="0.35">
      <c r="G3078" s="89"/>
      <c r="H3078" s="90"/>
      <c r="L3078" s="89"/>
      <c r="M3078" s="90"/>
    </row>
    <row r="3079" spans="7:13" x14ac:dyDescent="0.35">
      <c r="G3079" s="89"/>
      <c r="H3079" s="90"/>
      <c r="L3079" s="89"/>
      <c r="M3079" s="90"/>
    </row>
    <row r="3080" spans="7:13" x14ac:dyDescent="0.35">
      <c r="G3080" s="89"/>
      <c r="H3080" s="90"/>
      <c r="L3080" s="89"/>
      <c r="M3080" s="90"/>
    </row>
    <row r="3081" spans="7:13" x14ac:dyDescent="0.35">
      <c r="G3081" s="89"/>
      <c r="H3081" s="90"/>
      <c r="L3081" s="89"/>
      <c r="M3081" s="90"/>
    </row>
    <row r="3082" spans="7:13" x14ac:dyDescent="0.35">
      <c r="G3082" s="89"/>
      <c r="H3082" s="90"/>
      <c r="L3082" s="89"/>
      <c r="M3082" s="90"/>
    </row>
    <row r="3083" spans="7:13" x14ac:dyDescent="0.35">
      <c r="G3083" s="89"/>
      <c r="H3083" s="90"/>
      <c r="L3083" s="89"/>
      <c r="M3083" s="90"/>
    </row>
    <row r="3084" spans="7:13" x14ac:dyDescent="0.35">
      <c r="G3084" s="89"/>
      <c r="H3084" s="90"/>
      <c r="L3084" s="89"/>
      <c r="M3084" s="90"/>
    </row>
    <row r="3085" spans="7:13" x14ac:dyDescent="0.35">
      <c r="G3085" s="89"/>
      <c r="H3085" s="90"/>
      <c r="L3085" s="89"/>
      <c r="M3085" s="90"/>
    </row>
    <row r="3086" spans="7:13" x14ac:dyDescent="0.35">
      <c r="G3086" s="89"/>
      <c r="H3086" s="90"/>
      <c r="L3086" s="89"/>
      <c r="M3086" s="90"/>
    </row>
    <row r="3087" spans="7:13" x14ac:dyDescent="0.35">
      <c r="G3087" s="89"/>
      <c r="H3087" s="90"/>
      <c r="L3087" s="89"/>
      <c r="M3087" s="90"/>
    </row>
    <row r="3088" spans="7:13" x14ac:dyDescent="0.35">
      <c r="G3088" s="89"/>
      <c r="H3088" s="90"/>
      <c r="L3088" s="89"/>
      <c r="M3088" s="90"/>
    </row>
    <row r="3089" spans="7:13" x14ac:dyDescent="0.35">
      <c r="G3089" s="89"/>
      <c r="H3089" s="90"/>
      <c r="L3089" s="89"/>
      <c r="M3089" s="90"/>
    </row>
    <row r="3090" spans="7:13" x14ac:dyDescent="0.35">
      <c r="G3090" s="89"/>
      <c r="H3090" s="90"/>
      <c r="L3090" s="89"/>
      <c r="M3090" s="90"/>
    </row>
    <row r="3091" spans="7:13" x14ac:dyDescent="0.35">
      <c r="G3091" s="89"/>
      <c r="H3091" s="90"/>
      <c r="L3091" s="89"/>
      <c r="M3091" s="90"/>
    </row>
    <row r="3092" spans="7:13" x14ac:dyDescent="0.35">
      <c r="G3092" s="89"/>
      <c r="H3092" s="90"/>
      <c r="L3092" s="89"/>
      <c r="M3092" s="90"/>
    </row>
    <row r="3093" spans="7:13" x14ac:dyDescent="0.35">
      <c r="G3093" s="89"/>
      <c r="H3093" s="90"/>
      <c r="L3093" s="89"/>
      <c r="M3093" s="90"/>
    </row>
    <row r="3094" spans="7:13" x14ac:dyDescent="0.35">
      <c r="G3094" s="89"/>
      <c r="H3094" s="90"/>
      <c r="L3094" s="89"/>
      <c r="M3094" s="90"/>
    </row>
    <row r="3095" spans="7:13" x14ac:dyDescent="0.35">
      <c r="G3095" s="89"/>
      <c r="H3095" s="90"/>
      <c r="L3095" s="89"/>
      <c r="M3095" s="90"/>
    </row>
    <row r="3096" spans="7:13" x14ac:dyDescent="0.35">
      <c r="G3096" s="89"/>
      <c r="H3096" s="90"/>
      <c r="L3096" s="89"/>
      <c r="M3096" s="90"/>
    </row>
    <row r="3097" spans="7:13" x14ac:dyDescent="0.35">
      <c r="G3097" s="89"/>
      <c r="H3097" s="90"/>
      <c r="L3097" s="89"/>
      <c r="M3097" s="90"/>
    </row>
    <row r="3098" spans="7:13" x14ac:dyDescent="0.35">
      <c r="G3098" s="89"/>
      <c r="H3098" s="90"/>
      <c r="L3098" s="89"/>
      <c r="M3098" s="90"/>
    </row>
    <row r="3099" spans="7:13" x14ac:dyDescent="0.35">
      <c r="G3099" s="89"/>
      <c r="H3099" s="90"/>
      <c r="L3099" s="89"/>
      <c r="M3099" s="90"/>
    </row>
    <row r="3100" spans="7:13" x14ac:dyDescent="0.35">
      <c r="G3100" s="89"/>
      <c r="H3100" s="90"/>
      <c r="L3100" s="89"/>
      <c r="M3100" s="90"/>
    </row>
    <row r="3101" spans="7:13" x14ac:dyDescent="0.35">
      <c r="G3101" s="89"/>
      <c r="H3101" s="90"/>
      <c r="L3101" s="89"/>
      <c r="M3101" s="90"/>
    </row>
    <row r="3102" spans="7:13" x14ac:dyDescent="0.35">
      <c r="G3102" s="89"/>
      <c r="H3102" s="90"/>
      <c r="L3102" s="89"/>
      <c r="M3102" s="90"/>
    </row>
    <row r="3103" spans="7:13" x14ac:dyDescent="0.35">
      <c r="G3103" s="89"/>
      <c r="H3103" s="90"/>
      <c r="L3103" s="89"/>
      <c r="M3103" s="90"/>
    </row>
    <row r="3104" spans="7:13" x14ac:dyDescent="0.35">
      <c r="G3104" s="89"/>
      <c r="H3104" s="90"/>
      <c r="L3104" s="89"/>
      <c r="M3104" s="90"/>
    </row>
    <row r="3105" spans="7:13" x14ac:dyDescent="0.35">
      <c r="G3105" s="89"/>
      <c r="H3105" s="90"/>
      <c r="L3105" s="89"/>
      <c r="M3105" s="90"/>
    </row>
    <row r="3106" spans="7:13" x14ac:dyDescent="0.35">
      <c r="G3106" s="89"/>
      <c r="H3106" s="90"/>
      <c r="L3106" s="89"/>
      <c r="M3106" s="90"/>
    </row>
    <row r="3107" spans="7:13" x14ac:dyDescent="0.35">
      <c r="G3107" s="89"/>
      <c r="H3107" s="90"/>
      <c r="L3107" s="89"/>
      <c r="M3107" s="90"/>
    </row>
    <row r="3108" spans="7:13" x14ac:dyDescent="0.35">
      <c r="G3108" s="89"/>
      <c r="H3108" s="90"/>
      <c r="L3108" s="89"/>
      <c r="M3108" s="90"/>
    </row>
    <row r="3109" spans="7:13" x14ac:dyDescent="0.35">
      <c r="G3109" s="89"/>
      <c r="H3109" s="90"/>
      <c r="L3109" s="89"/>
      <c r="M3109" s="90"/>
    </row>
    <row r="3110" spans="7:13" x14ac:dyDescent="0.35">
      <c r="G3110" s="89"/>
      <c r="H3110" s="90"/>
      <c r="L3110" s="89"/>
      <c r="M3110" s="90"/>
    </row>
    <row r="3111" spans="7:13" x14ac:dyDescent="0.35">
      <c r="G3111" s="89"/>
      <c r="H3111" s="90"/>
      <c r="L3111" s="89"/>
      <c r="M3111" s="90"/>
    </row>
    <row r="3112" spans="7:13" x14ac:dyDescent="0.35">
      <c r="G3112" s="89"/>
      <c r="H3112" s="90"/>
      <c r="L3112" s="89"/>
      <c r="M3112" s="90"/>
    </row>
    <row r="3113" spans="7:13" x14ac:dyDescent="0.35">
      <c r="G3113" s="89"/>
      <c r="H3113" s="90"/>
      <c r="L3113" s="89"/>
      <c r="M3113" s="90"/>
    </row>
    <row r="3114" spans="7:13" x14ac:dyDescent="0.35">
      <c r="G3114" s="89"/>
      <c r="H3114" s="90"/>
      <c r="L3114" s="89"/>
      <c r="M3114" s="90"/>
    </row>
    <row r="3115" spans="7:13" x14ac:dyDescent="0.35">
      <c r="G3115" s="89"/>
      <c r="H3115" s="90"/>
      <c r="L3115" s="89"/>
      <c r="M3115" s="90"/>
    </row>
    <row r="3116" spans="7:13" x14ac:dyDescent="0.35">
      <c r="G3116" s="89"/>
      <c r="H3116" s="90"/>
      <c r="L3116" s="89"/>
      <c r="M3116" s="90"/>
    </row>
    <row r="3117" spans="7:13" x14ac:dyDescent="0.35">
      <c r="G3117" s="89"/>
      <c r="H3117" s="90"/>
      <c r="L3117" s="89"/>
      <c r="M3117" s="90"/>
    </row>
    <row r="3118" spans="7:13" x14ac:dyDescent="0.35">
      <c r="G3118" s="89"/>
      <c r="H3118" s="90"/>
      <c r="L3118" s="89"/>
      <c r="M3118" s="90"/>
    </row>
    <row r="3119" spans="7:13" x14ac:dyDescent="0.35">
      <c r="G3119" s="89"/>
      <c r="H3119" s="90"/>
      <c r="L3119" s="89"/>
      <c r="M3119" s="90"/>
    </row>
    <row r="3120" spans="7:13" x14ac:dyDescent="0.35">
      <c r="G3120" s="89"/>
      <c r="H3120" s="90"/>
      <c r="L3120" s="89"/>
      <c r="M3120" s="90"/>
    </row>
    <row r="3121" spans="7:13" x14ac:dyDescent="0.35">
      <c r="G3121" s="89"/>
      <c r="H3121" s="90"/>
      <c r="L3121" s="89"/>
      <c r="M3121" s="90"/>
    </row>
    <row r="3122" spans="7:13" x14ac:dyDescent="0.35">
      <c r="G3122" s="89"/>
      <c r="H3122" s="90"/>
      <c r="L3122" s="89"/>
      <c r="M3122" s="90"/>
    </row>
    <row r="3123" spans="7:13" x14ac:dyDescent="0.35">
      <c r="G3123" s="89"/>
      <c r="H3123" s="90"/>
      <c r="L3123" s="89"/>
      <c r="M3123" s="90"/>
    </row>
    <row r="3124" spans="7:13" x14ac:dyDescent="0.35">
      <c r="G3124" s="89"/>
      <c r="H3124" s="90"/>
      <c r="L3124" s="89"/>
      <c r="M3124" s="90"/>
    </row>
    <row r="3125" spans="7:13" x14ac:dyDescent="0.35">
      <c r="G3125" s="89"/>
      <c r="H3125" s="90"/>
      <c r="L3125" s="89"/>
      <c r="M3125" s="90"/>
    </row>
    <row r="3126" spans="7:13" x14ac:dyDescent="0.35">
      <c r="G3126" s="89"/>
      <c r="H3126" s="90"/>
      <c r="L3126" s="89"/>
      <c r="M3126" s="90"/>
    </row>
    <row r="3127" spans="7:13" x14ac:dyDescent="0.35">
      <c r="G3127" s="89"/>
      <c r="H3127" s="90"/>
      <c r="L3127" s="89"/>
      <c r="M3127" s="90"/>
    </row>
    <row r="3128" spans="7:13" x14ac:dyDescent="0.35">
      <c r="G3128" s="89"/>
      <c r="H3128" s="90"/>
      <c r="L3128" s="89"/>
      <c r="M3128" s="90"/>
    </row>
    <row r="3129" spans="7:13" x14ac:dyDescent="0.35">
      <c r="G3129" s="89"/>
      <c r="H3129" s="90"/>
      <c r="L3129" s="89"/>
      <c r="M3129" s="90"/>
    </row>
    <row r="3130" spans="7:13" x14ac:dyDescent="0.35">
      <c r="G3130" s="89"/>
      <c r="H3130" s="90"/>
      <c r="L3130" s="89"/>
      <c r="M3130" s="90"/>
    </row>
    <row r="3131" spans="7:13" x14ac:dyDescent="0.35">
      <c r="G3131" s="89"/>
      <c r="H3131" s="90"/>
      <c r="L3131" s="89"/>
      <c r="M3131" s="90"/>
    </row>
    <row r="3132" spans="7:13" x14ac:dyDescent="0.35">
      <c r="G3132" s="89"/>
      <c r="H3132" s="90"/>
      <c r="L3132" s="89"/>
      <c r="M3132" s="90"/>
    </row>
    <row r="3133" spans="7:13" x14ac:dyDescent="0.35">
      <c r="G3133" s="89"/>
      <c r="H3133" s="90"/>
      <c r="L3133" s="89"/>
      <c r="M3133" s="90"/>
    </row>
    <row r="3134" spans="7:13" x14ac:dyDescent="0.35">
      <c r="G3134" s="89"/>
      <c r="H3134" s="90"/>
      <c r="L3134" s="89"/>
      <c r="M3134" s="90"/>
    </row>
    <row r="3135" spans="7:13" x14ac:dyDescent="0.35">
      <c r="G3135" s="89"/>
      <c r="H3135" s="90"/>
      <c r="L3135" s="89"/>
      <c r="M3135" s="90"/>
    </row>
    <row r="3136" spans="7:13" x14ac:dyDescent="0.35">
      <c r="G3136" s="89"/>
      <c r="H3136" s="90"/>
      <c r="L3136" s="89"/>
      <c r="M3136" s="90"/>
    </row>
    <row r="3137" spans="7:13" x14ac:dyDescent="0.35">
      <c r="G3137" s="89"/>
      <c r="H3137" s="90"/>
      <c r="L3137" s="89"/>
      <c r="M3137" s="90"/>
    </row>
    <row r="3138" spans="7:13" x14ac:dyDescent="0.35">
      <c r="G3138" s="89"/>
      <c r="H3138" s="90"/>
      <c r="L3138" s="89"/>
      <c r="M3138" s="90"/>
    </row>
    <row r="3139" spans="7:13" x14ac:dyDescent="0.35">
      <c r="G3139" s="89"/>
      <c r="H3139" s="90"/>
      <c r="L3139" s="89"/>
      <c r="M3139" s="90"/>
    </row>
    <row r="3140" spans="7:13" x14ac:dyDescent="0.35">
      <c r="G3140" s="89"/>
      <c r="H3140" s="90"/>
      <c r="L3140" s="89"/>
      <c r="M3140" s="90"/>
    </row>
    <row r="3141" spans="7:13" x14ac:dyDescent="0.35">
      <c r="G3141" s="89"/>
      <c r="H3141" s="90"/>
      <c r="L3141" s="89"/>
      <c r="M3141" s="90"/>
    </row>
    <row r="3142" spans="7:13" x14ac:dyDescent="0.35">
      <c r="G3142" s="89"/>
      <c r="H3142" s="90"/>
      <c r="L3142" s="89"/>
      <c r="M3142" s="90"/>
    </row>
    <row r="3143" spans="7:13" x14ac:dyDescent="0.35">
      <c r="G3143" s="89"/>
      <c r="H3143" s="90"/>
      <c r="L3143" s="89"/>
      <c r="M3143" s="90"/>
    </row>
    <row r="3144" spans="7:13" x14ac:dyDescent="0.35">
      <c r="G3144" s="89"/>
      <c r="H3144" s="90"/>
      <c r="L3144" s="89"/>
      <c r="M3144" s="90"/>
    </row>
    <row r="3145" spans="7:13" x14ac:dyDescent="0.35">
      <c r="G3145" s="89"/>
      <c r="H3145" s="90"/>
      <c r="L3145" s="89"/>
      <c r="M3145" s="90"/>
    </row>
    <row r="3146" spans="7:13" x14ac:dyDescent="0.35">
      <c r="G3146" s="89"/>
      <c r="H3146" s="90"/>
      <c r="L3146" s="89"/>
      <c r="M3146" s="90"/>
    </row>
    <row r="3147" spans="7:13" x14ac:dyDescent="0.35">
      <c r="G3147" s="89"/>
      <c r="H3147" s="90"/>
      <c r="L3147" s="89"/>
      <c r="M3147" s="90"/>
    </row>
    <row r="3148" spans="7:13" x14ac:dyDescent="0.35">
      <c r="G3148" s="89"/>
      <c r="H3148" s="90"/>
      <c r="L3148" s="89"/>
      <c r="M3148" s="90"/>
    </row>
    <row r="3149" spans="7:13" x14ac:dyDescent="0.35">
      <c r="G3149" s="89"/>
      <c r="H3149" s="90"/>
      <c r="L3149" s="89"/>
      <c r="M3149" s="90"/>
    </row>
    <row r="3150" spans="7:13" x14ac:dyDescent="0.35">
      <c r="G3150" s="89"/>
      <c r="H3150" s="90"/>
      <c r="L3150" s="89"/>
      <c r="M3150" s="90"/>
    </row>
    <row r="3151" spans="7:13" x14ac:dyDescent="0.35">
      <c r="G3151" s="89"/>
      <c r="H3151" s="90"/>
      <c r="L3151" s="89"/>
      <c r="M3151" s="90"/>
    </row>
    <row r="3152" spans="7:13" x14ac:dyDescent="0.35">
      <c r="G3152" s="89"/>
      <c r="H3152" s="90"/>
      <c r="L3152" s="89"/>
      <c r="M3152" s="90"/>
    </row>
    <row r="3153" spans="7:13" x14ac:dyDescent="0.35">
      <c r="G3153" s="89"/>
      <c r="H3153" s="90"/>
      <c r="L3153" s="89"/>
      <c r="M3153" s="90"/>
    </row>
    <row r="3154" spans="7:13" x14ac:dyDescent="0.35">
      <c r="G3154" s="89"/>
      <c r="H3154" s="90"/>
      <c r="L3154" s="89"/>
      <c r="M3154" s="90"/>
    </row>
    <row r="3155" spans="7:13" x14ac:dyDescent="0.35">
      <c r="G3155" s="89"/>
      <c r="H3155" s="90"/>
      <c r="L3155" s="89"/>
      <c r="M3155" s="90"/>
    </row>
    <row r="3156" spans="7:13" x14ac:dyDescent="0.35">
      <c r="G3156" s="89"/>
      <c r="H3156" s="90"/>
      <c r="L3156" s="89"/>
      <c r="M3156" s="90"/>
    </row>
    <row r="3157" spans="7:13" x14ac:dyDescent="0.35">
      <c r="G3157" s="89"/>
      <c r="H3157" s="90"/>
      <c r="L3157" s="89"/>
      <c r="M3157" s="90"/>
    </row>
    <row r="3158" spans="7:13" x14ac:dyDescent="0.35">
      <c r="G3158" s="89"/>
      <c r="H3158" s="90"/>
      <c r="L3158" s="89"/>
      <c r="M3158" s="90"/>
    </row>
    <row r="3159" spans="7:13" x14ac:dyDescent="0.35">
      <c r="G3159" s="89"/>
      <c r="H3159" s="90"/>
      <c r="L3159" s="89"/>
      <c r="M3159" s="90"/>
    </row>
    <row r="3160" spans="7:13" x14ac:dyDescent="0.35">
      <c r="G3160" s="89"/>
      <c r="H3160" s="90"/>
      <c r="L3160" s="89"/>
      <c r="M3160" s="90"/>
    </row>
    <row r="3161" spans="7:13" x14ac:dyDescent="0.35">
      <c r="G3161" s="89"/>
      <c r="H3161" s="90"/>
      <c r="L3161" s="89"/>
      <c r="M3161" s="90"/>
    </row>
    <row r="3162" spans="7:13" x14ac:dyDescent="0.35">
      <c r="G3162" s="89"/>
      <c r="H3162" s="90"/>
      <c r="L3162" s="89"/>
      <c r="M3162" s="90"/>
    </row>
    <row r="3163" spans="7:13" x14ac:dyDescent="0.35">
      <c r="G3163" s="89"/>
      <c r="H3163" s="90"/>
      <c r="L3163" s="89"/>
      <c r="M3163" s="90"/>
    </row>
    <row r="3164" spans="7:13" x14ac:dyDescent="0.35">
      <c r="G3164" s="89"/>
      <c r="H3164" s="90"/>
      <c r="L3164" s="89"/>
      <c r="M3164" s="90"/>
    </row>
    <row r="3165" spans="7:13" x14ac:dyDescent="0.35">
      <c r="G3165" s="89"/>
      <c r="H3165" s="90"/>
      <c r="L3165" s="89"/>
      <c r="M3165" s="90"/>
    </row>
    <row r="3166" spans="7:13" x14ac:dyDescent="0.35">
      <c r="G3166" s="89"/>
      <c r="H3166" s="90"/>
      <c r="L3166" s="89"/>
      <c r="M3166" s="90"/>
    </row>
    <row r="3167" spans="7:13" x14ac:dyDescent="0.35">
      <c r="G3167" s="89"/>
      <c r="H3167" s="90"/>
      <c r="L3167" s="89"/>
      <c r="M3167" s="90"/>
    </row>
    <row r="3168" spans="7:13" x14ac:dyDescent="0.35">
      <c r="G3168" s="89"/>
      <c r="H3168" s="90"/>
      <c r="L3168" s="89"/>
      <c r="M3168" s="90"/>
    </row>
    <row r="3169" spans="7:13" x14ac:dyDescent="0.35">
      <c r="G3169" s="89"/>
      <c r="H3169" s="90"/>
      <c r="L3169" s="89"/>
      <c r="M3169" s="90"/>
    </row>
    <row r="3170" spans="7:13" x14ac:dyDescent="0.35">
      <c r="G3170" s="89"/>
      <c r="H3170" s="90"/>
      <c r="L3170" s="89"/>
      <c r="M3170" s="90"/>
    </row>
    <row r="3171" spans="7:13" x14ac:dyDescent="0.35">
      <c r="G3171" s="89"/>
      <c r="H3171" s="90"/>
      <c r="L3171" s="89"/>
      <c r="M3171" s="90"/>
    </row>
    <row r="3172" spans="7:13" x14ac:dyDescent="0.35">
      <c r="G3172" s="89"/>
      <c r="H3172" s="90"/>
      <c r="L3172" s="89"/>
      <c r="M3172" s="90"/>
    </row>
    <row r="3173" spans="7:13" x14ac:dyDescent="0.35">
      <c r="G3173" s="89"/>
      <c r="H3173" s="90"/>
      <c r="L3173" s="89"/>
      <c r="M3173" s="90"/>
    </row>
    <row r="3174" spans="7:13" x14ac:dyDescent="0.35">
      <c r="G3174" s="89"/>
      <c r="H3174" s="90"/>
      <c r="L3174" s="89"/>
      <c r="M3174" s="90"/>
    </row>
    <row r="3175" spans="7:13" x14ac:dyDescent="0.35">
      <c r="G3175" s="89"/>
      <c r="H3175" s="90"/>
      <c r="L3175" s="89"/>
      <c r="M3175" s="90"/>
    </row>
    <row r="3176" spans="7:13" x14ac:dyDescent="0.35">
      <c r="G3176" s="89"/>
      <c r="H3176" s="90"/>
      <c r="L3176" s="89"/>
      <c r="M3176" s="90"/>
    </row>
    <row r="3177" spans="7:13" x14ac:dyDescent="0.35">
      <c r="G3177" s="89"/>
      <c r="H3177" s="90"/>
      <c r="L3177" s="89"/>
      <c r="M3177" s="90"/>
    </row>
    <row r="3178" spans="7:13" x14ac:dyDescent="0.35">
      <c r="G3178" s="89"/>
      <c r="H3178" s="90"/>
      <c r="L3178" s="89"/>
      <c r="M3178" s="90"/>
    </row>
    <row r="3179" spans="7:13" x14ac:dyDescent="0.35">
      <c r="G3179" s="89"/>
      <c r="H3179" s="90"/>
      <c r="L3179" s="89"/>
      <c r="M3179" s="90"/>
    </row>
    <row r="3180" spans="7:13" x14ac:dyDescent="0.35">
      <c r="G3180" s="89"/>
      <c r="H3180" s="90"/>
      <c r="L3180" s="89"/>
      <c r="M3180" s="90"/>
    </row>
    <row r="3181" spans="7:13" x14ac:dyDescent="0.35">
      <c r="G3181" s="89"/>
      <c r="H3181" s="90"/>
      <c r="L3181" s="89"/>
      <c r="M3181" s="90"/>
    </row>
    <row r="3182" spans="7:13" x14ac:dyDescent="0.35">
      <c r="G3182" s="89"/>
      <c r="H3182" s="90"/>
      <c r="L3182" s="89"/>
      <c r="M3182" s="90"/>
    </row>
    <row r="3183" spans="7:13" x14ac:dyDescent="0.35">
      <c r="G3183" s="89"/>
      <c r="H3183" s="90"/>
      <c r="L3183" s="89"/>
      <c r="M3183" s="90"/>
    </row>
    <row r="3184" spans="7:13" x14ac:dyDescent="0.35">
      <c r="G3184" s="89"/>
      <c r="H3184" s="90"/>
      <c r="L3184" s="89"/>
      <c r="M3184" s="90"/>
    </row>
    <row r="3185" spans="7:13" x14ac:dyDescent="0.35">
      <c r="G3185" s="89"/>
      <c r="H3185" s="90"/>
      <c r="L3185" s="89"/>
      <c r="M3185" s="90"/>
    </row>
    <row r="3186" spans="7:13" x14ac:dyDescent="0.35">
      <c r="G3186" s="89"/>
      <c r="H3186" s="90"/>
      <c r="L3186" s="89"/>
      <c r="M3186" s="90"/>
    </row>
    <row r="3187" spans="7:13" x14ac:dyDescent="0.35">
      <c r="G3187" s="89"/>
      <c r="H3187" s="90"/>
      <c r="L3187" s="89"/>
      <c r="M3187" s="90"/>
    </row>
    <row r="3188" spans="7:13" x14ac:dyDescent="0.35">
      <c r="G3188" s="89"/>
      <c r="H3188" s="90"/>
      <c r="L3188" s="89"/>
      <c r="M3188" s="90"/>
    </row>
    <row r="3189" spans="7:13" x14ac:dyDescent="0.35">
      <c r="G3189" s="89"/>
      <c r="H3189" s="90"/>
      <c r="L3189" s="89"/>
      <c r="M3189" s="90"/>
    </row>
    <row r="3190" spans="7:13" x14ac:dyDescent="0.35">
      <c r="G3190" s="89"/>
      <c r="H3190" s="90"/>
      <c r="L3190" s="89"/>
      <c r="M3190" s="90"/>
    </row>
    <row r="3191" spans="7:13" x14ac:dyDescent="0.35">
      <c r="G3191" s="89"/>
      <c r="H3191" s="90"/>
      <c r="L3191" s="89"/>
      <c r="M3191" s="90"/>
    </row>
    <row r="3192" spans="7:13" x14ac:dyDescent="0.35">
      <c r="G3192" s="89"/>
      <c r="H3192" s="90"/>
      <c r="L3192" s="89"/>
      <c r="M3192" s="90"/>
    </row>
    <row r="3193" spans="7:13" x14ac:dyDescent="0.35">
      <c r="G3193" s="89"/>
      <c r="H3193" s="90"/>
      <c r="L3193" s="89"/>
      <c r="M3193" s="90"/>
    </row>
    <row r="3194" spans="7:13" x14ac:dyDescent="0.35">
      <c r="G3194" s="89"/>
      <c r="H3194" s="90"/>
      <c r="L3194" s="89"/>
      <c r="M3194" s="90"/>
    </row>
    <row r="3195" spans="7:13" x14ac:dyDescent="0.35">
      <c r="G3195" s="89"/>
      <c r="H3195" s="90"/>
      <c r="L3195" s="89"/>
      <c r="M3195" s="90"/>
    </row>
    <row r="3196" spans="7:13" x14ac:dyDescent="0.35">
      <c r="G3196" s="89"/>
      <c r="H3196" s="90"/>
      <c r="L3196" s="89"/>
      <c r="M3196" s="90"/>
    </row>
    <row r="3197" spans="7:13" x14ac:dyDescent="0.35">
      <c r="G3197" s="89"/>
      <c r="H3197" s="90"/>
      <c r="L3197" s="89"/>
      <c r="M3197" s="90"/>
    </row>
    <row r="3198" spans="7:13" x14ac:dyDescent="0.35">
      <c r="G3198" s="89"/>
      <c r="H3198" s="90"/>
      <c r="L3198" s="89"/>
      <c r="M3198" s="90"/>
    </row>
    <row r="3199" spans="7:13" x14ac:dyDescent="0.35">
      <c r="G3199" s="89"/>
      <c r="H3199" s="90"/>
      <c r="L3199" s="89"/>
      <c r="M3199" s="90"/>
    </row>
    <row r="3200" spans="7:13" x14ac:dyDescent="0.35">
      <c r="G3200" s="89"/>
      <c r="H3200" s="90"/>
      <c r="L3200" s="89"/>
      <c r="M3200" s="90"/>
    </row>
    <row r="3201" spans="7:13" x14ac:dyDescent="0.35">
      <c r="G3201" s="89"/>
      <c r="H3201" s="90"/>
      <c r="L3201" s="89"/>
      <c r="M3201" s="90"/>
    </row>
    <row r="3202" spans="7:13" x14ac:dyDescent="0.35">
      <c r="G3202" s="89"/>
      <c r="H3202" s="90"/>
      <c r="L3202" s="89"/>
      <c r="M3202" s="90"/>
    </row>
    <row r="3203" spans="7:13" x14ac:dyDescent="0.35">
      <c r="G3203" s="89"/>
      <c r="H3203" s="90"/>
      <c r="L3203" s="89"/>
      <c r="M3203" s="90"/>
    </row>
    <row r="3204" spans="7:13" x14ac:dyDescent="0.35">
      <c r="G3204" s="89"/>
      <c r="H3204" s="90"/>
      <c r="L3204" s="89"/>
      <c r="M3204" s="90"/>
    </row>
    <row r="3205" spans="7:13" x14ac:dyDescent="0.35">
      <c r="G3205" s="89"/>
      <c r="H3205" s="90"/>
      <c r="L3205" s="89"/>
      <c r="M3205" s="90"/>
    </row>
    <row r="3206" spans="7:13" x14ac:dyDescent="0.35">
      <c r="G3206" s="89"/>
      <c r="H3206" s="90"/>
      <c r="L3206" s="89"/>
      <c r="M3206" s="90"/>
    </row>
    <row r="3207" spans="7:13" x14ac:dyDescent="0.35">
      <c r="G3207" s="89"/>
      <c r="H3207" s="90"/>
      <c r="L3207" s="89"/>
      <c r="M3207" s="90"/>
    </row>
    <row r="3208" spans="7:13" x14ac:dyDescent="0.35">
      <c r="G3208" s="89"/>
      <c r="H3208" s="90"/>
      <c r="L3208" s="89"/>
      <c r="M3208" s="90"/>
    </row>
    <row r="3209" spans="7:13" x14ac:dyDescent="0.35">
      <c r="G3209" s="89"/>
      <c r="H3209" s="90"/>
      <c r="L3209" s="89"/>
      <c r="M3209" s="90"/>
    </row>
    <row r="3210" spans="7:13" x14ac:dyDescent="0.35">
      <c r="G3210" s="89"/>
      <c r="H3210" s="90"/>
      <c r="L3210" s="89"/>
      <c r="M3210" s="90"/>
    </row>
    <row r="3211" spans="7:13" x14ac:dyDescent="0.35">
      <c r="G3211" s="89"/>
      <c r="H3211" s="90"/>
      <c r="L3211" s="89"/>
      <c r="M3211" s="90"/>
    </row>
    <row r="3212" spans="7:13" x14ac:dyDescent="0.35">
      <c r="G3212" s="89"/>
      <c r="H3212" s="90"/>
      <c r="L3212" s="89"/>
      <c r="M3212" s="90"/>
    </row>
    <row r="3213" spans="7:13" x14ac:dyDescent="0.35">
      <c r="G3213" s="89"/>
      <c r="H3213" s="90"/>
      <c r="L3213" s="89"/>
      <c r="M3213" s="90"/>
    </row>
    <row r="3214" spans="7:13" x14ac:dyDescent="0.35">
      <c r="G3214" s="89"/>
      <c r="H3214" s="90"/>
      <c r="L3214" s="89"/>
      <c r="M3214" s="90"/>
    </row>
    <row r="3215" spans="7:13" x14ac:dyDescent="0.35">
      <c r="G3215" s="89"/>
      <c r="H3215" s="90"/>
      <c r="L3215" s="89"/>
      <c r="M3215" s="90"/>
    </row>
    <row r="3216" spans="7:13" x14ac:dyDescent="0.35">
      <c r="G3216" s="89"/>
      <c r="H3216" s="90"/>
      <c r="L3216" s="89"/>
      <c r="M3216" s="90"/>
    </row>
    <row r="3217" spans="7:13" x14ac:dyDescent="0.35">
      <c r="G3217" s="89"/>
      <c r="H3217" s="90"/>
      <c r="L3217" s="89"/>
      <c r="M3217" s="90"/>
    </row>
    <row r="3218" spans="7:13" x14ac:dyDescent="0.35">
      <c r="G3218" s="89"/>
      <c r="H3218" s="90"/>
      <c r="L3218" s="89"/>
      <c r="M3218" s="90"/>
    </row>
    <row r="3219" spans="7:13" x14ac:dyDescent="0.35">
      <c r="G3219" s="89"/>
      <c r="H3219" s="90"/>
      <c r="L3219" s="89"/>
      <c r="M3219" s="90"/>
    </row>
    <row r="3220" spans="7:13" x14ac:dyDescent="0.35">
      <c r="G3220" s="89"/>
      <c r="H3220" s="90"/>
      <c r="L3220" s="89"/>
      <c r="M3220" s="90"/>
    </row>
    <row r="3221" spans="7:13" x14ac:dyDescent="0.35">
      <c r="G3221" s="89"/>
      <c r="H3221" s="90"/>
      <c r="L3221" s="89"/>
      <c r="M3221" s="90"/>
    </row>
    <row r="3222" spans="7:13" x14ac:dyDescent="0.35">
      <c r="G3222" s="89"/>
      <c r="H3222" s="90"/>
      <c r="L3222" s="89"/>
      <c r="M3222" s="90"/>
    </row>
    <row r="3223" spans="7:13" x14ac:dyDescent="0.35">
      <c r="G3223" s="89"/>
      <c r="H3223" s="90"/>
      <c r="L3223" s="89"/>
      <c r="M3223" s="90"/>
    </row>
    <row r="3224" spans="7:13" x14ac:dyDescent="0.35">
      <c r="G3224" s="89"/>
      <c r="H3224" s="90"/>
      <c r="L3224" s="89"/>
      <c r="M3224" s="90"/>
    </row>
    <row r="3225" spans="7:13" x14ac:dyDescent="0.35">
      <c r="G3225" s="89"/>
      <c r="H3225" s="90"/>
      <c r="L3225" s="89"/>
      <c r="M3225" s="90"/>
    </row>
    <row r="3226" spans="7:13" x14ac:dyDescent="0.35">
      <c r="G3226" s="89"/>
      <c r="H3226" s="90"/>
      <c r="L3226" s="89"/>
      <c r="M3226" s="90"/>
    </row>
    <row r="3227" spans="7:13" x14ac:dyDescent="0.35">
      <c r="G3227" s="89"/>
      <c r="H3227" s="90"/>
      <c r="L3227" s="89"/>
      <c r="M3227" s="90"/>
    </row>
    <row r="3228" spans="7:13" x14ac:dyDescent="0.35">
      <c r="G3228" s="89"/>
      <c r="H3228" s="90"/>
      <c r="L3228" s="89"/>
      <c r="M3228" s="90"/>
    </row>
    <row r="3229" spans="7:13" x14ac:dyDescent="0.35">
      <c r="G3229" s="89"/>
      <c r="H3229" s="90"/>
      <c r="L3229" s="89"/>
      <c r="M3229" s="90"/>
    </row>
    <row r="3230" spans="7:13" x14ac:dyDescent="0.35">
      <c r="G3230" s="89"/>
      <c r="H3230" s="90"/>
      <c r="L3230" s="89"/>
      <c r="M3230" s="90"/>
    </row>
    <row r="3231" spans="7:13" x14ac:dyDescent="0.35">
      <c r="G3231" s="89"/>
      <c r="H3231" s="90"/>
      <c r="L3231" s="89"/>
      <c r="M3231" s="90"/>
    </row>
    <row r="3232" spans="7:13" x14ac:dyDescent="0.35">
      <c r="G3232" s="89"/>
      <c r="H3232" s="90"/>
      <c r="L3232" s="89"/>
      <c r="M3232" s="90"/>
    </row>
    <row r="3233" spans="7:13" x14ac:dyDescent="0.35">
      <c r="G3233" s="89"/>
      <c r="H3233" s="90"/>
      <c r="L3233" s="89"/>
      <c r="M3233" s="90"/>
    </row>
    <row r="3234" spans="7:13" x14ac:dyDescent="0.35">
      <c r="G3234" s="89"/>
      <c r="H3234" s="90"/>
      <c r="L3234" s="89"/>
      <c r="M3234" s="90"/>
    </row>
    <row r="3235" spans="7:13" x14ac:dyDescent="0.35">
      <c r="G3235" s="89"/>
      <c r="H3235" s="90"/>
      <c r="L3235" s="89"/>
      <c r="M3235" s="90"/>
    </row>
    <row r="3236" spans="7:13" x14ac:dyDescent="0.35">
      <c r="G3236" s="89"/>
      <c r="H3236" s="90"/>
      <c r="L3236" s="89"/>
      <c r="M3236" s="90"/>
    </row>
    <row r="3237" spans="7:13" x14ac:dyDescent="0.35">
      <c r="G3237" s="89"/>
      <c r="H3237" s="90"/>
      <c r="L3237" s="89"/>
      <c r="M3237" s="90"/>
    </row>
    <row r="3238" spans="7:13" x14ac:dyDescent="0.35">
      <c r="G3238" s="89"/>
      <c r="H3238" s="90"/>
      <c r="L3238" s="89"/>
      <c r="M3238" s="90"/>
    </row>
    <row r="3239" spans="7:13" x14ac:dyDescent="0.35">
      <c r="G3239" s="89"/>
      <c r="H3239" s="90"/>
      <c r="L3239" s="89"/>
      <c r="M3239" s="90"/>
    </row>
    <row r="3240" spans="7:13" x14ac:dyDescent="0.35">
      <c r="G3240" s="89"/>
      <c r="H3240" s="90"/>
      <c r="L3240" s="89"/>
      <c r="M3240" s="90"/>
    </row>
    <row r="3241" spans="7:13" x14ac:dyDescent="0.35">
      <c r="G3241" s="89"/>
      <c r="H3241" s="90"/>
      <c r="L3241" s="89"/>
      <c r="M3241" s="90"/>
    </row>
    <row r="3242" spans="7:13" x14ac:dyDescent="0.35">
      <c r="G3242" s="89"/>
      <c r="H3242" s="90"/>
      <c r="L3242" s="89"/>
      <c r="M3242" s="90"/>
    </row>
    <row r="3243" spans="7:13" x14ac:dyDescent="0.35">
      <c r="G3243" s="89"/>
      <c r="H3243" s="90"/>
      <c r="L3243" s="89"/>
      <c r="M3243" s="90"/>
    </row>
    <row r="3244" spans="7:13" x14ac:dyDescent="0.35">
      <c r="G3244" s="89"/>
      <c r="H3244" s="90"/>
      <c r="L3244" s="89"/>
      <c r="M3244" s="90"/>
    </row>
    <row r="3245" spans="7:13" x14ac:dyDescent="0.35">
      <c r="G3245" s="89"/>
      <c r="H3245" s="90"/>
      <c r="L3245" s="89"/>
      <c r="M3245" s="90"/>
    </row>
    <row r="3246" spans="7:13" x14ac:dyDescent="0.35">
      <c r="G3246" s="89"/>
      <c r="H3246" s="90"/>
      <c r="L3246" s="89"/>
      <c r="M3246" s="90"/>
    </row>
    <row r="3247" spans="7:13" x14ac:dyDescent="0.35">
      <c r="G3247" s="89"/>
      <c r="H3247" s="90"/>
      <c r="L3247" s="89"/>
      <c r="M3247" s="90"/>
    </row>
    <row r="3248" spans="7:13" x14ac:dyDescent="0.35">
      <c r="G3248" s="89"/>
      <c r="H3248" s="90"/>
      <c r="L3248" s="89"/>
      <c r="M3248" s="90"/>
    </row>
    <row r="3249" spans="7:13" x14ac:dyDescent="0.35">
      <c r="G3249" s="89"/>
      <c r="H3249" s="90"/>
      <c r="L3249" s="89"/>
      <c r="M3249" s="90"/>
    </row>
    <row r="3250" spans="7:13" x14ac:dyDescent="0.35">
      <c r="G3250" s="89"/>
      <c r="H3250" s="90"/>
      <c r="L3250" s="89"/>
      <c r="M3250" s="90"/>
    </row>
    <row r="3251" spans="7:13" x14ac:dyDescent="0.35">
      <c r="G3251" s="89"/>
      <c r="H3251" s="90"/>
      <c r="L3251" s="89"/>
      <c r="M3251" s="90"/>
    </row>
    <row r="3252" spans="7:13" x14ac:dyDescent="0.35">
      <c r="G3252" s="89"/>
      <c r="H3252" s="90"/>
      <c r="L3252" s="89"/>
      <c r="M3252" s="90"/>
    </row>
    <row r="3253" spans="7:13" x14ac:dyDescent="0.35">
      <c r="G3253" s="89"/>
      <c r="H3253" s="90"/>
      <c r="L3253" s="89"/>
      <c r="M3253" s="90"/>
    </row>
    <row r="3254" spans="7:13" x14ac:dyDescent="0.35">
      <c r="G3254" s="89"/>
      <c r="H3254" s="90"/>
      <c r="L3254" s="89"/>
      <c r="M3254" s="90"/>
    </row>
    <row r="3255" spans="7:13" x14ac:dyDescent="0.35">
      <c r="G3255" s="89"/>
      <c r="H3255" s="90"/>
      <c r="L3255" s="89"/>
      <c r="M3255" s="90"/>
    </row>
    <row r="3256" spans="7:13" x14ac:dyDescent="0.35">
      <c r="G3256" s="89"/>
      <c r="H3256" s="90"/>
      <c r="L3256" s="89"/>
      <c r="M3256" s="90"/>
    </row>
    <row r="3257" spans="7:13" x14ac:dyDescent="0.35">
      <c r="G3257" s="89"/>
      <c r="H3257" s="90"/>
      <c r="L3257" s="89"/>
      <c r="M3257" s="90"/>
    </row>
    <row r="3258" spans="7:13" x14ac:dyDescent="0.35">
      <c r="G3258" s="89"/>
      <c r="H3258" s="90"/>
      <c r="L3258" s="89"/>
      <c r="M3258" s="90"/>
    </row>
    <row r="3259" spans="7:13" x14ac:dyDescent="0.35">
      <c r="G3259" s="89"/>
      <c r="H3259" s="90"/>
      <c r="L3259" s="89"/>
      <c r="M3259" s="90"/>
    </row>
    <row r="3260" spans="7:13" x14ac:dyDescent="0.35">
      <c r="G3260" s="89"/>
      <c r="H3260" s="90"/>
      <c r="L3260" s="89"/>
      <c r="M3260" s="90"/>
    </row>
    <row r="3261" spans="7:13" x14ac:dyDescent="0.35">
      <c r="G3261" s="89"/>
      <c r="H3261" s="90"/>
      <c r="L3261" s="89"/>
      <c r="M3261" s="90"/>
    </row>
    <row r="3262" spans="7:13" x14ac:dyDescent="0.35">
      <c r="G3262" s="89"/>
      <c r="H3262" s="90"/>
      <c r="L3262" s="89"/>
      <c r="M3262" s="90"/>
    </row>
    <row r="3263" spans="7:13" x14ac:dyDescent="0.35">
      <c r="G3263" s="89"/>
      <c r="H3263" s="90"/>
      <c r="L3263" s="89"/>
      <c r="M3263" s="90"/>
    </row>
    <row r="3264" spans="7:13" x14ac:dyDescent="0.35">
      <c r="G3264" s="89"/>
      <c r="H3264" s="90"/>
      <c r="L3264" s="89"/>
      <c r="M3264" s="90"/>
    </row>
    <row r="3265" spans="7:13" x14ac:dyDescent="0.35">
      <c r="G3265" s="89"/>
      <c r="H3265" s="90"/>
      <c r="L3265" s="89"/>
      <c r="M3265" s="90"/>
    </row>
    <row r="3266" spans="7:13" x14ac:dyDescent="0.35">
      <c r="G3266" s="89"/>
      <c r="H3266" s="90"/>
      <c r="L3266" s="89"/>
      <c r="M3266" s="90"/>
    </row>
    <row r="3267" spans="7:13" x14ac:dyDescent="0.35">
      <c r="G3267" s="89"/>
      <c r="H3267" s="90"/>
      <c r="L3267" s="89"/>
      <c r="M3267" s="90"/>
    </row>
    <row r="3268" spans="7:13" x14ac:dyDescent="0.35">
      <c r="G3268" s="89"/>
      <c r="H3268" s="90"/>
      <c r="L3268" s="89"/>
      <c r="M3268" s="90"/>
    </row>
    <row r="3269" spans="7:13" x14ac:dyDescent="0.35">
      <c r="G3269" s="89"/>
      <c r="H3269" s="90"/>
      <c r="L3269" s="89"/>
      <c r="M3269" s="90"/>
    </row>
    <row r="3270" spans="7:13" x14ac:dyDescent="0.35">
      <c r="G3270" s="89"/>
      <c r="H3270" s="90"/>
      <c r="L3270" s="89"/>
      <c r="M3270" s="90"/>
    </row>
    <row r="3271" spans="7:13" x14ac:dyDescent="0.35">
      <c r="G3271" s="89"/>
      <c r="H3271" s="90"/>
      <c r="L3271" s="89"/>
      <c r="M3271" s="90"/>
    </row>
    <row r="3272" spans="7:13" x14ac:dyDescent="0.35">
      <c r="G3272" s="89"/>
      <c r="H3272" s="90"/>
      <c r="L3272" s="89"/>
      <c r="M3272" s="90"/>
    </row>
    <row r="3273" spans="7:13" x14ac:dyDescent="0.35">
      <c r="G3273" s="89"/>
      <c r="H3273" s="90"/>
      <c r="L3273" s="89"/>
      <c r="M3273" s="90"/>
    </row>
    <row r="3274" spans="7:13" x14ac:dyDescent="0.35">
      <c r="G3274" s="89"/>
      <c r="H3274" s="90"/>
      <c r="L3274" s="89"/>
      <c r="M3274" s="90"/>
    </row>
    <row r="3275" spans="7:13" x14ac:dyDescent="0.35">
      <c r="G3275" s="89"/>
      <c r="H3275" s="90"/>
      <c r="L3275" s="89"/>
      <c r="M3275" s="90"/>
    </row>
    <row r="3276" spans="7:13" x14ac:dyDescent="0.35">
      <c r="G3276" s="89"/>
      <c r="H3276" s="90"/>
      <c r="L3276" s="89"/>
      <c r="M3276" s="90"/>
    </row>
    <row r="3277" spans="7:13" x14ac:dyDescent="0.35">
      <c r="G3277" s="89"/>
      <c r="H3277" s="90"/>
      <c r="L3277" s="89"/>
      <c r="M3277" s="90"/>
    </row>
    <row r="3278" spans="7:13" x14ac:dyDescent="0.35">
      <c r="G3278" s="89"/>
      <c r="H3278" s="90"/>
      <c r="L3278" s="89"/>
      <c r="M3278" s="90"/>
    </row>
    <row r="3279" spans="7:13" x14ac:dyDescent="0.35">
      <c r="G3279" s="89"/>
      <c r="H3279" s="90"/>
      <c r="L3279" s="89"/>
      <c r="M3279" s="90"/>
    </row>
    <row r="3280" spans="7:13" x14ac:dyDescent="0.35">
      <c r="G3280" s="89"/>
      <c r="H3280" s="90"/>
      <c r="L3280" s="89"/>
      <c r="M3280" s="90"/>
    </row>
    <row r="3281" spans="7:13" x14ac:dyDescent="0.35">
      <c r="G3281" s="89"/>
      <c r="H3281" s="90"/>
      <c r="L3281" s="89"/>
      <c r="M3281" s="90"/>
    </row>
    <row r="3282" spans="7:13" x14ac:dyDescent="0.35">
      <c r="G3282" s="89"/>
      <c r="H3282" s="90"/>
      <c r="L3282" s="89"/>
      <c r="M3282" s="90"/>
    </row>
    <row r="3283" spans="7:13" x14ac:dyDescent="0.35">
      <c r="G3283" s="89"/>
      <c r="H3283" s="90"/>
      <c r="L3283" s="89"/>
      <c r="M3283" s="90"/>
    </row>
    <row r="3284" spans="7:13" x14ac:dyDescent="0.35">
      <c r="G3284" s="89"/>
      <c r="H3284" s="90"/>
      <c r="L3284" s="89"/>
      <c r="M3284" s="90"/>
    </row>
    <row r="3285" spans="7:13" x14ac:dyDescent="0.35">
      <c r="G3285" s="89"/>
      <c r="H3285" s="90"/>
      <c r="L3285" s="89"/>
      <c r="M3285" s="90"/>
    </row>
    <row r="3286" spans="7:13" x14ac:dyDescent="0.35">
      <c r="G3286" s="89"/>
      <c r="H3286" s="90"/>
      <c r="L3286" s="89"/>
      <c r="M3286" s="90"/>
    </row>
    <row r="3287" spans="7:13" x14ac:dyDescent="0.35">
      <c r="G3287" s="89"/>
      <c r="H3287" s="90"/>
      <c r="L3287" s="89"/>
      <c r="M3287" s="90"/>
    </row>
    <row r="3288" spans="7:13" x14ac:dyDescent="0.35">
      <c r="G3288" s="89"/>
      <c r="H3288" s="90"/>
      <c r="L3288" s="89"/>
      <c r="M3288" s="90"/>
    </row>
    <row r="3289" spans="7:13" x14ac:dyDescent="0.35">
      <c r="G3289" s="89"/>
      <c r="H3289" s="90"/>
      <c r="L3289" s="89"/>
      <c r="M3289" s="90"/>
    </row>
    <row r="3290" spans="7:13" x14ac:dyDescent="0.35">
      <c r="G3290" s="89"/>
      <c r="H3290" s="90"/>
      <c r="L3290" s="89"/>
      <c r="M3290" s="90"/>
    </row>
    <row r="3291" spans="7:13" x14ac:dyDescent="0.35">
      <c r="G3291" s="89"/>
      <c r="H3291" s="90"/>
      <c r="L3291" s="89"/>
      <c r="M3291" s="90"/>
    </row>
    <row r="3292" spans="7:13" x14ac:dyDescent="0.35">
      <c r="G3292" s="89"/>
      <c r="H3292" s="90"/>
      <c r="L3292" s="89"/>
      <c r="M3292" s="90"/>
    </row>
    <row r="3293" spans="7:13" x14ac:dyDescent="0.35">
      <c r="G3293" s="89"/>
      <c r="H3293" s="90"/>
      <c r="L3293" s="89"/>
      <c r="M3293" s="90"/>
    </row>
    <row r="3294" spans="7:13" x14ac:dyDescent="0.35">
      <c r="G3294" s="89"/>
      <c r="H3294" s="90"/>
      <c r="L3294" s="89"/>
      <c r="M3294" s="90"/>
    </row>
    <row r="3295" spans="7:13" x14ac:dyDescent="0.35">
      <c r="G3295" s="89"/>
      <c r="H3295" s="90"/>
      <c r="L3295" s="89"/>
      <c r="M3295" s="90"/>
    </row>
    <row r="3296" spans="7:13" x14ac:dyDescent="0.35">
      <c r="G3296" s="89"/>
      <c r="H3296" s="90"/>
      <c r="L3296" s="89"/>
      <c r="M3296" s="90"/>
    </row>
    <row r="3297" spans="7:13" x14ac:dyDescent="0.35">
      <c r="G3297" s="89"/>
      <c r="H3297" s="90"/>
      <c r="L3297" s="89"/>
      <c r="M3297" s="90"/>
    </row>
    <row r="3298" spans="7:13" x14ac:dyDescent="0.35">
      <c r="G3298" s="89"/>
      <c r="H3298" s="90"/>
      <c r="L3298" s="89"/>
      <c r="M3298" s="90"/>
    </row>
    <row r="3299" spans="7:13" x14ac:dyDescent="0.35">
      <c r="G3299" s="89"/>
      <c r="H3299" s="90"/>
      <c r="L3299" s="89"/>
      <c r="M3299" s="90"/>
    </row>
    <row r="3300" spans="7:13" x14ac:dyDescent="0.35">
      <c r="G3300" s="89"/>
      <c r="H3300" s="90"/>
      <c r="L3300" s="89"/>
      <c r="M3300" s="90"/>
    </row>
    <row r="3301" spans="7:13" x14ac:dyDescent="0.35">
      <c r="G3301" s="89"/>
      <c r="H3301" s="90"/>
      <c r="L3301" s="89"/>
      <c r="M3301" s="90"/>
    </row>
    <row r="3302" spans="7:13" x14ac:dyDescent="0.35">
      <c r="G3302" s="89"/>
      <c r="H3302" s="90"/>
      <c r="L3302" s="89"/>
      <c r="M3302" s="90"/>
    </row>
    <row r="3303" spans="7:13" x14ac:dyDescent="0.35">
      <c r="G3303" s="89"/>
      <c r="H3303" s="90"/>
      <c r="L3303" s="89"/>
      <c r="M3303" s="90"/>
    </row>
    <row r="3304" spans="7:13" x14ac:dyDescent="0.35">
      <c r="G3304" s="89"/>
      <c r="H3304" s="90"/>
      <c r="L3304" s="89"/>
      <c r="M3304" s="90"/>
    </row>
    <row r="3305" spans="7:13" x14ac:dyDescent="0.35">
      <c r="G3305" s="89"/>
      <c r="H3305" s="90"/>
      <c r="L3305" s="89"/>
      <c r="M3305" s="90"/>
    </row>
    <row r="3306" spans="7:13" x14ac:dyDescent="0.35">
      <c r="G3306" s="89"/>
      <c r="H3306" s="90"/>
      <c r="L3306" s="89"/>
      <c r="M3306" s="90"/>
    </row>
    <row r="3307" spans="7:13" x14ac:dyDescent="0.35">
      <c r="G3307" s="89"/>
      <c r="H3307" s="90"/>
      <c r="L3307" s="89"/>
      <c r="M3307" s="90"/>
    </row>
    <row r="3308" spans="7:13" x14ac:dyDescent="0.35">
      <c r="G3308" s="89"/>
      <c r="H3308" s="90"/>
      <c r="L3308" s="89"/>
      <c r="M3308" s="90"/>
    </row>
    <row r="3309" spans="7:13" x14ac:dyDescent="0.35">
      <c r="G3309" s="89"/>
      <c r="H3309" s="90"/>
      <c r="L3309" s="89"/>
      <c r="M3309" s="90"/>
    </row>
    <row r="3310" spans="7:13" x14ac:dyDescent="0.35">
      <c r="G3310" s="89"/>
      <c r="H3310" s="90"/>
      <c r="L3310" s="89"/>
      <c r="M3310" s="90"/>
    </row>
    <row r="3311" spans="7:13" x14ac:dyDescent="0.35">
      <c r="G3311" s="89"/>
      <c r="H3311" s="90"/>
      <c r="L3311" s="89"/>
      <c r="M3311" s="90"/>
    </row>
    <row r="3312" spans="7:13" x14ac:dyDescent="0.35">
      <c r="G3312" s="89"/>
      <c r="H3312" s="90"/>
      <c r="L3312" s="89"/>
      <c r="M3312" s="90"/>
    </row>
    <row r="3313" spans="7:13" x14ac:dyDescent="0.35">
      <c r="G3313" s="89"/>
      <c r="H3313" s="90"/>
      <c r="L3313" s="89"/>
      <c r="M3313" s="90"/>
    </row>
    <row r="3314" spans="7:13" x14ac:dyDescent="0.35">
      <c r="G3314" s="89"/>
      <c r="H3314" s="90"/>
      <c r="L3314" s="89"/>
      <c r="M3314" s="90"/>
    </row>
    <row r="3315" spans="7:13" x14ac:dyDescent="0.35">
      <c r="G3315" s="89"/>
      <c r="H3315" s="90"/>
      <c r="L3315" s="89"/>
      <c r="M3315" s="90"/>
    </row>
    <row r="3316" spans="7:13" x14ac:dyDescent="0.35">
      <c r="G3316" s="89"/>
      <c r="H3316" s="90"/>
      <c r="L3316" s="89"/>
      <c r="M3316" s="90"/>
    </row>
    <row r="3317" spans="7:13" x14ac:dyDescent="0.35">
      <c r="G3317" s="89"/>
      <c r="H3317" s="90"/>
      <c r="L3317" s="89"/>
      <c r="M3317" s="90"/>
    </row>
    <row r="3318" spans="7:13" x14ac:dyDescent="0.35">
      <c r="G3318" s="89"/>
      <c r="H3318" s="90"/>
      <c r="L3318" s="89"/>
      <c r="M3318" s="90"/>
    </row>
    <row r="3319" spans="7:13" x14ac:dyDescent="0.35">
      <c r="G3319" s="89"/>
      <c r="H3319" s="90"/>
      <c r="L3319" s="89"/>
      <c r="M3319" s="90"/>
    </row>
    <row r="3320" spans="7:13" x14ac:dyDescent="0.35">
      <c r="G3320" s="89"/>
      <c r="H3320" s="90"/>
      <c r="L3320" s="89"/>
      <c r="M3320" s="90"/>
    </row>
    <row r="3321" spans="7:13" x14ac:dyDescent="0.35">
      <c r="G3321" s="89"/>
      <c r="H3321" s="90"/>
      <c r="L3321" s="89"/>
      <c r="M3321" s="90"/>
    </row>
    <row r="3322" spans="7:13" x14ac:dyDescent="0.35">
      <c r="G3322" s="89"/>
      <c r="H3322" s="90"/>
      <c r="L3322" s="89"/>
      <c r="M3322" s="90"/>
    </row>
    <row r="3323" spans="7:13" x14ac:dyDescent="0.35">
      <c r="G3323" s="89"/>
      <c r="H3323" s="90"/>
      <c r="L3323" s="89"/>
      <c r="M3323" s="90"/>
    </row>
    <row r="3324" spans="7:13" x14ac:dyDescent="0.35">
      <c r="G3324" s="89"/>
      <c r="H3324" s="90"/>
      <c r="L3324" s="89"/>
      <c r="M3324" s="90"/>
    </row>
    <row r="3325" spans="7:13" x14ac:dyDescent="0.35">
      <c r="G3325" s="89"/>
      <c r="H3325" s="90"/>
      <c r="L3325" s="89"/>
      <c r="M3325" s="90"/>
    </row>
    <row r="3326" spans="7:13" x14ac:dyDescent="0.35">
      <c r="G3326" s="89"/>
      <c r="H3326" s="90"/>
      <c r="L3326" s="89"/>
      <c r="M3326" s="90"/>
    </row>
    <row r="3327" spans="7:13" x14ac:dyDescent="0.35">
      <c r="G3327" s="89"/>
      <c r="H3327" s="90"/>
      <c r="L3327" s="89"/>
      <c r="M3327" s="90"/>
    </row>
    <row r="3328" spans="7:13" x14ac:dyDescent="0.35">
      <c r="G3328" s="89"/>
      <c r="H3328" s="90"/>
      <c r="L3328" s="89"/>
      <c r="M3328" s="90"/>
    </row>
    <row r="3329" spans="7:13" x14ac:dyDescent="0.35">
      <c r="G3329" s="89"/>
      <c r="H3329" s="90"/>
      <c r="L3329" s="89"/>
      <c r="M3329" s="90"/>
    </row>
    <row r="3330" spans="7:13" x14ac:dyDescent="0.35">
      <c r="G3330" s="89"/>
      <c r="H3330" s="90"/>
      <c r="L3330" s="89"/>
      <c r="M3330" s="90"/>
    </row>
    <row r="3331" spans="7:13" x14ac:dyDescent="0.35">
      <c r="G3331" s="89"/>
      <c r="H3331" s="90"/>
      <c r="L3331" s="89"/>
      <c r="M3331" s="90"/>
    </row>
    <row r="3332" spans="7:13" x14ac:dyDescent="0.35">
      <c r="G3332" s="89"/>
      <c r="H3332" s="90"/>
      <c r="L3332" s="89"/>
      <c r="M3332" s="90"/>
    </row>
    <row r="3333" spans="7:13" x14ac:dyDescent="0.35">
      <c r="G3333" s="89"/>
      <c r="H3333" s="90"/>
      <c r="L3333" s="89"/>
      <c r="M3333" s="90"/>
    </row>
    <row r="3334" spans="7:13" x14ac:dyDescent="0.35">
      <c r="G3334" s="89"/>
      <c r="H3334" s="90"/>
      <c r="L3334" s="89"/>
      <c r="M3334" s="90"/>
    </row>
    <row r="3335" spans="7:13" x14ac:dyDescent="0.35">
      <c r="G3335" s="89"/>
      <c r="H3335" s="90"/>
      <c r="L3335" s="89"/>
      <c r="M3335" s="90"/>
    </row>
    <row r="3336" spans="7:13" x14ac:dyDescent="0.35">
      <c r="G3336" s="89"/>
      <c r="H3336" s="90"/>
      <c r="L3336" s="89"/>
      <c r="M3336" s="90"/>
    </row>
    <row r="3337" spans="7:13" x14ac:dyDescent="0.35">
      <c r="G3337" s="89"/>
      <c r="H3337" s="90"/>
      <c r="L3337" s="89"/>
      <c r="M3337" s="90"/>
    </row>
    <row r="3338" spans="7:13" x14ac:dyDescent="0.35">
      <c r="G3338" s="89"/>
      <c r="H3338" s="90"/>
      <c r="L3338" s="89"/>
      <c r="M3338" s="90"/>
    </row>
    <row r="3339" spans="7:13" x14ac:dyDescent="0.35">
      <c r="G3339" s="89"/>
      <c r="H3339" s="90"/>
      <c r="L3339" s="89"/>
      <c r="M3339" s="90"/>
    </row>
    <row r="3340" spans="7:13" x14ac:dyDescent="0.35">
      <c r="G3340" s="89"/>
      <c r="H3340" s="90"/>
      <c r="L3340" s="89"/>
      <c r="M3340" s="90"/>
    </row>
    <row r="3341" spans="7:13" x14ac:dyDescent="0.35">
      <c r="G3341" s="89"/>
      <c r="H3341" s="90"/>
      <c r="L3341" s="89"/>
      <c r="M3341" s="90"/>
    </row>
    <row r="3342" spans="7:13" x14ac:dyDescent="0.35">
      <c r="G3342" s="89"/>
      <c r="H3342" s="90"/>
      <c r="L3342" s="89"/>
      <c r="M3342" s="90"/>
    </row>
    <row r="3343" spans="7:13" x14ac:dyDescent="0.35">
      <c r="G3343" s="89"/>
      <c r="H3343" s="90"/>
      <c r="L3343" s="89"/>
      <c r="M3343" s="90"/>
    </row>
    <row r="3344" spans="7:13" x14ac:dyDescent="0.35">
      <c r="G3344" s="89"/>
      <c r="H3344" s="90"/>
      <c r="L3344" s="89"/>
      <c r="M3344" s="90"/>
    </row>
    <row r="3345" spans="7:13" x14ac:dyDescent="0.35">
      <c r="G3345" s="89"/>
      <c r="H3345" s="90"/>
      <c r="L3345" s="89"/>
      <c r="M3345" s="90"/>
    </row>
    <row r="3346" spans="7:13" x14ac:dyDescent="0.35">
      <c r="G3346" s="89"/>
      <c r="H3346" s="90"/>
      <c r="L3346" s="89"/>
      <c r="M3346" s="90"/>
    </row>
    <row r="3347" spans="7:13" x14ac:dyDescent="0.35">
      <c r="G3347" s="89"/>
      <c r="H3347" s="90"/>
      <c r="L3347" s="89"/>
      <c r="M3347" s="90"/>
    </row>
    <row r="3348" spans="7:13" x14ac:dyDescent="0.35">
      <c r="G3348" s="89"/>
      <c r="H3348" s="90"/>
      <c r="L3348" s="89"/>
      <c r="M3348" s="90"/>
    </row>
    <row r="3349" spans="7:13" x14ac:dyDescent="0.35">
      <c r="G3349" s="89"/>
      <c r="H3349" s="90"/>
      <c r="L3349" s="89"/>
      <c r="M3349" s="90"/>
    </row>
    <row r="3350" spans="7:13" x14ac:dyDescent="0.35">
      <c r="G3350" s="89"/>
      <c r="H3350" s="90"/>
      <c r="L3350" s="89"/>
      <c r="M3350" s="90"/>
    </row>
    <row r="3351" spans="7:13" x14ac:dyDescent="0.35">
      <c r="G3351" s="89"/>
      <c r="H3351" s="90"/>
      <c r="L3351" s="89"/>
      <c r="M3351" s="90"/>
    </row>
    <row r="3352" spans="7:13" x14ac:dyDescent="0.35">
      <c r="G3352" s="89"/>
      <c r="H3352" s="90"/>
      <c r="L3352" s="89"/>
      <c r="M3352" s="90"/>
    </row>
    <row r="3353" spans="7:13" x14ac:dyDescent="0.35">
      <c r="G3353" s="89"/>
      <c r="H3353" s="90"/>
      <c r="L3353" s="89"/>
      <c r="M3353" s="90"/>
    </row>
    <row r="3354" spans="7:13" x14ac:dyDescent="0.35">
      <c r="G3354" s="89"/>
      <c r="H3354" s="90"/>
      <c r="L3354" s="89"/>
      <c r="M3354" s="90"/>
    </row>
    <row r="3355" spans="7:13" x14ac:dyDescent="0.35">
      <c r="G3355" s="89"/>
      <c r="H3355" s="90"/>
      <c r="L3355" s="89"/>
      <c r="M3355" s="90"/>
    </row>
    <row r="3356" spans="7:13" x14ac:dyDescent="0.35">
      <c r="G3356" s="89"/>
      <c r="H3356" s="90"/>
      <c r="L3356" s="89"/>
      <c r="M3356" s="90"/>
    </row>
    <row r="3357" spans="7:13" x14ac:dyDescent="0.35">
      <c r="G3357" s="89"/>
      <c r="H3357" s="90"/>
      <c r="L3357" s="89"/>
      <c r="M3357" s="90"/>
    </row>
    <row r="3358" spans="7:13" x14ac:dyDescent="0.35">
      <c r="G3358" s="89"/>
      <c r="H3358" s="90"/>
      <c r="L3358" s="89"/>
      <c r="M3358" s="90"/>
    </row>
    <row r="3359" spans="7:13" x14ac:dyDescent="0.35">
      <c r="G3359" s="89"/>
      <c r="H3359" s="90"/>
      <c r="L3359" s="89"/>
      <c r="M3359" s="90"/>
    </row>
    <row r="3360" spans="7:13" x14ac:dyDescent="0.35">
      <c r="G3360" s="89"/>
      <c r="H3360" s="90"/>
      <c r="L3360" s="89"/>
      <c r="M3360" s="90"/>
    </row>
    <row r="3361" spans="7:13" x14ac:dyDescent="0.35">
      <c r="G3361" s="89"/>
      <c r="H3361" s="90"/>
      <c r="L3361" s="89"/>
      <c r="M3361" s="90"/>
    </row>
    <row r="3362" spans="7:13" x14ac:dyDescent="0.35">
      <c r="G3362" s="89"/>
      <c r="H3362" s="90"/>
      <c r="L3362" s="89"/>
      <c r="M3362" s="90"/>
    </row>
    <row r="3363" spans="7:13" x14ac:dyDescent="0.35">
      <c r="G3363" s="89"/>
      <c r="H3363" s="90"/>
      <c r="L3363" s="89"/>
      <c r="M3363" s="90"/>
    </row>
    <row r="3364" spans="7:13" x14ac:dyDescent="0.35">
      <c r="G3364" s="89"/>
      <c r="H3364" s="90"/>
      <c r="L3364" s="89"/>
      <c r="M3364" s="90"/>
    </row>
    <row r="3365" spans="7:13" x14ac:dyDescent="0.35">
      <c r="G3365" s="89"/>
      <c r="H3365" s="90"/>
      <c r="L3365" s="89"/>
      <c r="M3365" s="90"/>
    </row>
    <row r="3366" spans="7:13" x14ac:dyDescent="0.35">
      <c r="G3366" s="89"/>
      <c r="H3366" s="90"/>
      <c r="L3366" s="89"/>
      <c r="M3366" s="90"/>
    </row>
    <row r="3367" spans="7:13" x14ac:dyDescent="0.35">
      <c r="G3367" s="89"/>
      <c r="H3367" s="90"/>
      <c r="L3367" s="89"/>
      <c r="M3367" s="90"/>
    </row>
    <row r="3368" spans="7:13" x14ac:dyDescent="0.35">
      <c r="G3368" s="89"/>
      <c r="H3368" s="90"/>
      <c r="L3368" s="89"/>
      <c r="M3368" s="90"/>
    </row>
    <row r="3369" spans="7:13" x14ac:dyDescent="0.35">
      <c r="G3369" s="89"/>
      <c r="H3369" s="90"/>
      <c r="L3369" s="89"/>
      <c r="M3369" s="90"/>
    </row>
    <row r="3370" spans="7:13" x14ac:dyDescent="0.35">
      <c r="G3370" s="89"/>
      <c r="H3370" s="90"/>
      <c r="L3370" s="89"/>
      <c r="M3370" s="90"/>
    </row>
    <row r="3371" spans="7:13" x14ac:dyDescent="0.35">
      <c r="G3371" s="89"/>
      <c r="H3371" s="90"/>
      <c r="L3371" s="89"/>
      <c r="M3371" s="90"/>
    </row>
    <row r="3372" spans="7:13" x14ac:dyDescent="0.35">
      <c r="G3372" s="89"/>
      <c r="H3372" s="90"/>
      <c r="L3372" s="89"/>
      <c r="M3372" s="90"/>
    </row>
    <row r="3373" spans="7:13" x14ac:dyDescent="0.35">
      <c r="G3373" s="89"/>
      <c r="H3373" s="90"/>
      <c r="L3373" s="89"/>
      <c r="M3373" s="90"/>
    </row>
    <row r="3374" spans="7:13" x14ac:dyDescent="0.35">
      <c r="G3374" s="89"/>
      <c r="H3374" s="90"/>
      <c r="L3374" s="89"/>
      <c r="M3374" s="90"/>
    </row>
    <row r="3375" spans="7:13" x14ac:dyDescent="0.35">
      <c r="G3375" s="89"/>
      <c r="H3375" s="90"/>
      <c r="L3375" s="89"/>
      <c r="M3375" s="90"/>
    </row>
    <row r="3376" spans="7:13" x14ac:dyDescent="0.35">
      <c r="G3376" s="89"/>
      <c r="H3376" s="90"/>
      <c r="L3376" s="89"/>
      <c r="M3376" s="90"/>
    </row>
    <row r="3377" spans="7:13" x14ac:dyDescent="0.35">
      <c r="G3377" s="89"/>
      <c r="H3377" s="90"/>
      <c r="L3377" s="89"/>
      <c r="M3377" s="90"/>
    </row>
    <row r="3378" spans="7:13" x14ac:dyDescent="0.35">
      <c r="G3378" s="89"/>
      <c r="H3378" s="90"/>
      <c r="L3378" s="89"/>
      <c r="M3378" s="90"/>
    </row>
    <row r="3379" spans="7:13" x14ac:dyDescent="0.35">
      <c r="G3379" s="89"/>
      <c r="H3379" s="90"/>
      <c r="L3379" s="89"/>
      <c r="M3379" s="90"/>
    </row>
    <row r="3380" spans="7:13" x14ac:dyDescent="0.35">
      <c r="G3380" s="89"/>
      <c r="H3380" s="90"/>
      <c r="L3380" s="89"/>
      <c r="M3380" s="90"/>
    </row>
    <row r="3381" spans="7:13" x14ac:dyDescent="0.35">
      <c r="G3381" s="89"/>
      <c r="H3381" s="90"/>
      <c r="L3381" s="89"/>
      <c r="M3381" s="90"/>
    </row>
    <row r="3382" spans="7:13" x14ac:dyDescent="0.35">
      <c r="G3382" s="89"/>
      <c r="H3382" s="90"/>
      <c r="L3382" s="89"/>
      <c r="M3382" s="90"/>
    </row>
    <row r="3383" spans="7:13" x14ac:dyDescent="0.35">
      <c r="G3383" s="89"/>
      <c r="H3383" s="90"/>
      <c r="L3383" s="89"/>
      <c r="M3383" s="90"/>
    </row>
    <row r="3384" spans="7:13" x14ac:dyDescent="0.35">
      <c r="G3384" s="89"/>
      <c r="H3384" s="90"/>
      <c r="L3384" s="89"/>
      <c r="M3384" s="90"/>
    </row>
    <row r="3385" spans="7:13" x14ac:dyDescent="0.35">
      <c r="G3385" s="89"/>
      <c r="H3385" s="90"/>
      <c r="L3385" s="89"/>
      <c r="M3385" s="90"/>
    </row>
    <row r="3386" spans="7:13" x14ac:dyDescent="0.35">
      <c r="G3386" s="89"/>
      <c r="H3386" s="90"/>
      <c r="L3386" s="89"/>
      <c r="M3386" s="90"/>
    </row>
    <row r="3387" spans="7:13" x14ac:dyDescent="0.35">
      <c r="G3387" s="89"/>
      <c r="H3387" s="90"/>
      <c r="L3387" s="89"/>
      <c r="M3387" s="90"/>
    </row>
    <row r="3388" spans="7:13" x14ac:dyDescent="0.35">
      <c r="G3388" s="89"/>
      <c r="H3388" s="90"/>
      <c r="L3388" s="89"/>
      <c r="M3388" s="90"/>
    </row>
    <row r="3389" spans="7:13" x14ac:dyDescent="0.35">
      <c r="G3389" s="89"/>
      <c r="H3389" s="90"/>
      <c r="L3389" s="89"/>
      <c r="M3389" s="90"/>
    </row>
    <row r="3390" spans="7:13" x14ac:dyDescent="0.35">
      <c r="G3390" s="89"/>
      <c r="H3390" s="90"/>
      <c r="L3390" s="89"/>
      <c r="M3390" s="90"/>
    </row>
    <row r="3391" spans="7:13" x14ac:dyDescent="0.35">
      <c r="G3391" s="89"/>
      <c r="H3391" s="90"/>
      <c r="L3391" s="89"/>
      <c r="M3391" s="90"/>
    </row>
    <row r="3392" spans="7:13" x14ac:dyDescent="0.35">
      <c r="G3392" s="89"/>
      <c r="H3392" s="90"/>
      <c r="L3392" s="89"/>
      <c r="M3392" s="90"/>
    </row>
    <row r="3393" spans="7:13" x14ac:dyDescent="0.35">
      <c r="G3393" s="89"/>
      <c r="H3393" s="90"/>
      <c r="L3393" s="89"/>
      <c r="M3393" s="90"/>
    </row>
    <row r="3394" spans="7:13" x14ac:dyDescent="0.35">
      <c r="G3394" s="89"/>
      <c r="H3394" s="90"/>
      <c r="L3394" s="89"/>
      <c r="M3394" s="90"/>
    </row>
    <row r="3395" spans="7:13" x14ac:dyDescent="0.35">
      <c r="G3395" s="89"/>
      <c r="H3395" s="90"/>
      <c r="L3395" s="89"/>
      <c r="M3395" s="90"/>
    </row>
    <row r="3396" spans="7:13" x14ac:dyDescent="0.35">
      <c r="G3396" s="89"/>
      <c r="H3396" s="90"/>
      <c r="L3396" s="89"/>
      <c r="M3396" s="90"/>
    </row>
    <row r="3397" spans="7:13" x14ac:dyDescent="0.35">
      <c r="G3397" s="89"/>
      <c r="H3397" s="90"/>
      <c r="L3397" s="89"/>
      <c r="M3397" s="90"/>
    </row>
    <row r="3398" spans="7:13" x14ac:dyDescent="0.35">
      <c r="G3398" s="89"/>
      <c r="H3398" s="90"/>
      <c r="L3398" s="89"/>
      <c r="M3398" s="90"/>
    </row>
    <row r="3399" spans="7:13" x14ac:dyDescent="0.35">
      <c r="G3399" s="89"/>
      <c r="H3399" s="90"/>
      <c r="L3399" s="89"/>
      <c r="M3399" s="90"/>
    </row>
    <row r="3400" spans="7:13" x14ac:dyDescent="0.35">
      <c r="G3400" s="89"/>
      <c r="H3400" s="90"/>
      <c r="L3400" s="89"/>
      <c r="M3400" s="90"/>
    </row>
    <row r="3401" spans="7:13" x14ac:dyDescent="0.35">
      <c r="G3401" s="89"/>
      <c r="H3401" s="90"/>
      <c r="L3401" s="89"/>
      <c r="M3401" s="90"/>
    </row>
    <row r="3402" spans="7:13" x14ac:dyDescent="0.35">
      <c r="G3402" s="89"/>
      <c r="H3402" s="90"/>
      <c r="L3402" s="89"/>
      <c r="M3402" s="90"/>
    </row>
    <row r="3403" spans="7:13" x14ac:dyDescent="0.35">
      <c r="G3403" s="89"/>
      <c r="H3403" s="90"/>
      <c r="L3403" s="89"/>
      <c r="M3403" s="90"/>
    </row>
    <row r="3404" spans="7:13" x14ac:dyDescent="0.35">
      <c r="G3404" s="89"/>
      <c r="H3404" s="90"/>
      <c r="L3404" s="89"/>
      <c r="M3404" s="90"/>
    </row>
    <row r="3405" spans="7:13" x14ac:dyDescent="0.35">
      <c r="G3405" s="89"/>
      <c r="H3405" s="90"/>
      <c r="L3405" s="89"/>
      <c r="M3405" s="90"/>
    </row>
    <row r="3406" spans="7:13" x14ac:dyDescent="0.35">
      <c r="G3406" s="89"/>
      <c r="H3406" s="90"/>
      <c r="L3406" s="89"/>
      <c r="M3406" s="90"/>
    </row>
    <row r="3407" spans="7:13" x14ac:dyDescent="0.35">
      <c r="G3407" s="89"/>
      <c r="H3407" s="90"/>
      <c r="L3407" s="89"/>
      <c r="M3407" s="90"/>
    </row>
    <row r="3408" spans="7:13" x14ac:dyDescent="0.35">
      <c r="G3408" s="89"/>
      <c r="H3408" s="90"/>
      <c r="L3408" s="89"/>
      <c r="M3408" s="90"/>
    </row>
    <row r="3409" spans="7:13" x14ac:dyDescent="0.35">
      <c r="G3409" s="89"/>
      <c r="H3409" s="90"/>
      <c r="L3409" s="89"/>
      <c r="M3409" s="90"/>
    </row>
    <row r="3410" spans="7:13" x14ac:dyDescent="0.35">
      <c r="G3410" s="89"/>
      <c r="H3410" s="90"/>
      <c r="L3410" s="89"/>
      <c r="M3410" s="90"/>
    </row>
    <row r="3411" spans="7:13" x14ac:dyDescent="0.35">
      <c r="G3411" s="89"/>
      <c r="H3411" s="90"/>
      <c r="L3411" s="89"/>
      <c r="M3411" s="90"/>
    </row>
    <row r="3412" spans="7:13" x14ac:dyDescent="0.35">
      <c r="G3412" s="89"/>
      <c r="H3412" s="90"/>
      <c r="L3412" s="89"/>
      <c r="M3412" s="90"/>
    </row>
    <row r="3413" spans="7:13" x14ac:dyDescent="0.35">
      <c r="G3413" s="89"/>
      <c r="H3413" s="90"/>
      <c r="L3413" s="89"/>
      <c r="M3413" s="90"/>
    </row>
    <row r="3414" spans="7:13" x14ac:dyDescent="0.35">
      <c r="G3414" s="89"/>
      <c r="H3414" s="90"/>
      <c r="L3414" s="89"/>
      <c r="M3414" s="90"/>
    </row>
    <row r="3415" spans="7:13" x14ac:dyDescent="0.35">
      <c r="G3415" s="89"/>
      <c r="H3415" s="90"/>
      <c r="L3415" s="89"/>
      <c r="M3415" s="90"/>
    </row>
    <row r="3416" spans="7:13" x14ac:dyDescent="0.35">
      <c r="G3416" s="89"/>
      <c r="H3416" s="90"/>
      <c r="L3416" s="89"/>
      <c r="M3416" s="90"/>
    </row>
    <row r="3417" spans="7:13" x14ac:dyDescent="0.35">
      <c r="G3417" s="89"/>
      <c r="H3417" s="90"/>
      <c r="L3417" s="89"/>
      <c r="M3417" s="90"/>
    </row>
    <row r="3418" spans="7:13" x14ac:dyDescent="0.35">
      <c r="G3418" s="89"/>
      <c r="H3418" s="90"/>
      <c r="L3418" s="89"/>
      <c r="M3418" s="90"/>
    </row>
    <row r="3419" spans="7:13" x14ac:dyDescent="0.35">
      <c r="G3419" s="89"/>
      <c r="H3419" s="90"/>
      <c r="L3419" s="89"/>
      <c r="M3419" s="90"/>
    </row>
    <row r="3420" spans="7:13" x14ac:dyDescent="0.35">
      <c r="G3420" s="89"/>
      <c r="H3420" s="90"/>
      <c r="L3420" s="89"/>
      <c r="M3420" s="90"/>
    </row>
    <row r="3421" spans="7:13" x14ac:dyDescent="0.35">
      <c r="G3421" s="89"/>
      <c r="H3421" s="90"/>
      <c r="L3421" s="89"/>
      <c r="M3421" s="90"/>
    </row>
    <row r="3422" spans="7:13" x14ac:dyDescent="0.35">
      <c r="G3422" s="89"/>
      <c r="H3422" s="90"/>
      <c r="L3422" s="89"/>
      <c r="M3422" s="90"/>
    </row>
    <row r="3423" spans="7:13" x14ac:dyDescent="0.35">
      <c r="G3423" s="89"/>
      <c r="H3423" s="90"/>
      <c r="L3423" s="89"/>
      <c r="M3423" s="90"/>
    </row>
    <row r="3424" spans="7:13" x14ac:dyDescent="0.35">
      <c r="G3424" s="89"/>
      <c r="H3424" s="90"/>
      <c r="L3424" s="89"/>
      <c r="M3424" s="90"/>
    </row>
    <row r="3425" spans="7:13" x14ac:dyDescent="0.35">
      <c r="G3425" s="89"/>
      <c r="H3425" s="90"/>
      <c r="L3425" s="89"/>
      <c r="M3425" s="90"/>
    </row>
    <row r="3426" spans="7:13" x14ac:dyDescent="0.35">
      <c r="G3426" s="89"/>
      <c r="H3426" s="90"/>
      <c r="L3426" s="89"/>
      <c r="M3426" s="90"/>
    </row>
    <row r="3427" spans="7:13" x14ac:dyDescent="0.35">
      <c r="G3427" s="89"/>
      <c r="H3427" s="90"/>
      <c r="L3427" s="89"/>
      <c r="M3427" s="90"/>
    </row>
    <row r="3428" spans="7:13" x14ac:dyDescent="0.35">
      <c r="G3428" s="89"/>
      <c r="H3428" s="90"/>
      <c r="L3428" s="89"/>
      <c r="M3428" s="90"/>
    </row>
    <row r="3429" spans="7:13" x14ac:dyDescent="0.35">
      <c r="G3429" s="89"/>
      <c r="H3429" s="90"/>
      <c r="L3429" s="89"/>
      <c r="M3429" s="90"/>
    </row>
    <row r="3430" spans="7:13" x14ac:dyDescent="0.35">
      <c r="G3430" s="89"/>
      <c r="H3430" s="90"/>
      <c r="L3430" s="89"/>
      <c r="M3430" s="90"/>
    </row>
    <row r="3431" spans="7:13" x14ac:dyDescent="0.35">
      <c r="G3431" s="89"/>
      <c r="H3431" s="90"/>
      <c r="L3431" s="89"/>
      <c r="M3431" s="90"/>
    </row>
    <row r="3432" spans="7:13" x14ac:dyDescent="0.35">
      <c r="G3432" s="89"/>
      <c r="H3432" s="90"/>
      <c r="L3432" s="89"/>
      <c r="M3432" s="90"/>
    </row>
    <row r="3433" spans="7:13" x14ac:dyDescent="0.35">
      <c r="G3433" s="89"/>
      <c r="H3433" s="90"/>
      <c r="L3433" s="89"/>
      <c r="M3433" s="90"/>
    </row>
    <row r="3434" spans="7:13" x14ac:dyDescent="0.35">
      <c r="G3434" s="89"/>
      <c r="H3434" s="90"/>
      <c r="L3434" s="89"/>
      <c r="M3434" s="90"/>
    </row>
    <row r="3435" spans="7:13" x14ac:dyDescent="0.35">
      <c r="G3435" s="89"/>
      <c r="H3435" s="90"/>
      <c r="L3435" s="89"/>
      <c r="M3435" s="90"/>
    </row>
    <row r="3436" spans="7:13" x14ac:dyDescent="0.35">
      <c r="G3436" s="89"/>
      <c r="H3436" s="90"/>
      <c r="L3436" s="89"/>
      <c r="M3436" s="90"/>
    </row>
    <row r="3437" spans="7:13" x14ac:dyDescent="0.35">
      <c r="G3437" s="89"/>
      <c r="H3437" s="90"/>
      <c r="L3437" s="89"/>
      <c r="M3437" s="90"/>
    </row>
    <row r="3438" spans="7:13" x14ac:dyDescent="0.35">
      <c r="G3438" s="89"/>
      <c r="H3438" s="90"/>
      <c r="L3438" s="89"/>
      <c r="M3438" s="90"/>
    </row>
    <row r="3439" spans="7:13" x14ac:dyDescent="0.35">
      <c r="G3439" s="89"/>
      <c r="H3439" s="90"/>
      <c r="L3439" s="89"/>
      <c r="M3439" s="90"/>
    </row>
    <row r="3440" spans="7:13" x14ac:dyDescent="0.35">
      <c r="G3440" s="89"/>
      <c r="H3440" s="90"/>
      <c r="L3440" s="89"/>
      <c r="M3440" s="90"/>
    </row>
    <row r="3441" spans="7:13" x14ac:dyDescent="0.35">
      <c r="G3441" s="89"/>
      <c r="H3441" s="90"/>
      <c r="L3441" s="89"/>
      <c r="M3441" s="90"/>
    </row>
    <row r="3442" spans="7:13" x14ac:dyDescent="0.35">
      <c r="G3442" s="89"/>
      <c r="H3442" s="90"/>
      <c r="L3442" s="89"/>
      <c r="M3442" s="90"/>
    </row>
    <row r="3443" spans="7:13" x14ac:dyDescent="0.35">
      <c r="G3443" s="89"/>
      <c r="H3443" s="90"/>
      <c r="L3443" s="89"/>
      <c r="M3443" s="90"/>
    </row>
    <row r="3444" spans="7:13" x14ac:dyDescent="0.35">
      <c r="G3444" s="89"/>
      <c r="H3444" s="90"/>
      <c r="L3444" s="89"/>
      <c r="M3444" s="90"/>
    </row>
    <row r="3445" spans="7:13" x14ac:dyDescent="0.35">
      <c r="G3445" s="89"/>
      <c r="H3445" s="90"/>
      <c r="L3445" s="89"/>
      <c r="M3445" s="90"/>
    </row>
    <row r="3446" spans="7:13" x14ac:dyDescent="0.35">
      <c r="G3446" s="89"/>
      <c r="H3446" s="90"/>
      <c r="L3446" s="89"/>
      <c r="M3446" s="90"/>
    </row>
    <row r="3447" spans="7:13" x14ac:dyDescent="0.35">
      <c r="G3447" s="89"/>
      <c r="H3447" s="90"/>
      <c r="L3447" s="89"/>
      <c r="M3447" s="90"/>
    </row>
    <row r="3448" spans="7:13" x14ac:dyDescent="0.35">
      <c r="G3448" s="89"/>
      <c r="H3448" s="90"/>
      <c r="L3448" s="89"/>
      <c r="M3448" s="90"/>
    </row>
    <row r="3449" spans="7:13" x14ac:dyDescent="0.35">
      <c r="G3449" s="89"/>
      <c r="H3449" s="90"/>
      <c r="L3449" s="89"/>
      <c r="M3449" s="90"/>
    </row>
    <row r="3450" spans="7:13" x14ac:dyDescent="0.35">
      <c r="G3450" s="89"/>
      <c r="H3450" s="90"/>
      <c r="L3450" s="89"/>
      <c r="M3450" s="90"/>
    </row>
    <row r="3451" spans="7:13" x14ac:dyDescent="0.35">
      <c r="G3451" s="89"/>
      <c r="H3451" s="90"/>
      <c r="L3451" s="89"/>
      <c r="M3451" s="90"/>
    </row>
    <row r="3452" spans="7:13" x14ac:dyDescent="0.35">
      <c r="G3452" s="89"/>
      <c r="H3452" s="90"/>
      <c r="L3452" s="89"/>
      <c r="M3452" s="90"/>
    </row>
    <row r="3453" spans="7:13" x14ac:dyDescent="0.35">
      <c r="G3453" s="89"/>
      <c r="H3453" s="90"/>
      <c r="L3453" s="89"/>
      <c r="M3453" s="90"/>
    </row>
    <row r="3454" spans="7:13" x14ac:dyDescent="0.35">
      <c r="G3454" s="89"/>
      <c r="H3454" s="90"/>
      <c r="L3454" s="89"/>
      <c r="M3454" s="90"/>
    </row>
    <row r="3455" spans="7:13" x14ac:dyDescent="0.35">
      <c r="G3455" s="89"/>
      <c r="H3455" s="90"/>
      <c r="L3455" s="89"/>
      <c r="M3455" s="90"/>
    </row>
    <row r="3456" spans="7:13" x14ac:dyDescent="0.35">
      <c r="G3456" s="89"/>
      <c r="H3456" s="90"/>
      <c r="L3456" s="89"/>
      <c r="M3456" s="90"/>
    </row>
    <row r="3457" spans="7:13" x14ac:dyDescent="0.35">
      <c r="G3457" s="89"/>
      <c r="H3457" s="90"/>
      <c r="L3457" s="89"/>
      <c r="M3457" s="90"/>
    </row>
    <row r="3458" spans="7:13" x14ac:dyDescent="0.35">
      <c r="G3458" s="89"/>
      <c r="H3458" s="90"/>
      <c r="L3458" s="89"/>
      <c r="M3458" s="90"/>
    </row>
    <row r="3459" spans="7:13" x14ac:dyDescent="0.35">
      <c r="G3459" s="89"/>
      <c r="H3459" s="90"/>
      <c r="L3459" s="89"/>
      <c r="M3459" s="90"/>
    </row>
    <row r="3460" spans="7:13" x14ac:dyDescent="0.35">
      <c r="G3460" s="89"/>
      <c r="H3460" s="90"/>
      <c r="L3460" s="89"/>
      <c r="M3460" s="90"/>
    </row>
    <row r="3461" spans="7:13" x14ac:dyDescent="0.35">
      <c r="G3461" s="89"/>
      <c r="H3461" s="90"/>
      <c r="L3461" s="89"/>
      <c r="M3461" s="90"/>
    </row>
    <row r="3462" spans="7:13" x14ac:dyDescent="0.35">
      <c r="G3462" s="89"/>
      <c r="H3462" s="90"/>
      <c r="L3462" s="89"/>
      <c r="M3462" s="90"/>
    </row>
    <row r="3463" spans="7:13" x14ac:dyDescent="0.35">
      <c r="G3463" s="89"/>
      <c r="H3463" s="90"/>
      <c r="L3463" s="89"/>
      <c r="M3463" s="90"/>
    </row>
    <row r="3464" spans="7:13" x14ac:dyDescent="0.35">
      <c r="G3464" s="89"/>
      <c r="H3464" s="90"/>
      <c r="L3464" s="89"/>
      <c r="M3464" s="90"/>
    </row>
    <row r="3465" spans="7:13" x14ac:dyDescent="0.35">
      <c r="G3465" s="89"/>
      <c r="H3465" s="90"/>
      <c r="L3465" s="89"/>
      <c r="M3465" s="90"/>
    </row>
    <row r="3466" spans="7:13" x14ac:dyDescent="0.35">
      <c r="G3466" s="89"/>
      <c r="H3466" s="90"/>
      <c r="L3466" s="89"/>
      <c r="M3466" s="90"/>
    </row>
    <row r="3467" spans="7:13" x14ac:dyDescent="0.35">
      <c r="G3467" s="89"/>
      <c r="H3467" s="90"/>
      <c r="L3467" s="89"/>
      <c r="M3467" s="90"/>
    </row>
    <row r="3468" spans="7:13" x14ac:dyDescent="0.35">
      <c r="G3468" s="89"/>
      <c r="H3468" s="90"/>
      <c r="L3468" s="89"/>
      <c r="M3468" s="90"/>
    </row>
    <row r="3469" spans="7:13" x14ac:dyDescent="0.35">
      <c r="G3469" s="89"/>
      <c r="H3469" s="90"/>
      <c r="L3469" s="89"/>
      <c r="M3469" s="90"/>
    </row>
    <row r="3470" spans="7:13" x14ac:dyDescent="0.35">
      <c r="G3470" s="89"/>
      <c r="H3470" s="90"/>
      <c r="L3470" s="89"/>
      <c r="M3470" s="90"/>
    </row>
    <row r="3471" spans="7:13" x14ac:dyDescent="0.35">
      <c r="G3471" s="89"/>
      <c r="H3471" s="90"/>
      <c r="L3471" s="89"/>
      <c r="M3471" s="90"/>
    </row>
    <row r="3472" spans="7:13" x14ac:dyDescent="0.35">
      <c r="G3472" s="89"/>
      <c r="H3472" s="90"/>
      <c r="L3472" s="89"/>
      <c r="M3472" s="90"/>
    </row>
    <row r="3473" spans="7:13" x14ac:dyDescent="0.35">
      <c r="G3473" s="89"/>
      <c r="H3473" s="90"/>
      <c r="L3473" s="89"/>
      <c r="M3473" s="90"/>
    </row>
    <row r="3474" spans="7:13" x14ac:dyDescent="0.35">
      <c r="G3474" s="89"/>
      <c r="H3474" s="90"/>
      <c r="L3474" s="89"/>
      <c r="M3474" s="90"/>
    </row>
    <row r="3475" spans="7:13" x14ac:dyDescent="0.35">
      <c r="G3475" s="89"/>
      <c r="H3475" s="90"/>
      <c r="L3475" s="89"/>
      <c r="M3475" s="90"/>
    </row>
    <row r="3476" spans="7:13" x14ac:dyDescent="0.35">
      <c r="G3476" s="89"/>
      <c r="H3476" s="90"/>
      <c r="L3476" s="89"/>
      <c r="M3476" s="90"/>
    </row>
    <row r="3477" spans="7:13" x14ac:dyDescent="0.35">
      <c r="G3477" s="89"/>
      <c r="H3477" s="90"/>
      <c r="L3477" s="89"/>
      <c r="M3477" s="90"/>
    </row>
    <row r="3478" spans="7:13" x14ac:dyDescent="0.35">
      <c r="G3478" s="89"/>
      <c r="H3478" s="90"/>
      <c r="L3478" s="89"/>
      <c r="M3478" s="90"/>
    </row>
    <row r="3479" spans="7:13" x14ac:dyDescent="0.35">
      <c r="G3479" s="89"/>
      <c r="H3479" s="90"/>
      <c r="L3479" s="89"/>
      <c r="M3479" s="90"/>
    </row>
    <row r="3480" spans="7:13" x14ac:dyDescent="0.35">
      <c r="G3480" s="89"/>
      <c r="H3480" s="90"/>
      <c r="L3480" s="89"/>
      <c r="M3480" s="90"/>
    </row>
    <row r="3481" spans="7:13" x14ac:dyDescent="0.35">
      <c r="G3481" s="89"/>
      <c r="H3481" s="90"/>
      <c r="L3481" s="89"/>
      <c r="M3481" s="90"/>
    </row>
    <row r="3482" spans="7:13" x14ac:dyDescent="0.35">
      <c r="G3482" s="89"/>
      <c r="H3482" s="90"/>
      <c r="L3482" s="89"/>
      <c r="M3482" s="90"/>
    </row>
    <row r="3483" spans="7:13" x14ac:dyDescent="0.35">
      <c r="G3483" s="89"/>
      <c r="H3483" s="90"/>
      <c r="L3483" s="89"/>
      <c r="M3483" s="90"/>
    </row>
    <row r="3484" spans="7:13" x14ac:dyDescent="0.35">
      <c r="G3484" s="89"/>
      <c r="H3484" s="90"/>
      <c r="L3484" s="89"/>
      <c r="M3484" s="90"/>
    </row>
    <row r="3485" spans="7:13" x14ac:dyDescent="0.35">
      <c r="G3485" s="89"/>
      <c r="H3485" s="90"/>
      <c r="L3485" s="89"/>
      <c r="M3485" s="90"/>
    </row>
    <row r="3486" spans="7:13" x14ac:dyDescent="0.35">
      <c r="G3486" s="89"/>
      <c r="H3486" s="90"/>
      <c r="L3486" s="89"/>
      <c r="M3486" s="90"/>
    </row>
    <row r="3487" spans="7:13" x14ac:dyDescent="0.35">
      <c r="G3487" s="89"/>
      <c r="H3487" s="90"/>
      <c r="L3487" s="89"/>
      <c r="M3487" s="90"/>
    </row>
    <row r="3488" spans="7:13" x14ac:dyDescent="0.35">
      <c r="G3488" s="89"/>
      <c r="H3488" s="90"/>
      <c r="L3488" s="89"/>
      <c r="M3488" s="90"/>
    </row>
    <row r="3489" spans="7:13" x14ac:dyDescent="0.35">
      <c r="G3489" s="89"/>
      <c r="H3489" s="90"/>
      <c r="L3489" s="89"/>
      <c r="M3489" s="90"/>
    </row>
    <row r="3490" spans="7:13" x14ac:dyDescent="0.35">
      <c r="G3490" s="89"/>
      <c r="H3490" s="90"/>
      <c r="L3490" s="89"/>
      <c r="M3490" s="90"/>
    </row>
    <row r="3491" spans="7:13" x14ac:dyDescent="0.35">
      <c r="G3491" s="89"/>
      <c r="H3491" s="90"/>
      <c r="L3491" s="89"/>
      <c r="M3491" s="90"/>
    </row>
    <row r="3492" spans="7:13" x14ac:dyDescent="0.35">
      <c r="G3492" s="89"/>
      <c r="H3492" s="90"/>
      <c r="L3492" s="89"/>
      <c r="M3492" s="90"/>
    </row>
    <row r="3493" spans="7:13" x14ac:dyDescent="0.35">
      <c r="G3493" s="89"/>
      <c r="H3493" s="90"/>
      <c r="L3493" s="89"/>
      <c r="M3493" s="90"/>
    </row>
    <row r="3494" spans="7:13" x14ac:dyDescent="0.35">
      <c r="G3494" s="89"/>
      <c r="H3494" s="90"/>
      <c r="L3494" s="89"/>
      <c r="M3494" s="90"/>
    </row>
    <row r="3495" spans="7:13" x14ac:dyDescent="0.35">
      <c r="G3495" s="89"/>
      <c r="H3495" s="90"/>
      <c r="L3495" s="89"/>
      <c r="M3495" s="90"/>
    </row>
    <row r="3496" spans="7:13" x14ac:dyDescent="0.35">
      <c r="G3496" s="89"/>
      <c r="H3496" s="90"/>
      <c r="L3496" s="89"/>
      <c r="M3496" s="90"/>
    </row>
    <row r="3497" spans="7:13" x14ac:dyDescent="0.35">
      <c r="G3497" s="89"/>
      <c r="H3497" s="90"/>
      <c r="L3497" s="89"/>
      <c r="M3497" s="90"/>
    </row>
    <row r="3498" spans="7:13" x14ac:dyDescent="0.35">
      <c r="G3498" s="89"/>
      <c r="H3498" s="90"/>
      <c r="L3498" s="89"/>
      <c r="M3498" s="90"/>
    </row>
    <row r="3499" spans="7:13" x14ac:dyDescent="0.35">
      <c r="G3499" s="89"/>
      <c r="H3499" s="90"/>
      <c r="L3499" s="89"/>
      <c r="M3499" s="90"/>
    </row>
    <row r="3500" spans="7:13" x14ac:dyDescent="0.35">
      <c r="G3500" s="89"/>
      <c r="H3500" s="90"/>
      <c r="L3500" s="89"/>
      <c r="M3500" s="90"/>
    </row>
    <row r="3501" spans="7:13" x14ac:dyDescent="0.35">
      <c r="G3501" s="89"/>
      <c r="H3501" s="90"/>
      <c r="L3501" s="89"/>
      <c r="M3501" s="90"/>
    </row>
    <row r="3502" spans="7:13" x14ac:dyDescent="0.35">
      <c r="G3502" s="89"/>
      <c r="H3502" s="90"/>
      <c r="L3502" s="89"/>
      <c r="M3502" s="90"/>
    </row>
    <row r="3503" spans="7:13" x14ac:dyDescent="0.35">
      <c r="G3503" s="89"/>
      <c r="H3503" s="90"/>
      <c r="L3503" s="89"/>
      <c r="M3503" s="90"/>
    </row>
    <row r="3504" spans="7:13" x14ac:dyDescent="0.35">
      <c r="G3504" s="89"/>
      <c r="H3504" s="90"/>
      <c r="L3504" s="89"/>
      <c r="M3504" s="90"/>
    </row>
    <row r="3505" spans="7:13" x14ac:dyDescent="0.35">
      <c r="G3505" s="89"/>
      <c r="H3505" s="90"/>
      <c r="L3505" s="89"/>
      <c r="M3505" s="90"/>
    </row>
    <row r="3506" spans="7:13" x14ac:dyDescent="0.35">
      <c r="G3506" s="89"/>
      <c r="H3506" s="90"/>
      <c r="L3506" s="89"/>
      <c r="M3506" s="90"/>
    </row>
    <row r="3507" spans="7:13" x14ac:dyDescent="0.35">
      <c r="G3507" s="89"/>
      <c r="H3507" s="90"/>
      <c r="L3507" s="89"/>
      <c r="M3507" s="90"/>
    </row>
    <row r="3508" spans="7:13" x14ac:dyDescent="0.35">
      <c r="G3508" s="89"/>
      <c r="H3508" s="90"/>
      <c r="L3508" s="89"/>
      <c r="M3508" s="90"/>
    </row>
    <row r="3509" spans="7:13" x14ac:dyDescent="0.35">
      <c r="G3509" s="89"/>
      <c r="H3509" s="90"/>
      <c r="L3509" s="89"/>
      <c r="M3509" s="90"/>
    </row>
    <row r="3510" spans="7:13" x14ac:dyDescent="0.35">
      <c r="G3510" s="89"/>
      <c r="H3510" s="90"/>
      <c r="L3510" s="89"/>
      <c r="M3510" s="90"/>
    </row>
    <row r="3511" spans="7:13" x14ac:dyDescent="0.35">
      <c r="G3511" s="89"/>
      <c r="H3511" s="90"/>
      <c r="L3511" s="89"/>
      <c r="M3511" s="90"/>
    </row>
    <row r="3512" spans="7:13" x14ac:dyDescent="0.35">
      <c r="G3512" s="89"/>
      <c r="H3512" s="90"/>
      <c r="L3512" s="89"/>
      <c r="M3512" s="90"/>
    </row>
    <row r="3513" spans="7:13" x14ac:dyDescent="0.35">
      <c r="G3513" s="89"/>
      <c r="H3513" s="90"/>
      <c r="L3513" s="89"/>
      <c r="M3513" s="90"/>
    </row>
    <row r="3514" spans="7:13" x14ac:dyDescent="0.35">
      <c r="G3514" s="89"/>
      <c r="H3514" s="90"/>
      <c r="L3514" s="89"/>
      <c r="M3514" s="90"/>
    </row>
    <row r="3515" spans="7:13" x14ac:dyDescent="0.35">
      <c r="G3515" s="89"/>
      <c r="H3515" s="90"/>
      <c r="L3515" s="89"/>
      <c r="M3515" s="90"/>
    </row>
    <row r="3516" spans="7:13" x14ac:dyDescent="0.35">
      <c r="G3516" s="89"/>
      <c r="H3516" s="90"/>
      <c r="L3516" s="89"/>
      <c r="M3516" s="90"/>
    </row>
    <row r="3517" spans="7:13" x14ac:dyDescent="0.35">
      <c r="G3517" s="89"/>
      <c r="H3517" s="90"/>
      <c r="L3517" s="89"/>
      <c r="M3517" s="90"/>
    </row>
    <row r="3518" spans="7:13" x14ac:dyDescent="0.35">
      <c r="G3518" s="89"/>
      <c r="H3518" s="90"/>
      <c r="L3518" s="89"/>
      <c r="M3518" s="90"/>
    </row>
    <row r="3519" spans="7:13" x14ac:dyDescent="0.35">
      <c r="G3519" s="89"/>
      <c r="H3519" s="90"/>
      <c r="L3519" s="89"/>
      <c r="M3519" s="90"/>
    </row>
    <row r="3520" spans="7:13" x14ac:dyDescent="0.35">
      <c r="G3520" s="89"/>
      <c r="H3520" s="90"/>
      <c r="L3520" s="89"/>
      <c r="M3520" s="90"/>
    </row>
    <row r="3521" spans="7:13" x14ac:dyDescent="0.35">
      <c r="G3521" s="89"/>
      <c r="H3521" s="90"/>
      <c r="L3521" s="89"/>
      <c r="M3521" s="90"/>
    </row>
    <row r="3522" spans="7:13" x14ac:dyDescent="0.35">
      <c r="G3522" s="89"/>
      <c r="H3522" s="90"/>
      <c r="L3522" s="89"/>
      <c r="M3522" s="90"/>
    </row>
    <row r="3523" spans="7:13" x14ac:dyDescent="0.35">
      <c r="G3523" s="89"/>
      <c r="H3523" s="90"/>
      <c r="L3523" s="89"/>
      <c r="M3523" s="90"/>
    </row>
    <row r="3524" spans="7:13" x14ac:dyDescent="0.35">
      <c r="G3524" s="89"/>
      <c r="H3524" s="90"/>
      <c r="L3524" s="89"/>
      <c r="M3524" s="90"/>
    </row>
    <row r="3525" spans="7:13" x14ac:dyDescent="0.35">
      <c r="G3525" s="89"/>
      <c r="H3525" s="90"/>
      <c r="L3525" s="89"/>
      <c r="M3525" s="90"/>
    </row>
    <row r="3526" spans="7:13" x14ac:dyDescent="0.35">
      <c r="G3526" s="89"/>
      <c r="H3526" s="90"/>
      <c r="L3526" s="89"/>
      <c r="M3526" s="90"/>
    </row>
    <row r="3527" spans="7:13" x14ac:dyDescent="0.35">
      <c r="G3527" s="89"/>
      <c r="H3527" s="90"/>
      <c r="L3527" s="89"/>
      <c r="M3527" s="90"/>
    </row>
    <row r="3528" spans="7:13" x14ac:dyDescent="0.35">
      <c r="G3528" s="89"/>
      <c r="H3528" s="90"/>
      <c r="L3528" s="89"/>
      <c r="M3528" s="90"/>
    </row>
    <row r="3529" spans="7:13" x14ac:dyDescent="0.35">
      <c r="G3529" s="89"/>
      <c r="H3529" s="90"/>
      <c r="L3529" s="89"/>
      <c r="M3529" s="90"/>
    </row>
    <row r="3530" spans="7:13" x14ac:dyDescent="0.35">
      <c r="G3530" s="89"/>
      <c r="H3530" s="90"/>
      <c r="L3530" s="89"/>
      <c r="M3530" s="90"/>
    </row>
    <row r="3531" spans="7:13" x14ac:dyDescent="0.35">
      <c r="G3531" s="89"/>
      <c r="H3531" s="90"/>
      <c r="L3531" s="89"/>
      <c r="M3531" s="90"/>
    </row>
    <row r="3532" spans="7:13" x14ac:dyDescent="0.35">
      <c r="G3532" s="89"/>
      <c r="H3532" s="90"/>
      <c r="L3532" s="89"/>
      <c r="M3532" s="90"/>
    </row>
    <row r="3533" spans="7:13" x14ac:dyDescent="0.35">
      <c r="G3533" s="89"/>
      <c r="H3533" s="90"/>
      <c r="L3533" s="89"/>
      <c r="M3533" s="90"/>
    </row>
    <row r="3534" spans="7:13" x14ac:dyDescent="0.35">
      <c r="G3534" s="89"/>
      <c r="H3534" s="90"/>
      <c r="L3534" s="89"/>
      <c r="M3534" s="90"/>
    </row>
    <row r="3535" spans="7:13" x14ac:dyDescent="0.35">
      <c r="G3535" s="89"/>
      <c r="H3535" s="90"/>
      <c r="L3535" s="89"/>
      <c r="M3535" s="90"/>
    </row>
    <row r="3536" spans="7:13" x14ac:dyDescent="0.35">
      <c r="G3536" s="89"/>
      <c r="H3536" s="90"/>
      <c r="L3536" s="89"/>
      <c r="M3536" s="90"/>
    </row>
    <row r="3537" spans="7:13" x14ac:dyDescent="0.35">
      <c r="G3537" s="89"/>
      <c r="H3537" s="90"/>
      <c r="L3537" s="89"/>
      <c r="M3537" s="90"/>
    </row>
    <row r="3538" spans="7:13" x14ac:dyDescent="0.35">
      <c r="G3538" s="89"/>
      <c r="H3538" s="90"/>
      <c r="L3538" s="89"/>
      <c r="M3538" s="90"/>
    </row>
    <row r="3539" spans="7:13" x14ac:dyDescent="0.35">
      <c r="G3539" s="89"/>
      <c r="H3539" s="90"/>
      <c r="L3539" s="89"/>
      <c r="M3539" s="90"/>
    </row>
    <row r="3540" spans="7:13" x14ac:dyDescent="0.35">
      <c r="G3540" s="89"/>
      <c r="H3540" s="90"/>
      <c r="L3540" s="89"/>
      <c r="M3540" s="90"/>
    </row>
    <row r="3541" spans="7:13" x14ac:dyDescent="0.35">
      <c r="G3541" s="89"/>
      <c r="H3541" s="90"/>
      <c r="L3541" s="89"/>
      <c r="M3541" s="90"/>
    </row>
    <row r="3542" spans="7:13" x14ac:dyDescent="0.35">
      <c r="G3542" s="89"/>
      <c r="H3542" s="90"/>
      <c r="L3542" s="89"/>
      <c r="M3542" s="90"/>
    </row>
    <row r="3543" spans="7:13" x14ac:dyDescent="0.35">
      <c r="G3543" s="89"/>
      <c r="H3543" s="90"/>
      <c r="L3543" s="89"/>
      <c r="M3543" s="90"/>
    </row>
    <row r="3544" spans="7:13" x14ac:dyDescent="0.35">
      <c r="G3544" s="89"/>
      <c r="H3544" s="90"/>
      <c r="L3544" s="89"/>
      <c r="M3544" s="90"/>
    </row>
    <row r="3545" spans="7:13" x14ac:dyDescent="0.35">
      <c r="G3545" s="89"/>
      <c r="H3545" s="90"/>
      <c r="L3545" s="89"/>
      <c r="M3545" s="90"/>
    </row>
    <row r="3546" spans="7:13" x14ac:dyDescent="0.35">
      <c r="G3546" s="89"/>
      <c r="H3546" s="90"/>
      <c r="L3546" s="89"/>
      <c r="M3546" s="90"/>
    </row>
    <row r="3547" spans="7:13" x14ac:dyDescent="0.35">
      <c r="G3547" s="89"/>
      <c r="H3547" s="90"/>
      <c r="L3547" s="89"/>
      <c r="M3547" s="90"/>
    </row>
    <row r="3548" spans="7:13" x14ac:dyDescent="0.35">
      <c r="G3548" s="89"/>
      <c r="H3548" s="90"/>
      <c r="L3548" s="89"/>
      <c r="M3548" s="90"/>
    </row>
    <row r="3549" spans="7:13" x14ac:dyDescent="0.35">
      <c r="G3549" s="89"/>
      <c r="H3549" s="90"/>
      <c r="L3549" s="89"/>
      <c r="M3549" s="90"/>
    </row>
    <row r="3550" spans="7:13" x14ac:dyDescent="0.35">
      <c r="G3550" s="89"/>
      <c r="H3550" s="90"/>
      <c r="L3550" s="89"/>
      <c r="M3550" s="90"/>
    </row>
    <row r="3551" spans="7:13" x14ac:dyDescent="0.35">
      <c r="G3551" s="89"/>
      <c r="H3551" s="90"/>
      <c r="L3551" s="89"/>
      <c r="M3551" s="90"/>
    </row>
    <row r="3552" spans="7:13" x14ac:dyDescent="0.35">
      <c r="G3552" s="89"/>
      <c r="H3552" s="90"/>
      <c r="L3552" s="89"/>
      <c r="M3552" s="90"/>
    </row>
    <row r="3553" spans="7:13" x14ac:dyDescent="0.35">
      <c r="G3553" s="89"/>
      <c r="H3553" s="90"/>
      <c r="L3553" s="89"/>
      <c r="M3553" s="90"/>
    </row>
    <row r="3554" spans="7:13" x14ac:dyDescent="0.35">
      <c r="G3554" s="89"/>
      <c r="H3554" s="90"/>
      <c r="L3554" s="89"/>
      <c r="M3554" s="90"/>
    </row>
    <row r="3555" spans="7:13" x14ac:dyDescent="0.35">
      <c r="G3555" s="89"/>
      <c r="H3555" s="90"/>
      <c r="L3555" s="89"/>
      <c r="M3555" s="90"/>
    </row>
    <row r="3556" spans="7:13" x14ac:dyDescent="0.35">
      <c r="G3556" s="89"/>
      <c r="H3556" s="90"/>
      <c r="L3556" s="89"/>
      <c r="M3556" s="90"/>
    </row>
    <row r="3557" spans="7:13" x14ac:dyDescent="0.35">
      <c r="G3557" s="89"/>
      <c r="H3557" s="90"/>
      <c r="L3557" s="89"/>
      <c r="M3557" s="90"/>
    </row>
    <row r="3558" spans="7:13" x14ac:dyDescent="0.35">
      <c r="G3558" s="89"/>
      <c r="H3558" s="90"/>
      <c r="L3558" s="89"/>
      <c r="M3558" s="90"/>
    </row>
    <row r="3559" spans="7:13" x14ac:dyDescent="0.35">
      <c r="G3559" s="89"/>
      <c r="H3559" s="90"/>
      <c r="L3559" s="89"/>
      <c r="M3559" s="90"/>
    </row>
    <row r="3560" spans="7:13" x14ac:dyDescent="0.35">
      <c r="G3560" s="89"/>
      <c r="H3560" s="90"/>
      <c r="L3560" s="89"/>
      <c r="M3560" s="90"/>
    </row>
    <row r="3561" spans="7:13" x14ac:dyDescent="0.35">
      <c r="G3561" s="89"/>
      <c r="H3561" s="90"/>
      <c r="L3561" s="89"/>
      <c r="M3561" s="90"/>
    </row>
    <row r="3562" spans="7:13" x14ac:dyDescent="0.35">
      <c r="G3562" s="89"/>
      <c r="H3562" s="90"/>
      <c r="L3562" s="89"/>
      <c r="M3562" s="90"/>
    </row>
    <row r="3563" spans="7:13" x14ac:dyDescent="0.35">
      <c r="G3563" s="89"/>
      <c r="H3563" s="90"/>
      <c r="L3563" s="89"/>
      <c r="M3563" s="90"/>
    </row>
    <row r="3564" spans="7:13" x14ac:dyDescent="0.35">
      <c r="G3564" s="89"/>
      <c r="H3564" s="90"/>
      <c r="L3564" s="89"/>
      <c r="M3564" s="90"/>
    </row>
    <row r="3565" spans="7:13" x14ac:dyDescent="0.35">
      <c r="G3565" s="89"/>
      <c r="H3565" s="90"/>
      <c r="L3565" s="89"/>
      <c r="M3565" s="90"/>
    </row>
    <row r="3566" spans="7:13" x14ac:dyDescent="0.35">
      <c r="G3566" s="89"/>
      <c r="H3566" s="90"/>
      <c r="L3566" s="89"/>
      <c r="M3566" s="90"/>
    </row>
    <row r="3567" spans="7:13" x14ac:dyDescent="0.35">
      <c r="G3567" s="89"/>
      <c r="H3567" s="90"/>
      <c r="L3567" s="89"/>
      <c r="M3567" s="90"/>
    </row>
    <row r="3568" spans="7:13" x14ac:dyDescent="0.35">
      <c r="G3568" s="89"/>
      <c r="H3568" s="90"/>
      <c r="L3568" s="89"/>
      <c r="M3568" s="90"/>
    </row>
    <row r="3569" spans="7:13" x14ac:dyDescent="0.35">
      <c r="G3569" s="89"/>
      <c r="H3569" s="90"/>
      <c r="L3569" s="89"/>
      <c r="M3569" s="90"/>
    </row>
    <row r="3570" spans="7:13" x14ac:dyDescent="0.35">
      <c r="G3570" s="89"/>
      <c r="H3570" s="90"/>
      <c r="L3570" s="89"/>
      <c r="M3570" s="90"/>
    </row>
    <row r="3571" spans="7:13" x14ac:dyDescent="0.35">
      <c r="G3571" s="89"/>
      <c r="H3571" s="90"/>
      <c r="L3571" s="89"/>
      <c r="M3571" s="90"/>
    </row>
    <row r="3572" spans="7:13" x14ac:dyDescent="0.35">
      <c r="G3572" s="89"/>
      <c r="H3572" s="90"/>
      <c r="L3572" s="89"/>
      <c r="M3572" s="90"/>
    </row>
    <row r="3573" spans="7:13" x14ac:dyDescent="0.35">
      <c r="G3573" s="89"/>
      <c r="H3573" s="90"/>
      <c r="L3573" s="89"/>
      <c r="M3573" s="90"/>
    </row>
    <row r="3574" spans="7:13" x14ac:dyDescent="0.35">
      <c r="G3574" s="89"/>
      <c r="H3574" s="90"/>
      <c r="L3574" s="89"/>
      <c r="M3574" s="90"/>
    </row>
    <row r="3575" spans="7:13" x14ac:dyDescent="0.35">
      <c r="G3575" s="89"/>
      <c r="H3575" s="90"/>
      <c r="L3575" s="89"/>
      <c r="M3575" s="90"/>
    </row>
    <row r="3576" spans="7:13" x14ac:dyDescent="0.35">
      <c r="G3576" s="89"/>
      <c r="H3576" s="90"/>
      <c r="L3576" s="89"/>
      <c r="M3576" s="90"/>
    </row>
    <row r="3577" spans="7:13" x14ac:dyDescent="0.35">
      <c r="G3577" s="89"/>
      <c r="H3577" s="90"/>
      <c r="L3577" s="89"/>
      <c r="M3577" s="90"/>
    </row>
    <row r="3578" spans="7:13" x14ac:dyDescent="0.35">
      <c r="G3578" s="89"/>
      <c r="H3578" s="90"/>
      <c r="L3578" s="89"/>
      <c r="M3578" s="90"/>
    </row>
    <row r="3579" spans="7:13" x14ac:dyDescent="0.35">
      <c r="G3579" s="89"/>
      <c r="H3579" s="90"/>
      <c r="L3579" s="89"/>
      <c r="M3579" s="90"/>
    </row>
    <row r="3580" spans="7:13" x14ac:dyDescent="0.35">
      <c r="G3580" s="89"/>
      <c r="H3580" s="90"/>
      <c r="L3580" s="89"/>
      <c r="M3580" s="90"/>
    </row>
    <row r="3581" spans="7:13" x14ac:dyDescent="0.35">
      <c r="G3581" s="89"/>
      <c r="H3581" s="90"/>
      <c r="L3581" s="89"/>
      <c r="M3581" s="90"/>
    </row>
    <row r="3582" spans="7:13" x14ac:dyDescent="0.35">
      <c r="G3582" s="89"/>
      <c r="H3582" s="90"/>
      <c r="L3582" s="89"/>
      <c r="M3582" s="90"/>
    </row>
    <row r="3583" spans="7:13" x14ac:dyDescent="0.35">
      <c r="G3583" s="89"/>
      <c r="H3583" s="90"/>
      <c r="L3583" s="89"/>
      <c r="M3583" s="90"/>
    </row>
    <row r="3584" spans="7:13" x14ac:dyDescent="0.35">
      <c r="G3584" s="89"/>
      <c r="H3584" s="90"/>
      <c r="L3584" s="89"/>
      <c r="M3584" s="90"/>
    </row>
    <row r="3585" spans="7:13" x14ac:dyDescent="0.35">
      <c r="G3585" s="89"/>
      <c r="H3585" s="90"/>
      <c r="L3585" s="89"/>
      <c r="M3585" s="90"/>
    </row>
    <row r="3586" spans="7:13" x14ac:dyDescent="0.35">
      <c r="G3586" s="89"/>
      <c r="H3586" s="90"/>
      <c r="L3586" s="89"/>
      <c r="M3586" s="90"/>
    </row>
    <row r="3587" spans="7:13" x14ac:dyDescent="0.35">
      <c r="G3587" s="89"/>
      <c r="H3587" s="90"/>
      <c r="L3587" s="89"/>
      <c r="M3587" s="90"/>
    </row>
    <row r="3588" spans="7:13" x14ac:dyDescent="0.35">
      <c r="G3588" s="89"/>
      <c r="H3588" s="90"/>
      <c r="L3588" s="89"/>
      <c r="M3588" s="90"/>
    </row>
    <row r="3589" spans="7:13" x14ac:dyDescent="0.35">
      <c r="G3589" s="89"/>
      <c r="H3589" s="90"/>
      <c r="L3589" s="89"/>
      <c r="M3589" s="90"/>
    </row>
    <row r="3590" spans="7:13" x14ac:dyDescent="0.35">
      <c r="G3590" s="89"/>
      <c r="H3590" s="90"/>
      <c r="L3590" s="89"/>
      <c r="M3590" s="90"/>
    </row>
    <row r="3591" spans="7:13" x14ac:dyDescent="0.35">
      <c r="G3591" s="89"/>
      <c r="H3591" s="90"/>
      <c r="L3591" s="89"/>
      <c r="M3591" s="90"/>
    </row>
    <row r="3592" spans="7:13" x14ac:dyDescent="0.35">
      <c r="G3592" s="89"/>
      <c r="H3592" s="90"/>
      <c r="L3592" s="89"/>
      <c r="M3592" s="90"/>
    </row>
    <row r="3593" spans="7:13" x14ac:dyDescent="0.35">
      <c r="G3593" s="89"/>
      <c r="H3593" s="90"/>
      <c r="L3593" s="89"/>
      <c r="M3593" s="90"/>
    </row>
    <row r="3594" spans="7:13" x14ac:dyDescent="0.35">
      <c r="G3594" s="89"/>
      <c r="H3594" s="90"/>
      <c r="L3594" s="89"/>
      <c r="M3594" s="90"/>
    </row>
    <row r="3595" spans="7:13" x14ac:dyDescent="0.35">
      <c r="G3595" s="89"/>
      <c r="H3595" s="90"/>
      <c r="L3595" s="89"/>
      <c r="M3595" s="90"/>
    </row>
    <row r="3596" spans="7:13" x14ac:dyDescent="0.35">
      <c r="G3596" s="89"/>
      <c r="H3596" s="90"/>
      <c r="L3596" s="89"/>
      <c r="M3596" s="90"/>
    </row>
    <row r="3597" spans="7:13" x14ac:dyDescent="0.35">
      <c r="G3597" s="89"/>
      <c r="H3597" s="90"/>
      <c r="L3597" s="89"/>
      <c r="M3597" s="90"/>
    </row>
    <row r="3598" spans="7:13" x14ac:dyDescent="0.35">
      <c r="G3598" s="89"/>
      <c r="H3598" s="90"/>
      <c r="L3598" s="89"/>
      <c r="M3598" s="90"/>
    </row>
    <row r="3599" spans="7:13" x14ac:dyDescent="0.35">
      <c r="G3599" s="89"/>
      <c r="H3599" s="90"/>
      <c r="L3599" s="89"/>
      <c r="M3599" s="90"/>
    </row>
    <row r="3600" spans="7:13" x14ac:dyDescent="0.35">
      <c r="G3600" s="89"/>
      <c r="H3600" s="90"/>
      <c r="L3600" s="89"/>
      <c r="M3600" s="90"/>
    </row>
    <row r="3601" spans="7:13" x14ac:dyDescent="0.35">
      <c r="G3601" s="89"/>
      <c r="H3601" s="90"/>
      <c r="L3601" s="89"/>
      <c r="M3601" s="90"/>
    </row>
    <row r="3602" spans="7:13" x14ac:dyDescent="0.35">
      <c r="G3602" s="89"/>
      <c r="H3602" s="90"/>
      <c r="L3602" s="89"/>
      <c r="M3602" s="90"/>
    </row>
    <row r="3603" spans="7:13" x14ac:dyDescent="0.35">
      <c r="G3603" s="89"/>
      <c r="H3603" s="90"/>
      <c r="L3603" s="89"/>
      <c r="M3603" s="90"/>
    </row>
    <row r="3604" spans="7:13" x14ac:dyDescent="0.35">
      <c r="G3604" s="89"/>
      <c r="H3604" s="90"/>
      <c r="L3604" s="89"/>
      <c r="M3604" s="90"/>
    </row>
    <row r="3605" spans="7:13" x14ac:dyDescent="0.35">
      <c r="G3605" s="89"/>
      <c r="H3605" s="90"/>
      <c r="L3605" s="89"/>
      <c r="M3605" s="90"/>
    </row>
    <row r="3606" spans="7:13" x14ac:dyDescent="0.35">
      <c r="G3606" s="89"/>
      <c r="H3606" s="90"/>
      <c r="L3606" s="89"/>
      <c r="M3606" s="90"/>
    </row>
    <row r="3607" spans="7:13" x14ac:dyDescent="0.35">
      <c r="G3607" s="89"/>
      <c r="H3607" s="90"/>
      <c r="L3607" s="89"/>
      <c r="M3607" s="90"/>
    </row>
    <row r="3608" spans="7:13" x14ac:dyDescent="0.35">
      <c r="G3608" s="89"/>
      <c r="H3608" s="90"/>
      <c r="L3608" s="89"/>
      <c r="M3608" s="90"/>
    </row>
    <row r="3609" spans="7:13" x14ac:dyDescent="0.35">
      <c r="G3609" s="89"/>
      <c r="H3609" s="90"/>
      <c r="L3609" s="89"/>
      <c r="M3609" s="90"/>
    </row>
    <row r="3610" spans="7:13" x14ac:dyDescent="0.35">
      <c r="G3610" s="89"/>
      <c r="H3610" s="90"/>
      <c r="L3610" s="89"/>
      <c r="M3610" s="90"/>
    </row>
    <row r="3611" spans="7:13" x14ac:dyDescent="0.35">
      <c r="G3611" s="89"/>
      <c r="H3611" s="90"/>
      <c r="L3611" s="89"/>
      <c r="M3611" s="90"/>
    </row>
    <row r="3612" spans="7:13" x14ac:dyDescent="0.35">
      <c r="G3612" s="89"/>
      <c r="H3612" s="90"/>
      <c r="L3612" s="89"/>
      <c r="M3612" s="90"/>
    </row>
    <row r="3613" spans="7:13" x14ac:dyDescent="0.35">
      <c r="G3613" s="89"/>
      <c r="H3613" s="90"/>
      <c r="L3613" s="89"/>
      <c r="M3613" s="90"/>
    </row>
    <row r="3614" spans="7:13" x14ac:dyDescent="0.35">
      <c r="G3614" s="89"/>
      <c r="H3614" s="90"/>
      <c r="L3614" s="89"/>
      <c r="M3614" s="90"/>
    </row>
    <row r="3615" spans="7:13" x14ac:dyDescent="0.35">
      <c r="G3615" s="89"/>
      <c r="H3615" s="90"/>
      <c r="L3615" s="89"/>
      <c r="M3615" s="90"/>
    </row>
    <row r="3616" spans="7:13" x14ac:dyDescent="0.35">
      <c r="G3616" s="89"/>
      <c r="H3616" s="90"/>
      <c r="L3616" s="89"/>
      <c r="M3616" s="90"/>
    </row>
    <row r="3617" spans="7:13" x14ac:dyDescent="0.35">
      <c r="G3617" s="89"/>
      <c r="H3617" s="90"/>
      <c r="L3617" s="89"/>
      <c r="M3617" s="90"/>
    </row>
    <row r="3618" spans="7:13" x14ac:dyDescent="0.35">
      <c r="G3618" s="89"/>
      <c r="H3618" s="90"/>
      <c r="L3618" s="89"/>
      <c r="M3618" s="90"/>
    </row>
    <row r="3619" spans="7:13" x14ac:dyDescent="0.35">
      <c r="G3619" s="89"/>
      <c r="H3619" s="90"/>
      <c r="L3619" s="89"/>
      <c r="M3619" s="90"/>
    </row>
    <row r="3620" spans="7:13" x14ac:dyDescent="0.35">
      <c r="G3620" s="89"/>
      <c r="H3620" s="90"/>
      <c r="L3620" s="89"/>
      <c r="M3620" s="90"/>
    </row>
    <row r="3621" spans="7:13" x14ac:dyDescent="0.35">
      <c r="G3621" s="89"/>
      <c r="H3621" s="90"/>
      <c r="L3621" s="89"/>
      <c r="M3621" s="90"/>
    </row>
    <row r="3622" spans="7:13" x14ac:dyDescent="0.35">
      <c r="G3622" s="89"/>
      <c r="H3622" s="90"/>
      <c r="L3622" s="89"/>
      <c r="M3622" s="90"/>
    </row>
    <row r="3623" spans="7:13" x14ac:dyDescent="0.35">
      <c r="G3623" s="89"/>
      <c r="H3623" s="90"/>
      <c r="L3623" s="89"/>
      <c r="M3623" s="90"/>
    </row>
    <row r="3624" spans="7:13" x14ac:dyDescent="0.35">
      <c r="G3624" s="89"/>
      <c r="H3624" s="90"/>
      <c r="L3624" s="89"/>
      <c r="M3624" s="90"/>
    </row>
    <row r="3625" spans="7:13" x14ac:dyDescent="0.35">
      <c r="G3625" s="89"/>
      <c r="H3625" s="90"/>
      <c r="L3625" s="89"/>
      <c r="M3625" s="90"/>
    </row>
    <row r="3626" spans="7:13" x14ac:dyDescent="0.35">
      <c r="G3626" s="89"/>
      <c r="H3626" s="90"/>
      <c r="L3626" s="89"/>
      <c r="M3626" s="90"/>
    </row>
    <row r="3627" spans="7:13" x14ac:dyDescent="0.35">
      <c r="G3627" s="89"/>
      <c r="H3627" s="90"/>
      <c r="L3627" s="89"/>
      <c r="M3627" s="90"/>
    </row>
    <row r="3628" spans="7:13" x14ac:dyDescent="0.35">
      <c r="G3628" s="89"/>
      <c r="H3628" s="90"/>
      <c r="L3628" s="89"/>
      <c r="M3628" s="90"/>
    </row>
    <row r="3629" spans="7:13" x14ac:dyDescent="0.35">
      <c r="G3629" s="89"/>
      <c r="H3629" s="90"/>
      <c r="L3629" s="89"/>
      <c r="M3629" s="90"/>
    </row>
    <row r="3630" spans="7:13" x14ac:dyDescent="0.35">
      <c r="G3630" s="89"/>
      <c r="H3630" s="90"/>
      <c r="L3630" s="89"/>
      <c r="M3630" s="90"/>
    </row>
    <row r="3631" spans="7:13" x14ac:dyDescent="0.35">
      <c r="G3631" s="89"/>
      <c r="H3631" s="90"/>
      <c r="L3631" s="89"/>
      <c r="M3631" s="90"/>
    </row>
    <row r="3632" spans="7:13" x14ac:dyDescent="0.35">
      <c r="G3632" s="89"/>
      <c r="H3632" s="90"/>
      <c r="L3632" s="89"/>
      <c r="M3632" s="90"/>
    </row>
    <row r="3633" spans="7:13" x14ac:dyDescent="0.35">
      <c r="G3633" s="89"/>
      <c r="H3633" s="90"/>
      <c r="L3633" s="89"/>
      <c r="M3633" s="90"/>
    </row>
    <row r="3634" spans="7:13" x14ac:dyDescent="0.35">
      <c r="G3634" s="89"/>
      <c r="H3634" s="90"/>
      <c r="L3634" s="89"/>
      <c r="M3634" s="90"/>
    </row>
    <row r="3635" spans="7:13" x14ac:dyDescent="0.35">
      <c r="G3635" s="89"/>
      <c r="H3635" s="90"/>
      <c r="L3635" s="89"/>
      <c r="M3635" s="90"/>
    </row>
    <row r="3636" spans="7:13" x14ac:dyDescent="0.35">
      <c r="G3636" s="89"/>
      <c r="H3636" s="90"/>
      <c r="L3636" s="89"/>
      <c r="M3636" s="90"/>
    </row>
    <row r="3637" spans="7:13" x14ac:dyDescent="0.35">
      <c r="G3637" s="89"/>
      <c r="H3637" s="90"/>
      <c r="L3637" s="89"/>
      <c r="M3637" s="90"/>
    </row>
    <row r="3638" spans="7:13" x14ac:dyDescent="0.35">
      <c r="G3638" s="89"/>
      <c r="H3638" s="90"/>
      <c r="L3638" s="89"/>
      <c r="M3638" s="90"/>
    </row>
    <row r="3639" spans="7:13" x14ac:dyDescent="0.35">
      <c r="G3639" s="89"/>
      <c r="H3639" s="90"/>
      <c r="L3639" s="89"/>
      <c r="M3639" s="90"/>
    </row>
    <row r="3640" spans="7:13" x14ac:dyDescent="0.35">
      <c r="G3640" s="89"/>
      <c r="H3640" s="90"/>
      <c r="L3640" s="89"/>
      <c r="M3640" s="90"/>
    </row>
    <row r="3641" spans="7:13" x14ac:dyDescent="0.35">
      <c r="G3641" s="89"/>
      <c r="H3641" s="90"/>
      <c r="L3641" s="89"/>
      <c r="M3641" s="90"/>
    </row>
    <row r="3642" spans="7:13" x14ac:dyDescent="0.35">
      <c r="G3642" s="89"/>
      <c r="H3642" s="90"/>
      <c r="L3642" s="89"/>
      <c r="M3642" s="90"/>
    </row>
    <row r="3643" spans="7:13" x14ac:dyDescent="0.35">
      <c r="G3643" s="89"/>
      <c r="H3643" s="90"/>
      <c r="L3643" s="89"/>
      <c r="M3643" s="90"/>
    </row>
    <row r="3644" spans="7:13" x14ac:dyDescent="0.35">
      <c r="G3644" s="89"/>
      <c r="H3644" s="90"/>
      <c r="L3644" s="89"/>
      <c r="M3644" s="90"/>
    </row>
    <row r="3645" spans="7:13" x14ac:dyDescent="0.35">
      <c r="G3645" s="89"/>
      <c r="H3645" s="90"/>
      <c r="L3645" s="89"/>
      <c r="M3645" s="90"/>
    </row>
    <row r="3646" spans="7:13" x14ac:dyDescent="0.35">
      <c r="G3646" s="89"/>
      <c r="H3646" s="90"/>
      <c r="L3646" s="89"/>
      <c r="M3646" s="90"/>
    </row>
    <row r="3647" spans="7:13" x14ac:dyDescent="0.35">
      <c r="G3647" s="89"/>
      <c r="H3647" s="90"/>
      <c r="L3647" s="89"/>
      <c r="M3647" s="90"/>
    </row>
    <row r="3648" spans="7:13" x14ac:dyDescent="0.35">
      <c r="G3648" s="89"/>
      <c r="H3648" s="90"/>
      <c r="L3648" s="89"/>
      <c r="M3648" s="90"/>
    </row>
    <row r="3649" spans="7:13" x14ac:dyDescent="0.35">
      <c r="G3649" s="89"/>
      <c r="H3649" s="90"/>
      <c r="L3649" s="89"/>
      <c r="M3649" s="90"/>
    </row>
    <row r="3650" spans="7:13" x14ac:dyDescent="0.35">
      <c r="G3650" s="89"/>
      <c r="H3650" s="90"/>
      <c r="L3650" s="89"/>
      <c r="M3650" s="90"/>
    </row>
    <row r="3651" spans="7:13" x14ac:dyDescent="0.35">
      <c r="G3651" s="89"/>
      <c r="H3651" s="90"/>
      <c r="L3651" s="89"/>
      <c r="M3651" s="90"/>
    </row>
    <row r="3652" spans="7:13" x14ac:dyDescent="0.35">
      <c r="G3652" s="89"/>
      <c r="H3652" s="90"/>
      <c r="L3652" s="89"/>
      <c r="M3652" s="90"/>
    </row>
    <row r="3653" spans="7:13" x14ac:dyDescent="0.35">
      <c r="G3653" s="89"/>
      <c r="H3653" s="90"/>
      <c r="L3653" s="89"/>
      <c r="M3653" s="90"/>
    </row>
    <row r="3654" spans="7:13" x14ac:dyDescent="0.35">
      <c r="G3654" s="89"/>
      <c r="H3654" s="90"/>
      <c r="L3654" s="89"/>
      <c r="M3654" s="90"/>
    </row>
    <row r="3655" spans="7:13" x14ac:dyDescent="0.35">
      <c r="G3655" s="89"/>
      <c r="H3655" s="90"/>
      <c r="L3655" s="89"/>
      <c r="M3655" s="90"/>
    </row>
    <row r="3656" spans="7:13" x14ac:dyDescent="0.35">
      <c r="G3656" s="89"/>
      <c r="H3656" s="90"/>
      <c r="L3656" s="89"/>
      <c r="M3656" s="90"/>
    </row>
    <row r="3657" spans="7:13" x14ac:dyDescent="0.35">
      <c r="G3657" s="89"/>
      <c r="H3657" s="90"/>
      <c r="L3657" s="89"/>
      <c r="M3657" s="90"/>
    </row>
    <row r="3658" spans="7:13" x14ac:dyDescent="0.35">
      <c r="G3658" s="89"/>
      <c r="H3658" s="90"/>
      <c r="L3658" s="89"/>
      <c r="M3658" s="90"/>
    </row>
    <row r="3659" spans="7:13" x14ac:dyDescent="0.35">
      <c r="G3659" s="89"/>
      <c r="H3659" s="90"/>
      <c r="L3659" s="89"/>
      <c r="M3659" s="90"/>
    </row>
    <row r="3660" spans="7:13" x14ac:dyDescent="0.35">
      <c r="G3660" s="89"/>
      <c r="H3660" s="90"/>
      <c r="L3660" s="89"/>
      <c r="M3660" s="90"/>
    </row>
    <row r="3661" spans="7:13" x14ac:dyDescent="0.35">
      <c r="G3661" s="89"/>
      <c r="H3661" s="90"/>
      <c r="L3661" s="89"/>
      <c r="M3661" s="90"/>
    </row>
    <row r="3662" spans="7:13" x14ac:dyDescent="0.35">
      <c r="G3662" s="89"/>
      <c r="H3662" s="90"/>
      <c r="L3662" s="89"/>
      <c r="M3662" s="90"/>
    </row>
    <row r="3663" spans="7:13" x14ac:dyDescent="0.35">
      <c r="G3663" s="89"/>
      <c r="H3663" s="90"/>
      <c r="L3663" s="89"/>
      <c r="M3663" s="90"/>
    </row>
    <row r="3664" spans="7:13" x14ac:dyDescent="0.35">
      <c r="G3664" s="89"/>
      <c r="H3664" s="90"/>
      <c r="L3664" s="89"/>
      <c r="M3664" s="90"/>
    </row>
    <row r="3665" spans="7:13" x14ac:dyDescent="0.35">
      <c r="G3665" s="89"/>
      <c r="H3665" s="90"/>
      <c r="L3665" s="89"/>
      <c r="M3665" s="90"/>
    </row>
    <row r="3666" spans="7:13" x14ac:dyDescent="0.35">
      <c r="G3666" s="89"/>
      <c r="H3666" s="90"/>
      <c r="L3666" s="89"/>
      <c r="M3666" s="90"/>
    </row>
    <row r="3667" spans="7:13" x14ac:dyDescent="0.35">
      <c r="G3667" s="89"/>
      <c r="H3667" s="90"/>
      <c r="L3667" s="89"/>
      <c r="M3667" s="90"/>
    </row>
    <row r="3668" spans="7:13" x14ac:dyDescent="0.35">
      <c r="G3668" s="89"/>
      <c r="H3668" s="90"/>
      <c r="L3668" s="89"/>
      <c r="M3668" s="90"/>
    </row>
    <row r="3669" spans="7:13" x14ac:dyDescent="0.35">
      <c r="G3669" s="89"/>
      <c r="H3669" s="90"/>
      <c r="L3669" s="89"/>
      <c r="M3669" s="90"/>
    </row>
    <row r="3670" spans="7:13" x14ac:dyDescent="0.35">
      <c r="G3670" s="89"/>
      <c r="H3670" s="90"/>
      <c r="L3670" s="89"/>
      <c r="M3670" s="90"/>
    </row>
    <row r="3671" spans="7:13" x14ac:dyDescent="0.35">
      <c r="G3671" s="89"/>
      <c r="H3671" s="90"/>
      <c r="L3671" s="89"/>
      <c r="M3671" s="90"/>
    </row>
    <row r="3672" spans="7:13" x14ac:dyDescent="0.35">
      <c r="G3672" s="89"/>
      <c r="H3672" s="90"/>
      <c r="L3672" s="89"/>
      <c r="M3672" s="90"/>
    </row>
    <row r="3673" spans="7:13" x14ac:dyDescent="0.35">
      <c r="G3673" s="89"/>
      <c r="H3673" s="90"/>
      <c r="L3673" s="89"/>
      <c r="M3673" s="90"/>
    </row>
    <row r="3674" spans="7:13" x14ac:dyDescent="0.35">
      <c r="G3674" s="89"/>
      <c r="H3674" s="90"/>
      <c r="L3674" s="89"/>
      <c r="M3674" s="90"/>
    </row>
    <row r="3675" spans="7:13" x14ac:dyDescent="0.35">
      <c r="G3675" s="89"/>
      <c r="H3675" s="90"/>
      <c r="L3675" s="89"/>
      <c r="M3675" s="90"/>
    </row>
    <row r="3676" spans="7:13" x14ac:dyDescent="0.35">
      <c r="G3676" s="89"/>
      <c r="H3676" s="90"/>
      <c r="L3676" s="89"/>
      <c r="M3676" s="90"/>
    </row>
    <row r="3677" spans="7:13" x14ac:dyDescent="0.35">
      <c r="G3677" s="89"/>
      <c r="H3677" s="90"/>
      <c r="L3677" s="89"/>
      <c r="M3677" s="90"/>
    </row>
    <row r="3678" spans="7:13" x14ac:dyDescent="0.35">
      <c r="G3678" s="89"/>
      <c r="H3678" s="90"/>
      <c r="L3678" s="89"/>
      <c r="M3678" s="90"/>
    </row>
    <row r="3679" spans="7:13" x14ac:dyDescent="0.35">
      <c r="G3679" s="89"/>
      <c r="H3679" s="90"/>
      <c r="L3679" s="89"/>
      <c r="M3679" s="90"/>
    </row>
    <row r="3680" spans="7:13" x14ac:dyDescent="0.35">
      <c r="G3680" s="89"/>
      <c r="H3680" s="90"/>
      <c r="L3680" s="89"/>
      <c r="M3680" s="90"/>
    </row>
    <row r="3681" spans="7:13" x14ac:dyDescent="0.35">
      <c r="G3681" s="89"/>
      <c r="H3681" s="90"/>
      <c r="L3681" s="89"/>
      <c r="M3681" s="90"/>
    </row>
    <row r="3682" spans="7:13" x14ac:dyDescent="0.35">
      <c r="G3682" s="89"/>
      <c r="H3682" s="90"/>
      <c r="L3682" s="89"/>
      <c r="M3682" s="90"/>
    </row>
    <row r="3683" spans="7:13" x14ac:dyDescent="0.35">
      <c r="G3683" s="89"/>
      <c r="H3683" s="90"/>
      <c r="L3683" s="89"/>
      <c r="M3683" s="90"/>
    </row>
    <row r="3684" spans="7:13" x14ac:dyDescent="0.35">
      <c r="G3684" s="89"/>
      <c r="H3684" s="90"/>
      <c r="L3684" s="89"/>
      <c r="M3684" s="90"/>
    </row>
    <row r="3685" spans="7:13" x14ac:dyDescent="0.35">
      <c r="G3685" s="89"/>
      <c r="H3685" s="90"/>
      <c r="L3685" s="89"/>
      <c r="M3685" s="90"/>
    </row>
    <row r="3686" spans="7:13" x14ac:dyDescent="0.35">
      <c r="G3686" s="89"/>
      <c r="H3686" s="90"/>
      <c r="L3686" s="89"/>
      <c r="M3686" s="90"/>
    </row>
    <row r="3687" spans="7:13" x14ac:dyDescent="0.35">
      <c r="G3687" s="89"/>
      <c r="H3687" s="90"/>
      <c r="L3687" s="89"/>
      <c r="M3687" s="90"/>
    </row>
    <row r="3688" spans="7:13" x14ac:dyDescent="0.35">
      <c r="G3688" s="89"/>
      <c r="H3688" s="90"/>
      <c r="L3688" s="89"/>
      <c r="M3688" s="90"/>
    </row>
    <row r="3689" spans="7:13" x14ac:dyDescent="0.35">
      <c r="G3689" s="89"/>
      <c r="H3689" s="90"/>
      <c r="L3689" s="89"/>
      <c r="M3689" s="90"/>
    </row>
    <row r="3690" spans="7:13" x14ac:dyDescent="0.35">
      <c r="G3690" s="89"/>
      <c r="H3690" s="90"/>
      <c r="L3690" s="89"/>
      <c r="M3690" s="90"/>
    </row>
    <row r="3691" spans="7:13" x14ac:dyDescent="0.35">
      <c r="G3691" s="89"/>
      <c r="H3691" s="90"/>
      <c r="L3691" s="89"/>
      <c r="M3691" s="90"/>
    </row>
    <row r="3692" spans="7:13" x14ac:dyDescent="0.35">
      <c r="G3692" s="89"/>
      <c r="H3692" s="90"/>
      <c r="L3692" s="89"/>
      <c r="M3692" s="90"/>
    </row>
    <row r="3693" spans="7:13" x14ac:dyDescent="0.35">
      <c r="G3693" s="89"/>
      <c r="H3693" s="90"/>
      <c r="L3693" s="89"/>
      <c r="M3693" s="90"/>
    </row>
    <row r="3694" spans="7:13" x14ac:dyDescent="0.35">
      <c r="G3694" s="89"/>
      <c r="H3694" s="90"/>
      <c r="L3694" s="89"/>
      <c r="M3694" s="90"/>
    </row>
    <row r="3695" spans="7:13" x14ac:dyDescent="0.35">
      <c r="G3695" s="89"/>
      <c r="H3695" s="90"/>
      <c r="L3695" s="89"/>
      <c r="M3695" s="90"/>
    </row>
    <row r="3696" spans="7:13" x14ac:dyDescent="0.35">
      <c r="G3696" s="89"/>
      <c r="H3696" s="90"/>
      <c r="L3696" s="89"/>
      <c r="M3696" s="90"/>
    </row>
    <row r="3697" spans="7:13" x14ac:dyDescent="0.35">
      <c r="G3697" s="89"/>
      <c r="H3697" s="90"/>
      <c r="L3697" s="89"/>
      <c r="M3697" s="90"/>
    </row>
    <row r="3698" spans="7:13" x14ac:dyDescent="0.35">
      <c r="G3698" s="89"/>
      <c r="H3698" s="90"/>
      <c r="L3698" s="89"/>
      <c r="M3698" s="90"/>
    </row>
    <row r="3699" spans="7:13" x14ac:dyDescent="0.35">
      <c r="G3699" s="89"/>
      <c r="H3699" s="90"/>
      <c r="L3699" s="89"/>
      <c r="M3699" s="90"/>
    </row>
    <row r="3700" spans="7:13" x14ac:dyDescent="0.35">
      <c r="G3700" s="89"/>
      <c r="H3700" s="90"/>
      <c r="L3700" s="89"/>
      <c r="M3700" s="90"/>
    </row>
    <row r="3701" spans="7:13" x14ac:dyDescent="0.35">
      <c r="G3701" s="89"/>
      <c r="H3701" s="90"/>
      <c r="L3701" s="89"/>
      <c r="M3701" s="90"/>
    </row>
    <row r="3702" spans="7:13" x14ac:dyDescent="0.35">
      <c r="G3702" s="89"/>
      <c r="H3702" s="90"/>
      <c r="L3702" s="89"/>
      <c r="M3702" s="90"/>
    </row>
    <row r="3703" spans="7:13" x14ac:dyDescent="0.35">
      <c r="G3703" s="89"/>
      <c r="H3703" s="90"/>
      <c r="L3703" s="89"/>
      <c r="M3703" s="90"/>
    </row>
    <row r="3704" spans="7:13" x14ac:dyDescent="0.35">
      <c r="G3704" s="89"/>
      <c r="H3704" s="90"/>
      <c r="L3704" s="89"/>
      <c r="M3704" s="90"/>
    </row>
    <row r="3705" spans="7:13" x14ac:dyDescent="0.35">
      <c r="G3705" s="89"/>
      <c r="H3705" s="90"/>
      <c r="L3705" s="89"/>
      <c r="M3705" s="90"/>
    </row>
    <row r="3706" spans="7:13" x14ac:dyDescent="0.35">
      <c r="G3706" s="89"/>
      <c r="H3706" s="90"/>
      <c r="L3706" s="89"/>
      <c r="M3706" s="90"/>
    </row>
    <row r="3707" spans="7:13" x14ac:dyDescent="0.35">
      <c r="G3707" s="89"/>
      <c r="H3707" s="90"/>
      <c r="L3707" s="89"/>
      <c r="M3707" s="90"/>
    </row>
    <row r="3708" spans="7:13" x14ac:dyDescent="0.35">
      <c r="G3708" s="89"/>
      <c r="H3708" s="90"/>
      <c r="L3708" s="89"/>
      <c r="M3708" s="90"/>
    </row>
    <row r="3709" spans="7:13" x14ac:dyDescent="0.35">
      <c r="G3709" s="89"/>
      <c r="H3709" s="90"/>
      <c r="L3709" s="89"/>
      <c r="M3709" s="90"/>
    </row>
    <row r="3710" spans="7:13" x14ac:dyDescent="0.35">
      <c r="G3710" s="89"/>
      <c r="H3710" s="90"/>
      <c r="L3710" s="89"/>
      <c r="M3710" s="90"/>
    </row>
    <row r="3711" spans="7:13" x14ac:dyDescent="0.35">
      <c r="G3711" s="89"/>
      <c r="H3711" s="90"/>
      <c r="L3711" s="89"/>
      <c r="M3711" s="90"/>
    </row>
    <row r="3712" spans="7:13" x14ac:dyDescent="0.35">
      <c r="G3712" s="89"/>
      <c r="H3712" s="90"/>
      <c r="L3712" s="89"/>
      <c r="M3712" s="90"/>
    </row>
    <row r="3713" spans="7:13" x14ac:dyDescent="0.35">
      <c r="G3713" s="89"/>
      <c r="H3713" s="90"/>
      <c r="L3713" s="89"/>
      <c r="M3713" s="90"/>
    </row>
    <row r="3714" spans="7:13" x14ac:dyDescent="0.35">
      <c r="G3714" s="89"/>
      <c r="H3714" s="90"/>
      <c r="L3714" s="89"/>
      <c r="M3714" s="90"/>
    </row>
    <row r="3715" spans="7:13" x14ac:dyDescent="0.35">
      <c r="G3715" s="89"/>
      <c r="H3715" s="90"/>
      <c r="L3715" s="89"/>
      <c r="M3715" s="90"/>
    </row>
    <row r="3716" spans="7:13" x14ac:dyDescent="0.35">
      <c r="G3716" s="89"/>
      <c r="H3716" s="90"/>
      <c r="L3716" s="89"/>
      <c r="M3716" s="90"/>
    </row>
    <row r="3717" spans="7:13" x14ac:dyDescent="0.35">
      <c r="G3717" s="89"/>
      <c r="H3717" s="90"/>
      <c r="L3717" s="89"/>
      <c r="M3717" s="90"/>
    </row>
    <row r="3718" spans="7:13" x14ac:dyDescent="0.35">
      <c r="G3718" s="89"/>
      <c r="H3718" s="90"/>
      <c r="L3718" s="89"/>
      <c r="M3718" s="90"/>
    </row>
    <row r="3719" spans="7:13" x14ac:dyDescent="0.35">
      <c r="G3719" s="89"/>
      <c r="H3719" s="90"/>
      <c r="L3719" s="89"/>
      <c r="M3719" s="90"/>
    </row>
    <row r="3720" spans="7:13" x14ac:dyDescent="0.35">
      <c r="G3720" s="89"/>
      <c r="H3720" s="90"/>
      <c r="L3720" s="89"/>
      <c r="M3720" s="90"/>
    </row>
    <row r="3721" spans="7:13" x14ac:dyDescent="0.35">
      <c r="G3721" s="89"/>
      <c r="H3721" s="90"/>
      <c r="L3721" s="89"/>
      <c r="M3721" s="90"/>
    </row>
    <row r="3722" spans="7:13" x14ac:dyDescent="0.35">
      <c r="G3722" s="89"/>
      <c r="H3722" s="90"/>
      <c r="L3722" s="89"/>
      <c r="M3722" s="90"/>
    </row>
    <row r="3723" spans="7:13" x14ac:dyDescent="0.35">
      <c r="G3723" s="89"/>
      <c r="H3723" s="90"/>
      <c r="L3723" s="89"/>
      <c r="M3723" s="90"/>
    </row>
    <row r="3724" spans="7:13" x14ac:dyDescent="0.35">
      <c r="G3724" s="89"/>
      <c r="H3724" s="90"/>
      <c r="L3724" s="89"/>
      <c r="M3724" s="90"/>
    </row>
    <row r="3725" spans="7:13" x14ac:dyDescent="0.35">
      <c r="G3725" s="89"/>
      <c r="H3725" s="90"/>
      <c r="L3725" s="89"/>
      <c r="M3725" s="90"/>
    </row>
    <row r="3726" spans="7:13" x14ac:dyDescent="0.35">
      <c r="G3726" s="89"/>
      <c r="H3726" s="90"/>
      <c r="L3726" s="89"/>
      <c r="M3726" s="90"/>
    </row>
    <row r="3727" spans="7:13" x14ac:dyDescent="0.35">
      <c r="G3727" s="89"/>
      <c r="H3727" s="90"/>
      <c r="L3727" s="89"/>
      <c r="M3727" s="90"/>
    </row>
    <row r="3728" spans="7:13" x14ac:dyDescent="0.35">
      <c r="G3728" s="89"/>
      <c r="H3728" s="90"/>
      <c r="L3728" s="89"/>
      <c r="M3728" s="90"/>
    </row>
    <row r="3729" spans="7:13" x14ac:dyDescent="0.35">
      <c r="G3729" s="89"/>
      <c r="H3729" s="90"/>
      <c r="L3729" s="89"/>
      <c r="M3729" s="90"/>
    </row>
    <row r="3730" spans="7:13" x14ac:dyDescent="0.35">
      <c r="G3730" s="89"/>
      <c r="H3730" s="90"/>
      <c r="L3730" s="89"/>
      <c r="M3730" s="90"/>
    </row>
    <row r="3731" spans="7:13" x14ac:dyDescent="0.35">
      <c r="G3731" s="89"/>
      <c r="H3731" s="90"/>
      <c r="L3731" s="89"/>
      <c r="M3731" s="90"/>
    </row>
    <row r="3732" spans="7:13" x14ac:dyDescent="0.35">
      <c r="G3732" s="89"/>
      <c r="H3732" s="90"/>
      <c r="L3732" s="89"/>
      <c r="M3732" s="90"/>
    </row>
    <row r="3733" spans="7:13" x14ac:dyDescent="0.35">
      <c r="G3733" s="89"/>
      <c r="H3733" s="90"/>
      <c r="L3733" s="89"/>
      <c r="M3733" s="90"/>
    </row>
    <row r="3734" spans="7:13" x14ac:dyDescent="0.35">
      <c r="G3734" s="89"/>
      <c r="H3734" s="90"/>
      <c r="L3734" s="89"/>
      <c r="M3734" s="90"/>
    </row>
    <row r="3735" spans="7:13" x14ac:dyDescent="0.35">
      <c r="G3735" s="89"/>
      <c r="H3735" s="90"/>
      <c r="L3735" s="89"/>
      <c r="M3735" s="90"/>
    </row>
    <row r="3736" spans="7:13" x14ac:dyDescent="0.35">
      <c r="G3736" s="89"/>
      <c r="H3736" s="90"/>
      <c r="L3736" s="89"/>
      <c r="M3736" s="90"/>
    </row>
    <row r="3737" spans="7:13" x14ac:dyDescent="0.35">
      <c r="G3737" s="89"/>
      <c r="H3737" s="90"/>
      <c r="L3737" s="89"/>
      <c r="M3737" s="90"/>
    </row>
    <row r="3738" spans="7:13" x14ac:dyDescent="0.35">
      <c r="G3738" s="89"/>
      <c r="H3738" s="90"/>
      <c r="L3738" s="89"/>
      <c r="M3738" s="90"/>
    </row>
    <row r="3739" spans="7:13" x14ac:dyDescent="0.35">
      <c r="G3739" s="89"/>
      <c r="H3739" s="90"/>
      <c r="L3739" s="89"/>
      <c r="M3739" s="90"/>
    </row>
    <row r="3740" spans="7:13" x14ac:dyDescent="0.35">
      <c r="G3740" s="89"/>
      <c r="H3740" s="90"/>
      <c r="L3740" s="89"/>
      <c r="M3740" s="90"/>
    </row>
    <row r="3741" spans="7:13" x14ac:dyDescent="0.35">
      <c r="G3741" s="89"/>
      <c r="H3741" s="90"/>
      <c r="L3741" s="89"/>
      <c r="M3741" s="90"/>
    </row>
    <row r="3742" spans="7:13" x14ac:dyDescent="0.35">
      <c r="G3742" s="89"/>
      <c r="H3742" s="90"/>
      <c r="L3742" s="89"/>
      <c r="M3742" s="90"/>
    </row>
    <row r="3743" spans="7:13" x14ac:dyDescent="0.35">
      <c r="G3743" s="89"/>
      <c r="H3743" s="90"/>
      <c r="L3743" s="89"/>
      <c r="M3743" s="90"/>
    </row>
    <row r="3744" spans="7:13" x14ac:dyDescent="0.35">
      <c r="G3744" s="89"/>
      <c r="H3744" s="90"/>
      <c r="L3744" s="89"/>
      <c r="M3744" s="90"/>
    </row>
    <row r="3745" spans="7:13" x14ac:dyDescent="0.35">
      <c r="G3745" s="89"/>
      <c r="H3745" s="90"/>
      <c r="L3745" s="89"/>
      <c r="M3745" s="90"/>
    </row>
    <row r="3746" spans="7:13" x14ac:dyDescent="0.35">
      <c r="G3746" s="89"/>
      <c r="H3746" s="90"/>
      <c r="L3746" s="89"/>
      <c r="M3746" s="90"/>
    </row>
    <row r="3747" spans="7:13" x14ac:dyDescent="0.35">
      <c r="G3747" s="89"/>
      <c r="H3747" s="90"/>
      <c r="L3747" s="89"/>
      <c r="M3747" s="90"/>
    </row>
    <row r="3748" spans="7:13" x14ac:dyDescent="0.35">
      <c r="G3748" s="89"/>
      <c r="H3748" s="90"/>
      <c r="L3748" s="89"/>
      <c r="M3748" s="90"/>
    </row>
    <row r="3749" spans="7:13" x14ac:dyDescent="0.35">
      <c r="G3749" s="89"/>
      <c r="H3749" s="90"/>
      <c r="L3749" s="89"/>
      <c r="M3749" s="90"/>
    </row>
    <row r="3750" spans="7:13" x14ac:dyDescent="0.35">
      <c r="G3750" s="89"/>
      <c r="H3750" s="90"/>
      <c r="L3750" s="89"/>
      <c r="M3750" s="90"/>
    </row>
    <row r="3751" spans="7:13" x14ac:dyDescent="0.35">
      <c r="G3751" s="89"/>
      <c r="H3751" s="90"/>
      <c r="L3751" s="89"/>
      <c r="M3751" s="90"/>
    </row>
    <row r="3752" spans="7:13" x14ac:dyDescent="0.35">
      <c r="G3752" s="89"/>
      <c r="H3752" s="90"/>
      <c r="L3752" s="89"/>
      <c r="M3752" s="90"/>
    </row>
    <row r="3753" spans="7:13" x14ac:dyDescent="0.35">
      <c r="G3753" s="89"/>
      <c r="H3753" s="90"/>
      <c r="L3753" s="89"/>
      <c r="M3753" s="90"/>
    </row>
    <row r="3754" spans="7:13" x14ac:dyDescent="0.35">
      <c r="G3754" s="89"/>
      <c r="H3754" s="90"/>
      <c r="L3754" s="89"/>
      <c r="M3754" s="90"/>
    </row>
    <row r="3755" spans="7:13" x14ac:dyDescent="0.35">
      <c r="G3755" s="89"/>
      <c r="H3755" s="90"/>
      <c r="L3755" s="89"/>
      <c r="M3755" s="90"/>
    </row>
    <row r="3756" spans="7:13" x14ac:dyDescent="0.35">
      <c r="G3756" s="89"/>
      <c r="H3756" s="90"/>
      <c r="L3756" s="89"/>
      <c r="M3756" s="90"/>
    </row>
    <row r="3757" spans="7:13" x14ac:dyDescent="0.35">
      <c r="G3757" s="89"/>
      <c r="H3757" s="90"/>
      <c r="L3757" s="89"/>
      <c r="M3757" s="90"/>
    </row>
    <row r="3758" spans="7:13" x14ac:dyDescent="0.35">
      <c r="G3758" s="89"/>
      <c r="H3758" s="90"/>
      <c r="L3758" s="89"/>
      <c r="M3758" s="90"/>
    </row>
    <row r="3759" spans="7:13" x14ac:dyDescent="0.35">
      <c r="G3759" s="89"/>
      <c r="H3759" s="90"/>
      <c r="L3759" s="89"/>
      <c r="M3759" s="90"/>
    </row>
    <row r="3760" spans="7:13" x14ac:dyDescent="0.35">
      <c r="G3760" s="89"/>
      <c r="H3760" s="90"/>
      <c r="L3760" s="89"/>
      <c r="M3760" s="90"/>
    </row>
    <row r="3761" spans="7:13" x14ac:dyDescent="0.35">
      <c r="G3761" s="89"/>
      <c r="H3761" s="90"/>
      <c r="L3761" s="89"/>
      <c r="M3761" s="90"/>
    </row>
    <row r="3762" spans="7:13" x14ac:dyDescent="0.35">
      <c r="G3762" s="89"/>
      <c r="H3762" s="90"/>
      <c r="L3762" s="89"/>
      <c r="M3762" s="90"/>
    </row>
    <row r="3763" spans="7:13" x14ac:dyDescent="0.35">
      <c r="G3763" s="89"/>
      <c r="H3763" s="90"/>
      <c r="L3763" s="89"/>
      <c r="M3763" s="90"/>
    </row>
    <row r="3764" spans="7:13" x14ac:dyDescent="0.35">
      <c r="G3764" s="89"/>
      <c r="H3764" s="90"/>
      <c r="L3764" s="89"/>
      <c r="M3764" s="90"/>
    </row>
    <row r="3765" spans="7:13" x14ac:dyDescent="0.35">
      <c r="G3765" s="89"/>
      <c r="H3765" s="90"/>
      <c r="L3765" s="89"/>
      <c r="M3765" s="90"/>
    </row>
    <row r="3766" spans="7:13" x14ac:dyDescent="0.35">
      <c r="G3766" s="89"/>
      <c r="H3766" s="90"/>
      <c r="L3766" s="89"/>
      <c r="M3766" s="90"/>
    </row>
    <row r="3767" spans="7:13" x14ac:dyDescent="0.35">
      <c r="G3767" s="89"/>
      <c r="H3767" s="90"/>
      <c r="L3767" s="89"/>
      <c r="M3767" s="90"/>
    </row>
    <row r="3768" spans="7:13" x14ac:dyDescent="0.35">
      <c r="G3768" s="89"/>
      <c r="H3768" s="90"/>
      <c r="L3768" s="89"/>
      <c r="M3768" s="90"/>
    </row>
    <row r="3769" spans="7:13" x14ac:dyDescent="0.35">
      <c r="G3769" s="89"/>
      <c r="H3769" s="90"/>
      <c r="L3769" s="89"/>
      <c r="M3769" s="90"/>
    </row>
    <row r="3770" spans="7:13" x14ac:dyDescent="0.35">
      <c r="G3770" s="89"/>
      <c r="H3770" s="90"/>
      <c r="L3770" s="89"/>
      <c r="M3770" s="90"/>
    </row>
    <row r="3771" spans="7:13" x14ac:dyDescent="0.35">
      <c r="G3771" s="89"/>
      <c r="H3771" s="90"/>
      <c r="L3771" s="89"/>
      <c r="M3771" s="90"/>
    </row>
    <row r="3772" spans="7:13" x14ac:dyDescent="0.35">
      <c r="G3772" s="89"/>
      <c r="H3772" s="90"/>
      <c r="L3772" s="89"/>
      <c r="M3772" s="90"/>
    </row>
    <row r="3773" spans="7:13" x14ac:dyDescent="0.35">
      <c r="G3773" s="89"/>
      <c r="H3773" s="90"/>
      <c r="L3773" s="89"/>
      <c r="M3773" s="90"/>
    </row>
    <row r="3774" spans="7:13" x14ac:dyDescent="0.35">
      <c r="G3774" s="89"/>
      <c r="H3774" s="90"/>
      <c r="L3774" s="89"/>
      <c r="M3774" s="90"/>
    </row>
    <row r="3775" spans="7:13" x14ac:dyDescent="0.35">
      <c r="G3775" s="89"/>
      <c r="H3775" s="90"/>
      <c r="L3775" s="89"/>
      <c r="M3775" s="90"/>
    </row>
    <row r="3776" spans="7:13" x14ac:dyDescent="0.35">
      <c r="G3776" s="89"/>
      <c r="H3776" s="90"/>
      <c r="L3776" s="89"/>
      <c r="M3776" s="90"/>
    </row>
    <row r="3777" spans="7:13" x14ac:dyDescent="0.35">
      <c r="G3777" s="89"/>
      <c r="H3777" s="90"/>
      <c r="L3777" s="89"/>
      <c r="M3777" s="90"/>
    </row>
    <row r="3778" spans="7:13" x14ac:dyDescent="0.35">
      <c r="G3778" s="89"/>
      <c r="H3778" s="90"/>
      <c r="L3778" s="89"/>
      <c r="M3778" s="90"/>
    </row>
    <row r="3779" spans="7:13" x14ac:dyDescent="0.35">
      <c r="G3779" s="89"/>
      <c r="H3779" s="90"/>
      <c r="L3779" s="89"/>
      <c r="M3779" s="90"/>
    </row>
    <row r="3780" spans="7:13" x14ac:dyDescent="0.35">
      <c r="G3780" s="89"/>
      <c r="H3780" s="90"/>
      <c r="L3780" s="89"/>
      <c r="M3780" s="90"/>
    </row>
    <row r="3781" spans="7:13" x14ac:dyDescent="0.35">
      <c r="G3781" s="89"/>
      <c r="H3781" s="90"/>
      <c r="L3781" s="89"/>
      <c r="M3781" s="90"/>
    </row>
    <row r="3782" spans="7:13" x14ac:dyDescent="0.35">
      <c r="G3782" s="89"/>
      <c r="H3782" s="90"/>
      <c r="L3782" s="89"/>
      <c r="M3782" s="90"/>
    </row>
    <row r="3783" spans="7:13" x14ac:dyDescent="0.35">
      <c r="G3783" s="89"/>
      <c r="H3783" s="90"/>
      <c r="L3783" s="89"/>
      <c r="M3783" s="90"/>
    </row>
    <row r="3784" spans="7:13" x14ac:dyDescent="0.35">
      <c r="G3784" s="89"/>
      <c r="H3784" s="90"/>
      <c r="L3784" s="89"/>
      <c r="M3784" s="90"/>
    </row>
    <row r="3785" spans="7:13" x14ac:dyDescent="0.35">
      <c r="G3785" s="89"/>
      <c r="H3785" s="90"/>
      <c r="L3785" s="89"/>
      <c r="M3785" s="90"/>
    </row>
    <row r="3786" spans="7:13" x14ac:dyDescent="0.35">
      <c r="G3786" s="89"/>
      <c r="H3786" s="90"/>
      <c r="L3786" s="89"/>
      <c r="M3786" s="90"/>
    </row>
    <row r="3787" spans="7:13" x14ac:dyDescent="0.35">
      <c r="G3787" s="89"/>
      <c r="H3787" s="90"/>
      <c r="L3787" s="89"/>
      <c r="M3787" s="90"/>
    </row>
    <row r="3788" spans="7:13" x14ac:dyDescent="0.35">
      <c r="G3788" s="89"/>
      <c r="H3788" s="90"/>
      <c r="L3788" s="89"/>
      <c r="M3788" s="90"/>
    </row>
    <row r="3789" spans="7:13" x14ac:dyDescent="0.35">
      <c r="G3789" s="89"/>
      <c r="H3789" s="90"/>
      <c r="L3789" s="89"/>
      <c r="M3789" s="90"/>
    </row>
    <row r="3790" spans="7:13" x14ac:dyDescent="0.35">
      <c r="G3790" s="89"/>
      <c r="H3790" s="90"/>
      <c r="L3790" s="89"/>
      <c r="M3790" s="90"/>
    </row>
    <row r="3791" spans="7:13" x14ac:dyDescent="0.35">
      <c r="G3791" s="89"/>
      <c r="H3791" s="90"/>
      <c r="L3791" s="89"/>
      <c r="M3791" s="90"/>
    </row>
    <row r="3792" spans="7:13" x14ac:dyDescent="0.35">
      <c r="G3792" s="89"/>
      <c r="H3792" s="90"/>
      <c r="L3792" s="89"/>
      <c r="M3792" s="90"/>
    </row>
    <row r="3793" spans="7:13" x14ac:dyDescent="0.35">
      <c r="G3793" s="89"/>
      <c r="H3793" s="90"/>
      <c r="L3793" s="89"/>
      <c r="M3793" s="90"/>
    </row>
    <row r="3794" spans="7:13" x14ac:dyDescent="0.35">
      <c r="G3794" s="89"/>
      <c r="H3794" s="90"/>
      <c r="L3794" s="89"/>
      <c r="M3794" s="90"/>
    </row>
    <row r="3795" spans="7:13" x14ac:dyDescent="0.35">
      <c r="G3795" s="89"/>
      <c r="H3795" s="90"/>
      <c r="L3795" s="89"/>
      <c r="M3795" s="90"/>
    </row>
    <row r="3796" spans="7:13" x14ac:dyDescent="0.35">
      <c r="G3796" s="89"/>
      <c r="H3796" s="90"/>
      <c r="L3796" s="89"/>
      <c r="M3796" s="90"/>
    </row>
    <row r="3797" spans="7:13" x14ac:dyDescent="0.35">
      <c r="G3797" s="89"/>
      <c r="H3797" s="90"/>
      <c r="L3797" s="89"/>
      <c r="M3797" s="90"/>
    </row>
    <row r="3798" spans="7:13" x14ac:dyDescent="0.35">
      <c r="G3798" s="89"/>
      <c r="H3798" s="90"/>
      <c r="L3798" s="89"/>
      <c r="M3798" s="90"/>
    </row>
    <row r="3799" spans="7:13" x14ac:dyDescent="0.35">
      <c r="G3799" s="89"/>
      <c r="H3799" s="90"/>
      <c r="L3799" s="89"/>
      <c r="M3799" s="90"/>
    </row>
    <row r="3800" spans="7:13" x14ac:dyDescent="0.35">
      <c r="G3800" s="89"/>
      <c r="H3800" s="90"/>
      <c r="L3800" s="89"/>
      <c r="M3800" s="90"/>
    </row>
    <row r="3801" spans="7:13" x14ac:dyDescent="0.35">
      <c r="G3801" s="89"/>
      <c r="H3801" s="90"/>
      <c r="L3801" s="89"/>
      <c r="M3801" s="90"/>
    </row>
    <row r="3802" spans="7:13" x14ac:dyDescent="0.35">
      <c r="G3802" s="89"/>
      <c r="H3802" s="90"/>
      <c r="L3802" s="89"/>
      <c r="M3802" s="90"/>
    </row>
    <row r="3803" spans="7:13" x14ac:dyDescent="0.35">
      <c r="G3803" s="89"/>
      <c r="H3803" s="90"/>
      <c r="L3803" s="89"/>
      <c r="M3803" s="90"/>
    </row>
    <row r="3804" spans="7:13" x14ac:dyDescent="0.35">
      <c r="G3804" s="89"/>
      <c r="H3804" s="90"/>
      <c r="L3804" s="89"/>
      <c r="M3804" s="90"/>
    </row>
    <row r="3805" spans="7:13" x14ac:dyDescent="0.35">
      <c r="G3805" s="89"/>
      <c r="H3805" s="90"/>
      <c r="L3805" s="89"/>
      <c r="M3805" s="90"/>
    </row>
    <row r="3806" spans="7:13" x14ac:dyDescent="0.35">
      <c r="G3806" s="89"/>
      <c r="H3806" s="90"/>
      <c r="L3806" s="89"/>
      <c r="M3806" s="90"/>
    </row>
    <row r="3807" spans="7:13" x14ac:dyDescent="0.35">
      <c r="G3807" s="89"/>
      <c r="H3807" s="90"/>
      <c r="L3807" s="89"/>
      <c r="M3807" s="90"/>
    </row>
    <row r="3808" spans="7:13" x14ac:dyDescent="0.35">
      <c r="G3808" s="89"/>
      <c r="H3808" s="90"/>
      <c r="L3808" s="89"/>
      <c r="M3808" s="90"/>
    </row>
    <row r="3809" spans="7:13" x14ac:dyDescent="0.35">
      <c r="G3809" s="89"/>
      <c r="H3809" s="90"/>
      <c r="L3809" s="89"/>
      <c r="M3809" s="90"/>
    </row>
    <row r="3810" spans="7:13" x14ac:dyDescent="0.35">
      <c r="G3810" s="89"/>
      <c r="H3810" s="90"/>
      <c r="L3810" s="89"/>
      <c r="M3810" s="90"/>
    </row>
    <row r="3811" spans="7:13" x14ac:dyDescent="0.35">
      <c r="G3811" s="89"/>
      <c r="H3811" s="90"/>
      <c r="L3811" s="89"/>
      <c r="M3811" s="90"/>
    </row>
    <row r="3812" spans="7:13" x14ac:dyDescent="0.35">
      <c r="G3812" s="89"/>
      <c r="H3812" s="90"/>
      <c r="L3812" s="89"/>
      <c r="M3812" s="90"/>
    </row>
    <row r="3813" spans="7:13" x14ac:dyDescent="0.35">
      <c r="G3813" s="89"/>
      <c r="H3813" s="90"/>
      <c r="L3813" s="89"/>
      <c r="M3813" s="90"/>
    </row>
    <row r="3814" spans="7:13" x14ac:dyDescent="0.35">
      <c r="G3814" s="89"/>
      <c r="H3814" s="90"/>
      <c r="L3814" s="89"/>
      <c r="M3814" s="90"/>
    </row>
    <row r="3815" spans="7:13" x14ac:dyDescent="0.35">
      <c r="G3815" s="89"/>
      <c r="H3815" s="90"/>
      <c r="L3815" s="89"/>
      <c r="M3815" s="90"/>
    </row>
    <row r="3816" spans="7:13" x14ac:dyDescent="0.35">
      <c r="G3816" s="89"/>
      <c r="H3816" s="90"/>
      <c r="L3816" s="89"/>
      <c r="M3816" s="90"/>
    </row>
    <row r="3817" spans="7:13" x14ac:dyDescent="0.35">
      <c r="G3817" s="89"/>
      <c r="H3817" s="90"/>
      <c r="L3817" s="89"/>
      <c r="M3817" s="90"/>
    </row>
    <row r="3818" spans="7:13" x14ac:dyDescent="0.35">
      <c r="G3818" s="89"/>
      <c r="H3818" s="90"/>
      <c r="L3818" s="89"/>
      <c r="M3818" s="90"/>
    </row>
    <row r="3819" spans="7:13" x14ac:dyDescent="0.35">
      <c r="G3819" s="89"/>
      <c r="H3819" s="90"/>
      <c r="L3819" s="89"/>
      <c r="M3819" s="90"/>
    </row>
    <row r="3820" spans="7:13" x14ac:dyDescent="0.35">
      <c r="G3820" s="89"/>
      <c r="H3820" s="90"/>
      <c r="L3820" s="89"/>
      <c r="M3820" s="90"/>
    </row>
    <row r="3821" spans="7:13" x14ac:dyDescent="0.35">
      <c r="G3821" s="89"/>
      <c r="H3821" s="90"/>
      <c r="L3821" s="89"/>
      <c r="M3821" s="90"/>
    </row>
    <row r="3822" spans="7:13" x14ac:dyDescent="0.35">
      <c r="G3822" s="89"/>
      <c r="H3822" s="90"/>
      <c r="L3822" s="89"/>
      <c r="M3822" s="90"/>
    </row>
    <row r="3823" spans="7:13" x14ac:dyDescent="0.35">
      <c r="G3823" s="89"/>
      <c r="H3823" s="90"/>
      <c r="L3823" s="89"/>
      <c r="M3823" s="90"/>
    </row>
    <row r="3824" spans="7:13" x14ac:dyDescent="0.35">
      <c r="G3824" s="89"/>
      <c r="H3824" s="90"/>
      <c r="L3824" s="89"/>
      <c r="M3824" s="90"/>
    </row>
    <row r="3825" spans="7:13" x14ac:dyDescent="0.35">
      <c r="G3825" s="89"/>
      <c r="H3825" s="90"/>
      <c r="L3825" s="89"/>
      <c r="M3825" s="90"/>
    </row>
    <row r="3826" spans="7:13" x14ac:dyDescent="0.35">
      <c r="G3826" s="89"/>
      <c r="H3826" s="90"/>
      <c r="L3826" s="89"/>
      <c r="M3826" s="90"/>
    </row>
    <row r="3827" spans="7:13" x14ac:dyDescent="0.35">
      <c r="G3827" s="89"/>
      <c r="H3827" s="90"/>
      <c r="L3827" s="89"/>
      <c r="M3827" s="90"/>
    </row>
    <row r="3828" spans="7:13" x14ac:dyDescent="0.35">
      <c r="G3828" s="89"/>
      <c r="H3828" s="90"/>
      <c r="L3828" s="89"/>
      <c r="M3828" s="90"/>
    </row>
    <row r="3829" spans="7:13" x14ac:dyDescent="0.35">
      <c r="G3829" s="89"/>
      <c r="H3829" s="90"/>
      <c r="L3829" s="89"/>
      <c r="M3829" s="90"/>
    </row>
    <row r="3830" spans="7:13" x14ac:dyDescent="0.35">
      <c r="G3830" s="89"/>
      <c r="H3830" s="90"/>
      <c r="L3830" s="89"/>
      <c r="M3830" s="90"/>
    </row>
    <row r="3831" spans="7:13" x14ac:dyDescent="0.35">
      <c r="G3831" s="89"/>
      <c r="H3831" s="90"/>
      <c r="L3831" s="89"/>
      <c r="M3831" s="90"/>
    </row>
    <row r="3832" spans="7:13" x14ac:dyDescent="0.35">
      <c r="G3832" s="89"/>
      <c r="H3832" s="90"/>
      <c r="L3832" s="89"/>
      <c r="M3832" s="90"/>
    </row>
    <row r="3833" spans="7:13" x14ac:dyDescent="0.35">
      <c r="G3833" s="89"/>
      <c r="H3833" s="90"/>
      <c r="L3833" s="89"/>
      <c r="M3833" s="90"/>
    </row>
    <row r="3834" spans="7:13" x14ac:dyDescent="0.35">
      <c r="G3834" s="89"/>
      <c r="H3834" s="90"/>
      <c r="L3834" s="89"/>
      <c r="M3834" s="90"/>
    </row>
    <row r="3835" spans="7:13" x14ac:dyDescent="0.35">
      <c r="G3835" s="89"/>
      <c r="H3835" s="90"/>
      <c r="L3835" s="89"/>
      <c r="M3835" s="90"/>
    </row>
    <row r="3836" spans="7:13" x14ac:dyDescent="0.35">
      <c r="G3836" s="89"/>
      <c r="H3836" s="90"/>
      <c r="L3836" s="89"/>
      <c r="M3836" s="90"/>
    </row>
    <row r="3837" spans="7:13" x14ac:dyDescent="0.35">
      <c r="G3837" s="89"/>
      <c r="H3837" s="90"/>
      <c r="L3837" s="89"/>
      <c r="M3837" s="90"/>
    </row>
    <row r="3838" spans="7:13" x14ac:dyDescent="0.35">
      <c r="G3838" s="89"/>
      <c r="H3838" s="90"/>
      <c r="L3838" s="89"/>
      <c r="M3838" s="90"/>
    </row>
    <row r="3839" spans="7:13" x14ac:dyDescent="0.35">
      <c r="G3839" s="89"/>
      <c r="H3839" s="90"/>
      <c r="L3839" s="89"/>
      <c r="M3839" s="90"/>
    </row>
    <row r="3840" spans="7:13" x14ac:dyDescent="0.35">
      <c r="G3840" s="89"/>
      <c r="H3840" s="90"/>
      <c r="L3840" s="89"/>
      <c r="M3840" s="90"/>
    </row>
    <row r="3841" spans="7:13" x14ac:dyDescent="0.35">
      <c r="G3841" s="89"/>
      <c r="H3841" s="90"/>
      <c r="L3841" s="89"/>
      <c r="M3841" s="90"/>
    </row>
    <row r="3842" spans="7:13" x14ac:dyDescent="0.35">
      <c r="G3842" s="89"/>
      <c r="H3842" s="90"/>
      <c r="L3842" s="89"/>
      <c r="M3842" s="90"/>
    </row>
    <row r="3843" spans="7:13" x14ac:dyDescent="0.35">
      <c r="G3843" s="89"/>
      <c r="H3843" s="90"/>
      <c r="L3843" s="89"/>
      <c r="M3843" s="90"/>
    </row>
    <row r="3844" spans="7:13" x14ac:dyDescent="0.35">
      <c r="G3844" s="89"/>
      <c r="H3844" s="90"/>
      <c r="L3844" s="89"/>
      <c r="M3844" s="90"/>
    </row>
    <row r="3845" spans="7:13" x14ac:dyDescent="0.35">
      <c r="G3845" s="89"/>
      <c r="H3845" s="90"/>
      <c r="L3845" s="89"/>
      <c r="M3845" s="90"/>
    </row>
    <row r="3846" spans="7:13" x14ac:dyDescent="0.35">
      <c r="G3846" s="89"/>
      <c r="H3846" s="90"/>
      <c r="L3846" s="89"/>
      <c r="M3846" s="90"/>
    </row>
    <row r="3847" spans="7:13" x14ac:dyDescent="0.35">
      <c r="G3847" s="89"/>
      <c r="H3847" s="90"/>
      <c r="L3847" s="89"/>
      <c r="M3847" s="90"/>
    </row>
    <row r="3848" spans="7:13" x14ac:dyDescent="0.35">
      <c r="G3848" s="89"/>
      <c r="H3848" s="90"/>
      <c r="L3848" s="89"/>
      <c r="M3848" s="90"/>
    </row>
    <row r="3849" spans="7:13" x14ac:dyDescent="0.35">
      <c r="G3849" s="89"/>
      <c r="H3849" s="90"/>
      <c r="L3849" s="89"/>
      <c r="M3849" s="90"/>
    </row>
    <row r="3850" spans="7:13" x14ac:dyDescent="0.35">
      <c r="G3850" s="89"/>
      <c r="H3850" s="90"/>
      <c r="L3850" s="89"/>
      <c r="M3850" s="90"/>
    </row>
    <row r="3851" spans="7:13" x14ac:dyDescent="0.35">
      <c r="G3851" s="89"/>
      <c r="H3851" s="90"/>
      <c r="L3851" s="89"/>
      <c r="M3851" s="90"/>
    </row>
    <row r="3852" spans="7:13" x14ac:dyDescent="0.35">
      <c r="G3852" s="89"/>
      <c r="H3852" s="90"/>
      <c r="L3852" s="89"/>
      <c r="M3852" s="90"/>
    </row>
    <row r="3853" spans="7:13" x14ac:dyDescent="0.35">
      <c r="G3853" s="89"/>
      <c r="H3853" s="90"/>
      <c r="L3853" s="89"/>
      <c r="M3853" s="90"/>
    </row>
    <row r="3854" spans="7:13" x14ac:dyDescent="0.35">
      <c r="G3854" s="89"/>
      <c r="H3854" s="90"/>
      <c r="L3854" s="89"/>
      <c r="M3854" s="90"/>
    </row>
    <row r="3855" spans="7:13" x14ac:dyDescent="0.35">
      <c r="G3855" s="89"/>
      <c r="H3855" s="90"/>
      <c r="L3855" s="89"/>
      <c r="M3855" s="90"/>
    </row>
    <row r="3856" spans="7:13" x14ac:dyDescent="0.35">
      <c r="G3856" s="89"/>
      <c r="H3856" s="90"/>
      <c r="L3856" s="89"/>
      <c r="M3856" s="90"/>
    </row>
    <row r="3857" spans="7:13" x14ac:dyDescent="0.35">
      <c r="G3857" s="89"/>
      <c r="H3857" s="90"/>
      <c r="L3857" s="89"/>
      <c r="M3857" s="90"/>
    </row>
    <row r="3858" spans="7:13" x14ac:dyDescent="0.35">
      <c r="G3858" s="89"/>
      <c r="H3858" s="90"/>
      <c r="L3858" s="89"/>
      <c r="M3858" s="90"/>
    </row>
    <row r="3859" spans="7:13" x14ac:dyDescent="0.35">
      <c r="G3859" s="89"/>
      <c r="H3859" s="90"/>
      <c r="L3859" s="89"/>
      <c r="M3859" s="90"/>
    </row>
    <row r="3860" spans="7:13" x14ac:dyDescent="0.35">
      <c r="G3860" s="89"/>
      <c r="H3860" s="90"/>
      <c r="L3860" s="89"/>
      <c r="M3860" s="90"/>
    </row>
    <row r="3861" spans="7:13" x14ac:dyDescent="0.35">
      <c r="G3861" s="89"/>
      <c r="H3861" s="90"/>
      <c r="L3861" s="89"/>
      <c r="M3861" s="90"/>
    </row>
    <row r="3862" spans="7:13" x14ac:dyDescent="0.35">
      <c r="G3862" s="89"/>
      <c r="H3862" s="90"/>
      <c r="L3862" s="89"/>
      <c r="M3862" s="90"/>
    </row>
    <row r="3863" spans="7:13" x14ac:dyDescent="0.35">
      <c r="G3863" s="89"/>
      <c r="H3863" s="90"/>
      <c r="L3863" s="89"/>
      <c r="M3863" s="90"/>
    </row>
    <row r="3864" spans="7:13" x14ac:dyDescent="0.35">
      <c r="G3864" s="89"/>
      <c r="H3864" s="90"/>
      <c r="L3864" s="89"/>
      <c r="M3864" s="90"/>
    </row>
    <row r="3865" spans="7:13" x14ac:dyDescent="0.35">
      <c r="G3865" s="89"/>
      <c r="H3865" s="90"/>
      <c r="L3865" s="89"/>
      <c r="M3865" s="90"/>
    </row>
    <row r="3866" spans="7:13" x14ac:dyDescent="0.35">
      <c r="G3866" s="89"/>
      <c r="H3866" s="90"/>
      <c r="L3866" s="89"/>
      <c r="M3866" s="90"/>
    </row>
    <row r="3867" spans="7:13" x14ac:dyDescent="0.35">
      <c r="G3867" s="89"/>
      <c r="H3867" s="90"/>
      <c r="L3867" s="89"/>
      <c r="M3867" s="90"/>
    </row>
    <row r="3868" spans="7:13" x14ac:dyDescent="0.35">
      <c r="G3868" s="89"/>
      <c r="H3868" s="90"/>
      <c r="L3868" s="89"/>
      <c r="M3868" s="90"/>
    </row>
    <row r="3869" spans="7:13" x14ac:dyDescent="0.35">
      <c r="G3869" s="89"/>
      <c r="H3869" s="90"/>
      <c r="L3869" s="89"/>
      <c r="M3869" s="90"/>
    </row>
    <row r="3870" spans="7:13" x14ac:dyDescent="0.35">
      <c r="G3870" s="89"/>
      <c r="H3870" s="90"/>
      <c r="L3870" s="89"/>
      <c r="M3870" s="90"/>
    </row>
    <row r="3871" spans="7:13" x14ac:dyDescent="0.35">
      <c r="G3871" s="89"/>
      <c r="H3871" s="90"/>
      <c r="L3871" s="89"/>
      <c r="M3871" s="90"/>
    </row>
    <row r="3872" spans="7:13" x14ac:dyDescent="0.35">
      <c r="G3872" s="89"/>
      <c r="H3872" s="90"/>
      <c r="L3872" s="89"/>
      <c r="M3872" s="90"/>
    </row>
    <row r="3873" spans="7:13" x14ac:dyDescent="0.35">
      <c r="G3873" s="89"/>
      <c r="H3873" s="90"/>
      <c r="L3873" s="89"/>
      <c r="M3873" s="90"/>
    </row>
    <row r="3874" spans="7:13" x14ac:dyDescent="0.35">
      <c r="G3874" s="89"/>
      <c r="H3874" s="90"/>
      <c r="L3874" s="89"/>
      <c r="M3874" s="90"/>
    </row>
    <row r="3875" spans="7:13" x14ac:dyDescent="0.35">
      <c r="G3875" s="89"/>
      <c r="H3875" s="90"/>
      <c r="L3875" s="89"/>
      <c r="M3875" s="90"/>
    </row>
    <row r="3876" spans="7:13" x14ac:dyDescent="0.35">
      <c r="G3876" s="89"/>
      <c r="H3876" s="90"/>
      <c r="L3876" s="89"/>
      <c r="M3876" s="90"/>
    </row>
    <row r="3877" spans="7:13" x14ac:dyDescent="0.35">
      <c r="G3877" s="89"/>
      <c r="H3877" s="90"/>
      <c r="L3877" s="89"/>
      <c r="M3877" s="90"/>
    </row>
    <row r="3878" spans="7:13" x14ac:dyDescent="0.35">
      <c r="G3878" s="89"/>
      <c r="H3878" s="90"/>
      <c r="L3878" s="89"/>
      <c r="M3878" s="90"/>
    </row>
    <row r="3879" spans="7:13" x14ac:dyDescent="0.35">
      <c r="G3879" s="89"/>
      <c r="H3879" s="90"/>
      <c r="L3879" s="89"/>
      <c r="M3879" s="90"/>
    </row>
    <row r="3880" spans="7:13" x14ac:dyDescent="0.35">
      <c r="G3880" s="89"/>
      <c r="H3880" s="90"/>
      <c r="L3880" s="89"/>
      <c r="M3880" s="90"/>
    </row>
    <row r="3881" spans="7:13" x14ac:dyDescent="0.35">
      <c r="G3881" s="89"/>
      <c r="H3881" s="90"/>
      <c r="L3881" s="89"/>
      <c r="M3881" s="90"/>
    </row>
    <row r="3882" spans="7:13" x14ac:dyDescent="0.35">
      <c r="G3882" s="89"/>
      <c r="H3882" s="90"/>
      <c r="L3882" s="89"/>
      <c r="M3882" s="90"/>
    </row>
    <row r="3883" spans="7:13" x14ac:dyDescent="0.35">
      <c r="G3883" s="89"/>
      <c r="H3883" s="90"/>
      <c r="L3883" s="89"/>
      <c r="M3883" s="90"/>
    </row>
    <row r="3884" spans="7:13" x14ac:dyDescent="0.35">
      <c r="G3884" s="89"/>
      <c r="H3884" s="90"/>
      <c r="L3884" s="89"/>
      <c r="M3884" s="90"/>
    </row>
    <row r="3885" spans="7:13" x14ac:dyDescent="0.35">
      <c r="G3885" s="89"/>
      <c r="H3885" s="90"/>
      <c r="L3885" s="89"/>
      <c r="M3885" s="90"/>
    </row>
    <row r="3886" spans="7:13" x14ac:dyDescent="0.35">
      <c r="G3886" s="89"/>
      <c r="H3886" s="90"/>
      <c r="L3886" s="89"/>
      <c r="M3886" s="90"/>
    </row>
    <row r="3887" spans="7:13" x14ac:dyDescent="0.35">
      <c r="G3887" s="89"/>
      <c r="H3887" s="90"/>
      <c r="L3887" s="89"/>
      <c r="M3887" s="90"/>
    </row>
    <row r="3888" spans="7:13" x14ac:dyDescent="0.35">
      <c r="G3888" s="89"/>
      <c r="H3888" s="90"/>
      <c r="L3888" s="89"/>
      <c r="M3888" s="90"/>
    </row>
    <row r="3889" spans="7:13" x14ac:dyDescent="0.35">
      <c r="G3889" s="89"/>
      <c r="H3889" s="90"/>
      <c r="L3889" s="89"/>
      <c r="M3889" s="90"/>
    </row>
    <row r="3890" spans="7:13" x14ac:dyDescent="0.35">
      <c r="G3890" s="89"/>
      <c r="H3890" s="90"/>
      <c r="L3890" s="89"/>
      <c r="M3890" s="90"/>
    </row>
    <row r="3891" spans="7:13" x14ac:dyDescent="0.35">
      <c r="G3891" s="89"/>
      <c r="H3891" s="90"/>
      <c r="L3891" s="89"/>
      <c r="M3891" s="90"/>
    </row>
    <row r="3892" spans="7:13" x14ac:dyDescent="0.35">
      <c r="G3892" s="89"/>
      <c r="H3892" s="90"/>
      <c r="L3892" s="89"/>
      <c r="M3892" s="90"/>
    </row>
    <row r="3893" spans="7:13" x14ac:dyDescent="0.35">
      <c r="G3893" s="89"/>
      <c r="H3893" s="90"/>
      <c r="L3893" s="89"/>
      <c r="M3893" s="90"/>
    </row>
    <row r="3894" spans="7:13" x14ac:dyDescent="0.35">
      <c r="G3894" s="89"/>
      <c r="H3894" s="90"/>
      <c r="L3894" s="89"/>
      <c r="M3894" s="90"/>
    </row>
    <row r="3895" spans="7:13" x14ac:dyDescent="0.35">
      <c r="G3895" s="89"/>
      <c r="H3895" s="90"/>
      <c r="L3895" s="89"/>
      <c r="M3895" s="90"/>
    </row>
    <row r="3896" spans="7:13" x14ac:dyDescent="0.35">
      <c r="G3896" s="89"/>
      <c r="H3896" s="90"/>
      <c r="L3896" s="89"/>
      <c r="M3896" s="90"/>
    </row>
    <row r="3897" spans="7:13" x14ac:dyDescent="0.35">
      <c r="G3897" s="89"/>
      <c r="H3897" s="90"/>
      <c r="L3897" s="89"/>
      <c r="M3897" s="90"/>
    </row>
    <row r="3898" spans="7:13" x14ac:dyDescent="0.35">
      <c r="G3898" s="89"/>
      <c r="H3898" s="90"/>
      <c r="L3898" s="89"/>
      <c r="M3898" s="90"/>
    </row>
    <row r="3899" spans="7:13" x14ac:dyDescent="0.35">
      <c r="G3899" s="89"/>
      <c r="H3899" s="90"/>
      <c r="L3899" s="89"/>
      <c r="M3899" s="90"/>
    </row>
    <row r="3900" spans="7:13" x14ac:dyDescent="0.35">
      <c r="G3900" s="89"/>
      <c r="H3900" s="90"/>
      <c r="L3900" s="89"/>
      <c r="M3900" s="90"/>
    </row>
    <row r="3901" spans="7:13" x14ac:dyDescent="0.35">
      <c r="G3901" s="89"/>
      <c r="H3901" s="90"/>
      <c r="L3901" s="89"/>
      <c r="M3901" s="90"/>
    </row>
    <row r="3902" spans="7:13" x14ac:dyDescent="0.35">
      <c r="G3902" s="89"/>
      <c r="H3902" s="90"/>
      <c r="L3902" s="89"/>
      <c r="M3902" s="90"/>
    </row>
    <row r="3903" spans="7:13" x14ac:dyDescent="0.35">
      <c r="G3903" s="89"/>
      <c r="H3903" s="90"/>
      <c r="L3903" s="89"/>
      <c r="M3903" s="90"/>
    </row>
    <row r="3904" spans="7:13" x14ac:dyDescent="0.35">
      <c r="G3904" s="89"/>
      <c r="H3904" s="90"/>
      <c r="L3904" s="89"/>
      <c r="M3904" s="90"/>
    </row>
    <row r="3905" spans="7:13" x14ac:dyDescent="0.35">
      <c r="G3905" s="89"/>
      <c r="H3905" s="90"/>
      <c r="L3905" s="89"/>
      <c r="M3905" s="90"/>
    </row>
    <row r="3906" spans="7:13" x14ac:dyDescent="0.35">
      <c r="G3906" s="89"/>
      <c r="H3906" s="90"/>
      <c r="L3906" s="89"/>
      <c r="M3906" s="90"/>
    </row>
    <row r="3907" spans="7:13" x14ac:dyDescent="0.35">
      <c r="G3907" s="89"/>
      <c r="H3907" s="90"/>
      <c r="L3907" s="89"/>
      <c r="M3907" s="90"/>
    </row>
    <row r="3908" spans="7:13" x14ac:dyDescent="0.35">
      <c r="G3908" s="89"/>
      <c r="H3908" s="90"/>
      <c r="L3908" s="89"/>
      <c r="M3908" s="90"/>
    </row>
    <row r="3909" spans="7:13" x14ac:dyDescent="0.35">
      <c r="G3909" s="89"/>
      <c r="H3909" s="90"/>
      <c r="L3909" s="89"/>
      <c r="M3909" s="90"/>
    </row>
    <row r="3910" spans="7:13" x14ac:dyDescent="0.35">
      <c r="G3910" s="89"/>
      <c r="H3910" s="90"/>
      <c r="L3910" s="89"/>
      <c r="M3910" s="90"/>
    </row>
    <row r="3911" spans="7:13" x14ac:dyDescent="0.35">
      <c r="G3911" s="89"/>
      <c r="H3911" s="90"/>
      <c r="L3911" s="89"/>
      <c r="M3911" s="90"/>
    </row>
    <row r="3912" spans="7:13" x14ac:dyDescent="0.35">
      <c r="G3912" s="89"/>
      <c r="H3912" s="90"/>
      <c r="L3912" s="89"/>
      <c r="M3912" s="90"/>
    </row>
    <row r="3913" spans="7:13" x14ac:dyDescent="0.35">
      <c r="G3913" s="89"/>
      <c r="H3913" s="90"/>
      <c r="L3913" s="89"/>
      <c r="M3913" s="90"/>
    </row>
    <row r="3914" spans="7:13" x14ac:dyDescent="0.35">
      <c r="G3914" s="89"/>
      <c r="H3914" s="90"/>
      <c r="L3914" s="89"/>
      <c r="M3914" s="90"/>
    </row>
    <row r="3915" spans="7:13" x14ac:dyDescent="0.35">
      <c r="G3915" s="89"/>
      <c r="H3915" s="90"/>
      <c r="L3915" s="89"/>
      <c r="M3915" s="90"/>
    </row>
    <row r="3916" spans="7:13" x14ac:dyDescent="0.35">
      <c r="G3916" s="89"/>
      <c r="H3916" s="90"/>
      <c r="L3916" s="89"/>
      <c r="M3916" s="90"/>
    </row>
    <row r="3917" spans="7:13" x14ac:dyDescent="0.35">
      <c r="G3917" s="89"/>
      <c r="H3917" s="90"/>
      <c r="L3917" s="89"/>
      <c r="M3917" s="90"/>
    </row>
    <row r="3918" spans="7:13" x14ac:dyDescent="0.35">
      <c r="G3918" s="89"/>
      <c r="H3918" s="90"/>
      <c r="L3918" s="89"/>
      <c r="M3918" s="90"/>
    </row>
    <row r="3919" spans="7:13" x14ac:dyDescent="0.35">
      <c r="G3919" s="89"/>
      <c r="H3919" s="90"/>
      <c r="L3919" s="89"/>
      <c r="M3919" s="90"/>
    </row>
    <row r="3920" spans="7:13" x14ac:dyDescent="0.35">
      <c r="G3920" s="89"/>
      <c r="H3920" s="90"/>
      <c r="L3920" s="89"/>
      <c r="M3920" s="90"/>
    </row>
    <row r="3921" spans="7:13" x14ac:dyDescent="0.35">
      <c r="G3921" s="89"/>
      <c r="H3921" s="90"/>
      <c r="L3921" s="89"/>
      <c r="M3921" s="90"/>
    </row>
    <row r="3922" spans="7:13" x14ac:dyDescent="0.35">
      <c r="G3922" s="89"/>
      <c r="H3922" s="90"/>
      <c r="L3922" s="89"/>
      <c r="M3922" s="90"/>
    </row>
    <row r="3923" spans="7:13" x14ac:dyDescent="0.35">
      <c r="G3923" s="89"/>
      <c r="H3923" s="90"/>
      <c r="L3923" s="89"/>
      <c r="M3923" s="90"/>
    </row>
    <row r="3924" spans="7:13" x14ac:dyDescent="0.35">
      <c r="G3924" s="89"/>
      <c r="H3924" s="90"/>
      <c r="L3924" s="89"/>
      <c r="M3924" s="90"/>
    </row>
    <row r="3925" spans="7:13" x14ac:dyDescent="0.35">
      <c r="G3925" s="89"/>
      <c r="H3925" s="90"/>
      <c r="L3925" s="89"/>
      <c r="M3925" s="90"/>
    </row>
    <row r="3926" spans="7:13" x14ac:dyDescent="0.35">
      <c r="G3926" s="89"/>
      <c r="H3926" s="90"/>
      <c r="L3926" s="89"/>
      <c r="M3926" s="90"/>
    </row>
    <row r="3927" spans="7:13" x14ac:dyDescent="0.35">
      <c r="G3927" s="89"/>
      <c r="H3927" s="90"/>
      <c r="L3927" s="89"/>
      <c r="M3927" s="90"/>
    </row>
    <row r="3928" spans="7:13" x14ac:dyDescent="0.35">
      <c r="G3928" s="89"/>
      <c r="H3928" s="90"/>
      <c r="L3928" s="89"/>
      <c r="M3928" s="90"/>
    </row>
    <row r="3929" spans="7:13" x14ac:dyDescent="0.35">
      <c r="G3929" s="89"/>
      <c r="H3929" s="90"/>
      <c r="L3929" s="89"/>
      <c r="M3929" s="90"/>
    </row>
    <row r="3930" spans="7:13" x14ac:dyDescent="0.35">
      <c r="G3930" s="89"/>
      <c r="H3930" s="90"/>
      <c r="L3930" s="89"/>
      <c r="M3930" s="90"/>
    </row>
    <row r="3931" spans="7:13" x14ac:dyDescent="0.35">
      <c r="G3931" s="89"/>
      <c r="H3931" s="90"/>
      <c r="L3931" s="89"/>
      <c r="M3931" s="90"/>
    </row>
    <row r="3932" spans="7:13" x14ac:dyDescent="0.35">
      <c r="G3932" s="89"/>
      <c r="H3932" s="90"/>
      <c r="L3932" s="89"/>
      <c r="M3932" s="90"/>
    </row>
    <row r="3933" spans="7:13" x14ac:dyDescent="0.35">
      <c r="G3933" s="89"/>
      <c r="H3933" s="90"/>
      <c r="L3933" s="89"/>
      <c r="M3933" s="90"/>
    </row>
    <row r="3934" spans="7:13" x14ac:dyDescent="0.35">
      <c r="G3934" s="89"/>
      <c r="H3934" s="90"/>
      <c r="L3934" s="89"/>
      <c r="M3934" s="90"/>
    </row>
    <row r="3935" spans="7:13" x14ac:dyDescent="0.35">
      <c r="G3935" s="89"/>
      <c r="H3935" s="90"/>
      <c r="L3935" s="89"/>
      <c r="M3935" s="90"/>
    </row>
    <row r="3936" spans="7:13" x14ac:dyDescent="0.35">
      <c r="G3936" s="89"/>
      <c r="H3936" s="90"/>
      <c r="L3936" s="89"/>
      <c r="M3936" s="90"/>
    </row>
    <row r="3937" spans="7:13" x14ac:dyDescent="0.35">
      <c r="G3937" s="89"/>
      <c r="H3937" s="90"/>
      <c r="L3937" s="89"/>
      <c r="M3937" s="90"/>
    </row>
    <row r="3938" spans="7:13" x14ac:dyDescent="0.35">
      <c r="G3938" s="89"/>
      <c r="H3938" s="90"/>
      <c r="L3938" s="89"/>
      <c r="M3938" s="90"/>
    </row>
    <row r="3939" spans="7:13" x14ac:dyDescent="0.35">
      <c r="G3939" s="89"/>
      <c r="H3939" s="90"/>
      <c r="L3939" s="89"/>
      <c r="M3939" s="90"/>
    </row>
    <row r="3940" spans="7:13" x14ac:dyDescent="0.35">
      <c r="G3940" s="89"/>
      <c r="H3940" s="90"/>
      <c r="L3940" s="89"/>
      <c r="M3940" s="90"/>
    </row>
    <row r="3941" spans="7:13" x14ac:dyDescent="0.35">
      <c r="G3941" s="89"/>
      <c r="H3941" s="90"/>
      <c r="L3941" s="89"/>
      <c r="M3941" s="90"/>
    </row>
    <row r="3942" spans="7:13" x14ac:dyDescent="0.35">
      <c r="G3942" s="89"/>
      <c r="H3942" s="90"/>
      <c r="L3942" s="89"/>
      <c r="M3942" s="90"/>
    </row>
    <row r="3943" spans="7:13" x14ac:dyDescent="0.35">
      <c r="G3943" s="89"/>
      <c r="H3943" s="90"/>
      <c r="L3943" s="89"/>
      <c r="M3943" s="90"/>
    </row>
    <row r="3944" spans="7:13" x14ac:dyDescent="0.35">
      <c r="G3944" s="89"/>
      <c r="H3944" s="90"/>
      <c r="L3944" s="89"/>
      <c r="M3944" s="90"/>
    </row>
    <row r="3945" spans="7:13" x14ac:dyDescent="0.35">
      <c r="G3945" s="89"/>
      <c r="H3945" s="90"/>
      <c r="L3945" s="89"/>
      <c r="M3945" s="90"/>
    </row>
    <row r="3946" spans="7:13" x14ac:dyDescent="0.35">
      <c r="G3946" s="89"/>
      <c r="H3946" s="90"/>
      <c r="L3946" s="89"/>
      <c r="M3946" s="90"/>
    </row>
    <row r="3947" spans="7:13" x14ac:dyDescent="0.35">
      <c r="G3947" s="89"/>
      <c r="H3947" s="90"/>
      <c r="L3947" s="89"/>
      <c r="M3947" s="90"/>
    </row>
    <row r="3948" spans="7:13" x14ac:dyDescent="0.35">
      <c r="G3948" s="89"/>
      <c r="H3948" s="90"/>
      <c r="L3948" s="89"/>
      <c r="M3948" s="90"/>
    </row>
    <row r="3949" spans="7:13" x14ac:dyDescent="0.35">
      <c r="G3949" s="89"/>
      <c r="H3949" s="90"/>
      <c r="L3949" s="89"/>
      <c r="M3949" s="90"/>
    </row>
    <row r="3950" spans="7:13" x14ac:dyDescent="0.35">
      <c r="G3950" s="89"/>
      <c r="H3950" s="90"/>
      <c r="L3950" s="89"/>
      <c r="M3950" s="90"/>
    </row>
    <row r="3951" spans="7:13" x14ac:dyDescent="0.35">
      <c r="G3951" s="89"/>
      <c r="H3951" s="90"/>
      <c r="L3951" s="89"/>
      <c r="M3951" s="90"/>
    </row>
    <row r="3952" spans="7:13" x14ac:dyDescent="0.35">
      <c r="G3952" s="89"/>
      <c r="H3952" s="90"/>
      <c r="L3952" s="89"/>
      <c r="M3952" s="90"/>
    </row>
    <row r="3953" spans="7:13" x14ac:dyDescent="0.35">
      <c r="G3953" s="89"/>
      <c r="H3953" s="90"/>
      <c r="L3953" s="89"/>
      <c r="M3953" s="90"/>
    </row>
    <row r="3954" spans="7:13" x14ac:dyDescent="0.35">
      <c r="G3954" s="89"/>
      <c r="H3954" s="90"/>
      <c r="L3954" s="89"/>
      <c r="M3954" s="90"/>
    </row>
    <row r="3955" spans="7:13" x14ac:dyDescent="0.35">
      <c r="G3955" s="89"/>
      <c r="H3955" s="90"/>
      <c r="L3955" s="89"/>
      <c r="M3955" s="90"/>
    </row>
    <row r="3956" spans="7:13" x14ac:dyDescent="0.35">
      <c r="G3956" s="89"/>
      <c r="H3956" s="90"/>
      <c r="L3956" s="89"/>
      <c r="M3956" s="90"/>
    </row>
    <row r="3957" spans="7:13" x14ac:dyDescent="0.35">
      <c r="G3957" s="89"/>
      <c r="H3957" s="90"/>
      <c r="L3957" s="89"/>
      <c r="M3957" s="90"/>
    </row>
    <row r="3958" spans="7:13" x14ac:dyDescent="0.35">
      <c r="G3958" s="89"/>
      <c r="H3958" s="90"/>
      <c r="L3958" s="89"/>
      <c r="M3958" s="90"/>
    </row>
    <row r="3959" spans="7:13" x14ac:dyDescent="0.35">
      <c r="G3959" s="89"/>
      <c r="H3959" s="90"/>
      <c r="L3959" s="89"/>
      <c r="M3959" s="90"/>
    </row>
    <row r="3960" spans="7:13" x14ac:dyDescent="0.35">
      <c r="G3960" s="89"/>
      <c r="H3960" s="90"/>
      <c r="L3960" s="89"/>
      <c r="M3960" s="90"/>
    </row>
    <row r="3961" spans="7:13" x14ac:dyDescent="0.35">
      <c r="G3961" s="89"/>
      <c r="H3961" s="90"/>
      <c r="L3961" s="89"/>
      <c r="M3961" s="90"/>
    </row>
    <row r="3962" spans="7:13" x14ac:dyDescent="0.35">
      <c r="G3962" s="89"/>
      <c r="H3962" s="90"/>
      <c r="L3962" s="89"/>
      <c r="M3962" s="90"/>
    </row>
    <row r="3963" spans="7:13" x14ac:dyDescent="0.35">
      <c r="G3963" s="89"/>
      <c r="H3963" s="90"/>
      <c r="L3963" s="89"/>
      <c r="M3963" s="90"/>
    </row>
    <row r="3964" spans="7:13" x14ac:dyDescent="0.35">
      <c r="G3964" s="89"/>
      <c r="H3964" s="90"/>
      <c r="L3964" s="89"/>
      <c r="M3964" s="90"/>
    </row>
    <row r="3965" spans="7:13" x14ac:dyDescent="0.35">
      <c r="G3965" s="89"/>
      <c r="H3965" s="90"/>
      <c r="L3965" s="89"/>
      <c r="M3965" s="90"/>
    </row>
    <row r="3966" spans="7:13" x14ac:dyDescent="0.35">
      <c r="G3966" s="89"/>
      <c r="H3966" s="90"/>
      <c r="L3966" s="89"/>
      <c r="M3966" s="90"/>
    </row>
    <row r="3967" spans="7:13" x14ac:dyDescent="0.35">
      <c r="G3967" s="89"/>
      <c r="H3967" s="90"/>
      <c r="L3967" s="89"/>
      <c r="M3967" s="90"/>
    </row>
    <row r="3968" spans="7:13" x14ac:dyDescent="0.35">
      <c r="G3968" s="89"/>
      <c r="H3968" s="90"/>
      <c r="L3968" s="89"/>
      <c r="M3968" s="90"/>
    </row>
    <row r="3969" spans="7:13" x14ac:dyDescent="0.35">
      <c r="G3969" s="89"/>
      <c r="H3969" s="90"/>
      <c r="L3969" s="89"/>
      <c r="M3969" s="90"/>
    </row>
    <row r="3970" spans="7:13" x14ac:dyDescent="0.35">
      <c r="G3970" s="89"/>
      <c r="H3970" s="90"/>
      <c r="L3970" s="89"/>
      <c r="M3970" s="90"/>
    </row>
    <row r="3971" spans="7:13" x14ac:dyDescent="0.35">
      <c r="G3971" s="89"/>
      <c r="H3971" s="90"/>
      <c r="L3971" s="89"/>
      <c r="M3971" s="90"/>
    </row>
    <row r="3972" spans="7:13" x14ac:dyDescent="0.35">
      <c r="G3972" s="89"/>
      <c r="H3972" s="90"/>
      <c r="L3972" s="89"/>
      <c r="M3972" s="90"/>
    </row>
    <row r="3973" spans="7:13" x14ac:dyDescent="0.35">
      <c r="G3973" s="89"/>
      <c r="H3973" s="90"/>
      <c r="L3973" s="89"/>
      <c r="M3973" s="90"/>
    </row>
    <row r="3974" spans="7:13" x14ac:dyDescent="0.35">
      <c r="G3974" s="89"/>
      <c r="H3974" s="90"/>
      <c r="L3974" s="89"/>
      <c r="M3974" s="90"/>
    </row>
    <row r="3975" spans="7:13" x14ac:dyDescent="0.35">
      <c r="G3975" s="89"/>
      <c r="H3975" s="90"/>
      <c r="L3975" s="89"/>
      <c r="M3975" s="90"/>
    </row>
    <row r="3976" spans="7:13" x14ac:dyDescent="0.35">
      <c r="G3976" s="89"/>
      <c r="H3976" s="90"/>
      <c r="L3976" s="89"/>
      <c r="M3976" s="90"/>
    </row>
    <row r="3977" spans="7:13" x14ac:dyDescent="0.35">
      <c r="G3977" s="89"/>
      <c r="H3977" s="90"/>
      <c r="L3977" s="89"/>
      <c r="M3977" s="90"/>
    </row>
    <row r="3978" spans="7:13" x14ac:dyDescent="0.35">
      <c r="G3978" s="89"/>
      <c r="H3978" s="90"/>
      <c r="L3978" s="89"/>
      <c r="M3978" s="90"/>
    </row>
    <row r="3979" spans="7:13" x14ac:dyDescent="0.35">
      <c r="G3979" s="89"/>
      <c r="H3979" s="90"/>
      <c r="L3979" s="89"/>
      <c r="M3979" s="90"/>
    </row>
    <row r="3980" spans="7:13" x14ac:dyDescent="0.35">
      <c r="G3980" s="89"/>
      <c r="H3980" s="90"/>
      <c r="L3980" s="89"/>
      <c r="M3980" s="90"/>
    </row>
    <row r="3981" spans="7:13" x14ac:dyDescent="0.35">
      <c r="G3981" s="89"/>
      <c r="H3981" s="90"/>
      <c r="L3981" s="89"/>
      <c r="M3981" s="90"/>
    </row>
    <row r="3982" spans="7:13" x14ac:dyDescent="0.35">
      <c r="G3982" s="89"/>
      <c r="H3982" s="90"/>
      <c r="L3982" s="89"/>
      <c r="M3982" s="90"/>
    </row>
    <row r="3983" spans="7:13" x14ac:dyDescent="0.35">
      <c r="G3983" s="89"/>
      <c r="H3983" s="90"/>
      <c r="L3983" s="89"/>
      <c r="M3983" s="90"/>
    </row>
    <row r="3984" spans="7:13" x14ac:dyDescent="0.35">
      <c r="G3984" s="89"/>
      <c r="H3984" s="90"/>
      <c r="L3984" s="89"/>
      <c r="M3984" s="90"/>
    </row>
    <row r="3985" spans="7:13" x14ac:dyDescent="0.35">
      <c r="G3985" s="89"/>
      <c r="H3985" s="90"/>
      <c r="L3985" s="89"/>
      <c r="M3985" s="90"/>
    </row>
    <row r="3986" spans="7:13" x14ac:dyDescent="0.35">
      <c r="G3986" s="89"/>
      <c r="H3986" s="90"/>
      <c r="L3986" s="89"/>
      <c r="M3986" s="90"/>
    </row>
    <row r="3987" spans="7:13" x14ac:dyDescent="0.35">
      <c r="G3987" s="89"/>
      <c r="H3987" s="90"/>
      <c r="L3987" s="89"/>
      <c r="M3987" s="90"/>
    </row>
    <row r="3988" spans="7:13" x14ac:dyDescent="0.35">
      <c r="G3988" s="89"/>
      <c r="H3988" s="90"/>
      <c r="L3988" s="89"/>
      <c r="M3988" s="90"/>
    </row>
    <row r="3989" spans="7:13" x14ac:dyDescent="0.35">
      <c r="G3989" s="89"/>
      <c r="H3989" s="90"/>
      <c r="L3989" s="89"/>
      <c r="M3989" s="90"/>
    </row>
    <row r="3990" spans="7:13" x14ac:dyDescent="0.35">
      <c r="G3990" s="89"/>
      <c r="H3990" s="90"/>
      <c r="L3990" s="89"/>
      <c r="M3990" s="90"/>
    </row>
    <row r="3991" spans="7:13" x14ac:dyDescent="0.35">
      <c r="G3991" s="89"/>
      <c r="H3991" s="90"/>
      <c r="L3991" s="89"/>
      <c r="M3991" s="90"/>
    </row>
    <row r="3992" spans="7:13" x14ac:dyDescent="0.35">
      <c r="G3992" s="89"/>
      <c r="H3992" s="90"/>
      <c r="L3992" s="89"/>
      <c r="M3992" s="90"/>
    </row>
    <row r="3993" spans="7:13" x14ac:dyDescent="0.35">
      <c r="G3993" s="89"/>
      <c r="H3993" s="90"/>
      <c r="L3993" s="89"/>
      <c r="M3993" s="90"/>
    </row>
    <row r="3994" spans="7:13" x14ac:dyDescent="0.35">
      <c r="G3994" s="89"/>
      <c r="H3994" s="90"/>
      <c r="L3994" s="89"/>
      <c r="M3994" s="90"/>
    </row>
    <row r="3995" spans="7:13" x14ac:dyDescent="0.35">
      <c r="G3995" s="89"/>
      <c r="H3995" s="90"/>
      <c r="L3995" s="89"/>
      <c r="M3995" s="90"/>
    </row>
    <row r="3996" spans="7:13" x14ac:dyDescent="0.35">
      <c r="G3996" s="89"/>
      <c r="H3996" s="90"/>
      <c r="L3996" s="89"/>
      <c r="M3996" s="90"/>
    </row>
    <row r="3997" spans="7:13" x14ac:dyDescent="0.35">
      <c r="G3997" s="89"/>
      <c r="H3997" s="90"/>
      <c r="L3997" s="89"/>
      <c r="M3997" s="90"/>
    </row>
    <row r="3998" spans="7:13" x14ac:dyDescent="0.35">
      <c r="G3998" s="89"/>
      <c r="H3998" s="90"/>
      <c r="L3998" s="89"/>
      <c r="M3998" s="90"/>
    </row>
    <row r="3999" spans="7:13" x14ac:dyDescent="0.35">
      <c r="G3999" s="89"/>
      <c r="H3999" s="90"/>
      <c r="L3999" s="89"/>
      <c r="M3999" s="90"/>
    </row>
    <row r="4000" spans="7:13" x14ac:dyDescent="0.35">
      <c r="G4000" s="89"/>
      <c r="H4000" s="90"/>
      <c r="L4000" s="89"/>
      <c r="M4000" s="90"/>
    </row>
    <row r="4001" spans="7:13" x14ac:dyDescent="0.35">
      <c r="G4001" s="89"/>
      <c r="H4001" s="90"/>
      <c r="L4001" s="89"/>
      <c r="M4001" s="90"/>
    </row>
    <row r="4002" spans="7:13" x14ac:dyDescent="0.35">
      <c r="G4002" s="89"/>
      <c r="H4002" s="90"/>
      <c r="L4002" s="89"/>
      <c r="M4002" s="90"/>
    </row>
    <row r="4003" spans="7:13" x14ac:dyDescent="0.35">
      <c r="G4003" s="89"/>
      <c r="H4003" s="90"/>
      <c r="L4003" s="89"/>
      <c r="M4003" s="90"/>
    </row>
    <row r="4004" spans="7:13" x14ac:dyDescent="0.35">
      <c r="G4004" s="89"/>
      <c r="H4004" s="90"/>
      <c r="L4004" s="89"/>
      <c r="M4004" s="90"/>
    </row>
    <row r="4005" spans="7:13" x14ac:dyDescent="0.35">
      <c r="G4005" s="89"/>
      <c r="H4005" s="90"/>
      <c r="L4005" s="89"/>
      <c r="M4005" s="90"/>
    </row>
    <row r="4006" spans="7:13" x14ac:dyDescent="0.35">
      <c r="G4006" s="89"/>
      <c r="H4006" s="90"/>
      <c r="L4006" s="89"/>
      <c r="M4006" s="90"/>
    </row>
    <row r="4007" spans="7:13" x14ac:dyDescent="0.35">
      <c r="G4007" s="89"/>
      <c r="H4007" s="90"/>
      <c r="L4007" s="89"/>
      <c r="M4007" s="90"/>
    </row>
    <row r="4008" spans="7:13" x14ac:dyDescent="0.35">
      <c r="G4008" s="89"/>
      <c r="H4008" s="90"/>
      <c r="L4008" s="89"/>
      <c r="M4008" s="90"/>
    </row>
    <row r="4009" spans="7:13" x14ac:dyDescent="0.35">
      <c r="G4009" s="89"/>
      <c r="H4009" s="90"/>
      <c r="L4009" s="89"/>
      <c r="M4009" s="90"/>
    </row>
    <row r="4010" spans="7:13" x14ac:dyDescent="0.35">
      <c r="G4010" s="89"/>
      <c r="H4010" s="90"/>
      <c r="L4010" s="89"/>
      <c r="M4010" s="90"/>
    </row>
    <row r="4011" spans="7:13" x14ac:dyDescent="0.35">
      <c r="G4011" s="89"/>
      <c r="H4011" s="90"/>
      <c r="L4011" s="89"/>
      <c r="M4011" s="90"/>
    </row>
    <row r="4012" spans="7:13" x14ac:dyDescent="0.35">
      <c r="G4012" s="89"/>
      <c r="H4012" s="90"/>
      <c r="L4012" s="89"/>
      <c r="M4012" s="90"/>
    </row>
    <row r="4013" spans="7:13" x14ac:dyDescent="0.35">
      <c r="G4013" s="89"/>
      <c r="H4013" s="90"/>
      <c r="L4013" s="89"/>
      <c r="M4013" s="90"/>
    </row>
    <row r="4014" spans="7:13" x14ac:dyDescent="0.35">
      <c r="G4014" s="89"/>
      <c r="H4014" s="90"/>
      <c r="L4014" s="89"/>
      <c r="M4014" s="90"/>
    </row>
    <row r="4015" spans="7:13" x14ac:dyDescent="0.35">
      <c r="G4015" s="89"/>
      <c r="H4015" s="90"/>
      <c r="L4015" s="89"/>
      <c r="M4015" s="90"/>
    </row>
    <row r="4016" spans="7:13" x14ac:dyDescent="0.35">
      <c r="G4016" s="89"/>
      <c r="H4016" s="90"/>
      <c r="L4016" s="89"/>
      <c r="M4016" s="90"/>
    </row>
    <row r="4017" spans="7:13" x14ac:dyDescent="0.35">
      <c r="G4017" s="89"/>
      <c r="H4017" s="90"/>
      <c r="L4017" s="89"/>
      <c r="M4017" s="90"/>
    </row>
    <row r="4018" spans="7:13" x14ac:dyDescent="0.35">
      <c r="G4018" s="89"/>
      <c r="H4018" s="90"/>
      <c r="L4018" s="89"/>
      <c r="M4018" s="90"/>
    </row>
    <row r="4019" spans="7:13" x14ac:dyDescent="0.35">
      <c r="G4019" s="89"/>
      <c r="H4019" s="90"/>
      <c r="L4019" s="89"/>
      <c r="M4019" s="90"/>
    </row>
    <row r="4020" spans="7:13" x14ac:dyDescent="0.35">
      <c r="G4020" s="89"/>
      <c r="H4020" s="90"/>
      <c r="L4020" s="89"/>
      <c r="M4020" s="90"/>
    </row>
    <row r="4021" spans="7:13" x14ac:dyDescent="0.35">
      <c r="G4021" s="89"/>
      <c r="H4021" s="90"/>
      <c r="L4021" s="89"/>
      <c r="M4021" s="90"/>
    </row>
    <row r="4022" spans="7:13" x14ac:dyDescent="0.35">
      <c r="G4022" s="89"/>
      <c r="H4022" s="90"/>
      <c r="L4022" s="89"/>
      <c r="M4022" s="90"/>
    </row>
    <row r="4023" spans="7:13" x14ac:dyDescent="0.35">
      <c r="G4023" s="89"/>
      <c r="H4023" s="90"/>
      <c r="L4023" s="89"/>
      <c r="M4023" s="90"/>
    </row>
    <row r="4024" spans="7:13" x14ac:dyDescent="0.35">
      <c r="G4024" s="89"/>
      <c r="H4024" s="90"/>
      <c r="L4024" s="89"/>
      <c r="M4024" s="90"/>
    </row>
    <row r="4025" spans="7:13" x14ac:dyDescent="0.35">
      <c r="G4025" s="89"/>
      <c r="H4025" s="90"/>
      <c r="L4025" s="89"/>
      <c r="M4025" s="90"/>
    </row>
    <row r="4026" spans="7:13" x14ac:dyDescent="0.35">
      <c r="G4026" s="89"/>
      <c r="H4026" s="90"/>
      <c r="L4026" s="89"/>
      <c r="M4026" s="90"/>
    </row>
    <row r="4027" spans="7:13" x14ac:dyDescent="0.35">
      <c r="G4027" s="89"/>
      <c r="H4027" s="90"/>
      <c r="L4027" s="89"/>
      <c r="M4027" s="90"/>
    </row>
    <row r="4028" spans="7:13" x14ac:dyDescent="0.35">
      <c r="G4028" s="89"/>
      <c r="H4028" s="90"/>
      <c r="L4028" s="89"/>
      <c r="M4028" s="90"/>
    </row>
    <row r="4029" spans="7:13" x14ac:dyDescent="0.35">
      <c r="G4029" s="89"/>
      <c r="H4029" s="90"/>
      <c r="L4029" s="89"/>
      <c r="M4029" s="90"/>
    </row>
    <row r="4030" spans="7:13" x14ac:dyDescent="0.35">
      <c r="G4030" s="89"/>
      <c r="H4030" s="90"/>
      <c r="L4030" s="89"/>
      <c r="M4030" s="90"/>
    </row>
    <row r="4031" spans="7:13" x14ac:dyDescent="0.35">
      <c r="G4031" s="89"/>
      <c r="H4031" s="90"/>
      <c r="L4031" s="89"/>
      <c r="M4031" s="90"/>
    </row>
    <row r="4032" spans="7:13" x14ac:dyDescent="0.35">
      <c r="G4032" s="89"/>
      <c r="H4032" s="90"/>
      <c r="L4032" s="89"/>
      <c r="M4032" s="90"/>
    </row>
    <row r="4033" spans="7:13" x14ac:dyDescent="0.35">
      <c r="G4033" s="89"/>
      <c r="H4033" s="90"/>
      <c r="L4033" s="89"/>
      <c r="M4033" s="90"/>
    </row>
    <row r="4034" spans="7:13" x14ac:dyDescent="0.35">
      <c r="G4034" s="89"/>
      <c r="H4034" s="90"/>
      <c r="L4034" s="89"/>
      <c r="M4034" s="90"/>
    </row>
    <row r="4035" spans="7:13" x14ac:dyDescent="0.35">
      <c r="G4035" s="89"/>
      <c r="H4035" s="90"/>
      <c r="L4035" s="89"/>
      <c r="M4035" s="90"/>
    </row>
    <row r="4036" spans="7:13" x14ac:dyDescent="0.35">
      <c r="G4036" s="89"/>
      <c r="H4036" s="90"/>
      <c r="L4036" s="89"/>
      <c r="M4036" s="90"/>
    </row>
    <row r="4037" spans="7:13" x14ac:dyDescent="0.35">
      <c r="G4037" s="89"/>
      <c r="H4037" s="90"/>
      <c r="L4037" s="89"/>
      <c r="M4037" s="90"/>
    </row>
    <row r="4038" spans="7:13" x14ac:dyDescent="0.35">
      <c r="G4038" s="89"/>
      <c r="H4038" s="90"/>
      <c r="L4038" s="89"/>
      <c r="M4038" s="90"/>
    </row>
    <row r="4039" spans="7:13" x14ac:dyDescent="0.35">
      <c r="G4039" s="89"/>
      <c r="H4039" s="90"/>
      <c r="L4039" s="89"/>
      <c r="M4039" s="90"/>
    </row>
    <row r="4040" spans="7:13" x14ac:dyDescent="0.35">
      <c r="G4040" s="89"/>
      <c r="H4040" s="90"/>
      <c r="L4040" s="89"/>
      <c r="M4040" s="90"/>
    </row>
    <row r="4041" spans="7:13" x14ac:dyDescent="0.35">
      <c r="G4041" s="89"/>
      <c r="H4041" s="90"/>
      <c r="L4041" s="89"/>
      <c r="M4041" s="90"/>
    </row>
    <row r="4042" spans="7:13" x14ac:dyDescent="0.35">
      <c r="G4042" s="89"/>
      <c r="H4042" s="90"/>
      <c r="L4042" s="89"/>
      <c r="M4042" s="90"/>
    </row>
    <row r="4043" spans="7:13" x14ac:dyDescent="0.35">
      <c r="G4043" s="89"/>
      <c r="H4043" s="90"/>
      <c r="L4043" s="89"/>
      <c r="M4043" s="90"/>
    </row>
    <row r="4044" spans="7:13" x14ac:dyDescent="0.35">
      <c r="G4044" s="89"/>
      <c r="H4044" s="90"/>
      <c r="L4044" s="89"/>
      <c r="M4044" s="90"/>
    </row>
    <row r="4045" spans="7:13" x14ac:dyDescent="0.35">
      <c r="G4045" s="89"/>
      <c r="H4045" s="90"/>
      <c r="L4045" s="89"/>
      <c r="M4045" s="90"/>
    </row>
    <row r="4046" spans="7:13" x14ac:dyDescent="0.35">
      <c r="G4046" s="89"/>
      <c r="H4046" s="90"/>
      <c r="L4046" s="89"/>
      <c r="M4046" s="90"/>
    </row>
    <row r="4047" spans="7:13" x14ac:dyDescent="0.35">
      <c r="G4047" s="89"/>
      <c r="H4047" s="90"/>
      <c r="L4047" s="89"/>
      <c r="M4047" s="90"/>
    </row>
    <row r="4048" spans="7:13" x14ac:dyDescent="0.35">
      <c r="G4048" s="89"/>
      <c r="H4048" s="90"/>
      <c r="L4048" s="89"/>
      <c r="M4048" s="90"/>
    </row>
    <row r="4049" spans="7:13" x14ac:dyDescent="0.35">
      <c r="G4049" s="89"/>
      <c r="H4049" s="90"/>
      <c r="L4049" s="89"/>
      <c r="M4049" s="90"/>
    </row>
    <row r="4050" spans="7:13" x14ac:dyDescent="0.35">
      <c r="G4050" s="89"/>
      <c r="H4050" s="90"/>
      <c r="L4050" s="89"/>
      <c r="M4050" s="90"/>
    </row>
    <row r="4051" spans="7:13" x14ac:dyDescent="0.35">
      <c r="G4051" s="89"/>
      <c r="H4051" s="90"/>
      <c r="L4051" s="89"/>
      <c r="M4051" s="90"/>
    </row>
    <row r="4052" spans="7:13" x14ac:dyDescent="0.35">
      <c r="G4052" s="89"/>
      <c r="H4052" s="90"/>
      <c r="L4052" s="89"/>
      <c r="M4052" s="90"/>
    </row>
    <row r="4053" spans="7:13" x14ac:dyDescent="0.35">
      <c r="G4053" s="89"/>
      <c r="H4053" s="90"/>
      <c r="L4053" s="89"/>
      <c r="M4053" s="90"/>
    </row>
    <row r="4054" spans="7:13" x14ac:dyDescent="0.35">
      <c r="G4054" s="89"/>
      <c r="H4054" s="90"/>
      <c r="L4054" s="89"/>
      <c r="M4054" s="90"/>
    </row>
    <row r="4055" spans="7:13" x14ac:dyDescent="0.35">
      <c r="G4055" s="89"/>
      <c r="H4055" s="90"/>
      <c r="L4055" s="89"/>
      <c r="M4055" s="90"/>
    </row>
    <row r="4056" spans="7:13" x14ac:dyDescent="0.35">
      <c r="G4056" s="89"/>
      <c r="H4056" s="90"/>
      <c r="L4056" s="89"/>
      <c r="M4056" s="90"/>
    </row>
    <row r="4057" spans="7:13" x14ac:dyDescent="0.35">
      <c r="G4057" s="89"/>
      <c r="H4057" s="90"/>
      <c r="L4057" s="89"/>
      <c r="M4057" s="90"/>
    </row>
    <row r="4058" spans="7:13" x14ac:dyDescent="0.35">
      <c r="G4058" s="89"/>
      <c r="H4058" s="90"/>
      <c r="L4058" s="89"/>
      <c r="M4058" s="90"/>
    </row>
    <row r="4059" spans="7:13" x14ac:dyDescent="0.35">
      <c r="G4059" s="89"/>
      <c r="H4059" s="90"/>
      <c r="L4059" s="89"/>
      <c r="M4059" s="90"/>
    </row>
    <row r="4060" spans="7:13" x14ac:dyDescent="0.35">
      <c r="G4060" s="89"/>
      <c r="H4060" s="90"/>
      <c r="L4060" s="89"/>
      <c r="M4060" s="90"/>
    </row>
    <row r="4061" spans="7:13" x14ac:dyDescent="0.35">
      <c r="G4061" s="89"/>
      <c r="H4061" s="90"/>
      <c r="L4061" s="89"/>
      <c r="M4061" s="90"/>
    </row>
    <row r="4062" spans="7:13" x14ac:dyDescent="0.35">
      <c r="G4062" s="89"/>
      <c r="H4062" s="90"/>
      <c r="L4062" s="89"/>
      <c r="M4062" s="90"/>
    </row>
    <row r="4063" spans="7:13" x14ac:dyDescent="0.35">
      <c r="G4063" s="89"/>
      <c r="H4063" s="90"/>
      <c r="L4063" s="89"/>
      <c r="M4063" s="90"/>
    </row>
    <row r="4064" spans="7:13" x14ac:dyDescent="0.35">
      <c r="G4064" s="89"/>
      <c r="H4064" s="90"/>
      <c r="L4064" s="89"/>
      <c r="M4064" s="90"/>
    </row>
    <row r="4065" spans="7:13" x14ac:dyDescent="0.35">
      <c r="G4065" s="89"/>
      <c r="H4065" s="90"/>
      <c r="L4065" s="89"/>
      <c r="M4065" s="90"/>
    </row>
    <row r="4066" spans="7:13" x14ac:dyDescent="0.35">
      <c r="G4066" s="89"/>
      <c r="H4066" s="90"/>
      <c r="L4066" s="89"/>
      <c r="M4066" s="90"/>
    </row>
    <row r="4067" spans="7:13" x14ac:dyDescent="0.35">
      <c r="G4067" s="89"/>
      <c r="H4067" s="90"/>
      <c r="L4067" s="89"/>
      <c r="M4067" s="90"/>
    </row>
    <row r="4068" spans="7:13" x14ac:dyDescent="0.35">
      <c r="G4068" s="89"/>
      <c r="H4068" s="90"/>
      <c r="L4068" s="89"/>
      <c r="M4068" s="90"/>
    </row>
    <row r="4069" spans="7:13" x14ac:dyDescent="0.35">
      <c r="G4069" s="89"/>
      <c r="H4069" s="90"/>
      <c r="L4069" s="89"/>
      <c r="M4069" s="90"/>
    </row>
    <row r="4070" spans="7:13" x14ac:dyDescent="0.35">
      <c r="G4070" s="89"/>
      <c r="H4070" s="90"/>
      <c r="L4070" s="89"/>
      <c r="M4070" s="90"/>
    </row>
    <row r="4071" spans="7:13" x14ac:dyDescent="0.35">
      <c r="G4071" s="89"/>
      <c r="H4071" s="90"/>
      <c r="L4071" s="89"/>
      <c r="M4071" s="90"/>
    </row>
    <row r="4072" spans="7:13" x14ac:dyDescent="0.35">
      <c r="G4072" s="89"/>
      <c r="H4072" s="90"/>
      <c r="L4072" s="89"/>
      <c r="M4072" s="90"/>
    </row>
    <row r="4073" spans="7:13" x14ac:dyDescent="0.35">
      <c r="G4073" s="89"/>
      <c r="H4073" s="90"/>
      <c r="L4073" s="89"/>
      <c r="M4073" s="90"/>
    </row>
    <row r="4074" spans="7:13" x14ac:dyDescent="0.35">
      <c r="G4074" s="89"/>
      <c r="H4074" s="90"/>
      <c r="L4074" s="89"/>
      <c r="M4074" s="90"/>
    </row>
    <row r="4075" spans="7:13" x14ac:dyDescent="0.35">
      <c r="G4075" s="89"/>
      <c r="H4075" s="90"/>
      <c r="L4075" s="89"/>
      <c r="M4075" s="90"/>
    </row>
    <row r="4076" spans="7:13" x14ac:dyDescent="0.35">
      <c r="G4076" s="89"/>
      <c r="H4076" s="90"/>
      <c r="L4076" s="89"/>
      <c r="M4076" s="90"/>
    </row>
    <row r="4077" spans="7:13" x14ac:dyDescent="0.35">
      <c r="G4077" s="89"/>
      <c r="H4077" s="90"/>
      <c r="L4077" s="89"/>
      <c r="M4077" s="90"/>
    </row>
    <row r="4078" spans="7:13" x14ac:dyDescent="0.35">
      <c r="G4078" s="89"/>
      <c r="H4078" s="90"/>
      <c r="L4078" s="89"/>
      <c r="M4078" s="90"/>
    </row>
    <row r="4079" spans="7:13" x14ac:dyDescent="0.35">
      <c r="G4079" s="89"/>
      <c r="H4079" s="90"/>
      <c r="L4079" s="89"/>
      <c r="M4079" s="90"/>
    </row>
    <row r="4080" spans="7:13" x14ac:dyDescent="0.35">
      <c r="G4080" s="89"/>
      <c r="H4080" s="90"/>
      <c r="L4080" s="89"/>
      <c r="M4080" s="90"/>
    </row>
    <row r="4081" spans="7:13" x14ac:dyDescent="0.35">
      <c r="G4081" s="89"/>
      <c r="H4081" s="90"/>
      <c r="L4081" s="89"/>
      <c r="M4081" s="90"/>
    </row>
    <row r="4082" spans="7:13" x14ac:dyDescent="0.35">
      <c r="G4082" s="89"/>
      <c r="H4082" s="90"/>
      <c r="L4082" s="89"/>
      <c r="M4082" s="90"/>
    </row>
    <row r="4083" spans="7:13" x14ac:dyDescent="0.35">
      <c r="G4083" s="89"/>
      <c r="H4083" s="90"/>
      <c r="L4083" s="89"/>
      <c r="M4083" s="90"/>
    </row>
    <row r="4084" spans="7:13" x14ac:dyDescent="0.35">
      <c r="G4084" s="89"/>
      <c r="H4084" s="90"/>
      <c r="L4084" s="89"/>
      <c r="M4084" s="90"/>
    </row>
    <row r="4085" spans="7:13" x14ac:dyDescent="0.35">
      <c r="G4085" s="89"/>
      <c r="H4085" s="90"/>
      <c r="L4085" s="89"/>
      <c r="M4085" s="90"/>
    </row>
    <row r="4086" spans="7:13" x14ac:dyDescent="0.35">
      <c r="G4086" s="89"/>
      <c r="H4086" s="90"/>
      <c r="L4086" s="89"/>
      <c r="M4086" s="90"/>
    </row>
    <row r="4087" spans="7:13" x14ac:dyDescent="0.35">
      <c r="G4087" s="89"/>
      <c r="H4087" s="90"/>
      <c r="L4087" s="89"/>
      <c r="M4087" s="90"/>
    </row>
    <row r="4088" spans="7:13" x14ac:dyDescent="0.35">
      <c r="G4088" s="89"/>
      <c r="H4088" s="90"/>
      <c r="L4088" s="89"/>
      <c r="M4088" s="90"/>
    </row>
    <row r="4089" spans="7:13" x14ac:dyDescent="0.35">
      <c r="G4089" s="89"/>
      <c r="H4089" s="90"/>
      <c r="L4089" s="89"/>
      <c r="M4089" s="90"/>
    </row>
    <row r="4090" spans="7:13" x14ac:dyDescent="0.35">
      <c r="G4090" s="89"/>
      <c r="H4090" s="90"/>
      <c r="L4090" s="89"/>
      <c r="M4090" s="90"/>
    </row>
    <row r="4091" spans="7:13" x14ac:dyDescent="0.35">
      <c r="G4091" s="89"/>
      <c r="H4091" s="90"/>
      <c r="L4091" s="89"/>
      <c r="M4091" s="90"/>
    </row>
    <row r="4092" spans="7:13" x14ac:dyDescent="0.35">
      <c r="G4092" s="89"/>
      <c r="H4092" s="90"/>
      <c r="L4092" s="89"/>
      <c r="M4092" s="90"/>
    </row>
    <row r="4093" spans="7:13" x14ac:dyDescent="0.35">
      <c r="G4093" s="89"/>
      <c r="H4093" s="90"/>
      <c r="L4093" s="89"/>
      <c r="M4093" s="90"/>
    </row>
    <row r="4094" spans="7:13" x14ac:dyDescent="0.35">
      <c r="G4094" s="89"/>
      <c r="H4094" s="90"/>
      <c r="L4094" s="89"/>
      <c r="M4094" s="90"/>
    </row>
    <row r="4095" spans="7:13" x14ac:dyDescent="0.35">
      <c r="G4095" s="89"/>
      <c r="H4095" s="90"/>
      <c r="L4095" s="89"/>
      <c r="M4095" s="90"/>
    </row>
    <row r="4096" spans="7:13" x14ac:dyDescent="0.35">
      <c r="G4096" s="89"/>
      <c r="H4096" s="90"/>
      <c r="L4096" s="89"/>
      <c r="M4096" s="90"/>
    </row>
    <row r="4097" spans="7:13" x14ac:dyDescent="0.35">
      <c r="G4097" s="89"/>
      <c r="H4097" s="90"/>
      <c r="L4097" s="89"/>
      <c r="M4097" s="90"/>
    </row>
    <row r="4098" spans="7:13" x14ac:dyDescent="0.35">
      <c r="G4098" s="89"/>
      <c r="H4098" s="90"/>
      <c r="L4098" s="89"/>
      <c r="M4098" s="90"/>
    </row>
    <row r="4099" spans="7:13" x14ac:dyDescent="0.35">
      <c r="G4099" s="89"/>
      <c r="H4099" s="90"/>
      <c r="L4099" s="89"/>
      <c r="M4099" s="90"/>
    </row>
    <row r="4100" spans="7:13" x14ac:dyDescent="0.35">
      <c r="G4100" s="89"/>
      <c r="H4100" s="90"/>
      <c r="L4100" s="89"/>
      <c r="M4100" s="90"/>
    </row>
    <row r="4101" spans="7:13" x14ac:dyDescent="0.35">
      <c r="G4101" s="89"/>
      <c r="H4101" s="90"/>
      <c r="L4101" s="89"/>
      <c r="M4101" s="90"/>
    </row>
    <row r="4102" spans="7:13" x14ac:dyDescent="0.35">
      <c r="G4102" s="89"/>
      <c r="H4102" s="90"/>
      <c r="L4102" s="89"/>
      <c r="M4102" s="90"/>
    </row>
    <row r="4103" spans="7:13" x14ac:dyDescent="0.35">
      <c r="G4103" s="89"/>
      <c r="H4103" s="90"/>
      <c r="L4103" s="89"/>
      <c r="M4103" s="90"/>
    </row>
    <row r="4104" spans="7:13" x14ac:dyDescent="0.35">
      <c r="G4104" s="89"/>
      <c r="H4104" s="90"/>
      <c r="L4104" s="89"/>
      <c r="M4104" s="90"/>
    </row>
    <row r="4105" spans="7:13" x14ac:dyDescent="0.35">
      <c r="G4105" s="89"/>
      <c r="H4105" s="90"/>
      <c r="L4105" s="89"/>
      <c r="M4105" s="90"/>
    </row>
    <row r="4106" spans="7:13" x14ac:dyDescent="0.35">
      <c r="G4106" s="89"/>
      <c r="H4106" s="90"/>
      <c r="L4106" s="89"/>
      <c r="M4106" s="90"/>
    </row>
    <row r="4107" spans="7:13" x14ac:dyDescent="0.35">
      <c r="G4107" s="89"/>
      <c r="H4107" s="90"/>
      <c r="L4107" s="89"/>
      <c r="M4107" s="90"/>
    </row>
    <row r="4108" spans="7:13" x14ac:dyDescent="0.35">
      <c r="G4108" s="89"/>
      <c r="H4108" s="90"/>
      <c r="L4108" s="89"/>
      <c r="M4108" s="90"/>
    </row>
    <row r="4109" spans="7:13" x14ac:dyDescent="0.35">
      <c r="G4109" s="89"/>
      <c r="H4109" s="90"/>
      <c r="L4109" s="89"/>
      <c r="M4109" s="90"/>
    </row>
    <row r="4110" spans="7:13" x14ac:dyDescent="0.35">
      <c r="G4110" s="89"/>
      <c r="H4110" s="90"/>
      <c r="L4110" s="89"/>
      <c r="M4110" s="90"/>
    </row>
    <row r="4111" spans="7:13" x14ac:dyDescent="0.35">
      <c r="G4111" s="89"/>
      <c r="H4111" s="90"/>
      <c r="L4111" s="89"/>
      <c r="M4111" s="90"/>
    </row>
    <row r="4112" spans="7:13" x14ac:dyDescent="0.35">
      <c r="G4112" s="89"/>
      <c r="H4112" s="90"/>
      <c r="L4112" s="89"/>
      <c r="M4112" s="90"/>
    </row>
    <row r="4113" spans="7:13" x14ac:dyDescent="0.35">
      <c r="G4113" s="89"/>
      <c r="H4113" s="90"/>
      <c r="L4113" s="89"/>
      <c r="M4113" s="90"/>
    </row>
    <row r="4114" spans="7:13" x14ac:dyDescent="0.35">
      <c r="G4114" s="89"/>
      <c r="H4114" s="90"/>
      <c r="L4114" s="89"/>
      <c r="M4114" s="90"/>
    </row>
    <row r="4115" spans="7:13" x14ac:dyDescent="0.35">
      <c r="G4115" s="89"/>
      <c r="H4115" s="90"/>
      <c r="L4115" s="89"/>
      <c r="M4115" s="90"/>
    </row>
    <row r="4116" spans="7:13" x14ac:dyDescent="0.35">
      <c r="G4116" s="89"/>
      <c r="H4116" s="90"/>
      <c r="L4116" s="89"/>
      <c r="M4116" s="90"/>
    </row>
    <row r="4117" spans="7:13" x14ac:dyDescent="0.35">
      <c r="G4117" s="89"/>
      <c r="H4117" s="90"/>
      <c r="L4117" s="89"/>
      <c r="M4117" s="90"/>
    </row>
    <row r="4118" spans="7:13" x14ac:dyDescent="0.35">
      <c r="G4118" s="89"/>
      <c r="H4118" s="90"/>
      <c r="L4118" s="89"/>
      <c r="M4118" s="90"/>
    </row>
    <row r="4119" spans="7:13" x14ac:dyDescent="0.35">
      <c r="G4119" s="89"/>
      <c r="H4119" s="90"/>
      <c r="L4119" s="89"/>
      <c r="M4119" s="90"/>
    </row>
    <row r="4120" spans="7:13" x14ac:dyDescent="0.35">
      <c r="G4120" s="89"/>
      <c r="H4120" s="90"/>
      <c r="L4120" s="89"/>
      <c r="M4120" s="90"/>
    </row>
    <row r="4121" spans="7:13" x14ac:dyDescent="0.35">
      <c r="G4121" s="89"/>
      <c r="H4121" s="90"/>
      <c r="L4121" s="89"/>
      <c r="M4121" s="90"/>
    </row>
    <row r="4122" spans="7:13" x14ac:dyDescent="0.35">
      <c r="G4122" s="89"/>
      <c r="H4122" s="90"/>
      <c r="L4122" s="89"/>
      <c r="M4122" s="90"/>
    </row>
    <row r="4123" spans="7:13" x14ac:dyDescent="0.35">
      <c r="G4123" s="89"/>
      <c r="H4123" s="90"/>
      <c r="L4123" s="89"/>
      <c r="M4123" s="90"/>
    </row>
    <row r="4124" spans="7:13" x14ac:dyDescent="0.35">
      <c r="G4124" s="89"/>
      <c r="H4124" s="90"/>
      <c r="L4124" s="89"/>
      <c r="M4124" s="90"/>
    </row>
    <row r="4125" spans="7:13" x14ac:dyDescent="0.35">
      <c r="G4125" s="89"/>
      <c r="H4125" s="90"/>
      <c r="L4125" s="89"/>
      <c r="M4125" s="90"/>
    </row>
    <row r="4126" spans="7:13" x14ac:dyDescent="0.35">
      <c r="G4126" s="89"/>
      <c r="H4126" s="90"/>
      <c r="L4126" s="89"/>
      <c r="M4126" s="90"/>
    </row>
    <row r="4127" spans="7:13" x14ac:dyDescent="0.35">
      <c r="G4127" s="89"/>
      <c r="H4127" s="90"/>
      <c r="L4127" s="89"/>
      <c r="M4127" s="90"/>
    </row>
    <row r="4128" spans="7:13" x14ac:dyDescent="0.35">
      <c r="G4128" s="89"/>
      <c r="H4128" s="90"/>
      <c r="L4128" s="89"/>
      <c r="M4128" s="90"/>
    </row>
    <row r="4129" spans="7:13" x14ac:dyDescent="0.35">
      <c r="G4129" s="89"/>
      <c r="H4129" s="90"/>
      <c r="L4129" s="89"/>
      <c r="M4129" s="90"/>
    </row>
    <row r="4130" spans="7:13" x14ac:dyDescent="0.35">
      <c r="G4130" s="89"/>
      <c r="H4130" s="90"/>
      <c r="L4130" s="89"/>
      <c r="M4130" s="90"/>
    </row>
    <row r="4131" spans="7:13" x14ac:dyDescent="0.35">
      <c r="G4131" s="89"/>
      <c r="H4131" s="90"/>
      <c r="L4131" s="89"/>
      <c r="M4131" s="90"/>
    </row>
    <row r="4132" spans="7:13" x14ac:dyDescent="0.35">
      <c r="G4132" s="89"/>
      <c r="H4132" s="90"/>
      <c r="L4132" s="89"/>
      <c r="M4132" s="90"/>
    </row>
    <row r="4133" spans="7:13" x14ac:dyDescent="0.35">
      <c r="G4133" s="89"/>
      <c r="H4133" s="90"/>
      <c r="L4133" s="89"/>
      <c r="M4133" s="90"/>
    </row>
    <row r="4134" spans="7:13" x14ac:dyDescent="0.35">
      <c r="G4134" s="89"/>
      <c r="H4134" s="90"/>
      <c r="L4134" s="89"/>
      <c r="M4134" s="90"/>
    </row>
    <row r="4135" spans="7:13" x14ac:dyDescent="0.35">
      <c r="G4135" s="89"/>
      <c r="H4135" s="90"/>
      <c r="L4135" s="89"/>
      <c r="M4135" s="90"/>
    </row>
    <row r="4136" spans="7:13" x14ac:dyDescent="0.35">
      <c r="G4136" s="89"/>
      <c r="H4136" s="90"/>
      <c r="L4136" s="89"/>
      <c r="M4136" s="90"/>
    </row>
    <row r="4137" spans="7:13" x14ac:dyDescent="0.35">
      <c r="G4137" s="89"/>
      <c r="H4137" s="90"/>
      <c r="L4137" s="89"/>
      <c r="M4137" s="90"/>
    </row>
    <row r="4138" spans="7:13" x14ac:dyDescent="0.35">
      <c r="G4138" s="89"/>
      <c r="H4138" s="90"/>
      <c r="L4138" s="89"/>
      <c r="M4138" s="90"/>
    </row>
    <row r="4139" spans="7:13" x14ac:dyDescent="0.35">
      <c r="G4139" s="89"/>
      <c r="H4139" s="90"/>
      <c r="L4139" s="89"/>
      <c r="M4139" s="90"/>
    </row>
    <row r="4140" spans="7:13" x14ac:dyDescent="0.35">
      <c r="G4140" s="89"/>
      <c r="H4140" s="90"/>
      <c r="L4140" s="89"/>
      <c r="M4140" s="90"/>
    </row>
    <row r="4141" spans="7:13" x14ac:dyDescent="0.35">
      <c r="G4141" s="89"/>
      <c r="H4141" s="90"/>
      <c r="L4141" s="89"/>
      <c r="M4141" s="90"/>
    </row>
    <row r="4142" spans="7:13" x14ac:dyDescent="0.35">
      <c r="G4142" s="89"/>
      <c r="H4142" s="90"/>
      <c r="L4142" s="89"/>
      <c r="M4142" s="90"/>
    </row>
    <row r="4143" spans="7:13" x14ac:dyDescent="0.35">
      <c r="G4143" s="89"/>
      <c r="H4143" s="90"/>
      <c r="L4143" s="89"/>
      <c r="M4143" s="90"/>
    </row>
    <row r="4144" spans="7:13" x14ac:dyDescent="0.35">
      <c r="G4144" s="89"/>
      <c r="H4144" s="90"/>
      <c r="L4144" s="89"/>
      <c r="M4144" s="90"/>
    </row>
    <row r="4145" spans="7:13" x14ac:dyDescent="0.35">
      <c r="G4145" s="89"/>
      <c r="H4145" s="90"/>
      <c r="L4145" s="89"/>
      <c r="M4145" s="90"/>
    </row>
    <row r="4146" spans="7:13" x14ac:dyDescent="0.35">
      <c r="G4146" s="89"/>
      <c r="H4146" s="90"/>
      <c r="L4146" s="89"/>
      <c r="M4146" s="90"/>
    </row>
    <row r="4147" spans="7:13" x14ac:dyDescent="0.35">
      <c r="G4147" s="89"/>
      <c r="H4147" s="90"/>
      <c r="L4147" s="89"/>
      <c r="M4147" s="90"/>
    </row>
    <row r="4148" spans="7:13" x14ac:dyDescent="0.35">
      <c r="G4148" s="89"/>
      <c r="H4148" s="90"/>
      <c r="L4148" s="89"/>
      <c r="M4148" s="90"/>
    </row>
    <row r="4149" spans="7:13" x14ac:dyDescent="0.35">
      <c r="G4149" s="89"/>
      <c r="H4149" s="90"/>
      <c r="L4149" s="89"/>
      <c r="M4149" s="90"/>
    </row>
    <row r="4150" spans="7:13" x14ac:dyDescent="0.35">
      <c r="G4150" s="89"/>
      <c r="H4150" s="90"/>
      <c r="L4150" s="89"/>
      <c r="M4150" s="90"/>
    </row>
    <row r="4151" spans="7:13" x14ac:dyDescent="0.35">
      <c r="G4151" s="89"/>
      <c r="H4151" s="90"/>
      <c r="L4151" s="89"/>
      <c r="M4151" s="90"/>
    </row>
    <row r="4152" spans="7:13" x14ac:dyDescent="0.35">
      <c r="G4152" s="89"/>
      <c r="H4152" s="90"/>
      <c r="L4152" s="89"/>
      <c r="M4152" s="90"/>
    </row>
    <row r="4153" spans="7:13" x14ac:dyDescent="0.35">
      <c r="G4153" s="89"/>
      <c r="H4153" s="90"/>
      <c r="L4153" s="89"/>
      <c r="M4153" s="90"/>
    </row>
    <row r="4154" spans="7:13" x14ac:dyDescent="0.35">
      <c r="G4154" s="89"/>
      <c r="H4154" s="90"/>
      <c r="L4154" s="89"/>
      <c r="M4154" s="90"/>
    </row>
    <row r="4155" spans="7:13" x14ac:dyDescent="0.35">
      <c r="G4155" s="89"/>
      <c r="H4155" s="90"/>
      <c r="L4155" s="89"/>
      <c r="M4155" s="90"/>
    </row>
    <row r="4156" spans="7:13" x14ac:dyDescent="0.35">
      <c r="G4156" s="89"/>
      <c r="H4156" s="90"/>
      <c r="L4156" s="89"/>
      <c r="M4156" s="90"/>
    </row>
    <row r="4157" spans="7:13" x14ac:dyDescent="0.35">
      <c r="G4157" s="89"/>
      <c r="H4157" s="90"/>
      <c r="L4157" s="89"/>
      <c r="M4157" s="90"/>
    </row>
    <row r="4158" spans="7:13" x14ac:dyDescent="0.35">
      <c r="G4158" s="89"/>
      <c r="H4158" s="90"/>
      <c r="L4158" s="89"/>
      <c r="M4158" s="90"/>
    </row>
    <row r="4159" spans="7:13" x14ac:dyDescent="0.35">
      <c r="G4159" s="89"/>
      <c r="H4159" s="90"/>
      <c r="L4159" s="89"/>
      <c r="M4159" s="90"/>
    </row>
    <row r="4160" spans="7:13" x14ac:dyDescent="0.35">
      <c r="G4160" s="89"/>
      <c r="H4160" s="90"/>
      <c r="L4160" s="89"/>
      <c r="M4160" s="90"/>
    </row>
    <row r="4161" spans="7:13" x14ac:dyDescent="0.35">
      <c r="G4161" s="89"/>
      <c r="H4161" s="90"/>
      <c r="L4161" s="89"/>
      <c r="M4161" s="90"/>
    </row>
    <row r="4162" spans="7:13" x14ac:dyDescent="0.35">
      <c r="G4162" s="89"/>
      <c r="H4162" s="90"/>
      <c r="L4162" s="89"/>
      <c r="M4162" s="90"/>
    </row>
    <row r="4163" spans="7:13" x14ac:dyDescent="0.35">
      <c r="G4163" s="89"/>
      <c r="H4163" s="90"/>
      <c r="L4163" s="89"/>
      <c r="M4163" s="90"/>
    </row>
    <row r="4164" spans="7:13" x14ac:dyDescent="0.35">
      <c r="G4164" s="89"/>
      <c r="H4164" s="90"/>
      <c r="L4164" s="89"/>
      <c r="M4164" s="90"/>
    </row>
    <row r="4165" spans="7:13" x14ac:dyDescent="0.35">
      <c r="G4165" s="89"/>
      <c r="H4165" s="90"/>
      <c r="L4165" s="89"/>
      <c r="M4165" s="90"/>
    </row>
    <row r="4166" spans="7:13" x14ac:dyDescent="0.35">
      <c r="G4166" s="89"/>
      <c r="H4166" s="90"/>
      <c r="L4166" s="89"/>
      <c r="M4166" s="90"/>
    </row>
    <row r="4167" spans="7:13" x14ac:dyDescent="0.35">
      <c r="G4167" s="89"/>
      <c r="H4167" s="90"/>
      <c r="L4167" s="89"/>
      <c r="M4167" s="90"/>
    </row>
    <row r="4168" spans="7:13" x14ac:dyDescent="0.35">
      <c r="G4168" s="89"/>
      <c r="H4168" s="90"/>
      <c r="L4168" s="89"/>
      <c r="M4168" s="90"/>
    </row>
    <row r="4169" spans="7:13" x14ac:dyDescent="0.35">
      <c r="G4169" s="89"/>
      <c r="H4169" s="90"/>
      <c r="L4169" s="89"/>
      <c r="M4169" s="90"/>
    </row>
    <row r="4170" spans="7:13" x14ac:dyDescent="0.35">
      <c r="G4170" s="89"/>
      <c r="H4170" s="90"/>
      <c r="L4170" s="89"/>
      <c r="M4170" s="90"/>
    </row>
    <row r="4171" spans="7:13" x14ac:dyDescent="0.35">
      <c r="G4171" s="89"/>
      <c r="H4171" s="90"/>
      <c r="L4171" s="89"/>
      <c r="M4171" s="90"/>
    </row>
    <row r="4172" spans="7:13" x14ac:dyDescent="0.35">
      <c r="G4172" s="89"/>
      <c r="H4172" s="90"/>
      <c r="L4172" s="89"/>
      <c r="M4172" s="90"/>
    </row>
    <row r="4173" spans="7:13" x14ac:dyDescent="0.35">
      <c r="G4173" s="89"/>
      <c r="H4173" s="90"/>
      <c r="L4173" s="89"/>
      <c r="M4173" s="90"/>
    </row>
    <row r="4174" spans="7:13" x14ac:dyDescent="0.35">
      <c r="G4174" s="89"/>
      <c r="H4174" s="90"/>
      <c r="L4174" s="89"/>
      <c r="M4174" s="90"/>
    </row>
    <row r="4175" spans="7:13" x14ac:dyDescent="0.35">
      <c r="G4175" s="89"/>
      <c r="H4175" s="90"/>
      <c r="L4175" s="89"/>
      <c r="M4175" s="90"/>
    </row>
    <row r="4176" spans="7:13" x14ac:dyDescent="0.35">
      <c r="G4176" s="89"/>
      <c r="H4176" s="90"/>
      <c r="L4176" s="89"/>
      <c r="M4176" s="90"/>
    </row>
    <row r="4177" spans="7:13" x14ac:dyDescent="0.35">
      <c r="G4177" s="89"/>
      <c r="H4177" s="90"/>
      <c r="L4177" s="89"/>
      <c r="M4177" s="90"/>
    </row>
    <row r="4178" spans="7:13" x14ac:dyDescent="0.35">
      <c r="G4178" s="89"/>
      <c r="H4178" s="90"/>
      <c r="L4178" s="89"/>
      <c r="M4178" s="90"/>
    </row>
    <row r="4179" spans="7:13" x14ac:dyDescent="0.35">
      <c r="G4179" s="89"/>
      <c r="H4179" s="90"/>
      <c r="L4179" s="89"/>
      <c r="M4179" s="90"/>
    </row>
    <row r="4180" spans="7:13" x14ac:dyDescent="0.35">
      <c r="G4180" s="89"/>
      <c r="H4180" s="90"/>
      <c r="L4180" s="89"/>
      <c r="M4180" s="90"/>
    </row>
    <row r="4181" spans="7:13" x14ac:dyDescent="0.35">
      <c r="G4181" s="89"/>
      <c r="H4181" s="90"/>
      <c r="L4181" s="89"/>
      <c r="M4181" s="90"/>
    </row>
    <row r="4182" spans="7:13" x14ac:dyDescent="0.35">
      <c r="G4182" s="89"/>
      <c r="H4182" s="90"/>
      <c r="L4182" s="89"/>
      <c r="M4182" s="90"/>
    </row>
    <row r="4183" spans="7:13" x14ac:dyDescent="0.35">
      <c r="G4183" s="89"/>
      <c r="H4183" s="90"/>
      <c r="L4183" s="89"/>
      <c r="M4183" s="90"/>
    </row>
    <row r="4184" spans="7:13" x14ac:dyDescent="0.35">
      <c r="G4184" s="89"/>
      <c r="H4184" s="90"/>
      <c r="L4184" s="89"/>
      <c r="M4184" s="90"/>
    </row>
    <row r="4185" spans="7:13" x14ac:dyDescent="0.35">
      <c r="G4185" s="89"/>
      <c r="H4185" s="90"/>
      <c r="L4185" s="89"/>
      <c r="M4185" s="90"/>
    </row>
    <row r="4186" spans="7:13" x14ac:dyDescent="0.35">
      <c r="G4186" s="89"/>
      <c r="H4186" s="90"/>
      <c r="L4186" s="89"/>
      <c r="M4186" s="90"/>
    </row>
    <row r="4187" spans="7:13" x14ac:dyDescent="0.35">
      <c r="G4187" s="89"/>
      <c r="H4187" s="90"/>
      <c r="L4187" s="89"/>
      <c r="M4187" s="90"/>
    </row>
    <row r="4188" spans="7:13" x14ac:dyDescent="0.35">
      <c r="G4188" s="89"/>
      <c r="H4188" s="90"/>
      <c r="L4188" s="89"/>
      <c r="M4188" s="90"/>
    </row>
    <row r="4189" spans="7:13" x14ac:dyDescent="0.35">
      <c r="G4189" s="89"/>
      <c r="H4189" s="90"/>
      <c r="L4189" s="89"/>
      <c r="M4189" s="90"/>
    </row>
    <row r="4190" spans="7:13" x14ac:dyDescent="0.35">
      <c r="G4190" s="89"/>
      <c r="H4190" s="90"/>
      <c r="L4190" s="89"/>
      <c r="M4190" s="90"/>
    </row>
    <row r="4191" spans="7:13" x14ac:dyDescent="0.35">
      <c r="G4191" s="89"/>
      <c r="H4191" s="90"/>
      <c r="L4191" s="89"/>
      <c r="M4191" s="90"/>
    </row>
    <row r="4192" spans="7:13" x14ac:dyDescent="0.35">
      <c r="G4192" s="89"/>
      <c r="H4192" s="90"/>
      <c r="L4192" s="89"/>
      <c r="M4192" s="90"/>
    </row>
    <row r="4193" spans="7:13" x14ac:dyDescent="0.35">
      <c r="G4193" s="89"/>
      <c r="H4193" s="90"/>
      <c r="L4193" s="89"/>
      <c r="M4193" s="90"/>
    </row>
    <row r="4194" spans="7:13" x14ac:dyDescent="0.35">
      <c r="G4194" s="89"/>
      <c r="H4194" s="90"/>
      <c r="L4194" s="89"/>
      <c r="M4194" s="90"/>
    </row>
    <row r="4195" spans="7:13" x14ac:dyDescent="0.35">
      <c r="G4195" s="89"/>
      <c r="H4195" s="90"/>
      <c r="L4195" s="89"/>
      <c r="M4195" s="90"/>
    </row>
    <row r="4196" spans="7:13" x14ac:dyDescent="0.35">
      <c r="G4196" s="89"/>
      <c r="H4196" s="90"/>
      <c r="L4196" s="89"/>
      <c r="M4196" s="90"/>
    </row>
    <row r="4197" spans="7:13" x14ac:dyDescent="0.35">
      <c r="G4197" s="89"/>
      <c r="H4197" s="90"/>
      <c r="L4197" s="89"/>
      <c r="M4197" s="90"/>
    </row>
    <row r="4198" spans="7:13" x14ac:dyDescent="0.35">
      <c r="G4198" s="89"/>
      <c r="H4198" s="90"/>
      <c r="L4198" s="89"/>
      <c r="M4198" s="90"/>
    </row>
    <row r="4199" spans="7:13" x14ac:dyDescent="0.35">
      <c r="G4199" s="89"/>
      <c r="H4199" s="90"/>
      <c r="L4199" s="89"/>
      <c r="M4199" s="90"/>
    </row>
    <row r="4200" spans="7:13" x14ac:dyDescent="0.35">
      <c r="G4200" s="89"/>
      <c r="H4200" s="90"/>
      <c r="L4200" s="89"/>
      <c r="M4200" s="90"/>
    </row>
    <row r="4201" spans="7:13" x14ac:dyDescent="0.35">
      <c r="G4201" s="89"/>
      <c r="H4201" s="90"/>
      <c r="L4201" s="89"/>
      <c r="M4201" s="90"/>
    </row>
    <row r="4202" spans="7:13" x14ac:dyDescent="0.35">
      <c r="G4202" s="89"/>
      <c r="H4202" s="90"/>
      <c r="L4202" s="89"/>
      <c r="M4202" s="90"/>
    </row>
    <row r="4203" spans="7:13" x14ac:dyDescent="0.35">
      <c r="G4203" s="89"/>
      <c r="H4203" s="90"/>
      <c r="L4203" s="89"/>
      <c r="M4203" s="90"/>
    </row>
    <row r="4204" spans="7:13" x14ac:dyDescent="0.35">
      <c r="G4204" s="89"/>
      <c r="H4204" s="90"/>
      <c r="L4204" s="89"/>
      <c r="M4204" s="90"/>
    </row>
    <row r="4205" spans="7:13" x14ac:dyDescent="0.35">
      <c r="G4205" s="89"/>
      <c r="H4205" s="90"/>
      <c r="L4205" s="89"/>
      <c r="M4205" s="90"/>
    </row>
    <row r="4206" spans="7:13" x14ac:dyDescent="0.35">
      <c r="G4206" s="89"/>
      <c r="H4206" s="90"/>
      <c r="L4206" s="89"/>
      <c r="M4206" s="90"/>
    </row>
    <row r="4207" spans="7:13" x14ac:dyDescent="0.35">
      <c r="G4207" s="89"/>
      <c r="H4207" s="90"/>
      <c r="L4207" s="89"/>
      <c r="M4207" s="90"/>
    </row>
    <row r="4208" spans="7:13" x14ac:dyDescent="0.35">
      <c r="G4208" s="89"/>
      <c r="H4208" s="90"/>
      <c r="L4208" s="89"/>
      <c r="M4208" s="90"/>
    </row>
    <row r="4209" spans="7:13" x14ac:dyDescent="0.35">
      <c r="G4209" s="89"/>
      <c r="H4209" s="90"/>
      <c r="L4209" s="89"/>
      <c r="M4209" s="90"/>
    </row>
    <row r="4210" spans="7:13" x14ac:dyDescent="0.35">
      <c r="G4210" s="89"/>
      <c r="H4210" s="90"/>
      <c r="L4210" s="89"/>
      <c r="M4210" s="90"/>
    </row>
    <row r="4211" spans="7:13" x14ac:dyDescent="0.35">
      <c r="G4211" s="89"/>
      <c r="H4211" s="90"/>
      <c r="L4211" s="89"/>
      <c r="M4211" s="90"/>
    </row>
    <row r="4212" spans="7:13" x14ac:dyDescent="0.35">
      <c r="G4212" s="89"/>
      <c r="H4212" s="90"/>
      <c r="L4212" s="89"/>
      <c r="M4212" s="90"/>
    </row>
    <row r="4213" spans="7:13" x14ac:dyDescent="0.35">
      <c r="G4213" s="89"/>
      <c r="H4213" s="90"/>
      <c r="L4213" s="89"/>
      <c r="M4213" s="90"/>
    </row>
    <row r="4214" spans="7:13" x14ac:dyDescent="0.35">
      <c r="G4214" s="89"/>
      <c r="H4214" s="90"/>
      <c r="L4214" s="89"/>
      <c r="M4214" s="90"/>
    </row>
    <row r="4215" spans="7:13" x14ac:dyDescent="0.35">
      <c r="G4215" s="89"/>
      <c r="H4215" s="90"/>
      <c r="L4215" s="89"/>
      <c r="M4215" s="90"/>
    </row>
    <row r="4216" spans="7:13" x14ac:dyDescent="0.35">
      <c r="G4216" s="89"/>
      <c r="H4216" s="90"/>
      <c r="L4216" s="89"/>
      <c r="M4216" s="90"/>
    </row>
    <row r="4217" spans="7:13" x14ac:dyDescent="0.35">
      <c r="G4217" s="89"/>
      <c r="H4217" s="90"/>
      <c r="L4217" s="89"/>
      <c r="M4217" s="90"/>
    </row>
    <row r="4218" spans="7:13" x14ac:dyDescent="0.35">
      <c r="G4218" s="89"/>
      <c r="H4218" s="90"/>
      <c r="L4218" s="89"/>
      <c r="M4218" s="90"/>
    </row>
    <row r="4219" spans="7:13" x14ac:dyDescent="0.35">
      <c r="G4219" s="89"/>
      <c r="H4219" s="90"/>
      <c r="L4219" s="89"/>
      <c r="M4219" s="90"/>
    </row>
    <row r="4220" spans="7:13" x14ac:dyDescent="0.35">
      <c r="G4220" s="89"/>
      <c r="H4220" s="90"/>
      <c r="L4220" s="89"/>
      <c r="M4220" s="90"/>
    </row>
    <row r="4221" spans="7:13" x14ac:dyDescent="0.35">
      <c r="G4221" s="89"/>
      <c r="H4221" s="90"/>
      <c r="L4221" s="89"/>
      <c r="M4221" s="90"/>
    </row>
    <row r="4222" spans="7:13" x14ac:dyDescent="0.35">
      <c r="G4222" s="89"/>
      <c r="H4222" s="90"/>
      <c r="L4222" s="89"/>
      <c r="M4222" s="90"/>
    </row>
    <row r="4223" spans="7:13" x14ac:dyDescent="0.35">
      <c r="G4223" s="89"/>
      <c r="H4223" s="90"/>
      <c r="L4223" s="89"/>
      <c r="M4223" s="90"/>
    </row>
    <row r="4224" spans="7:13" x14ac:dyDescent="0.35">
      <c r="G4224" s="89"/>
      <c r="H4224" s="90"/>
      <c r="L4224" s="89"/>
      <c r="M4224" s="90"/>
    </row>
    <row r="4225" spans="7:13" x14ac:dyDescent="0.35">
      <c r="G4225" s="89"/>
      <c r="H4225" s="90"/>
      <c r="L4225" s="89"/>
      <c r="M4225" s="90"/>
    </row>
    <row r="4226" spans="7:13" x14ac:dyDescent="0.35">
      <c r="G4226" s="89"/>
      <c r="H4226" s="90"/>
      <c r="L4226" s="89"/>
      <c r="M4226" s="90"/>
    </row>
    <row r="4227" spans="7:13" x14ac:dyDescent="0.35">
      <c r="G4227" s="89"/>
      <c r="H4227" s="90"/>
      <c r="L4227" s="89"/>
      <c r="M4227" s="90"/>
    </row>
    <row r="4228" spans="7:13" x14ac:dyDescent="0.35">
      <c r="G4228" s="89"/>
      <c r="H4228" s="90"/>
      <c r="L4228" s="89"/>
      <c r="M4228" s="90"/>
    </row>
    <row r="4229" spans="7:13" x14ac:dyDescent="0.35">
      <c r="G4229" s="89"/>
      <c r="H4229" s="90"/>
      <c r="L4229" s="89"/>
      <c r="M4229" s="90"/>
    </row>
    <row r="4230" spans="7:13" x14ac:dyDescent="0.35">
      <c r="G4230" s="89"/>
      <c r="H4230" s="90"/>
      <c r="L4230" s="89"/>
      <c r="M4230" s="90"/>
    </row>
    <row r="4231" spans="7:13" x14ac:dyDescent="0.35">
      <c r="G4231" s="89"/>
      <c r="H4231" s="90"/>
      <c r="L4231" s="89"/>
      <c r="M4231" s="90"/>
    </row>
    <row r="4232" spans="7:13" x14ac:dyDescent="0.35">
      <c r="G4232" s="89"/>
      <c r="H4232" s="90"/>
      <c r="L4232" s="89"/>
      <c r="M4232" s="90"/>
    </row>
    <row r="4233" spans="7:13" x14ac:dyDescent="0.35">
      <c r="G4233" s="89"/>
      <c r="H4233" s="90"/>
      <c r="L4233" s="89"/>
      <c r="M4233" s="90"/>
    </row>
    <row r="4234" spans="7:13" x14ac:dyDescent="0.35">
      <c r="G4234" s="89"/>
      <c r="H4234" s="90"/>
      <c r="L4234" s="89"/>
      <c r="M4234" s="90"/>
    </row>
    <row r="4235" spans="7:13" x14ac:dyDescent="0.35">
      <c r="G4235" s="89"/>
      <c r="H4235" s="90"/>
      <c r="L4235" s="89"/>
      <c r="M4235" s="90"/>
    </row>
    <row r="4236" spans="7:13" x14ac:dyDescent="0.35">
      <c r="G4236" s="89"/>
      <c r="H4236" s="90"/>
      <c r="L4236" s="89"/>
      <c r="M4236" s="90"/>
    </row>
    <row r="4237" spans="7:13" x14ac:dyDescent="0.35">
      <c r="G4237" s="89"/>
      <c r="H4237" s="90"/>
      <c r="L4237" s="89"/>
      <c r="M4237" s="90"/>
    </row>
    <row r="4238" spans="7:13" x14ac:dyDescent="0.35">
      <c r="G4238" s="89"/>
      <c r="H4238" s="90"/>
      <c r="L4238" s="89"/>
      <c r="M4238" s="90"/>
    </row>
    <row r="4239" spans="7:13" x14ac:dyDescent="0.35">
      <c r="G4239" s="89"/>
      <c r="H4239" s="90"/>
      <c r="L4239" s="89"/>
      <c r="M4239" s="90"/>
    </row>
    <row r="4240" spans="7:13" x14ac:dyDescent="0.35">
      <c r="G4240" s="89"/>
      <c r="H4240" s="90"/>
      <c r="L4240" s="89"/>
      <c r="M4240" s="90"/>
    </row>
    <row r="4241" spans="7:13" x14ac:dyDescent="0.35">
      <c r="G4241" s="89"/>
      <c r="H4241" s="90"/>
      <c r="L4241" s="89"/>
      <c r="M4241" s="90"/>
    </row>
    <row r="4242" spans="7:13" x14ac:dyDescent="0.35">
      <c r="G4242" s="89"/>
      <c r="H4242" s="90"/>
      <c r="L4242" s="89"/>
      <c r="M4242" s="90"/>
    </row>
    <row r="4243" spans="7:13" x14ac:dyDescent="0.35">
      <c r="G4243" s="89"/>
      <c r="H4243" s="90"/>
      <c r="L4243" s="89"/>
      <c r="M4243" s="90"/>
    </row>
    <row r="4244" spans="7:13" x14ac:dyDescent="0.35">
      <c r="G4244" s="89"/>
      <c r="H4244" s="90"/>
      <c r="L4244" s="89"/>
      <c r="M4244" s="90"/>
    </row>
    <row r="4245" spans="7:13" x14ac:dyDescent="0.35">
      <c r="G4245" s="89"/>
      <c r="H4245" s="90"/>
      <c r="L4245" s="89"/>
      <c r="M4245" s="90"/>
    </row>
    <row r="4246" spans="7:13" x14ac:dyDescent="0.35">
      <c r="G4246" s="89"/>
      <c r="H4246" s="90"/>
      <c r="L4246" s="89"/>
      <c r="M4246" s="90"/>
    </row>
    <row r="4247" spans="7:13" x14ac:dyDescent="0.35">
      <c r="G4247" s="89"/>
      <c r="H4247" s="90"/>
      <c r="L4247" s="89"/>
      <c r="M4247" s="90"/>
    </row>
    <row r="4248" spans="7:13" x14ac:dyDescent="0.35">
      <c r="G4248" s="89"/>
      <c r="H4248" s="90"/>
      <c r="L4248" s="89"/>
      <c r="M4248" s="90"/>
    </row>
    <row r="4249" spans="7:13" x14ac:dyDescent="0.35">
      <c r="G4249" s="89"/>
      <c r="H4249" s="90"/>
      <c r="L4249" s="89"/>
      <c r="M4249" s="90"/>
    </row>
    <row r="4250" spans="7:13" x14ac:dyDescent="0.35">
      <c r="G4250" s="89"/>
      <c r="H4250" s="90"/>
      <c r="L4250" s="89"/>
      <c r="M4250" s="90"/>
    </row>
    <row r="4251" spans="7:13" x14ac:dyDescent="0.35">
      <c r="G4251" s="89"/>
      <c r="H4251" s="90"/>
      <c r="L4251" s="89"/>
      <c r="M4251" s="90"/>
    </row>
    <row r="4252" spans="7:13" x14ac:dyDescent="0.35">
      <c r="G4252" s="89"/>
      <c r="H4252" s="90"/>
      <c r="L4252" s="89"/>
      <c r="M4252" s="90"/>
    </row>
    <row r="4253" spans="7:13" x14ac:dyDescent="0.35">
      <c r="G4253" s="89"/>
      <c r="H4253" s="90"/>
      <c r="L4253" s="89"/>
      <c r="M4253" s="90"/>
    </row>
    <row r="4254" spans="7:13" x14ac:dyDescent="0.35">
      <c r="G4254" s="89"/>
      <c r="H4254" s="90"/>
      <c r="L4254" s="89"/>
      <c r="M4254" s="90"/>
    </row>
    <row r="4255" spans="7:13" x14ac:dyDescent="0.35">
      <c r="G4255" s="89"/>
      <c r="H4255" s="90"/>
      <c r="L4255" s="89"/>
      <c r="M4255" s="90"/>
    </row>
    <row r="4256" spans="7:13" x14ac:dyDescent="0.35">
      <c r="G4256" s="89"/>
      <c r="H4256" s="90"/>
      <c r="L4256" s="89"/>
      <c r="M4256" s="90"/>
    </row>
    <row r="4257" spans="7:13" x14ac:dyDescent="0.35">
      <c r="G4257" s="89"/>
      <c r="H4257" s="90"/>
      <c r="L4257" s="89"/>
      <c r="M4257" s="90"/>
    </row>
    <row r="4258" spans="7:13" x14ac:dyDescent="0.35">
      <c r="G4258" s="89"/>
      <c r="H4258" s="90"/>
      <c r="L4258" s="89"/>
      <c r="M4258" s="90"/>
    </row>
    <row r="4259" spans="7:13" x14ac:dyDescent="0.35">
      <c r="G4259" s="89"/>
      <c r="H4259" s="90"/>
      <c r="L4259" s="89"/>
      <c r="M4259" s="90"/>
    </row>
    <row r="4260" spans="7:13" x14ac:dyDescent="0.35">
      <c r="G4260" s="89"/>
      <c r="H4260" s="90"/>
      <c r="L4260" s="89"/>
      <c r="M4260" s="90"/>
    </row>
    <row r="4261" spans="7:13" x14ac:dyDescent="0.35">
      <c r="G4261" s="89"/>
      <c r="H4261" s="90"/>
      <c r="L4261" s="89"/>
      <c r="M4261" s="90"/>
    </row>
    <row r="4262" spans="7:13" x14ac:dyDescent="0.35">
      <c r="G4262" s="89"/>
      <c r="H4262" s="90"/>
      <c r="L4262" s="89"/>
      <c r="M4262" s="90"/>
    </row>
    <row r="4263" spans="7:13" x14ac:dyDescent="0.35">
      <c r="G4263" s="89"/>
      <c r="H4263" s="90"/>
      <c r="L4263" s="89"/>
      <c r="M4263" s="90"/>
    </row>
    <row r="4264" spans="7:13" x14ac:dyDescent="0.35">
      <c r="G4264" s="89"/>
      <c r="H4264" s="90"/>
      <c r="L4264" s="89"/>
      <c r="M4264" s="90"/>
    </row>
    <row r="4265" spans="7:13" x14ac:dyDescent="0.35">
      <c r="G4265" s="89"/>
      <c r="H4265" s="90"/>
      <c r="L4265" s="89"/>
      <c r="M4265" s="90"/>
    </row>
    <row r="4266" spans="7:13" x14ac:dyDescent="0.35">
      <c r="G4266" s="89"/>
      <c r="H4266" s="90"/>
      <c r="L4266" s="89"/>
      <c r="M4266" s="90"/>
    </row>
    <row r="4267" spans="7:13" x14ac:dyDescent="0.35">
      <c r="G4267" s="89"/>
      <c r="H4267" s="90"/>
      <c r="L4267" s="89"/>
      <c r="M4267" s="90"/>
    </row>
    <row r="4268" spans="7:13" x14ac:dyDescent="0.35">
      <c r="G4268" s="89"/>
      <c r="H4268" s="90"/>
      <c r="L4268" s="89"/>
      <c r="M4268" s="90"/>
    </row>
    <row r="4269" spans="7:13" x14ac:dyDescent="0.35">
      <c r="G4269" s="89"/>
      <c r="H4269" s="90"/>
      <c r="L4269" s="89"/>
      <c r="M4269" s="90"/>
    </row>
    <row r="4270" spans="7:13" x14ac:dyDescent="0.35">
      <c r="G4270" s="89"/>
      <c r="H4270" s="90"/>
      <c r="L4270" s="89"/>
      <c r="M4270" s="90"/>
    </row>
    <row r="4271" spans="7:13" x14ac:dyDescent="0.35">
      <c r="G4271" s="89"/>
      <c r="H4271" s="90"/>
      <c r="L4271" s="89"/>
      <c r="M4271" s="90"/>
    </row>
    <row r="4272" spans="7:13" x14ac:dyDescent="0.35">
      <c r="G4272" s="89"/>
      <c r="H4272" s="90"/>
      <c r="L4272" s="89"/>
      <c r="M4272" s="90"/>
    </row>
    <row r="4273" spans="7:13" x14ac:dyDescent="0.35">
      <c r="G4273" s="89"/>
      <c r="H4273" s="90"/>
      <c r="L4273" s="89"/>
      <c r="M4273" s="90"/>
    </row>
    <row r="4274" spans="7:13" x14ac:dyDescent="0.35">
      <c r="G4274" s="89"/>
      <c r="H4274" s="90"/>
      <c r="L4274" s="89"/>
      <c r="M4274" s="90"/>
    </row>
    <row r="4275" spans="7:13" x14ac:dyDescent="0.35">
      <c r="G4275" s="89"/>
      <c r="H4275" s="90"/>
      <c r="L4275" s="89"/>
      <c r="M4275" s="90"/>
    </row>
    <row r="4276" spans="7:13" x14ac:dyDescent="0.35">
      <c r="G4276" s="89"/>
      <c r="H4276" s="90"/>
      <c r="L4276" s="89"/>
      <c r="M4276" s="90"/>
    </row>
    <row r="4277" spans="7:13" x14ac:dyDescent="0.35">
      <c r="G4277" s="89"/>
      <c r="H4277" s="90"/>
      <c r="L4277" s="89"/>
      <c r="M4277" s="90"/>
    </row>
    <row r="4278" spans="7:13" x14ac:dyDescent="0.35">
      <c r="G4278" s="89"/>
      <c r="H4278" s="90"/>
      <c r="L4278" s="89"/>
      <c r="M4278" s="90"/>
    </row>
    <row r="4279" spans="7:13" x14ac:dyDescent="0.35">
      <c r="G4279" s="89"/>
      <c r="H4279" s="90"/>
      <c r="L4279" s="89"/>
      <c r="M4279" s="90"/>
    </row>
    <row r="4280" spans="7:13" x14ac:dyDescent="0.35">
      <c r="G4280" s="89"/>
      <c r="H4280" s="90"/>
      <c r="L4280" s="89"/>
      <c r="M4280" s="90"/>
    </row>
    <row r="4281" spans="7:13" x14ac:dyDescent="0.35">
      <c r="G4281" s="89"/>
      <c r="H4281" s="90"/>
      <c r="L4281" s="89"/>
      <c r="M4281" s="90"/>
    </row>
    <row r="4282" spans="7:13" x14ac:dyDescent="0.35">
      <c r="G4282" s="89"/>
      <c r="H4282" s="90"/>
      <c r="L4282" s="89"/>
      <c r="M4282" s="90"/>
    </row>
    <row r="4283" spans="7:13" x14ac:dyDescent="0.35">
      <c r="G4283" s="89"/>
      <c r="H4283" s="90"/>
      <c r="L4283" s="89"/>
      <c r="M4283" s="90"/>
    </row>
    <row r="4284" spans="7:13" x14ac:dyDescent="0.35">
      <c r="G4284" s="89"/>
      <c r="H4284" s="90"/>
      <c r="L4284" s="89"/>
      <c r="M4284" s="90"/>
    </row>
    <row r="4285" spans="7:13" x14ac:dyDescent="0.35">
      <c r="G4285" s="89"/>
      <c r="H4285" s="90"/>
      <c r="L4285" s="89"/>
      <c r="M4285" s="90"/>
    </row>
    <row r="4286" spans="7:13" x14ac:dyDescent="0.35">
      <c r="G4286" s="89"/>
      <c r="H4286" s="90"/>
      <c r="L4286" s="89"/>
      <c r="M4286" s="90"/>
    </row>
    <row r="4287" spans="7:13" x14ac:dyDescent="0.35">
      <c r="G4287" s="89"/>
      <c r="H4287" s="90"/>
      <c r="L4287" s="89"/>
      <c r="M4287" s="90"/>
    </row>
    <row r="4288" spans="7:13" x14ac:dyDescent="0.35">
      <c r="G4288" s="89"/>
      <c r="H4288" s="90"/>
      <c r="L4288" s="89"/>
      <c r="M4288" s="90"/>
    </row>
    <row r="4289" spans="7:13" x14ac:dyDescent="0.35">
      <c r="G4289" s="89"/>
      <c r="H4289" s="90"/>
      <c r="L4289" s="89"/>
      <c r="M4289" s="90"/>
    </row>
    <row r="4290" spans="7:13" x14ac:dyDescent="0.35">
      <c r="G4290" s="89"/>
      <c r="H4290" s="90"/>
      <c r="L4290" s="89"/>
      <c r="M4290" s="90"/>
    </row>
    <row r="4291" spans="7:13" x14ac:dyDescent="0.35">
      <c r="G4291" s="89"/>
      <c r="H4291" s="90"/>
      <c r="L4291" s="89"/>
      <c r="M4291" s="90"/>
    </row>
    <row r="4292" spans="7:13" x14ac:dyDescent="0.35">
      <c r="G4292" s="89"/>
      <c r="H4292" s="90"/>
      <c r="L4292" s="89"/>
      <c r="M4292" s="90"/>
    </row>
    <row r="4293" spans="7:13" x14ac:dyDescent="0.35">
      <c r="G4293" s="89"/>
      <c r="H4293" s="90"/>
      <c r="L4293" s="89"/>
      <c r="M4293" s="90"/>
    </row>
    <row r="4294" spans="7:13" x14ac:dyDescent="0.35">
      <c r="G4294" s="89"/>
      <c r="H4294" s="90"/>
      <c r="L4294" s="89"/>
      <c r="M4294" s="90"/>
    </row>
    <row r="4295" spans="7:13" x14ac:dyDescent="0.35">
      <c r="G4295" s="89"/>
      <c r="H4295" s="90"/>
      <c r="L4295" s="89"/>
      <c r="M4295" s="90"/>
    </row>
    <row r="4296" spans="7:13" x14ac:dyDescent="0.35">
      <c r="G4296" s="89"/>
      <c r="H4296" s="90"/>
      <c r="L4296" s="89"/>
      <c r="M4296" s="90"/>
    </row>
    <row r="4297" spans="7:13" x14ac:dyDescent="0.35">
      <c r="G4297" s="89"/>
      <c r="H4297" s="90"/>
      <c r="L4297" s="89"/>
      <c r="M4297" s="90"/>
    </row>
    <row r="4298" spans="7:13" x14ac:dyDescent="0.35">
      <c r="G4298" s="89"/>
      <c r="H4298" s="90"/>
      <c r="L4298" s="89"/>
      <c r="M4298" s="90"/>
    </row>
    <row r="4299" spans="7:13" x14ac:dyDescent="0.35">
      <c r="G4299" s="89"/>
      <c r="H4299" s="90"/>
      <c r="L4299" s="89"/>
      <c r="M4299" s="90"/>
    </row>
    <row r="4300" spans="7:13" x14ac:dyDescent="0.35">
      <c r="G4300" s="89"/>
      <c r="H4300" s="90"/>
      <c r="L4300" s="89"/>
      <c r="M4300" s="90"/>
    </row>
    <row r="4301" spans="7:13" x14ac:dyDescent="0.35">
      <c r="G4301" s="89"/>
      <c r="H4301" s="90"/>
      <c r="L4301" s="89"/>
      <c r="M4301" s="90"/>
    </row>
    <row r="4302" spans="7:13" x14ac:dyDescent="0.35">
      <c r="G4302" s="89"/>
      <c r="H4302" s="90"/>
      <c r="L4302" s="89"/>
      <c r="M4302" s="90"/>
    </row>
    <row r="4303" spans="7:13" x14ac:dyDescent="0.35">
      <c r="G4303" s="89"/>
      <c r="H4303" s="90"/>
      <c r="L4303" s="89"/>
      <c r="M4303" s="90"/>
    </row>
    <row r="4304" spans="7:13" x14ac:dyDescent="0.35">
      <c r="G4304" s="89"/>
      <c r="H4304" s="90"/>
      <c r="L4304" s="89"/>
      <c r="M4304" s="90"/>
    </row>
    <row r="4305" spans="7:13" x14ac:dyDescent="0.35">
      <c r="G4305" s="89"/>
      <c r="H4305" s="90"/>
      <c r="L4305" s="89"/>
      <c r="M4305" s="90"/>
    </row>
    <row r="4306" spans="7:13" x14ac:dyDescent="0.35">
      <c r="G4306" s="89"/>
      <c r="H4306" s="90"/>
      <c r="L4306" s="89"/>
      <c r="M4306" s="90"/>
    </row>
    <row r="4307" spans="7:13" x14ac:dyDescent="0.35">
      <c r="G4307" s="89"/>
      <c r="H4307" s="90"/>
      <c r="L4307" s="89"/>
      <c r="M4307" s="90"/>
    </row>
    <row r="4308" spans="7:13" x14ac:dyDescent="0.35">
      <c r="G4308" s="89"/>
      <c r="H4308" s="90"/>
      <c r="L4308" s="89"/>
      <c r="M4308" s="90"/>
    </row>
    <row r="4309" spans="7:13" x14ac:dyDescent="0.35">
      <c r="G4309" s="89"/>
      <c r="H4309" s="90"/>
      <c r="L4309" s="89"/>
      <c r="M4309" s="90"/>
    </row>
    <row r="4310" spans="7:13" x14ac:dyDescent="0.35">
      <c r="G4310" s="89"/>
      <c r="H4310" s="90"/>
      <c r="L4310" s="89"/>
      <c r="M4310" s="90"/>
    </row>
    <row r="4311" spans="7:13" x14ac:dyDescent="0.35">
      <c r="G4311" s="89"/>
      <c r="H4311" s="90"/>
      <c r="L4311" s="89"/>
      <c r="M4311" s="90"/>
    </row>
    <row r="4312" spans="7:13" x14ac:dyDescent="0.35">
      <c r="G4312" s="89"/>
      <c r="H4312" s="90"/>
      <c r="L4312" s="89"/>
      <c r="M4312" s="90"/>
    </row>
    <row r="4313" spans="7:13" x14ac:dyDescent="0.35">
      <c r="G4313" s="89"/>
      <c r="H4313" s="90"/>
      <c r="L4313" s="89"/>
      <c r="M4313" s="90"/>
    </row>
    <row r="4314" spans="7:13" x14ac:dyDescent="0.35">
      <c r="G4314" s="89"/>
      <c r="H4314" s="90"/>
      <c r="L4314" s="89"/>
      <c r="M4314" s="90"/>
    </row>
    <row r="4315" spans="7:13" x14ac:dyDescent="0.35">
      <c r="G4315" s="89"/>
      <c r="H4315" s="90"/>
      <c r="L4315" s="89"/>
      <c r="M4315" s="90"/>
    </row>
    <row r="4316" spans="7:13" x14ac:dyDescent="0.35">
      <c r="G4316" s="89"/>
      <c r="H4316" s="90"/>
      <c r="L4316" s="89"/>
      <c r="M4316" s="90"/>
    </row>
    <row r="4317" spans="7:13" x14ac:dyDescent="0.35">
      <c r="G4317" s="89"/>
      <c r="H4317" s="90"/>
      <c r="L4317" s="89"/>
      <c r="M4317" s="90"/>
    </row>
    <row r="4318" spans="7:13" x14ac:dyDescent="0.35">
      <c r="G4318" s="89"/>
      <c r="H4318" s="90"/>
      <c r="L4318" s="89"/>
      <c r="M4318" s="90"/>
    </row>
    <row r="4319" spans="7:13" x14ac:dyDescent="0.35">
      <c r="G4319" s="89"/>
      <c r="H4319" s="90"/>
      <c r="L4319" s="89"/>
      <c r="M4319" s="90"/>
    </row>
    <row r="4320" spans="7:13" x14ac:dyDescent="0.35">
      <c r="G4320" s="89"/>
      <c r="H4320" s="90"/>
      <c r="L4320" s="89"/>
      <c r="M4320" s="90"/>
    </row>
    <row r="4321" spans="7:13" x14ac:dyDescent="0.35">
      <c r="G4321" s="89"/>
      <c r="H4321" s="90"/>
      <c r="L4321" s="89"/>
      <c r="M4321" s="90"/>
    </row>
    <row r="4322" spans="7:13" x14ac:dyDescent="0.35">
      <c r="G4322" s="89"/>
      <c r="H4322" s="90"/>
      <c r="L4322" s="89"/>
      <c r="M4322" s="90"/>
    </row>
    <row r="4323" spans="7:13" x14ac:dyDescent="0.35">
      <c r="G4323" s="89"/>
      <c r="H4323" s="90"/>
      <c r="L4323" s="89"/>
      <c r="M4323" s="90"/>
    </row>
    <row r="4324" spans="7:13" x14ac:dyDescent="0.35">
      <c r="G4324" s="89"/>
      <c r="H4324" s="90"/>
      <c r="L4324" s="89"/>
      <c r="M4324" s="90"/>
    </row>
    <row r="4325" spans="7:13" x14ac:dyDescent="0.35">
      <c r="G4325" s="89"/>
      <c r="H4325" s="90"/>
      <c r="L4325" s="89"/>
      <c r="M4325" s="90"/>
    </row>
    <row r="4326" spans="7:13" x14ac:dyDescent="0.35">
      <c r="G4326" s="89"/>
      <c r="H4326" s="90"/>
      <c r="L4326" s="89"/>
      <c r="M4326" s="90"/>
    </row>
    <row r="4327" spans="7:13" x14ac:dyDescent="0.35">
      <c r="G4327" s="89"/>
      <c r="H4327" s="90"/>
      <c r="L4327" s="89"/>
      <c r="M4327" s="90"/>
    </row>
    <row r="4328" spans="7:13" x14ac:dyDescent="0.35">
      <c r="G4328" s="89"/>
      <c r="H4328" s="90"/>
      <c r="L4328" s="89"/>
      <c r="M4328" s="90"/>
    </row>
    <row r="4329" spans="7:13" x14ac:dyDescent="0.35">
      <c r="G4329" s="89"/>
      <c r="H4329" s="90"/>
      <c r="L4329" s="89"/>
      <c r="M4329" s="90"/>
    </row>
    <row r="4330" spans="7:13" x14ac:dyDescent="0.35">
      <c r="G4330" s="89"/>
      <c r="H4330" s="90"/>
      <c r="L4330" s="89"/>
      <c r="M4330" s="90"/>
    </row>
    <row r="4331" spans="7:13" x14ac:dyDescent="0.35">
      <c r="G4331" s="89"/>
      <c r="H4331" s="90"/>
      <c r="L4331" s="89"/>
      <c r="M4331" s="90"/>
    </row>
    <row r="4332" spans="7:13" x14ac:dyDescent="0.35">
      <c r="G4332" s="89"/>
      <c r="H4332" s="90"/>
      <c r="L4332" s="89"/>
      <c r="M4332" s="90"/>
    </row>
    <row r="4333" spans="7:13" x14ac:dyDescent="0.35">
      <c r="G4333" s="89"/>
      <c r="H4333" s="90"/>
      <c r="L4333" s="89"/>
      <c r="M4333" s="90"/>
    </row>
    <row r="4334" spans="7:13" x14ac:dyDescent="0.35">
      <c r="G4334" s="89"/>
      <c r="H4334" s="90"/>
      <c r="L4334" s="89"/>
      <c r="M4334" s="90"/>
    </row>
    <row r="4335" spans="7:13" x14ac:dyDescent="0.35">
      <c r="G4335" s="89"/>
      <c r="H4335" s="90"/>
      <c r="L4335" s="89"/>
      <c r="M4335" s="90"/>
    </row>
    <row r="4336" spans="7:13" x14ac:dyDescent="0.35">
      <c r="G4336" s="89"/>
      <c r="H4336" s="90"/>
      <c r="L4336" s="89"/>
      <c r="M4336" s="90"/>
    </row>
    <row r="4337" spans="7:13" x14ac:dyDescent="0.35">
      <c r="G4337" s="89"/>
      <c r="H4337" s="90"/>
      <c r="L4337" s="89"/>
      <c r="M4337" s="90"/>
    </row>
    <row r="4338" spans="7:13" x14ac:dyDescent="0.35">
      <c r="G4338" s="89"/>
      <c r="H4338" s="90"/>
      <c r="L4338" s="89"/>
      <c r="M4338" s="90"/>
    </row>
    <row r="4339" spans="7:13" x14ac:dyDescent="0.35">
      <c r="G4339" s="89"/>
      <c r="H4339" s="90"/>
      <c r="L4339" s="89"/>
      <c r="M4339" s="90"/>
    </row>
    <row r="4340" spans="7:13" x14ac:dyDescent="0.35">
      <c r="G4340" s="89"/>
      <c r="H4340" s="90"/>
      <c r="L4340" s="89"/>
      <c r="M4340" s="90"/>
    </row>
    <row r="4341" spans="7:13" x14ac:dyDescent="0.35">
      <c r="G4341" s="89"/>
      <c r="H4341" s="90"/>
      <c r="L4341" s="89"/>
      <c r="M4341" s="90"/>
    </row>
    <row r="4342" spans="7:13" x14ac:dyDescent="0.35">
      <c r="G4342" s="89"/>
      <c r="H4342" s="90"/>
      <c r="L4342" s="89"/>
      <c r="M4342" s="90"/>
    </row>
    <row r="4343" spans="7:13" x14ac:dyDescent="0.35">
      <c r="G4343" s="89"/>
      <c r="H4343" s="90"/>
      <c r="L4343" s="89"/>
      <c r="M4343" s="90"/>
    </row>
    <row r="4344" spans="7:13" x14ac:dyDescent="0.35">
      <c r="G4344" s="89"/>
      <c r="H4344" s="90"/>
      <c r="L4344" s="89"/>
      <c r="M4344" s="90"/>
    </row>
    <row r="4345" spans="7:13" x14ac:dyDescent="0.35">
      <c r="G4345" s="89"/>
      <c r="H4345" s="90"/>
      <c r="L4345" s="89"/>
      <c r="M4345" s="90"/>
    </row>
    <row r="4346" spans="7:13" x14ac:dyDescent="0.35">
      <c r="G4346" s="89"/>
      <c r="H4346" s="90"/>
      <c r="L4346" s="89"/>
      <c r="M4346" s="90"/>
    </row>
    <row r="4347" spans="7:13" x14ac:dyDescent="0.35">
      <c r="G4347" s="89"/>
      <c r="H4347" s="90"/>
      <c r="L4347" s="89"/>
      <c r="M4347" s="90"/>
    </row>
    <row r="4348" spans="7:13" x14ac:dyDescent="0.35">
      <c r="G4348" s="89"/>
      <c r="H4348" s="90"/>
      <c r="L4348" s="89"/>
      <c r="M4348" s="90"/>
    </row>
    <row r="4349" spans="7:13" x14ac:dyDescent="0.35">
      <c r="G4349" s="89"/>
      <c r="H4349" s="90"/>
      <c r="L4349" s="89"/>
      <c r="M4349" s="90"/>
    </row>
    <row r="4350" spans="7:13" x14ac:dyDescent="0.35">
      <c r="G4350" s="89"/>
      <c r="H4350" s="90"/>
      <c r="L4350" s="89"/>
      <c r="M4350" s="90"/>
    </row>
    <row r="4351" spans="7:13" x14ac:dyDescent="0.35">
      <c r="G4351" s="89"/>
      <c r="H4351" s="90"/>
      <c r="L4351" s="89"/>
      <c r="M4351" s="90"/>
    </row>
    <row r="4352" spans="7:13" x14ac:dyDescent="0.35">
      <c r="G4352" s="89"/>
      <c r="H4352" s="90"/>
      <c r="L4352" s="89"/>
      <c r="M4352" s="90"/>
    </row>
    <row r="4353" spans="7:13" x14ac:dyDescent="0.35">
      <c r="G4353" s="89"/>
      <c r="H4353" s="90"/>
      <c r="L4353" s="89"/>
      <c r="M4353" s="90"/>
    </row>
    <row r="4354" spans="7:13" x14ac:dyDescent="0.35">
      <c r="G4354" s="89"/>
      <c r="H4354" s="90"/>
      <c r="L4354" s="89"/>
      <c r="M4354" s="90"/>
    </row>
    <row r="4355" spans="7:13" x14ac:dyDescent="0.35">
      <c r="G4355" s="89"/>
      <c r="H4355" s="90"/>
      <c r="L4355" s="89"/>
      <c r="M4355" s="90"/>
    </row>
    <row r="4356" spans="7:13" x14ac:dyDescent="0.35">
      <c r="G4356" s="89"/>
      <c r="H4356" s="90"/>
      <c r="L4356" s="89"/>
      <c r="M4356" s="90"/>
    </row>
    <row r="4357" spans="7:13" x14ac:dyDescent="0.35">
      <c r="G4357" s="89"/>
      <c r="H4357" s="90"/>
      <c r="L4357" s="89"/>
      <c r="M4357" s="90"/>
    </row>
    <row r="4358" spans="7:13" x14ac:dyDescent="0.35">
      <c r="G4358" s="89"/>
      <c r="H4358" s="90"/>
      <c r="L4358" s="89"/>
      <c r="M4358" s="90"/>
    </row>
    <row r="4359" spans="7:13" x14ac:dyDescent="0.35">
      <c r="G4359" s="89"/>
      <c r="H4359" s="90"/>
      <c r="L4359" s="89"/>
      <c r="M4359" s="90"/>
    </row>
    <row r="4360" spans="7:13" x14ac:dyDescent="0.35">
      <c r="G4360" s="89"/>
      <c r="H4360" s="90"/>
      <c r="L4360" s="89"/>
      <c r="M4360" s="90"/>
    </row>
    <row r="4361" spans="7:13" x14ac:dyDescent="0.35">
      <c r="G4361" s="89"/>
      <c r="H4361" s="90"/>
      <c r="L4361" s="89"/>
      <c r="M4361" s="90"/>
    </row>
    <row r="4362" spans="7:13" x14ac:dyDescent="0.35">
      <c r="G4362" s="89"/>
      <c r="H4362" s="90"/>
      <c r="L4362" s="89"/>
      <c r="M4362" s="90"/>
    </row>
    <row r="4363" spans="7:13" x14ac:dyDescent="0.35">
      <c r="G4363" s="89"/>
      <c r="H4363" s="90"/>
      <c r="L4363" s="89"/>
      <c r="M4363" s="90"/>
    </row>
    <row r="4364" spans="7:13" x14ac:dyDescent="0.35">
      <c r="G4364" s="89"/>
      <c r="H4364" s="90"/>
      <c r="L4364" s="89"/>
      <c r="M4364" s="90"/>
    </row>
    <row r="4365" spans="7:13" x14ac:dyDescent="0.35">
      <c r="G4365" s="89"/>
      <c r="H4365" s="90"/>
      <c r="L4365" s="89"/>
      <c r="M4365" s="90"/>
    </row>
    <row r="4366" spans="7:13" x14ac:dyDescent="0.35">
      <c r="G4366" s="89"/>
      <c r="H4366" s="90"/>
      <c r="L4366" s="89"/>
      <c r="M4366" s="90"/>
    </row>
    <row r="4367" spans="7:13" x14ac:dyDescent="0.35">
      <c r="G4367" s="89"/>
      <c r="H4367" s="90"/>
      <c r="L4367" s="89"/>
      <c r="M4367" s="90"/>
    </row>
    <row r="4368" spans="7:13" x14ac:dyDescent="0.35">
      <c r="G4368" s="89"/>
      <c r="H4368" s="90"/>
      <c r="L4368" s="89"/>
      <c r="M4368" s="90"/>
    </row>
    <row r="4369" spans="7:13" x14ac:dyDescent="0.35">
      <c r="G4369" s="89"/>
      <c r="H4369" s="90"/>
      <c r="L4369" s="89"/>
      <c r="M4369" s="90"/>
    </row>
    <row r="4370" spans="7:13" x14ac:dyDescent="0.35">
      <c r="G4370" s="89"/>
      <c r="H4370" s="90"/>
      <c r="L4370" s="89"/>
      <c r="M4370" s="90"/>
    </row>
    <row r="4371" spans="7:13" x14ac:dyDescent="0.35">
      <c r="G4371" s="89"/>
      <c r="H4371" s="90"/>
      <c r="L4371" s="89"/>
      <c r="M4371" s="90"/>
    </row>
    <row r="4372" spans="7:13" x14ac:dyDescent="0.35">
      <c r="G4372" s="89"/>
      <c r="H4372" s="90"/>
      <c r="L4372" s="89"/>
      <c r="M4372" s="90"/>
    </row>
    <row r="4373" spans="7:13" x14ac:dyDescent="0.35">
      <c r="G4373" s="89"/>
      <c r="H4373" s="90"/>
      <c r="L4373" s="89"/>
      <c r="M4373" s="90"/>
    </row>
    <row r="4374" spans="7:13" x14ac:dyDescent="0.35">
      <c r="G4374" s="89"/>
      <c r="H4374" s="90"/>
      <c r="L4374" s="89"/>
      <c r="M4374" s="90"/>
    </row>
    <row r="4375" spans="7:13" x14ac:dyDescent="0.35">
      <c r="G4375" s="89"/>
      <c r="H4375" s="90"/>
      <c r="L4375" s="89"/>
      <c r="M4375" s="90"/>
    </row>
    <row r="4376" spans="7:13" x14ac:dyDescent="0.35">
      <c r="G4376" s="89"/>
      <c r="H4376" s="90"/>
      <c r="L4376" s="89"/>
      <c r="M4376" s="90"/>
    </row>
    <row r="4377" spans="7:13" x14ac:dyDescent="0.35">
      <c r="G4377" s="89"/>
      <c r="H4377" s="90"/>
      <c r="L4377" s="89"/>
      <c r="M4377" s="90"/>
    </row>
    <row r="4378" spans="7:13" x14ac:dyDescent="0.35">
      <c r="G4378" s="89"/>
      <c r="H4378" s="90"/>
      <c r="L4378" s="89"/>
      <c r="M4378" s="90"/>
    </row>
    <row r="4379" spans="7:13" x14ac:dyDescent="0.35">
      <c r="G4379" s="89"/>
      <c r="H4379" s="90"/>
      <c r="L4379" s="89"/>
      <c r="M4379" s="90"/>
    </row>
    <row r="4380" spans="7:13" x14ac:dyDescent="0.35">
      <c r="G4380" s="89"/>
      <c r="H4380" s="90"/>
      <c r="L4380" s="89"/>
      <c r="M4380" s="90"/>
    </row>
    <row r="4381" spans="7:13" x14ac:dyDescent="0.35">
      <c r="G4381" s="89"/>
      <c r="H4381" s="90"/>
      <c r="L4381" s="89"/>
      <c r="M4381" s="90"/>
    </row>
    <row r="4382" spans="7:13" x14ac:dyDescent="0.35">
      <c r="G4382" s="89"/>
      <c r="H4382" s="90"/>
      <c r="L4382" s="89"/>
      <c r="M4382" s="90"/>
    </row>
    <row r="4383" spans="7:13" x14ac:dyDescent="0.35">
      <c r="G4383" s="89"/>
      <c r="H4383" s="90"/>
      <c r="L4383" s="89"/>
      <c r="M4383" s="90"/>
    </row>
    <row r="4384" spans="7:13" x14ac:dyDescent="0.35">
      <c r="G4384" s="89"/>
      <c r="H4384" s="90"/>
      <c r="L4384" s="89"/>
      <c r="M4384" s="90"/>
    </row>
    <row r="4385" spans="7:13" x14ac:dyDescent="0.35">
      <c r="G4385" s="89"/>
      <c r="H4385" s="90"/>
      <c r="L4385" s="89"/>
      <c r="M4385" s="90"/>
    </row>
    <row r="4386" spans="7:13" x14ac:dyDescent="0.35">
      <c r="G4386" s="89"/>
      <c r="H4386" s="90"/>
      <c r="L4386" s="89"/>
      <c r="M4386" s="90"/>
    </row>
    <row r="4387" spans="7:13" x14ac:dyDescent="0.35">
      <c r="G4387" s="89"/>
      <c r="H4387" s="90"/>
      <c r="L4387" s="89"/>
      <c r="M4387" s="90"/>
    </row>
    <row r="4388" spans="7:13" x14ac:dyDescent="0.35">
      <c r="G4388" s="89"/>
      <c r="H4388" s="90"/>
      <c r="L4388" s="89"/>
      <c r="M4388" s="90"/>
    </row>
    <row r="4389" spans="7:13" x14ac:dyDescent="0.35">
      <c r="G4389" s="89"/>
      <c r="H4389" s="90"/>
      <c r="L4389" s="89"/>
      <c r="M4389" s="90"/>
    </row>
    <row r="4390" spans="7:13" x14ac:dyDescent="0.35">
      <c r="G4390" s="89"/>
      <c r="H4390" s="90"/>
      <c r="L4390" s="89"/>
      <c r="M4390" s="90"/>
    </row>
    <row r="4391" spans="7:13" x14ac:dyDescent="0.35">
      <c r="G4391" s="89"/>
      <c r="H4391" s="90"/>
      <c r="L4391" s="89"/>
      <c r="M4391" s="90"/>
    </row>
    <row r="4392" spans="7:13" x14ac:dyDescent="0.35">
      <c r="G4392" s="89"/>
      <c r="H4392" s="90"/>
      <c r="L4392" s="89"/>
      <c r="M4392" s="90"/>
    </row>
    <row r="4393" spans="7:13" x14ac:dyDescent="0.35">
      <c r="G4393" s="89"/>
      <c r="H4393" s="90"/>
      <c r="L4393" s="89"/>
      <c r="M4393" s="90"/>
    </row>
    <row r="4394" spans="7:13" x14ac:dyDescent="0.35">
      <c r="G4394" s="89"/>
      <c r="H4394" s="90"/>
      <c r="L4394" s="89"/>
      <c r="M4394" s="90"/>
    </row>
    <row r="4395" spans="7:13" x14ac:dyDescent="0.35">
      <c r="G4395" s="89"/>
      <c r="H4395" s="90"/>
      <c r="L4395" s="89"/>
      <c r="M4395" s="90"/>
    </row>
    <row r="4396" spans="7:13" x14ac:dyDescent="0.35">
      <c r="G4396" s="89"/>
      <c r="H4396" s="90"/>
      <c r="L4396" s="89"/>
      <c r="M4396" s="90"/>
    </row>
    <row r="4397" spans="7:13" x14ac:dyDescent="0.35">
      <c r="G4397" s="89"/>
      <c r="H4397" s="90"/>
      <c r="L4397" s="89"/>
      <c r="M4397" s="90"/>
    </row>
    <row r="4398" spans="7:13" x14ac:dyDescent="0.35">
      <c r="G4398" s="89"/>
      <c r="H4398" s="90"/>
      <c r="L4398" s="89"/>
      <c r="M4398" s="90"/>
    </row>
    <row r="4399" spans="7:13" x14ac:dyDescent="0.35">
      <c r="G4399" s="89"/>
      <c r="H4399" s="90"/>
      <c r="L4399" s="89"/>
      <c r="M4399" s="90"/>
    </row>
    <row r="4400" spans="7:13" x14ac:dyDescent="0.35">
      <c r="G4400" s="89"/>
      <c r="H4400" s="90"/>
      <c r="L4400" s="89"/>
      <c r="M4400" s="90"/>
    </row>
    <row r="4401" spans="7:13" x14ac:dyDescent="0.35">
      <c r="G4401" s="89"/>
      <c r="H4401" s="90"/>
      <c r="L4401" s="89"/>
      <c r="M4401" s="90"/>
    </row>
    <row r="4402" spans="7:13" x14ac:dyDescent="0.35">
      <c r="G4402" s="89"/>
      <c r="H4402" s="90"/>
      <c r="L4402" s="89"/>
      <c r="M4402" s="90"/>
    </row>
    <row r="4403" spans="7:13" x14ac:dyDescent="0.35">
      <c r="G4403" s="89"/>
      <c r="H4403" s="90"/>
      <c r="L4403" s="89"/>
      <c r="M4403" s="90"/>
    </row>
    <row r="4404" spans="7:13" x14ac:dyDescent="0.35">
      <c r="G4404" s="89"/>
      <c r="H4404" s="90"/>
      <c r="L4404" s="89"/>
      <c r="M4404" s="90"/>
    </row>
    <row r="4405" spans="7:13" x14ac:dyDescent="0.35">
      <c r="G4405" s="89"/>
      <c r="H4405" s="90"/>
      <c r="L4405" s="89"/>
      <c r="M4405" s="90"/>
    </row>
    <row r="4406" spans="7:13" x14ac:dyDescent="0.35">
      <c r="G4406" s="89"/>
      <c r="H4406" s="90"/>
      <c r="L4406" s="89"/>
      <c r="M4406" s="90"/>
    </row>
    <row r="4407" spans="7:13" x14ac:dyDescent="0.35">
      <c r="G4407" s="89"/>
      <c r="H4407" s="90"/>
      <c r="L4407" s="89"/>
      <c r="M4407" s="90"/>
    </row>
    <row r="4408" spans="7:13" x14ac:dyDescent="0.35">
      <c r="G4408" s="89"/>
      <c r="H4408" s="90"/>
      <c r="L4408" s="89"/>
      <c r="M4408" s="90"/>
    </row>
    <row r="4409" spans="7:13" x14ac:dyDescent="0.35">
      <c r="G4409" s="89"/>
      <c r="H4409" s="90"/>
      <c r="L4409" s="89"/>
      <c r="M4409" s="90"/>
    </row>
    <row r="4410" spans="7:13" x14ac:dyDescent="0.35">
      <c r="G4410" s="89"/>
      <c r="H4410" s="90"/>
      <c r="L4410" s="89"/>
      <c r="M4410" s="90"/>
    </row>
    <row r="4411" spans="7:13" x14ac:dyDescent="0.35">
      <c r="G4411" s="89"/>
      <c r="H4411" s="90"/>
      <c r="L4411" s="89"/>
      <c r="M4411" s="90"/>
    </row>
    <row r="4412" spans="7:13" x14ac:dyDescent="0.35">
      <c r="G4412" s="89"/>
      <c r="H4412" s="90"/>
      <c r="L4412" s="89"/>
      <c r="M4412" s="90"/>
    </row>
    <row r="4413" spans="7:13" x14ac:dyDescent="0.35">
      <c r="G4413" s="89"/>
      <c r="H4413" s="90"/>
      <c r="L4413" s="89"/>
      <c r="M4413" s="90"/>
    </row>
    <row r="4414" spans="7:13" x14ac:dyDescent="0.35">
      <c r="G4414" s="89"/>
      <c r="H4414" s="90"/>
      <c r="L4414" s="89"/>
      <c r="M4414" s="90"/>
    </row>
    <row r="4415" spans="7:13" x14ac:dyDescent="0.35">
      <c r="G4415" s="89"/>
      <c r="H4415" s="90"/>
      <c r="L4415" s="89"/>
      <c r="M4415" s="90"/>
    </row>
    <row r="4416" spans="7:13" x14ac:dyDescent="0.35">
      <c r="G4416" s="89"/>
      <c r="H4416" s="90"/>
      <c r="L4416" s="89"/>
      <c r="M4416" s="90"/>
    </row>
    <row r="4417" spans="7:13" x14ac:dyDescent="0.35">
      <c r="G4417" s="89"/>
      <c r="H4417" s="90"/>
      <c r="L4417" s="89"/>
      <c r="M4417" s="90"/>
    </row>
    <row r="4418" spans="7:13" x14ac:dyDescent="0.35">
      <c r="G4418" s="89"/>
      <c r="H4418" s="90"/>
      <c r="L4418" s="89"/>
      <c r="M4418" s="90"/>
    </row>
    <row r="4419" spans="7:13" x14ac:dyDescent="0.35">
      <c r="G4419" s="89"/>
      <c r="H4419" s="90"/>
      <c r="L4419" s="89"/>
      <c r="M4419" s="90"/>
    </row>
    <row r="4420" spans="7:13" x14ac:dyDescent="0.35">
      <c r="G4420" s="89"/>
      <c r="H4420" s="90"/>
      <c r="L4420" s="89"/>
      <c r="M4420" s="90"/>
    </row>
    <row r="4421" spans="7:13" x14ac:dyDescent="0.35">
      <c r="G4421" s="89"/>
      <c r="H4421" s="90"/>
      <c r="L4421" s="89"/>
      <c r="M4421" s="90"/>
    </row>
    <row r="4422" spans="7:13" x14ac:dyDescent="0.35">
      <c r="G4422" s="89"/>
      <c r="H4422" s="90"/>
      <c r="L4422" s="89"/>
      <c r="M4422" s="90"/>
    </row>
    <row r="4423" spans="7:13" x14ac:dyDescent="0.35">
      <c r="G4423" s="89"/>
      <c r="H4423" s="90"/>
      <c r="L4423" s="89"/>
      <c r="M4423" s="90"/>
    </row>
    <row r="4424" spans="7:13" x14ac:dyDescent="0.35">
      <c r="G4424" s="89"/>
      <c r="H4424" s="90"/>
      <c r="L4424" s="89"/>
      <c r="M4424" s="90"/>
    </row>
    <row r="4425" spans="7:13" x14ac:dyDescent="0.35">
      <c r="G4425" s="89"/>
      <c r="H4425" s="90"/>
      <c r="L4425" s="89"/>
      <c r="M4425" s="90"/>
    </row>
    <row r="4426" spans="7:13" x14ac:dyDescent="0.35">
      <c r="G4426" s="89"/>
      <c r="H4426" s="90"/>
      <c r="L4426" s="89"/>
      <c r="M4426" s="90"/>
    </row>
    <row r="4427" spans="7:13" x14ac:dyDescent="0.35">
      <c r="G4427" s="89"/>
      <c r="H4427" s="90"/>
      <c r="L4427" s="89"/>
      <c r="M4427" s="90"/>
    </row>
    <row r="4428" spans="7:13" x14ac:dyDescent="0.35">
      <c r="G4428" s="89"/>
      <c r="H4428" s="90"/>
      <c r="L4428" s="89"/>
      <c r="M4428" s="90"/>
    </row>
    <row r="4429" spans="7:13" x14ac:dyDescent="0.35">
      <c r="G4429" s="89"/>
      <c r="H4429" s="90"/>
      <c r="L4429" s="89"/>
      <c r="M4429" s="90"/>
    </row>
    <row r="4430" spans="7:13" x14ac:dyDescent="0.35">
      <c r="G4430" s="89"/>
      <c r="H4430" s="90"/>
      <c r="L4430" s="89"/>
      <c r="M4430" s="90"/>
    </row>
    <row r="4431" spans="7:13" x14ac:dyDescent="0.35">
      <c r="G4431" s="89"/>
      <c r="H4431" s="90"/>
      <c r="L4431" s="89"/>
      <c r="M4431" s="90"/>
    </row>
    <row r="4432" spans="7:13" x14ac:dyDescent="0.35">
      <c r="G4432" s="89"/>
      <c r="H4432" s="90"/>
      <c r="L4432" s="89"/>
      <c r="M4432" s="90"/>
    </row>
    <row r="4433" spans="7:13" x14ac:dyDescent="0.35">
      <c r="G4433" s="89"/>
      <c r="H4433" s="90"/>
      <c r="L4433" s="89"/>
      <c r="M4433" s="90"/>
    </row>
    <row r="4434" spans="7:13" x14ac:dyDescent="0.35">
      <c r="G4434" s="89"/>
      <c r="H4434" s="90"/>
      <c r="L4434" s="89"/>
      <c r="M4434" s="90"/>
    </row>
    <row r="4435" spans="7:13" x14ac:dyDescent="0.35">
      <c r="G4435" s="89"/>
      <c r="H4435" s="90"/>
      <c r="L4435" s="89"/>
      <c r="M4435" s="90"/>
    </row>
    <row r="4436" spans="7:13" x14ac:dyDescent="0.35">
      <c r="G4436" s="89"/>
      <c r="H4436" s="90"/>
      <c r="L4436" s="89"/>
      <c r="M4436" s="90"/>
    </row>
    <row r="4437" spans="7:13" x14ac:dyDescent="0.35">
      <c r="G4437" s="89"/>
      <c r="H4437" s="90"/>
      <c r="L4437" s="89"/>
      <c r="M4437" s="90"/>
    </row>
    <row r="4438" spans="7:13" x14ac:dyDescent="0.35">
      <c r="G4438" s="89"/>
      <c r="H4438" s="90"/>
      <c r="L4438" s="89"/>
      <c r="M4438" s="90"/>
    </row>
    <row r="4439" spans="7:13" x14ac:dyDescent="0.35">
      <c r="G4439" s="89"/>
      <c r="H4439" s="90"/>
      <c r="L4439" s="89"/>
      <c r="M4439" s="90"/>
    </row>
    <row r="4440" spans="7:13" x14ac:dyDescent="0.35">
      <c r="G4440" s="89"/>
      <c r="H4440" s="90"/>
      <c r="L4440" s="89"/>
      <c r="M4440" s="90"/>
    </row>
    <row r="4441" spans="7:13" x14ac:dyDescent="0.35">
      <c r="G4441" s="89"/>
      <c r="H4441" s="90"/>
      <c r="L4441" s="89"/>
      <c r="M4441" s="90"/>
    </row>
    <row r="4442" spans="7:13" x14ac:dyDescent="0.35">
      <c r="G4442" s="89"/>
      <c r="H4442" s="90"/>
      <c r="L4442" s="89"/>
      <c r="M4442" s="90"/>
    </row>
    <row r="4443" spans="7:13" x14ac:dyDescent="0.35">
      <c r="G4443" s="89"/>
      <c r="H4443" s="90"/>
      <c r="L4443" s="89"/>
      <c r="M4443" s="90"/>
    </row>
    <row r="4444" spans="7:13" x14ac:dyDescent="0.35">
      <c r="G4444" s="89"/>
      <c r="H4444" s="90"/>
      <c r="L4444" s="89"/>
      <c r="M4444" s="90"/>
    </row>
    <row r="4445" spans="7:13" x14ac:dyDescent="0.35">
      <c r="G4445" s="89"/>
      <c r="H4445" s="90"/>
      <c r="L4445" s="89"/>
      <c r="M4445" s="90"/>
    </row>
    <row r="4446" spans="7:13" x14ac:dyDescent="0.35">
      <c r="G4446" s="89"/>
      <c r="H4446" s="90"/>
      <c r="L4446" s="89"/>
      <c r="M4446" s="90"/>
    </row>
    <row r="4447" spans="7:13" x14ac:dyDescent="0.35">
      <c r="G4447" s="89"/>
      <c r="H4447" s="90"/>
      <c r="L4447" s="89"/>
      <c r="M4447" s="90"/>
    </row>
    <row r="4448" spans="7:13" x14ac:dyDescent="0.35">
      <c r="G4448" s="89"/>
      <c r="H4448" s="90"/>
      <c r="L4448" s="89"/>
      <c r="M4448" s="90"/>
    </row>
    <row r="4449" spans="7:13" x14ac:dyDescent="0.35">
      <c r="G4449" s="89"/>
      <c r="H4449" s="90"/>
      <c r="L4449" s="89"/>
      <c r="M4449" s="90"/>
    </row>
    <row r="4450" spans="7:13" x14ac:dyDescent="0.35">
      <c r="G4450" s="89"/>
      <c r="H4450" s="90"/>
      <c r="L4450" s="89"/>
      <c r="M4450" s="90"/>
    </row>
    <row r="4451" spans="7:13" x14ac:dyDescent="0.35">
      <c r="G4451" s="89"/>
      <c r="H4451" s="90"/>
      <c r="L4451" s="89"/>
      <c r="M4451" s="90"/>
    </row>
    <row r="4452" spans="7:13" x14ac:dyDescent="0.35">
      <c r="G4452" s="89"/>
      <c r="H4452" s="90"/>
      <c r="L4452" s="89"/>
      <c r="M4452" s="90"/>
    </row>
    <row r="4453" spans="7:13" x14ac:dyDescent="0.35">
      <c r="G4453" s="89"/>
      <c r="H4453" s="90"/>
      <c r="L4453" s="89"/>
      <c r="M4453" s="90"/>
    </row>
    <row r="4454" spans="7:13" x14ac:dyDescent="0.35">
      <c r="G4454" s="89"/>
      <c r="H4454" s="90"/>
      <c r="L4454" s="89"/>
      <c r="M4454" s="90"/>
    </row>
    <row r="4455" spans="7:13" x14ac:dyDescent="0.35">
      <c r="G4455" s="89"/>
      <c r="H4455" s="90"/>
      <c r="L4455" s="89"/>
      <c r="M4455" s="90"/>
    </row>
    <row r="4456" spans="7:13" x14ac:dyDescent="0.35">
      <c r="G4456" s="89"/>
      <c r="H4456" s="90"/>
      <c r="L4456" s="89"/>
      <c r="M4456" s="90"/>
    </row>
    <row r="4457" spans="7:13" x14ac:dyDescent="0.35">
      <c r="G4457" s="89"/>
      <c r="H4457" s="90"/>
      <c r="L4457" s="89"/>
      <c r="M4457" s="90"/>
    </row>
    <row r="4458" spans="7:13" x14ac:dyDescent="0.35">
      <c r="G4458" s="89"/>
      <c r="H4458" s="90"/>
      <c r="L4458" s="89"/>
      <c r="M4458" s="90"/>
    </row>
    <row r="4459" spans="7:13" x14ac:dyDescent="0.35">
      <c r="G4459" s="89"/>
      <c r="H4459" s="90"/>
      <c r="L4459" s="89"/>
      <c r="M4459" s="90"/>
    </row>
    <row r="4460" spans="7:13" x14ac:dyDescent="0.35">
      <c r="G4460" s="89"/>
      <c r="H4460" s="90"/>
      <c r="L4460" s="89"/>
      <c r="M4460" s="90"/>
    </row>
    <row r="4461" spans="7:13" x14ac:dyDescent="0.35">
      <c r="G4461" s="89"/>
      <c r="H4461" s="90"/>
      <c r="L4461" s="89"/>
      <c r="M4461" s="90"/>
    </row>
    <row r="4462" spans="7:13" x14ac:dyDescent="0.35">
      <c r="G4462" s="89"/>
      <c r="H4462" s="90"/>
      <c r="L4462" s="89"/>
      <c r="M4462" s="90"/>
    </row>
    <row r="4463" spans="7:13" x14ac:dyDescent="0.35">
      <c r="G4463" s="89"/>
      <c r="H4463" s="90"/>
      <c r="L4463" s="89"/>
      <c r="M4463" s="90"/>
    </row>
    <row r="4464" spans="7:13" x14ac:dyDescent="0.35">
      <c r="G4464" s="89"/>
      <c r="H4464" s="90"/>
      <c r="L4464" s="89"/>
      <c r="M4464" s="90"/>
    </row>
    <row r="4465" spans="7:13" x14ac:dyDescent="0.35">
      <c r="G4465" s="89"/>
      <c r="H4465" s="90"/>
      <c r="L4465" s="89"/>
      <c r="M4465" s="90"/>
    </row>
    <row r="4466" spans="7:13" x14ac:dyDescent="0.35">
      <c r="G4466" s="89"/>
      <c r="H4466" s="90"/>
      <c r="L4466" s="89"/>
      <c r="M4466" s="90"/>
    </row>
    <row r="4467" spans="7:13" x14ac:dyDescent="0.35">
      <c r="G4467" s="89"/>
      <c r="H4467" s="90"/>
      <c r="L4467" s="89"/>
      <c r="M4467" s="90"/>
    </row>
    <row r="4468" spans="7:13" x14ac:dyDescent="0.35">
      <c r="G4468" s="89"/>
      <c r="H4468" s="90"/>
      <c r="L4468" s="89"/>
      <c r="M4468" s="90"/>
    </row>
    <row r="4469" spans="7:13" x14ac:dyDescent="0.35">
      <c r="G4469" s="89"/>
      <c r="H4469" s="90"/>
      <c r="L4469" s="89"/>
      <c r="M4469" s="90"/>
    </row>
    <row r="4470" spans="7:13" x14ac:dyDescent="0.35">
      <c r="G4470" s="89"/>
      <c r="H4470" s="90"/>
      <c r="L4470" s="89"/>
      <c r="M4470" s="90"/>
    </row>
    <row r="4471" spans="7:13" x14ac:dyDescent="0.35">
      <c r="G4471" s="89"/>
      <c r="H4471" s="90"/>
      <c r="L4471" s="89"/>
      <c r="M4471" s="90"/>
    </row>
    <row r="4472" spans="7:13" x14ac:dyDescent="0.35">
      <c r="G4472" s="89"/>
      <c r="H4472" s="90"/>
      <c r="L4472" s="89"/>
      <c r="M4472" s="90"/>
    </row>
    <row r="4473" spans="7:13" x14ac:dyDescent="0.35">
      <c r="G4473" s="89"/>
      <c r="H4473" s="90"/>
      <c r="L4473" s="89"/>
      <c r="M4473" s="90"/>
    </row>
    <row r="4474" spans="7:13" x14ac:dyDescent="0.35">
      <c r="G4474" s="89"/>
      <c r="H4474" s="90"/>
      <c r="L4474" s="89"/>
      <c r="M4474" s="90"/>
    </row>
    <row r="4475" spans="7:13" x14ac:dyDescent="0.35">
      <c r="G4475" s="89"/>
      <c r="H4475" s="90"/>
      <c r="L4475" s="89"/>
      <c r="M4475" s="90"/>
    </row>
    <row r="4476" spans="7:13" x14ac:dyDescent="0.35">
      <c r="G4476" s="89"/>
      <c r="H4476" s="90"/>
      <c r="L4476" s="89"/>
      <c r="M4476" s="90"/>
    </row>
    <row r="4477" spans="7:13" x14ac:dyDescent="0.35">
      <c r="G4477" s="89"/>
      <c r="H4477" s="90"/>
      <c r="L4477" s="89"/>
      <c r="M4477" s="90"/>
    </row>
    <row r="4478" spans="7:13" x14ac:dyDescent="0.35">
      <c r="G4478" s="89"/>
      <c r="H4478" s="90"/>
      <c r="L4478" s="89"/>
      <c r="M4478" s="90"/>
    </row>
    <row r="4479" spans="7:13" x14ac:dyDescent="0.35">
      <c r="G4479" s="89"/>
      <c r="H4479" s="90"/>
      <c r="L4479" s="89"/>
      <c r="M4479" s="90"/>
    </row>
    <row r="4480" spans="7:13" x14ac:dyDescent="0.35">
      <c r="G4480" s="89"/>
      <c r="H4480" s="90"/>
      <c r="L4480" s="89"/>
      <c r="M4480" s="90"/>
    </row>
    <row r="4481" spans="7:13" x14ac:dyDescent="0.35">
      <c r="G4481" s="89"/>
      <c r="H4481" s="90"/>
      <c r="L4481" s="89"/>
      <c r="M4481" s="90"/>
    </row>
    <row r="4482" spans="7:13" x14ac:dyDescent="0.35">
      <c r="G4482" s="89"/>
      <c r="H4482" s="90"/>
      <c r="L4482" s="89"/>
      <c r="M4482" s="90"/>
    </row>
    <row r="4483" spans="7:13" x14ac:dyDescent="0.35">
      <c r="G4483" s="89"/>
      <c r="H4483" s="90"/>
      <c r="L4483" s="89"/>
      <c r="M4483" s="90"/>
    </row>
    <row r="4484" spans="7:13" x14ac:dyDescent="0.35">
      <c r="G4484" s="89"/>
      <c r="H4484" s="90"/>
      <c r="L4484" s="89"/>
      <c r="M4484" s="90"/>
    </row>
    <row r="4485" spans="7:13" x14ac:dyDescent="0.35">
      <c r="G4485" s="89"/>
      <c r="H4485" s="90"/>
      <c r="L4485" s="89"/>
      <c r="M4485" s="90"/>
    </row>
    <row r="4486" spans="7:13" x14ac:dyDescent="0.35">
      <c r="G4486" s="89"/>
      <c r="H4486" s="90"/>
      <c r="L4486" s="89"/>
      <c r="M4486" s="90"/>
    </row>
    <row r="4487" spans="7:13" x14ac:dyDescent="0.35">
      <c r="G4487" s="89"/>
      <c r="H4487" s="90"/>
      <c r="L4487" s="89"/>
      <c r="M4487" s="90"/>
    </row>
    <row r="4488" spans="7:13" x14ac:dyDescent="0.35">
      <c r="G4488" s="89"/>
      <c r="H4488" s="90"/>
      <c r="L4488" s="89"/>
      <c r="M4488" s="90"/>
    </row>
    <row r="4489" spans="7:13" x14ac:dyDescent="0.35">
      <c r="G4489" s="89"/>
      <c r="H4489" s="90"/>
      <c r="L4489" s="89"/>
      <c r="M4489" s="90"/>
    </row>
    <row r="4490" spans="7:13" x14ac:dyDescent="0.35">
      <c r="G4490" s="89"/>
      <c r="H4490" s="90"/>
      <c r="L4490" s="89"/>
      <c r="M4490" s="90"/>
    </row>
    <row r="4491" spans="7:13" x14ac:dyDescent="0.35">
      <c r="G4491" s="89"/>
      <c r="H4491" s="90"/>
      <c r="L4491" s="89"/>
      <c r="M4491" s="90"/>
    </row>
    <row r="4492" spans="7:13" x14ac:dyDescent="0.35">
      <c r="G4492" s="89"/>
      <c r="H4492" s="90"/>
      <c r="L4492" s="89"/>
      <c r="M4492" s="90"/>
    </row>
    <row r="4493" spans="7:13" x14ac:dyDescent="0.35">
      <c r="G4493" s="89"/>
      <c r="H4493" s="90"/>
      <c r="L4493" s="89"/>
      <c r="M4493" s="90"/>
    </row>
    <row r="4494" spans="7:13" x14ac:dyDescent="0.35">
      <c r="G4494" s="89"/>
      <c r="H4494" s="90"/>
      <c r="L4494" s="89"/>
      <c r="M4494" s="90"/>
    </row>
    <row r="4495" spans="7:13" x14ac:dyDescent="0.35">
      <c r="G4495" s="89"/>
      <c r="H4495" s="90"/>
      <c r="L4495" s="89"/>
      <c r="M4495" s="90"/>
    </row>
    <row r="4496" spans="7:13" x14ac:dyDescent="0.35">
      <c r="G4496" s="89"/>
      <c r="H4496" s="90"/>
      <c r="L4496" s="89"/>
      <c r="M4496" s="90"/>
    </row>
    <row r="4497" spans="7:13" x14ac:dyDescent="0.35">
      <c r="G4497" s="89"/>
      <c r="H4497" s="90"/>
      <c r="L4497" s="89"/>
      <c r="M4497" s="90"/>
    </row>
    <row r="4498" spans="7:13" x14ac:dyDescent="0.35">
      <c r="G4498" s="89"/>
      <c r="H4498" s="90"/>
      <c r="L4498" s="89"/>
      <c r="M4498" s="90"/>
    </row>
    <row r="4499" spans="7:13" x14ac:dyDescent="0.35">
      <c r="G4499" s="89"/>
      <c r="H4499" s="90"/>
      <c r="L4499" s="89"/>
      <c r="M4499" s="90"/>
    </row>
    <row r="4500" spans="7:13" x14ac:dyDescent="0.35">
      <c r="G4500" s="89"/>
      <c r="H4500" s="90"/>
      <c r="L4500" s="89"/>
      <c r="M4500" s="90"/>
    </row>
    <row r="4501" spans="7:13" x14ac:dyDescent="0.35">
      <c r="G4501" s="89"/>
      <c r="H4501" s="90"/>
      <c r="L4501" s="89"/>
      <c r="M4501" s="90"/>
    </row>
    <row r="4502" spans="7:13" x14ac:dyDescent="0.35">
      <c r="G4502" s="89"/>
      <c r="H4502" s="90"/>
      <c r="L4502" s="89"/>
      <c r="M4502" s="90"/>
    </row>
    <row r="4503" spans="7:13" x14ac:dyDescent="0.35">
      <c r="G4503" s="89"/>
      <c r="H4503" s="90"/>
      <c r="L4503" s="89"/>
      <c r="M4503" s="90"/>
    </row>
    <row r="4504" spans="7:13" x14ac:dyDescent="0.35">
      <c r="G4504" s="89"/>
      <c r="H4504" s="90"/>
      <c r="L4504" s="89"/>
      <c r="M4504" s="90"/>
    </row>
    <row r="4505" spans="7:13" x14ac:dyDescent="0.35">
      <c r="G4505" s="89"/>
      <c r="H4505" s="90"/>
      <c r="L4505" s="89"/>
      <c r="M4505" s="90"/>
    </row>
    <row r="4506" spans="7:13" x14ac:dyDescent="0.35">
      <c r="G4506" s="89"/>
      <c r="H4506" s="90"/>
      <c r="L4506" s="89"/>
      <c r="M4506" s="90"/>
    </row>
    <row r="4507" spans="7:13" x14ac:dyDescent="0.35">
      <c r="G4507" s="89"/>
      <c r="H4507" s="90"/>
      <c r="L4507" s="89"/>
      <c r="M4507" s="90"/>
    </row>
    <row r="4508" spans="7:13" x14ac:dyDescent="0.35">
      <c r="G4508" s="89"/>
      <c r="H4508" s="90"/>
      <c r="L4508" s="89"/>
      <c r="M4508" s="90"/>
    </row>
    <row r="4509" spans="7:13" x14ac:dyDescent="0.35">
      <c r="G4509" s="89"/>
      <c r="H4509" s="90"/>
      <c r="L4509" s="89"/>
      <c r="M4509" s="90"/>
    </row>
    <row r="4510" spans="7:13" x14ac:dyDescent="0.35">
      <c r="G4510" s="89"/>
      <c r="H4510" s="90"/>
      <c r="L4510" s="89"/>
      <c r="M4510" s="90"/>
    </row>
    <row r="4511" spans="7:13" x14ac:dyDescent="0.35">
      <c r="G4511" s="89"/>
      <c r="H4511" s="90"/>
      <c r="L4511" s="89"/>
      <c r="M4511" s="90"/>
    </row>
    <row r="4512" spans="7:13" x14ac:dyDescent="0.35">
      <c r="G4512" s="89"/>
      <c r="H4512" s="90"/>
      <c r="L4512" s="89"/>
      <c r="M4512" s="90"/>
    </row>
    <row r="4513" spans="7:13" x14ac:dyDescent="0.35">
      <c r="G4513" s="89"/>
      <c r="H4513" s="90"/>
      <c r="L4513" s="89"/>
      <c r="M4513" s="90"/>
    </row>
    <row r="4514" spans="7:13" x14ac:dyDescent="0.35">
      <c r="G4514" s="89"/>
      <c r="H4514" s="90"/>
      <c r="L4514" s="89"/>
      <c r="M4514" s="90"/>
    </row>
    <row r="4515" spans="7:13" x14ac:dyDescent="0.35">
      <c r="G4515" s="89"/>
      <c r="H4515" s="90"/>
      <c r="L4515" s="89"/>
      <c r="M4515" s="90"/>
    </row>
    <row r="4516" spans="7:13" x14ac:dyDescent="0.35">
      <c r="G4516" s="89"/>
      <c r="H4516" s="90"/>
      <c r="L4516" s="89"/>
      <c r="M4516" s="90"/>
    </row>
    <row r="4517" spans="7:13" x14ac:dyDescent="0.35">
      <c r="G4517" s="89"/>
      <c r="H4517" s="90"/>
      <c r="L4517" s="89"/>
      <c r="M4517" s="90"/>
    </row>
    <row r="4518" spans="7:13" x14ac:dyDescent="0.35">
      <c r="G4518" s="89"/>
      <c r="H4518" s="90"/>
      <c r="L4518" s="89"/>
      <c r="M4518" s="90"/>
    </row>
    <row r="4519" spans="7:13" x14ac:dyDescent="0.35">
      <c r="G4519" s="89"/>
      <c r="H4519" s="90"/>
      <c r="L4519" s="89"/>
      <c r="M4519" s="90"/>
    </row>
    <row r="4520" spans="7:13" x14ac:dyDescent="0.35">
      <c r="G4520" s="89"/>
      <c r="H4520" s="90"/>
      <c r="L4520" s="89"/>
      <c r="M4520" s="90"/>
    </row>
    <row r="4521" spans="7:13" x14ac:dyDescent="0.35">
      <c r="G4521" s="89"/>
      <c r="H4521" s="90"/>
      <c r="L4521" s="89"/>
      <c r="M4521" s="90"/>
    </row>
    <row r="4522" spans="7:13" x14ac:dyDescent="0.35">
      <c r="G4522" s="89"/>
      <c r="H4522" s="90"/>
      <c r="L4522" s="89"/>
      <c r="M4522" s="90"/>
    </row>
    <row r="4523" spans="7:13" x14ac:dyDescent="0.35">
      <c r="G4523" s="89"/>
      <c r="H4523" s="90"/>
      <c r="L4523" s="89"/>
      <c r="M4523" s="90"/>
    </row>
    <row r="4524" spans="7:13" x14ac:dyDescent="0.35">
      <c r="G4524" s="89"/>
      <c r="H4524" s="90"/>
      <c r="L4524" s="89"/>
      <c r="M4524" s="90"/>
    </row>
    <row r="4525" spans="7:13" x14ac:dyDescent="0.35">
      <c r="G4525" s="89"/>
      <c r="H4525" s="90"/>
      <c r="L4525" s="89"/>
      <c r="M4525" s="90"/>
    </row>
    <row r="4526" spans="7:13" x14ac:dyDescent="0.35">
      <c r="G4526" s="89"/>
      <c r="H4526" s="90"/>
      <c r="L4526" s="89"/>
      <c r="M4526" s="90"/>
    </row>
    <row r="4527" spans="7:13" x14ac:dyDescent="0.35">
      <c r="G4527" s="89"/>
      <c r="H4527" s="90"/>
      <c r="L4527" s="89"/>
      <c r="M4527" s="90"/>
    </row>
    <row r="4528" spans="7:13" x14ac:dyDescent="0.35">
      <c r="G4528" s="89"/>
      <c r="H4528" s="90"/>
      <c r="L4528" s="89"/>
      <c r="M4528" s="90"/>
    </row>
    <row r="4529" spans="7:13" x14ac:dyDescent="0.35">
      <c r="G4529" s="89"/>
      <c r="H4529" s="90"/>
      <c r="L4529" s="89"/>
      <c r="M4529" s="90"/>
    </row>
    <row r="4530" spans="7:13" x14ac:dyDescent="0.35">
      <c r="G4530" s="89"/>
      <c r="H4530" s="90"/>
      <c r="L4530" s="89"/>
      <c r="M4530" s="90"/>
    </row>
    <row r="4531" spans="7:13" x14ac:dyDescent="0.35">
      <c r="G4531" s="89"/>
      <c r="H4531" s="90"/>
      <c r="L4531" s="89"/>
      <c r="M4531" s="90"/>
    </row>
    <row r="4532" spans="7:13" x14ac:dyDescent="0.35">
      <c r="G4532" s="89"/>
      <c r="H4532" s="90"/>
      <c r="L4532" s="89"/>
      <c r="M4532" s="90"/>
    </row>
    <row r="4533" spans="7:13" x14ac:dyDescent="0.35">
      <c r="G4533" s="89"/>
      <c r="H4533" s="90"/>
      <c r="L4533" s="89"/>
      <c r="M4533" s="90"/>
    </row>
    <row r="4534" spans="7:13" x14ac:dyDescent="0.35">
      <c r="G4534" s="89"/>
      <c r="H4534" s="90"/>
      <c r="L4534" s="89"/>
      <c r="M4534" s="90"/>
    </row>
    <row r="4535" spans="7:13" x14ac:dyDescent="0.35">
      <c r="G4535" s="89"/>
      <c r="H4535" s="90"/>
      <c r="L4535" s="89"/>
      <c r="M4535" s="90"/>
    </row>
    <row r="4536" spans="7:13" x14ac:dyDescent="0.35">
      <c r="G4536" s="89"/>
      <c r="H4536" s="90"/>
      <c r="L4536" s="89"/>
      <c r="M4536" s="90"/>
    </row>
    <row r="4537" spans="7:13" x14ac:dyDescent="0.35">
      <c r="G4537" s="89"/>
      <c r="H4537" s="90"/>
      <c r="L4537" s="89"/>
      <c r="M4537" s="90"/>
    </row>
    <row r="4538" spans="7:13" x14ac:dyDescent="0.35">
      <c r="G4538" s="89"/>
      <c r="H4538" s="90"/>
      <c r="L4538" s="89"/>
      <c r="M4538" s="90"/>
    </row>
    <row r="4539" spans="7:13" x14ac:dyDescent="0.35">
      <c r="G4539" s="89"/>
      <c r="H4539" s="90"/>
      <c r="L4539" s="89"/>
      <c r="M4539" s="90"/>
    </row>
    <row r="4540" spans="7:13" x14ac:dyDescent="0.35">
      <c r="G4540" s="89"/>
      <c r="H4540" s="90"/>
      <c r="L4540" s="89"/>
      <c r="M4540" s="90"/>
    </row>
    <row r="4541" spans="7:13" x14ac:dyDescent="0.35">
      <c r="G4541" s="89"/>
      <c r="H4541" s="90"/>
      <c r="L4541" s="89"/>
      <c r="M4541" s="90"/>
    </row>
    <row r="4542" spans="7:13" x14ac:dyDescent="0.35">
      <c r="G4542" s="89"/>
      <c r="H4542" s="90"/>
      <c r="L4542" s="89"/>
      <c r="M4542" s="90"/>
    </row>
    <row r="4543" spans="7:13" x14ac:dyDescent="0.35">
      <c r="G4543" s="89"/>
      <c r="H4543" s="90"/>
      <c r="L4543" s="89"/>
      <c r="M4543" s="90"/>
    </row>
    <row r="4544" spans="7:13" x14ac:dyDescent="0.35">
      <c r="G4544" s="89"/>
      <c r="H4544" s="90"/>
      <c r="L4544" s="89"/>
      <c r="M4544" s="90"/>
    </row>
    <row r="4545" spans="7:13" x14ac:dyDescent="0.35">
      <c r="G4545" s="89"/>
      <c r="H4545" s="90"/>
      <c r="L4545" s="89"/>
      <c r="M4545" s="90"/>
    </row>
    <row r="4546" spans="7:13" x14ac:dyDescent="0.35">
      <c r="G4546" s="89"/>
      <c r="H4546" s="90"/>
      <c r="L4546" s="89"/>
      <c r="M4546" s="90"/>
    </row>
    <row r="4547" spans="7:13" x14ac:dyDescent="0.35">
      <c r="G4547" s="89"/>
      <c r="H4547" s="90"/>
      <c r="L4547" s="89"/>
      <c r="M4547" s="90"/>
    </row>
    <row r="4548" spans="7:13" x14ac:dyDescent="0.35">
      <c r="G4548" s="89"/>
      <c r="H4548" s="90"/>
      <c r="L4548" s="89"/>
      <c r="M4548" s="90"/>
    </row>
    <row r="4549" spans="7:13" x14ac:dyDescent="0.35">
      <c r="G4549" s="89"/>
      <c r="H4549" s="90"/>
      <c r="L4549" s="89"/>
      <c r="M4549" s="90"/>
    </row>
    <row r="4550" spans="7:13" x14ac:dyDescent="0.35">
      <c r="G4550" s="89"/>
      <c r="H4550" s="90"/>
      <c r="L4550" s="89"/>
      <c r="M4550" s="90"/>
    </row>
    <row r="4551" spans="7:13" x14ac:dyDescent="0.35">
      <c r="G4551" s="89"/>
      <c r="H4551" s="90"/>
      <c r="L4551" s="89"/>
      <c r="M4551" s="90"/>
    </row>
    <row r="4552" spans="7:13" x14ac:dyDescent="0.35">
      <c r="G4552" s="89"/>
      <c r="H4552" s="90"/>
      <c r="L4552" s="89"/>
      <c r="M4552" s="90"/>
    </row>
    <row r="4553" spans="7:13" x14ac:dyDescent="0.35">
      <c r="G4553" s="89"/>
      <c r="H4553" s="90"/>
      <c r="L4553" s="89"/>
      <c r="M4553" s="90"/>
    </row>
    <row r="4554" spans="7:13" x14ac:dyDescent="0.35">
      <c r="G4554" s="89"/>
      <c r="H4554" s="90"/>
      <c r="L4554" s="89"/>
      <c r="M4554" s="90"/>
    </row>
    <row r="4555" spans="7:13" x14ac:dyDescent="0.35">
      <c r="G4555" s="89"/>
      <c r="H4555" s="90"/>
      <c r="L4555" s="89"/>
      <c r="M4555" s="90"/>
    </row>
    <row r="4556" spans="7:13" x14ac:dyDescent="0.35">
      <c r="G4556" s="89"/>
      <c r="H4556" s="90"/>
      <c r="L4556" s="89"/>
      <c r="M4556" s="90"/>
    </row>
    <row r="4557" spans="7:13" x14ac:dyDescent="0.35">
      <c r="G4557" s="89"/>
      <c r="H4557" s="90"/>
      <c r="L4557" s="89"/>
      <c r="M4557" s="90"/>
    </row>
    <row r="4558" spans="7:13" x14ac:dyDescent="0.35">
      <c r="G4558" s="89"/>
      <c r="H4558" s="90"/>
      <c r="L4558" s="89"/>
      <c r="M4558" s="90"/>
    </row>
    <row r="4559" spans="7:13" x14ac:dyDescent="0.35">
      <c r="G4559" s="89"/>
      <c r="H4559" s="90"/>
      <c r="L4559" s="89"/>
      <c r="M4559" s="90"/>
    </row>
    <row r="4560" spans="7:13" x14ac:dyDescent="0.35">
      <c r="G4560" s="89"/>
      <c r="H4560" s="90"/>
      <c r="L4560" s="89"/>
      <c r="M4560" s="90"/>
    </row>
    <row r="4561" spans="7:13" x14ac:dyDescent="0.35">
      <c r="G4561" s="89"/>
      <c r="H4561" s="90"/>
      <c r="L4561" s="89"/>
      <c r="M4561" s="90"/>
    </row>
    <row r="4562" spans="7:13" x14ac:dyDescent="0.35">
      <c r="G4562" s="89"/>
      <c r="H4562" s="90"/>
      <c r="L4562" s="89"/>
      <c r="M4562" s="90"/>
    </row>
    <row r="4563" spans="7:13" x14ac:dyDescent="0.35">
      <c r="G4563" s="89"/>
      <c r="H4563" s="90"/>
      <c r="L4563" s="89"/>
      <c r="M4563" s="90"/>
    </row>
    <row r="4564" spans="7:13" x14ac:dyDescent="0.35">
      <c r="G4564" s="89"/>
      <c r="H4564" s="90"/>
      <c r="L4564" s="89"/>
      <c r="M4564" s="90"/>
    </row>
    <row r="4565" spans="7:13" x14ac:dyDescent="0.35">
      <c r="G4565" s="89"/>
      <c r="H4565" s="90"/>
      <c r="L4565" s="89"/>
      <c r="M4565" s="90"/>
    </row>
    <row r="4566" spans="7:13" x14ac:dyDescent="0.35">
      <c r="G4566" s="89"/>
      <c r="H4566" s="90"/>
      <c r="L4566" s="89"/>
      <c r="M4566" s="90"/>
    </row>
    <row r="4567" spans="7:13" x14ac:dyDescent="0.35">
      <c r="G4567" s="89"/>
      <c r="H4567" s="90"/>
      <c r="L4567" s="89"/>
      <c r="M4567" s="90"/>
    </row>
    <row r="4568" spans="7:13" x14ac:dyDescent="0.35">
      <c r="G4568" s="89"/>
      <c r="H4568" s="90"/>
      <c r="L4568" s="89"/>
      <c r="M4568" s="90"/>
    </row>
    <row r="4569" spans="7:13" x14ac:dyDescent="0.35">
      <c r="G4569" s="89"/>
      <c r="H4569" s="90"/>
      <c r="L4569" s="89"/>
      <c r="M4569" s="90"/>
    </row>
    <row r="4570" spans="7:13" x14ac:dyDescent="0.35">
      <c r="G4570" s="89"/>
      <c r="H4570" s="90"/>
      <c r="L4570" s="89"/>
      <c r="M4570" s="90"/>
    </row>
    <row r="4571" spans="7:13" x14ac:dyDescent="0.35">
      <c r="G4571" s="89"/>
      <c r="H4571" s="90"/>
      <c r="L4571" s="89"/>
      <c r="M4571" s="90"/>
    </row>
    <row r="4572" spans="7:13" x14ac:dyDescent="0.35">
      <c r="G4572" s="89"/>
      <c r="H4572" s="90"/>
      <c r="L4572" s="89"/>
      <c r="M4572" s="90"/>
    </row>
    <row r="4573" spans="7:13" x14ac:dyDescent="0.35">
      <c r="G4573" s="89"/>
      <c r="H4573" s="90"/>
      <c r="L4573" s="89"/>
      <c r="M4573" s="90"/>
    </row>
    <row r="4574" spans="7:13" x14ac:dyDescent="0.35">
      <c r="G4574" s="89"/>
      <c r="H4574" s="90"/>
      <c r="L4574" s="89"/>
      <c r="M4574" s="90"/>
    </row>
    <row r="4575" spans="7:13" x14ac:dyDescent="0.35">
      <c r="G4575" s="89"/>
      <c r="H4575" s="90"/>
      <c r="L4575" s="89"/>
      <c r="M4575" s="90"/>
    </row>
    <row r="4576" spans="7:13" x14ac:dyDescent="0.35">
      <c r="G4576" s="89"/>
      <c r="H4576" s="90"/>
      <c r="L4576" s="89"/>
      <c r="M4576" s="90"/>
    </row>
    <row r="4577" spans="7:13" x14ac:dyDescent="0.35">
      <c r="G4577" s="89"/>
      <c r="H4577" s="90"/>
      <c r="L4577" s="89"/>
      <c r="M4577" s="90"/>
    </row>
    <row r="4578" spans="7:13" x14ac:dyDescent="0.35">
      <c r="G4578" s="89"/>
      <c r="H4578" s="90"/>
      <c r="L4578" s="89"/>
      <c r="M4578" s="90"/>
    </row>
    <row r="4579" spans="7:13" x14ac:dyDescent="0.35">
      <c r="G4579" s="89"/>
      <c r="H4579" s="90"/>
      <c r="L4579" s="89"/>
      <c r="M4579" s="90"/>
    </row>
    <row r="4580" spans="7:13" x14ac:dyDescent="0.35">
      <c r="G4580" s="89"/>
      <c r="H4580" s="90"/>
      <c r="L4580" s="89"/>
      <c r="M4580" s="90"/>
    </row>
    <row r="4581" spans="7:13" x14ac:dyDescent="0.35">
      <c r="G4581" s="89"/>
      <c r="H4581" s="90"/>
      <c r="L4581" s="89"/>
      <c r="M4581" s="90"/>
    </row>
    <row r="4582" spans="7:13" x14ac:dyDescent="0.35">
      <c r="G4582" s="89"/>
      <c r="H4582" s="90"/>
      <c r="L4582" s="89"/>
      <c r="M4582" s="90"/>
    </row>
    <row r="4583" spans="7:13" x14ac:dyDescent="0.35">
      <c r="G4583" s="89"/>
      <c r="H4583" s="90"/>
      <c r="L4583" s="89"/>
      <c r="M4583" s="90"/>
    </row>
    <row r="4584" spans="7:13" x14ac:dyDescent="0.35">
      <c r="G4584" s="89"/>
      <c r="H4584" s="90"/>
      <c r="L4584" s="89"/>
      <c r="M4584" s="90"/>
    </row>
    <row r="4585" spans="7:13" x14ac:dyDescent="0.35">
      <c r="G4585" s="89"/>
      <c r="H4585" s="90"/>
      <c r="L4585" s="89"/>
      <c r="M4585" s="90"/>
    </row>
    <row r="4586" spans="7:13" x14ac:dyDescent="0.35">
      <c r="G4586" s="89"/>
      <c r="H4586" s="90"/>
      <c r="L4586" s="89"/>
      <c r="M4586" s="90"/>
    </row>
    <row r="4587" spans="7:13" x14ac:dyDescent="0.35">
      <c r="G4587" s="89"/>
      <c r="H4587" s="90"/>
      <c r="L4587" s="89"/>
      <c r="M4587" s="90"/>
    </row>
    <row r="4588" spans="7:13" x14ac:dyDescent="0.35">
      <c r="G4588" s="89"/>
      <c r="H4588" s="90"/>
      <c r="L4588" s="89"/>
      <c r="M4588" s="90"/>
    </row>
    <row r="4589" spans="7:13" x14ac:dyDescent="0.35">
      <c r="G4589" s="89"/>
      <c r="H4589" s="90"/>
      <c r="L4589" s="89"/>
      <c r="M4589" s="90"/>
    </row>
    <row r="4590" spans="7:13" x14ac:dyDescent="0.35">
      <c r="G4590" s="89"/>
      <c r="H4590" s="90"/>
      <c r="L4590" s="89"/>
      <c r="M4590" s="90"/>
    </row>
    <row r="4591" spans="7:13" x14ac:dyDescent="0.35">
      <c r="G4591" s="89"/>
      <c r="H4591" s="90"/>
      <c r="L4591" s="89"/>
      <c r="M4591" s="90"/>
    </row>
    <row r="4592" spans="7:13" x14ac:dyDescent="0.35">
      <c r="G4592" s="89"/>
      <c r="H4592" s="90"/>
      <c r="L4592" s="89"/>
      <c r="M4592" s="90"/>
    </row>
    <row r="4593" spans="7:13" x14ac:dyDescent="0.35">
      <c r="G4593" s="89"/>
      <c r="H4593" s="90"/>
      <c r="L4593" s="89"/>
      <c r="M4593" s="90"/>
    </row>
    <row r="4594" spans="7:13" x14ac:dyDescent="0.35">
      <c r="G4594" s="89"/>
      <c r="H4594" s="90"/>
      <c r="L4594" s="89"/>
      <c r="M4594" s="90"/>
    </row>
    <row r="4595" spans="7:13" x14ac:dyDescent="0.35">
      <c r="G4595" s="89"/>
      <c r="H4595" s="90"/>
      <c r="L4595" s="89"/>
      <c r="M4595" s="90"/>
    </row>
    <row r="4596" spans="7:13" x14ac:dyDescent="0.35">
      <c r="G4596" s="89"/>
      <c r="H4596" s="90"/>
      <c r="L4596" s="89"/>
      <c r="M4596" s="90"/>
    </row>
    <row r="4597" spans="7:13" x14ac:dyDescent="0.35">
      <c r="G4597" s="89"/>
      <c r="H4597" s="90"/>
      <c r="L4597" s="89"/>
      <c r="M4597" s="90"/>
    </row>
    <row r="4598" spans="7:13" x14ac:dyDescent="0.35">
      <c r="G4598" s="89"/>
      <c r="H4598" s="90"/>
      <c r="L4598" s="89"/>
      <c r="M4598" s="90"/>
    </row>
    <row r="4599" spans="7:13" x14ac:dyDescent="0.35">
      <c r="G4599" s="89"/>
      <c r="H4599" s="90"/>
      <c r="L4599" s="89"/>
      <c r="M4599" s="90"/>
    </row>
    <row r="4600" spans="7:13" x14ac:dyDescent="0.35">
      <c r="G4600" s="89"/>
      <c r="H4600" s="90"/>
      <c r="L4600" s="89"/>
      <c r="M4600" s="90"/>
    </row>
    <row r="4601" spans="7:13" x14ac:dyDescent="0.35">
      <c r="G4601" s="89"/>
      <c r="H4601" s="90"/>
      <c r="L4601" s="89"/>
      <c r="M4601" s="90"/>
    </row>
    <row r="4602" spans="7:13" x14ac:dyDescent="0.35">
      <c r="G4602" s="89"/>
      <c r="H4602" s="90"/>
      <c r="L4602" s="89"/>
      <c r="M4602" s="90"/>
    </row>
    <row r="4603" spans="7:13" x14ac:dyDescent="0.35">
      <c r="G4603" s="89"/>
      <c r="H4603" s="90"/>
      <c r="L4603" s="89"/>
      <c r="M4603" s="90"/>
    </row>
    <row r="4604" spans="7:13" x14ac:dyDescent="0.35">
      <c r="G4604" s="89"/>
      <c r="H4604" s="90"/>
      <c r="L4604" s="89"/>
      <c r="M4604" s="90"/>
    </row>
    <row r="4605" spans="7:13" x14ac:dyDescent="0.35">
      <c r="G4605" s="89"/>
      <c r="H4605" s="90"/>
      <c r="L4605" s="89"/>
      <c r="M4605" s="90"/>
    </row>
    <row r="4606" spans="7:13" x14ac:dyDescent="0.35">
      <c r="G4606" s="89"/>
      <c r="H4606" s="90"/>
      <c r="L4606" s="89"/>
      <c r="M4606" s="90"/>
    </row>
    <row r="4607" spans="7:13" x14ac:dyDescent="0.35">
      <c r="G4607" s="89"/>
      <c r="H4607" s="90"/>
      <c r="L4607" s="89"/>
      <c r="M4607" s="90"/>
    </row>
    <row r="4608" spans="7:13" x14ac:dyDescent="0.35">
      <c r="G4608" s="89"/>
      <c r="H4608" s="90"/>
      <c r="L4608" s="89"/>
      <c r="M4608" s="90"/>
    </row>
    <row r="4609" spans="7:13" x14ac:dyDescent="0.35">
      <c r="G4609" s="89"/>
      <c r="H4609" s="90"/>
      <c r="L4609" s="89"/>
      <c r="M4609" s="90"/>
    </row>
    <row r="4610" spans="7:13" x14ac:dyDescent="0.35">
      <c r="G4610" s="89"/>
      <c r="H4610" s="90"/>
      <c r="L4610" s="89"/>
      <c r="M4610" s="90"/>
    </row>
    <row r="4611" spans="7:13" x14ac:dyDescent="0.35">
      <c r="G4611" s="89"/>
      <c r="H4611" s="90"/>
      <c r="L4611" s="89"/>
      <c r="M4611" s="90"/>
    </row>
    <row r="4612" spans="7:13" x14ac:dyDescent="0.35">
      <c r="G4612" s="89"/>
      <c r="H4612" s="90"/>
      <c r="L4612" s="89"/>
      <c r="M4612" s="90"/>
    </row>
    <row r="4613" spans="7:13" x14ac:dyDescent="0.35">
      <c r="G4613" s="89"/>
      <c r="H4613" s="90"/>
      <c r="L4613" s="89"/>
      <c r="M4613" s="90"/>
    </row>
    <row r="4614" spans="7:13" x14ac:dyDescent="0.35">
      <c r="G4614" s="89"/>
      <c r="H4614" s="90"/>
      <c r="L4614" s="89"/>
      <c r="M4614" s="90"/>
    </row>
    <row r="4615" spans="7:13" x14ac:dyDescent="0.35">
      <c r="G4615" s="89"/>
      <c r="H4615" s="90"/>
      <c r="L4615" s="89"/>
      <c r="M4615" s="90"/>
    </row>
    <row r="4616" spans="7:13" x14ac:dyDescent="0.35">
      <c r="G4616" s="89"/>
      <c r="H4616" s="90"/>
      <c r="L4616" s="89"/>
      <c r="M4616" s="90"/>
    </row>
    <row r="4617" spans="7:13" x14ac:dyDescent="0.35">
      <c r="G4617" s="89"/>
      <c r="H4617" s="90"/>
      <c r="L4617" s="89"/>
      <c r="M4617" s="90"/>
    </row>
    <row r="4618" spans="7:13" x14ac:dyDescent="0.35">
      <c r="G4618" s="89"/>
      <c r="H4618" s="90"/>
      <c r="L4618" s="89"/>
      <c r="M4618" s="90"/>
    </row>
    <row r="4619" spans="7:13" x14ac:dyDescent="0.35">
      <c r="G4619" s="89"/>
      <c r="H4619" s="90"/>
      <c r="L4619" s="89"/>
      <c r="M4619" s="90"/>
    </row>
    <row r="4620" spans="7:13" x14ac:dyDescent="0.35">
      <c r="G4620" s="89"/>
      <c r="H4620" s="90"/>
      <c r="L4620" s="89"/>
      <c r="M4620" s="90"/>
    </row>
    <row r="4621" spans="7:13" x14ac:dyDescent="0.35">
      <c r="G4621" s="89"/>
      <c r="H4621" s="90"/>
      <c r="L4621" s="89"/>
      <c r="M4621" s="90"/>
    </row>
    <row r="4622" spans="7:13" x14ac:dyDescent="0.35">
      <c r="G4622" s="89"/>
      <c r="H4622" s="90"/>
      <c r="L4622" s="89"/>
      <c r="M4622" s="90"/>
    </row>
    <row r="4623" spans="7:13" x14ac:dyDescent="0.35">
      <c r="G4623" s="89"/>
      <c r="H4623" s="90"/>
      <c r="L4623" s="89"/>
      <c r="M4623" s="90"/>
    </row>
    <row r="4624" spans="7:13" x14ac:dyDescent="0.35">
      <c r="G4624" s="89"/>
      <c r="H4624" s="90"/>
      <c r="L4624" s="89"/>
      <c r="M4624" s="90"/>
    </row>
    <row r="4625" spans="7:13" x14ac:dyDescent="0.35">
      <c r="G4625" s="89"/>
      <c r="H4625" s="90"/>
      <c r="L4625" s="89"/>
      <c r="M4625" s="90"/>
    </row>
    <row r="4626" spans="7:13" x14ac:dyDescent="0.35">
      <c r="G4626" s="89"/>
      <c r="H4626" s="90"/>
      <c r="L4626" s="89"/>
      <c r="M4626" s="90"/>
    </row>
    <row r="4627" spans="7:13" x14ac:dyDescent="0.35">
      <c r="G4627" s="89"/>
      <c r="H4627" s="90"/>
      <c r="L4627" s="89"/>
      <c r="M4627" s="90"/>
    </row>
    <row r="4628" spans="7:13" x14ac:dyDescent="0.35">
      <c r="G4628" s="89"/>
      <c r="H4628" s="90"/>
      <c r="L4628" s="89"/>
      <c r="M4628" s="90"/>
    </row>
    <row r="4629" spans="7:13" x14ac:dyDescent="0.35">
      <c r="G4629" s="89"/>
      <c r="H4629" s="90"/>
      <c r="L4629" s="89"/>
      <c r="M4629" s="90"/>
    </row>
    <row r="4630" spans="7:13" x14ac:dyDescent="0.35">
      <c r="G4630" s="89"/>
      <c r="H4630" s="90"/>
      <c r="L4630" s="89"/>
      <c r="M4630" s="90"/>
    </row>
    <row r="4631" spans="7:13" x14ac:dyDescent="0.35">
      <c r="G4631" s="89"/>
      <c r="H4631" s="90"/>
      <c r="L4631" s="89"/>
      <c r="M4631" s="90"/>
    </row>
    <row r="4632" spans="7:13" x14ac:dyDescent="0.35">
      <c r="G4632" s="89"/>
      <c r="H4632" s="90"/>
      <c r="L4632" s="89"/>
      <c r="M4632" s="90"/>
    </row>
    <row r="4633" spans="7:13" x14ac:dyDescent="0.35">
      <c r="G4633" s="89"/>
      <c r="H4633" s="90"/>
      <c r="L4633" s="89"/>
      <c r="M4633" s="90"/>
    </row>
    <row r="4634" spans="7:13" x14ac:dyDescent="0.35">
      <c r="G4634" s="89"/>
      <c r="H4634" s="90"/>
      <c r="L4634" s="89"/>
      <c r="M4634" s="90"/>
    </row>
    <row r="4635" spans="7:13" x14ac:dyDescent="0.35">
      <c r="G4635" s="89"/>
      <c r="H4635" s="90"/>
      <c r="L4635" s="89"/>
      <c r="M4635" s="90"/>
    </row>
    <row r="4636" spans="7:13" x14ac:dyDescent="0.35">
      <c r="G4636" s="89"/>
      <c r="H4636" s="90"/>
      <c r="L4636" s="89"/>
      <c r="M4636" s="90"/>
    </row>
    <row r="4637" spans="7:13" x14ac:dyDescent="0.35">
      <c r="G4637" s="89"/>
      <c r="H4637" s="90"/>
      <c r="L4637" s="89"/>
      <c r="M4637" s="90"/>
    </row>
    <row r="4638" spans="7:13" x14ac:dyDescent="0.35">
      <c r="G4638" s="89"/>
      <c r="H4638" s="90"/>
      <c r="L4638" s="89"/>
      <c r="M4638" s="90"/>
    </row>
    <row r="4639" spans="7:13" x14ac:dyDescent="0.35">
      <c r="G4639" s="89"/>
      <c r="H4639" s="90"/>
      <c r="L4639" s="89"/>
      <c r="M4639" s="90"/>
    </row>
    <row r="4640" spans="7:13" x14ac:dyDescent="0.35">
      <c r="G4640" s="89"/>
      <c r="H4640" s="90"/>
      <c r="L4640" s="89"/>
      <c r="M4640" s="90"/>
    </row>
    <row r="4641" spans="7:13" x14ac:dyDescent="0.35">
      <c r="G4641" s="89"/>
      <c r="H4641" s="90"/>
      <c r="L4641" s="89"/>
      <c r="M4641" s="90"/>
    </row>
    <row r="4642" spans="7:13" x14ac:dyDescent="0.35">
      <c r="G4642" s="89"/>
      <c r="H4642" s="90"/>
      <c r="L4642" s="89"/>
      <c r="M4642" s="90"/>
    </row>
    <row r="4643" spans="7:13" x14ac:dyDescent="0.35">
      <c r="G4643" s="89"/>
      <c r="H4643" s="90"/>
      <c r="L4643" s="89"/>
      <c r="M4643" s="90"/>
    </row>
    <row r="4644" spans="7:13" x14ac:dyDescent="0.35">
      <c r="G4644" s="89"/>
      <c r="H4644" s="90"/>
      <c r="L4644" s="89"/>
      <c r="M4644" s="90"/>
    </row>
    <row r="4645" spans="7:13" x14ac:dyDescent="0.35">
      <c r="G4645" s="89"/>
      <c r="H4645" s="90"/>
      <c r="L4645" s="89"/>
      <c r="M4645" s="90"/>
    </row>
    <row r="4646" spans="7:13" x14ac:dyDescent="0.35">
      <c r="G4646" s="89"/>
      <c r="H4646" s="90"/>
      <c r="L4646" s="89"/>
      <c r="M4646" s="90"/>
    </row>
    <row r="4647" spans="7:13" x14ac:dyDescent="0.35">
      <c r="G4647" s="89"/>
      <c r="H4647" s="90"/>
      <c r="L4647" s="89"/>
      <c r="M4647" s="90"/>
    </row>
    <row r="4648" spans="7:13" x14ac:dyDescent="0.35">
      <c r="G4648" s="89"/>
      <c r="H4648" s="90"/>
      <c r="L4648" s="89"/>
      <c r="M4648" s="90"/>
    </row>
    <row r="4649" spans="7:13" x14ac:dyDescent="0.35">
      <c r="G4649" s="89"/>
      <c r="H4649" s="90"/>
      <c r="L4649" s="89"/>
      <c r="M4649" s="90"/>
    </row>
    <row r="4650" spans="7:13" x14ac:dyDescent="0.35">
      <c r="G4650" s="89"/>
      <c r="H4650" s="90"/>
      <c r="L4650" s="89"/>
      <c r="M4650" s="90"/>
    </row>
    <row r="4651" spans="7:13" x14ac:dyDescent="0.35">
      <c r="G4651" s="89"/>
      <c r="H4651" s="90"/>
      <c r="L4651" s="89"/>
      <c r="M4651" s="90"/>
    </row>
    <row r="4652" spans="7:13" x14ac:dyDescent="0.35">
      <c r="G4652" s="89"/>
      <c r="H4652" s="90"/>
      <c r="L4652" s="89"/>
      <c r="M4652" s="90"/>
    </row>
    <row r="4653" spans="7:13" x14ac:dyDescent="0.35">
      <c r="G4653" s="89"/>
      <c r="H4653" s="90"/>
      <c r="L4653" s="89"/>
      <c r="M4653" s="90"/>
    </row>
    <row r="4654" spans="7:13" x14ac:dyDescent="0.35">
      <c r="G4654" s="89"/>
      <c r="H4654" s="90"/>
      <c r="L4654" s="89"/>
      <c r="M4654" s="90"/>
    </row>
    <row r="4655" spans="7:13" x14ac:dyDescent="0.35">
      <c r="G4655" s="89"/>
      <c r="H4655" s="90"/>
      <c r="L4655" s="89"/>
      <c r="M4655" s="90"/>
    </row>
    <row r="4656" spans="7:13" x14ac:dyDescent="0.35">
      <c r="G4656" s="89"/>
      <c r="H4656" s="90"/>
      <c r="L4656" s="89"/>
      <c r="M4656" s="90"/>
    </row>
    <row r="4657" spans="7:13" x14ac:dyDescent="0.35">
      <c r="G4657" s="89"/>
      <c r="H4657" s="90"/>
      <c r="L4657" s="89"/>
      <c r="M4657" s="90"/>
    </row>
    <row r="4658" spans="7:13" x14ac:dyDescent="0.35">
      <c r="G4658" s="89"/>
      <c r="H4658" s="90"/>
      <c r="L4658" s="89"/>
      <c r="M4658" s="90"/>
    </row>
    <row r="4659" spans="7:13" x14ac:dyDescent="0.35">
      <c r="G4659" s="89"/>
      <c r="H4659" s="90"/>
      <c r="L4659" s="89"/>
      <c r="M4659" s="90"/>
    </row>
    <row r="4660" spans="7:13" x14ac:dyDescent="0.35">
      <c r="G4660" s="89"/>
      <c r="H4660" s="90"/>
      <c r="L4660" s="89"/>
      <c r="M4660" s="90"/>
    </row>
    <row r="4661" spans="7:13" x14ac:dyDescent="0.35">
      <c r="G4661" s="89"/>
      <c r="H4661" s="90"/>
      <c r="L4661" s="89"/>
      <c r="M4661" s="90"/>
    </row>
    <row r="4662" spans="7:13" x14ac:dyDescent="0.35">
      <c r="G4662" s="89"/>
      <c r="H4662" s="90"/>
      <c r="L4662" s="89"/>
      <c r="M4662" s="90"/>
    </row>
    <row r="4663" spans="7:13" x14ac:dyDescent="0.35">
      <c r="G4663" s="89"/>
      <c r="H4663" s="90"/>
      <c r="L4663" s="89"/>
      <c r="M4663" s="90"/>
    </row>
    <row r="4664" spans="7:13" x14ac:dyDescent="0.35">
      <c r="G4664" s="89"/>
      <c r="H4664" s="90"/>
      <c r="L4664" s="89"/>
      <c r="M4664" s="90"/>
    </row>
    <row r="4665" spans="7:13" x14ac:dyDescent="0.35">
      <c r="G4665" s="89"/>
      <c r="H4665" s="90"/>
      <c r="L4665" s="89"/>
      <c r="M4665" s="90"/>
    </row>
    <row r="4666" spans="7:13" x14ac:dyDescent="0.35">
      <c r="G4666" s="89"/>
      <c r="H4666" s="90"/>
      <c r="L4666" s="89"/>
      <c r="M4666" s="90"/>
    </row>
    <row r="4667" spans="7:13" x14ac:dyDescent="0.35">
      <c r="G4667" s="89"/>
      <c r="H4667" s="90"/>
      <c r="L4667" s="89"/>
      <c r="M4667" s="90"/>
    </row>
    <row r="4668" spans="7:13" x14ac:dyDescent="0.35">
      <c r="G4668" s="89"/>
      <c r="H4668" s="90"/>
      <c r="L4668" s="89"/>
      <c r="M4668" s="90"/>
    </row>
    <row r="4669" spans="7:13" x14ac:dyDescent="0.35">
      <c r="G4669" s="89"/>
      <c r="H4669" s="90"/>
      <c r="L4669" s="89"/>
      <c r="M4669" s="90"/>
    </row>
    <row r="4670" spans="7:13" x14ac:dyDescent="0.35">
      <c r="G4670" s="89"/>
      <c r="H4670" s="90"/>
      <c r="L4670" s="89"/>
      <c r="M4670" s="90"/>
    </row>
    <row r="4671" spans="7:13" x14ac:dyDescent="0.35">
      <c r="G4671" s="89"/>
      <c r="H4671" s="90"/>
      <c r="L4671" s="89"/>
      <c r="M4671" s="90"/>
    </row>
    <row r="4672" spans="7:13" x14ac:dyDescent="0.35">
      <c r="G4672" s="89"/>
      <c r="H4672" s="90"/>
      <c r="L4672" s="89"/>
      <c r="M4672" s="90"/>
    </row>
    <row r="4673" spans="7:13" x14ac:dyDescent="0.35">
      <c r="G4673" s="89"/>
      <c r="H4673" s="90"/>
      <c r="L4673" s="89"/>
      <c r="M4673" s="90"/>
    </row>
    <row r="4674" spans="7:13" x14ac:dyDescent="0.35">
      <c r="G4674" s="89"/>
      <c r="H4674" s="90"/>
      <c r="L4674" s="89"/>
      <c r="M4674" s="90"/>
    </row>
    <row r="4675" spans="7:13" x14ac:dyDescent="0.35">
      <c r="G4675" s="89"/>
      <c r="H4675" s="90"/>
      <c r="L4675" s="89"/>
      <c r="M4675" s="90"/>
    </row>
    <row r="4676" spans="7:13" x14ac:dyDescent="0.35">
      <c r="G4676" s="89"/>
      <c r="H4676" s="90"/>
      <c r="L4676" s="89"/>
      <c r="M4676" s="90"/>
    </row>
    <row r="4677" spans="7:13" x14ac:dyDescent="0.35">
      <c r="G4677" s="89"/>
      <c r="H4677" s="90"/>
      <c r="L4677" s="89"/>
      <c r="M4677" s="90"/>
    </row>
    <row r="4678" spans="7:13" x14ac:dyDescent="0.35">
      <c r="G4678" s="89"/>
      <c r="H4678" s="90"/>
      <c r="L4678" s="89"/>
      <c r="M4678" s="90"/>
    </row>
    <row r="4679" spans="7:13" x14ac:dyDescent="0.35">
      <c r="G4679" s="89"/>
      <c r="H4679" s="90"/>
      <c r="L4679" s="89"/>
      <c r="M4679" s="90"/>
    </row>
    <row r="4680" spans="7:13" x14ac:dyDescent="0.35">
      <c r="G4680" s="89"/>
      <c r="H4680" s="90"/>
      <c r="L4680" s="89"/>
      <c r="M4680" s="90"/>
    </row>
    <row r="4681" spans="7:13" x14ac:dyDescent="0.35">
      <c r="G4681" s="89"/>
      <c r="H4681" s="90"/>
      <c r="L4681" s="89"/>
      <c r="M4681" s="90"/>
    </row>
    <row r="4682" spans="7:13" x14ac:dyDescent="0.35">
      <c r="G4682" s="89"/>
      <c r="H4682" s="90"/>
      <c r="L4682" s="89"/>
      <c r="M4682" s="90"/>
    </row>
    <row r="4683" spans="7:13" x14ac:dyDescent="0.35">
      <c r="G4683" s="89"/>
      <c r="H4683" s="90"/>
      <c r="L4683" s="89"/>
      <c r="M4683" s="90"/>
    </row>
    <row r="4684" spans="7:13" x14ac:dyDescent="0.35">
      <c r="G4684" s="89"/>
      <c r="H4684" s="90"/>
      <c r="L4684" s="89"/>
      <c r="M4684" s="90"/>
    </row>
    <row r="4685" spans="7:13" x14ac:dyDescent="0.35">
      <c r="G4685" s="89"/>
      <c r="H4685" s="90"/>
      <c r="L4685" s="89"/>
      <c r="M4685" s="90"/>
    </row>
    <row r="4686" spans="7:13" x14ac:dyDescent="0.35">
      <c r="G4686" s="89"/>
      <c r="H4686" s="90"/>
      <c r="L4686" s="89"/>
      <c r="M4686" s="90"/>
    </row>
    <row r="4687" spans="7:13" x14ac:dyDescent="0.35">
      <c r="G4687" s="89"/>
      <c r="H4687" s="90"/>
      <c r="L4687" s="89"/>
      <c r="M4687" s="90"/>
    </row>
    <row r="4688" spans="7:13" x14ac:dyDescent="0.35">
      <c r="G4688" s="89"/>
      <c r="H4688" s="90"/>
      <c r="L4688" s="89"/>
      <c r="M4688" s="90"/>
    </row>
    <row r="4689" spans="7:13" x14ac:dyDescent="0.35">
      <c r="G4689" s="89"/>
      <c r="H4689" s="90"/>
      <c r="L4689" s="89"/>
      <c r="M4689" s="90"/>
    </row>
    <row r="4690" spans="7:13" x14ac:dyDescent="0.35">
      <c r="G4690" s="89"/>
      <c r="H4690" s="90"/>
      <c r="L4690" s="89"/>
      <c r="M4690" s="90"/>
    </row>
    <row r="4691" spans="7:13" x14ac:dyDescent="0.35">
      <c r="G4691" s="89"/>
      <c r="H4691" s="90"/>
      <c r="L4691" s="89"/>
      <c r="M4691" s="90"/>
    </row>
    <row r="4692" spans="7:13" x14ac:dyDescent="0.35">
      <c r="G4692" s="89"/>
      <c r="H4692" s="90"/>
      <c r="L4692" s="89"/>
      <c r="M4692" s="90"/>
    </row>
    <row r="4693" spans="7:13" x14ac:dyDescent="0.35">
      <c r="G4693" s="89"/>
      <c r="H4693" s="90"/>
      <c r="L4693" s="89"/>
      <c r="M4693" s="90"/>
    </row>
    <row r="4694" spans="7:13" x14ac:dyDescent="0.35">
      <c r="G4694" s="89"/>
      <c r="H4694" s="90"/>
      <c r="L4694" s="89"/>
      <c r="M4694" s="90"/>
    </row>
    <row r="4695" spans="7:13" x14ac:dyDescent="0.35">
      <c r="G4695" s="89"/>
      <c r="H4695" s="90"/>
      <c r="L4695" s="89"/>
      <c r="M4695" s="90"/>
    </row>
    <row r="4696" spans="7:13" x14ac:dyDescent="0.35">
      <c r="G4696" s="89"/>
      <c r="H4696" s="90"/>
      <c r="L4696" s="89"/>
      <c r="M4696" s="90"/>
    </row>
    <row r="4697" spans="7:13" x14ac:dyDescent="0.35">
      <c r="G4697" s="89"/>
      <c r="H4697" s="90"/>
      <c r="L4697" s="89"/>
      <c r="M4697" s="90"/>
    </row>
    <row r="4698" spans="7:13" x14ac:dyDescent="0.35">
      <c r="G4698" s="89"/>
      <c r="H4698" s="90"/>
      <c r="L4698" s="89"/>
      <c r="M4698" s="90"/>
    </row>
    <row r="4699" spans="7:13" x14ac:dyDescent="0.35">
      <c r="G4699" s="89"/>
      <c r="H4699" s="90"/>
      <c r="L4699" s="89"/>
      <c r="M4699" s="90"/>
    </row>
    <row r="4700" spans="7:13" x14ac:dyDescent="0.35">
      <c r="G4700" s="89"/>
      <c r="H4700" s="90"/>
      <c r="L4700" s="89"/>
      <c r="M4700" s="90"/>
    </row>
    <row r="4701" spans="7:13" x14ac:dyDescent="0.35">
      <c r="G4701" s="89"/>
      <c r="H4701" s="90"/>
      <c r="L4701" s="89"/>
      <c r="M4701" s="90"/>
    </row>
    <row r="4702" spans="7:13" x14ac:dyDescent="0.35">
      <c r="G4702" s="89"/>
      <c r="H4702" s="90"/>
      <c r="L4702" s="89"/>
      <c r="M4702" s="90"/>
    </row>
    <row r="4703" spans="7:13" x14ac:dyDescent="0.35">
      <c r="G4703" s="89"/>
      <c r="H4703" s="90"/>
      <c r="L4703" s="89"/>
      <c r="M4703" s="90"/>
    </row>
    <row r="4704" spans="7:13" x14ac:dyDescent="0.35">
      <c r="G4704" s="89"/>
      <c r="H4704" s="90"/>
      <c r="L4704" s="89"/>
      <c r="M4704" s="90"/>
    </row>
    <row r="4705" spans="7:13" x14ac:dyDescent="0.35">
      <c r="G4705" s="89"/>
      <c r="H4705" s="90"/>
      <c r="L4705" s="89"/>
      <c r="M4705" s="90"/>
    </row>
    <row r="4706" spans="7:13" x14ac:dyDescent="0.35">
      <c r="G4706" s="89"/>
      <c r="H4706" s="90"/>
      <c r="L4706" s="89"/>
      <c r="M4706" s="90"/>
    </row>
    <row r="4707" spans="7:13" x14ac:dyDescent="0.35">
      <c r="G4707" s="89"/>
      <c r="H4707" s="90"/>
      <c r="L4707" s="89"/>
      <c r="M4707" s="90"/>
    </row>
    <row r="4708" spans="7:13" x14ac:dyDescent="0.35">
      <c r="G4708" s="89"/>
      <c r="H4708" s="90"/>
      <c r="L4708" s="89"/>
      <c r="M4708" s="90"/>
    </row>
    <row r="4709" spans="7:13" x14ac:dyDescent="0.35">
      <c r="G4709" s="89"/>
      <c r="H4709" s="90"/>
      <c r="L4709" s="89"/>
      <c r="M4709" s="90"/>
    </row>
    <row r="4710" spans="7:13" x14ac:dyDescent="0.35">
      <c r="G4710" s="89"/>
      <c r="H4710" s="90"/>
      <c r="L4710" s="89"/>
      <c r="M4710" s="90"/>
    </row>
    <row r="4711" spans="7:13" x14ac:dyDescent="0.35">
      <c r="G4711" s="89"/>
      <c r="H4711" s="90"/>
      <c r="L4711" s="89"/>
      <c r="M4711" s="90"/>
    </row>
    <row r="4712" spans="7:13" x14ac:dyDescent="0.35">
      <c r="G4712" s="89"/>
      <c r="H4712" s="90"/>
      <c r="L4712" s="89"/>
      <c r="M4712" s="90"/>
    </row>
    <row r="4713" spans="7:13" x14ac:dyDescent="0.35">
      <c r="G4713" s="89"/>
      <c r="H4713" s="90"/>
      <c r="L4713" s="89"/>
      <c r="M4713" s="90"/>
    </row>
    <row r="4714" spans="7:13" x14ac:dyDescent="0.35">
      <c r="G4714" s="89"/>
      <c r="H4714" s="90"/>
      <c r="L4714" s="89"/>
      <c r="M4714" s="90"/>
    </row>
    <row r="4715" spans="7:13" x14ac:dyDescent="0.35">
      <c r="G4715" s="89"/>
      <c r="H4715" s="90"/>
      <c r="L4715" s="89"/>
      <c r="M4715" s="90"/>
    </row>
    <row r="4716" spans="7:13" x14ac:dyDescent="0.35">
      <c r="G4716" s="89"/>
      <c r="H4716" s="90"/>
      <c r="L4716" s="89"/>
      <c r="M4716" s="90"/>
    </row>
    <row r="4717" spans="7:13" x14ac:dyDescent="0.35">
      <c r="G4717" s="89"/>
      <c r="H4717" s="90"/>
      <c r="L4717" s="89"/>
      <c r="M4717" s="90"/>
    </row>
    <row r="4718" spans="7:13" x14ac:dyDescent="0.35">
      <c r="G4718" s="89"/>
      <c r="H4718" s="90"/>
      <c r="L4718" s="89"/>
      <c r="M4718" s="90"/>
    </row>
    <row r="4719" spans="7:13" x14ac:dyDescent="0.35">
      <c r="G4719" s="89"/>
      <c r="H4719" s="90"/>
      <c r="L4719" s="89"/>
      <c r="M4719" s="90"/>
    </row>
    <row r="4720" spans="7:13" x14ac:dyDescent="0.35">
      <c r="G4720" s="89"/>
      <c r="H4720" s="90"/>
      <c r="L4720" s="89"/>
      <c r="M4720" s="90"/>
    </row>
    <row r="4721" spans="7:13" x14ac:dyDescent="0.35">
      <c r="G4721" s="89"/>
      <c r="H4721" s="90"/>
      <c r="L4721" s="89"/>
      <c r="M4721" s="90"/>
    </row>
    <row r="4722" spans="7:13" x14ac:dyDescent="0.35">
      <c r="G4722" s="89"/>
      <c r="H4722" s="90"/>
      <c r="L4722" s="89"/>
      <c r="M4722" s="90"/>
    </row>
    <row r="4723" spans="7:13" x14ac:dyDescent="0.35">
      <c r="G4723" s="89"/>
      <c r="H4723" s="90"/>
      <c r="L4723" s="89"/>
      <c r="M4723" s="90"/>
    </row>
    <row r="4724" spans="7:13" x14ac:dyDescent="0.35">
      <c r="G4724" s="89"/>
      <c r="H4724" s="90"/>
      <c r="L4724" s="89"/>
      <c r="M4724" s="90"/>
    </row>
    <row r="4725" spans="7:13" x14ac:dyDescent="0.35">
      <c r="G4725" s="89"/>
      <c r="H4725" s="90"/>
      <c r="L4725" s="89"/>
      <c r="M4725" s="90"/>
    </row>
    <row r="4726" spans="7:13" x14ac:dyDescent="0.35">
      <c r="G4726" s="89"/>
      <c r="H4726" s="90"/>
      <c r="L4726" s="89"/>
      <c r="M4726" s="90"/>
    </row>
    <row r="4727" spans="7:13" x14ac:dyDescent="0.35">
      <c r="G4727" s="89"/>
      <c r="H4727" s="90"/>
      <c r="L4727" s="89"/>
      <c r="M4727" s="90"/>
    </row>
    <row r="4728" spans="7:13" x14ac:dyDescent="0.35">
      <c r="G4728" s="89"/>
      <c r="H4728" s="90"/>
      <c r="L4728" s="89"/>
      <c r="M4728" s="90"/>
    </row>
    <row r="4729" spans="7:13" x14ac:dyDescent="0.35">
      <c r="G4729" s="89"/>
      <c r="H4729" s="90"/>
      <c r="L4729" s="89"/>
      <c r="M4729" s="90"/>
    </row>
    <row r="4730" spans="7:13" x14ac:dyDescent="0.35">
      <c r="G4730" s="89"/>
      <c r="H4730" s="90"/>
      <c r="L4730" s="89"/>
      <c r="M4730" s="90"/>
    </row>
    <row r="4731" spans="7:13" x14ac:dyDescent="0.35">
      <c r="G4731" s="89"/>
      <c r="H4731" s="90"/>
      <c r="L4731" s="89"/>
      <c r="M4731" s="90"/>
    </row>
    <row r="4732" spans="7:13" x14ac:dyDescent="0.35">
      <c r="G4732" s="89"/>
      <c r="H4732" s="90"/>
      <c r="L4732" s="89"/>
      <c r="M4732" s="90"/>
    </row>
    <row r="4733" spans="7:13" x14ac:dyDescent="0.35">
      <c r="G4733" s="89"/>
      <c r="H4733" s="90"/>
      <c r="L4733" s="89"/>
      <c r="M4733" s="90"/>
    </row>
    <row r="4734" spans="7:13" x14ac:dyDescent="0.35">
      <c r="G4734" s="89"/>
      <c r="H4734" s="90"/>
      <c r="L4734" s="89"/>
      <c r="M4734" s="90"/>
    </row>
    <row r="4735" spans="7:13" x14ac:dyDescent="0.35">
      <c r="G4735" s="89"/>
      <c r="H4735" s="90"/>
      <c r="L4735" s="89"/>
      <c r="M4735" s="90"/>
    </row>
    <row r="4736" spans="7:13" x14ac:dyDescent="0.35">
      <c r="G4736" s="89"/>
      <c r="H4736" s="90"/>
      <c r="L4736" s="89"/>
      <c r="M4736" s="90"/>
    </row>
    <row r="4737" spans="7:13" x14ac:dyDescent="0.35">
      <c r="G4737" s="89"/>
      <c r="H4737" s="90"/>
      <c r="L4737" s="89"/>
      <c r="M4737" s="90"/>
    </row>
    <row r="4738" spans="7:13" x14ac:dyDescent="0.35">
      <c r="G4738" s="89"/>
      <c r="H4738" s="90"/>
      <c r="L4738" s="89"/>
      <c r="M4738" s="90"/>
    </row>
    <row r="4739" spans="7:13" x14ac:dyDescent="0.35">
      <c r="G4739" s="89"/>
      <c r="H4739" s="90"/>
      <c r="L4739" s="89"/>
      <c r="M4739" s="90"/>
    </row>
    <row r="4740" spans="7:13" x14ac:dyDescent="0.35">
      <c r="G4740" s="89"/>
      <c r="H4740" s="90"/>
      <c r="L4740" s="89"/>
      <c r="M4740" s="90"/>
    </row>
    <row r="4741" spans="7:13" x14ac:dyDescent="0.35">
      <c r="G4741" s="89"/>
      <c r="H4741" s="90"/>
      <c r="L4741" s="89"/>
      <c r="M4741" s="90"/>
    </row>
    <row r="4742" spans="7:13" x14ac:dyDescent="0.35">
      <c r="G4742" s="89"/>
      <c r="H4742" s="90"/>
      <c r="L4742" s="89"/>
      <c r="M4742" s="90"/>
    </row>
    <row r="4743" spans="7:13" x14ac:dyDescent="0.35">
      <c r="G4743" s="89"/>
      <c r="H4743" s="90"/>
      <c r="L4743" s="89"/>
      <c r="M4743" s="90"/>
    </row>
    <row r="4744" spans="7:13" x14ac:dyDescent="0.35">
      <c r="G4744" s="89"/>
      <c r="H4744" s="90"/>
      <c r="L4744" s="89"/>
      <c r="M4744" s="90"/>
    </row>
    <row r="4745" spans="7:13" x14ac:dyDescent="0.35">
      <c r="G4745" s="89"/>
      <c r="H4745" s="90"/>
      <c r="L4745" s="89"/>
      <c r="M4745" s="90"/>
    </row>
    <row r="4746" spans="7:13" x14ac:dyDescent="0.35">
      <c r="G4746" s="89"/>
      <c r="H4746" s="90"/>
      <c r="L4746" s="89"/>
      <c r="M4746" s="90"/>
    </row>
    <row r="4747" spans="7:13" x14ac:dyDescent="0.35">
      <c r="G4747" s="89"/>
      <c r="H4747" s="90"/>
      <c r="L4747" s="89"/>
      <c r="M4747" s="90"/>
    </row>
    <row r="4748" spans="7:13" x14ac:dyDescent="0.35">
      <c r="G4748" s="89"/>
      <c r="H4748" s="90"/>
      <c r="L4748" s="89"/>
      <c r="M4748" s="90"/>
    </row>
    <row r="4749" spans="7:13" x14ac:dyDescent="0.35">
      <c r="G4749" s="89"/>
      <c r="H4749" s="90"/>
      <c r="L4749" s="89"/>
      <c r="M4749" s="90"/>
    </row>
    <row r="4750" spans="7:13" x14ac:dyDescent="0.35">
      <c r="G4750" s="89"/>
      <c r="H4750" s="90"/>
      <c r="L4750" s="89"/>
      <c r="M4750" s="90"/>
    </row>
    <row r="4751" spans="7:13" x14ac:dyDescent="0.35">
      <c r="G4751" s="89"/>
      <c r="H4751" s="90"/>
      <c r="L4751" s="89"/>
      <c r="M4751" s="90"/>
    </row>
    <row r="4752" spans="7:13" x14ac:dyDescent="0.35">
      <c r="G4752" s="89"/>
      <c r="H4752" s="90"/>
      <c r="L4752" s="89"/>
      <c r="M4752" s="90"/>
    </row>
    <row r="4753" spans="7:13" x14ac:dyDescent="0.35">
      <c r="G4753" s="89"/>
      <c r="H4753" s="90"/>
      <c r="L4753" s="89"/>
      <c r="M4753" s="90"/>
    </row>
    <row r="4754" spans="7:13" x14ac:dyDescent="0.35">
      <c r="G4754" s="89"/>
      <c r="H4754" s="90"/>
      <c r="L4754" s="89"/>
      <c r="M4754" s="90"/>
    </row>
    <row r="4755" spans="7:13" x14ac:dyDescent="0.35">
      <c r="G4755" s="89"/>
      <c r="H4755" s="90"/>
      <c r="L4755" s="89"/>
      <c r="M4755" s="90"/>
    </row>
    <row r="4756" spans="7:13" x14ac:dyDescent="0.35">
      <c r="G4756" s="89"/>
      <c r="H4756" s="90"/>
      <c r="L4756" s="89"/>
      <c r="M4756" s="90"/>
    </row>
    <row r="4757" spans="7:13" x14ac:dyDescent="0.35">
      <c r="G4757" s="89"/>
      <c r="H4757" s="90"/>
      <c r="L4757" s="89"/>
      <c r="M4757" s="90"/>
    </row>
    <row r="4758" spans="7:13" x14ac:dyDescent="0.35">
      <c r="G4758" s="89"/>
      <c r="H4758" s="90"/>
      <c r="L4758" s="89"/>
      <c r="M4758" s="90"/>
    </row>
    <row r="4759" spans="7:13" x14ac:dyDescent="0.35">
      <c r="G4759" s="89"/>
      <c r="H4759" s="90"/>
      <c r="L4759" s="89"/>
      <c r="M4759" s="90"/>
    </row>
    <row r="4760" spans="7:13" x14ac:dyDescent="0.35">
      <c r="G4760" s="89"/>
      <c r="H4760" s="90"/>
      <c r="L4760" s="89"/>
      <c r="M4760" s="90"/>
    </row>
    <row r="4761" spans="7:13" x14ac:dyDescent="0.35">
      <c r="G4761" s="89"/>
      <c r="H4761" s="90"/>
      <c r="L4761" s="89"/>
      <c r="M4761" s="90"/>
    </row>
    <row r="4762" spans="7:13" x14ac:dyDescent="0.35">
      <c r="G4762" s="89"/>
      <c r="H4762" s="90"/>
      <c r="L4762" s="89"/>
      <c r="M4762" s="90"/>
    </row>
    <row r="4763" spans="7:13" x14ac:dyDescent="0.35">
      <c r="G4763" s="89"/>
      <c r="H4763" s="90"/>
      <c r="L4763" s="89"/>
      <c r="M4763" s="90"/>
    </row>
    <row r="4764" spans="7:13" x14ac:dyDescent="0.35">
      <c r="G4764" s="89"/>
      <c r="H4764" s="90"/>
      <c r="L4764" s="89"/>
      <c r="M4764" s="90"/>
    </row>
    <row r="4765" spans="7:13" x14ac:dyDescent="0.35">
      <c r="G4765" s="89"/>
      <c r="H4765" s="90"/>
      <c r="L4765" s="89"/>
      <c r="M4765" s="90"/>
    </row>
    <row r="4766" spans="7:13" x14ac:dyDescent="0.35">
      <c r="G4766" s="89"/>
      <c r="H4766" s="90"/>
      <c r="L4766" s="89"/>
      <c r="M4766" s="90"/>
    </row>
    <row r="4767" spans="7:13" x14ac:dyDescent="0.35">
      <c r="G4767" s="89"/>
      <c r="H4767" s="90"/>
      <c r="L4767" s="89"/>
      <c r="M4767" s="90"/>
    </row>
    <row r="4768" spans="7:13" x14ac:dyDescent="0.35">
      <c r="G4768" s="89"/>
      <c r="H4768" s="90"/>
      <c r="L4768" s="89"/>
      <c r="M4768" s="90"/>
    </row>
    <row r="4769" spans="7:13" x14ac:dyDescent="0.35">
      <c r="G4769" s="89"/>
      <c r="H4769" s="90"/>
      <c r="L4769" s="89"/>
      <c r="M4769" s="90"/>
    </row>
    <row r="4770" spans="7:13" x14ac:dyDescent="0.35">
      <c r="G4770" s="89"/>
      <c r="H4770" s="90"/>
      <c r="L4770" s="89"/>
      <c r="M4770" s="90"/>
    </row>
    <row r="4771" spans="7:13" x14ac:dyDescent="0.35">
      <c r="G4771" s="89"/>
      <c r="H4771" s="90"/>
      <c r="L4771" s="89"/>
      <c r="M4771" s="90"/>
    </row>
    <row r="4772" spans="7:13" x14ac:dyDescent="0.35">
      <c r="G4772" s="89"/>
      <c r="H4772" s="90"/>
      <c r="L4772" s="89"/>
      <c r="M4772" s="90"/>
    </row>
    <row r="4773" spans="7:13" x14ac:dyDescent="0.35">
      <c r="G4773" s="89"/>
      <c r="H4773" s="90"/>
      <c r="L4773" s="89"/>
      <c r="M4773" s="90"/>
    </row>
    <row r="4774" spans="7:13" x14ac:dyDescent="0.35">
      <c r="G4774" s="89"/>
      <c r="H4774" s="90"/>
      <c r="L4774" s="89"/>
      <c r="M4774" s="90"/>
    </row>
    <row r="4775" spans="7:13" x14ac:dyDescent="0.35">
      <c r="G4775" s="89"/>
      <c r="H4775" s="90"/>
      <c r="L4775" s="89"/>
      <c r="M4775" s="90"/>
    </row>
    <row r="4776" spans="7:13" x14ac:dyDescent="0.35">
      <c r="G4776" s="89"/>
      <c r="H4776" s="90"/>
      <c r="L4776" s="89"/>
      <c r="M4776" s="90"/>
    </row>
    <row r="4777" spans="7:13" x14ac:dyDescent="0.35">
      <c r="G4777" s="89"/>
      <c r="H4777" s="90"/>
      <c r="L4777" s="89"/>
      <c r="M4777" s="90"/>
    </row>
    <row r="4778" spans="7:13" x14ac:dyDescent="0.35">
      <c r="G4778" s="89"/>
      <c r="H4778" s="90"/>
      <c r="L4778" s="89"/>
      <c r="M4778" s="90"/>
    </row>
    <row r="4779" spans="7:13" x14ac:dyDescent="0.35">
      <c r="G4779" s="89"/>
      <c r="H4779" s="90"/>
      <c r="L4779" s="89"/>
      <c r="M4779" s="90"/>
    </row>
    <row r="4780" spans="7:13" x14ac:dyDescent="0.35">
      <c r="G4780" s="89"/>
      <c r="H4780" s="90"/>
      <c r="L4780" s="89"/>
      <c r="M4780" s="90"/>
    </row>
    <row r="4781" spans="7:13" x14ac:dyDescent="0.35">
      <c r="G4781" s="89"/>
      <c r="H4781" s="90"/>
      <c r="L4781" s="89"/>
      <c r="M4781" s="90"/>
    </row>
    <row r="4782" spans="7:13" x14ac:dyDescent="0.35">
      <c r="G4782" s="89"/>
      <c r="H4782" s="90"/>
      <c r="L4782" s="89"/>
      <c r="M4782" s="90"/>
    </row>
    <row r="4783" spans="7:13" x14ac:dyDescent="0.35">
      <c r="G4783" s="89"/>
      <c r="H4783" s="90"/>
      <c r="L4783" s="89"/>
      <c r="M4783" s="90"/>
    </row>
    <row r="4784" spans="7:13" x14ac:dyDescent="0.35">
      <c r="G4784" s="89"/>
      <c r="H4784" s="90"/>
      <c r="L4784" s="89"/>
      <c r="M4784" s="90"/>
    </row>
    <row r="4785" spans="7:13" x14ac:dyDescent="0.35">
      <c r="G4785" s="89"/>
      <c r="H4785" s="90"/>
      <c r="L4785" s="89"/>
      <c r="M4785" s="90"/>
    </row>
    <row r="4786" spans="7:13" x14ac:dyDescent="0.35">
      <c r="G4786" s="89"/>
      <c r="H4786" s="90"/>
      <c r="L4786" s="89"/>
      <c r="M4786" s="90"/>
    </row>
    <row r="4787" spans="7:13" x14ac:dyDescent="0.35">
      <c r="G4787" s="89"/>
      <c r="H4787" s="90"/>
      <c r="L4787" s="89"/>
      <c r="M4787" s="90"/>
    </row>
    <row r="4788" spans="7:13" x14ac:dyDescent="0.35">
      <c r="G4788" s="89"/>
      <c r="H4788" s="90"/>
      <c r="L4788" s="89"/>
      <c r="M4788" s="90"/>
    </row>
    <row r="4789" spans="7:13" x14ac:dyDescent="0.35">
      <c r="G4789" s="89"/>
      <c r="H4789" s="90"/>
      <c r="L4789" s="89"/>
      <c r="M4789" s="90"/>
    </row>
    <row r="4790" spans="7:13" x14ac:dyDescent="0.35">
      <c r="G4790" s="89"/>
      <c r="H4790" s="90"/>
      <c r="L4790" s="89"/>
      <c r="M4790" s="90"/>
    </row>
    <row r="4791" spans="7:13" x14ac:dyDescent="0.35">
      <c r="G4791" s="89"/>
      <c r="H4791" s="90"/>
      <c r="L4791" s="89"/>
      <c r="M4791" s="90"/>
    </row>
    <row r="4792" spans="7:13" x14ac:dyDescent="0.35">
      <c r="G4792" s="89"/>
      <c r="H4792" s="90"/>
      <c r="L4792" s="89"/>
      <c r="M4792" s="90"/>
    </row>
    <row r="4793" spans="7:13" x14ac:dyDescent="0.35">
      <c r="G4793" s="89"/>
      <c r="H4793" s="90"/>
      <c r="L4793" s="89"/>
      <c r="M4793" s="90"/>
    </row>
    <row r="4794" spans="7:13" x14ac:dyDescent="0.35">
      <c r="G4794" s="89"/>
      <c r="H4794" s="90"/>
      <c r="L4794" s="89"/>
      <c r="M4794" s="90"/>
    </row>
    <row r="4795" spans="7:13" x14ac:dyDescent="0.35">
      <c r="G4795" s="89"/>
      <c r="H4795" s="90"/>
      <c r="L4795" s="89"/>
      <c r="M4795" s="90"/>
    </row>
    <row r="4796" spans="7:13" x14ac:dyDescent="0.35">
      <c r="G4796" s="89"/>
      <c r="H4796" s="90"/>
      <c r="L4796" s="89"/>
      <c r="M4796" s="90"/>
    </row>
    <row r="4797" spans="7:13" x14ac:dyDescent="0.35">
      <c r="G4797" s="89"/>
      <c r="H4797" s="90"/>
      <c r="L4797" s="89"/>
      <c r="M4797" s="90"/>
    </row>
    <row r="4798" spans="7:13" x14ac:dyDescent="0.35">
      <c r="G4798" s="89"/>
      <c r="H4798" s="90"/>
      <c r="L4798" s="89"/>
      <c r="M4798" s="90"/>
    </row>
    <row r="4799" spans="7:13" x14ac:dyDescent="0.35">
      <c r="G4799" s="89"/>
      <c r="H4799" s="90"/>
      <c r="L4799" s="89"/>
      <c r="M4799" s="90"/>
    </row>
    <row r="4800" spans="7:13" x14ac:dyDescent="0.35">
      <c r="G4800" s="89"/>
      <c r="H4800" s="90"/>
      <c r="L4800" s="89"/>
      <c r="M4800" s="90"/>
    </row>
    <row r="4801" spans="7:13" x14ac:dyDescent="0.35">
      <c r="G4801" s="89"/>
      <c r="H4801" s="90"/>
      <c r="L4801" s="89"/>
      <c r="M4801" s="90"/>
    </row>
    <row r="4802" spans="7:13" x14ac:dyDescent="0.35">
      <c r="G4802" s="89"/>
      <c r="H4802" s="90"/>
      <c r="L4802" s="89"/>
      <c r="M4802" s="90"/>
    </row>
    <row r="4803" spans="7:13" x14ac:dyDescent="0.35">
      <c r="G4803" s="89"/>
      <c r="H4803" s="90"/>
      <c r="L4803" s="89"/>
      <c r="M4803" s="90"/>
    </row>
    <row r="4804" spans="7:13" x14ac:dyDescent="0.35">
      <c r="G4804" s="89"/>
      <c r="H4804" s="90"/>
      <c r="L4804" s="89"/>
      <c r="M4804" s="90"/>
    </row>
    <row r="4805" spans="7:13" x14ac:dyDescent="0.35">
      <c r="G4805" s="89"/>
      <c r="H4805" s="90"/>
      <c r="L4805" s="89"/>
      <c r="M4805" s="90"/>
    </row>
    <row r="4806" spans="7:13" x14ac:dyDescent="0.35">
      <c r="G4806" s="89"/>
      <c r="H4806" s="90"/>
      <c r="L4806" s="89"/>
      <c r="M4806" s="90"/>
    </row>
    <row r="4807" spans="7:13" x14ac:dyDescent="0.35">
      <c r="G4807" s="89"/>
      <c r="H4807" s="90"/>
      <c r="L4807" s="89"/>
      <c r="M4807" s="90"/>
    </row>
    <row r="4808" spans="7:13" x14ac:dyDescent="0.35">
      <c r="G4808" s="89"/>
      <c r="H4808" s="90"/>
      <c r="L4808" s="89"/>
      <c r="M4808" s="90"/>
    </row>
    <row r="4809" spans="7:13" x14ac:dyDescent="0.35">
      <c r="G4809" s="89"/>
      <c r="H4809" s="90"/>
      <c r="L4809" s="89"/>
      <c r="M4809" s="90"/>
    </row>
    <row r="4810" spans="7:13" x14ac:dyDescent="0.35">
      <c r="G4810" s="89"/>
      <c r="H4810" s="90"/>
      <c r="L4810" s="89"/>
      <c r="M4810" s="90"/>
    </row>
    <row r="4811" spans="7:13" x14ac:dyDescent="0.35">
      <c r="G4811" s="89"/>
      <c r="H4811" s="90"/>
      <c r="L4811" s="89"/>
      <c r="M4811" s="90"/>
    </row>
    <row r="4812" spans="7:13" x14ac:dyDescent="0.35">
      <c r="G4812" s="89"/>
      <c r="H4812" s="90"/>
      <c r="L4812" s="89"/>
      <c r="M4812" s="90"/>
    </row>
    <row r="4813" spans="7:13" x14ac:dyDescent="0.35">
      <c r="G4813" s="89"/>
      <c r="H4813" s="90"/>
      <c r="L4813" s="89"/>
      <c r="M4813" s="90"/>
    </row>
    <row r="4814" spans="7:13" x14ac:dyDescent="0.35">
      <c r="G4814" s="89"/>
      <c r="H4814" s="90"/>
      <c r="L4814" s="89"/>
      <c r="M4814" s="90"/>
    </row>
    <row r="4815" spans="7:13" x14ac:dyDescent="0.35">
      <c r="G4815" s="89"/>
      <c r="H4815" s="90"/>
      <c r="L4815" s="89"/>
      <c r="M4815" s="90"/>
    </row>
    <row r="4816" spans="7:13" x14ac:dyDescent="0.35">
      <c r="G4816" s="89"/>
      <c r="H4816" s="90"/>
      <c r="L4816" s="89"/>
      <c r="M4816" s="90"/>
    </row>
    <row r="4817" spans="7:13" x14ac:dyDescent="0.35">
      <c r="G4817" s="89"/>
      <c r="H4817" s="90"/>
      <c r="L4817" s="89"/>
      <c r="M4817" s="90"/>
    </row>
    <row r="4818" spans="7:13" x14ac:dyDescent="0.35">
      <c r="G4818" s="89"/>
      <c r="H4818" s="90"/>
      <c r="L4818" s="89"/>
      <c r="M4818" s="90"/>
    </row>
    <row r="4819" spans="7:13" x14ac:dyDescent="0.35">
      <c r="G4819" s="89"/>
      <c r="H4819" s="90"/>
      <c r="L4819" s="89"/>
      <c r="M4819" s="90"/>
    </row>
    <row r="4820" spans="7:13" x14ac:dyDescent="0.35">
      <c r="G4820" s="89"/>
      <c r="H4820" s="90"/>
      <c r="L4820" s="89"/>
      <c r="M4820" s="90"/>
    </row>
    <row r="4821" spans="7:13" x14ac:dyDescent="0.35">
      <c r="G4821" s="89"/>
      <c r="H4821" s="90"/>
      <c r="L4821" s="89"/>
      <c r="M4821" s="90"/>
    </row>
    <row r="4822" spans="7:13" x14ac:dyDescent="0.35">
      <c r="G4822" s="89"/>
      <c r="H4822" s="90"/>
      <c r="L4822" s="89"/>
      <c r="M4822" s="90"/>
    </row>
    <row r="4823" spans="7:13" x14ac:dyDescent="0.35">
      <c r="G4823" s="89"/>
      <c r="H4823" s="90"/>
      <c r="L4823" s="89"/>
      <c r="M4823" s="90"/>
    </row>
    <row r="4824" spans="7:13" x14ac:dyDescent="0.35">
      <c r="G4824" s="89"/>
      <c r="H4824" s="90"/>
      <c r="L4824" s="89"/>
      <c r="M4824" s="90"/>
    </row>
    <row r="4825" spans="7:13" x14ac:dyDescent="0.35">
      <c r="G4825" s="89"/>
      <c r="H4825" s="90"/>
      <c r="L4825" s="89"/>
      <c r="M4825" s="90"/>
    </row>
    <row r="4826" spans="7:13" x14ac:dyDescent="0.35">
      <c r="G4826" s="89"/>
      <c r="H4826" s="90"/>
      <c r="L4826" s="89"/>
      <c r="M4826" s="90"/>
    </row>
    <row r="4827" spans="7:13" x14ac:dyDescent="0.35">
      <c r="G4827" s="89"/>
      <c r="H4827" s="90"/>
      <c r="L4827" s="89"/>
      <c r="M4827" s="90"/>
    </row>
    <row r="4828" spans="7:13" x14ac:dyDescent="0.35">
      <c r="G4828" s="89"/>
      <c r="H4828" s="90"/>
      <c r="L4828" s="89"/>
      <c r="M4828" s="90"/>
    </row>
    <row r="4829" spans="7:13" x14ac:dyDescent="0.35">
      <c r="G4829" s="89"/>
      <c r="H4829" s="90"/>
      <c r="L4829" s="89"/>
      <c r="M4829" s="90"/>
    </row>
    <row r="4830" spans="7:13" x14ac:dyDescent="0.35">
      <c r="G4830" s="89"/>
      <c r="H4830" s="90"/>
      <c r="L4830" s="89"/>
      <c r="M4830" s="90"/>
    </row>
    <row r="4831" spans="7:13" x14ac:dyDescent="0.35">
      <c r="G4831" s="89"/>
      <c r="H4831" s="90"/>
      <c r="L4831" s="89"/>
      <c r="M4831" s="90"/>
    </row>
    <row r="4832" spans="7:13" x14ac:dyDescent="0.35">
      <c r="G4832" s="89"/>
      <c r="H4832" s="90"/>
      <c r="L4832" s="89"/>
      <c r="M4832" s="90"/>
    </row>
    <row r="4833" spans="7:13" x14ac:dyDescent="0.35">
      <c r="G4833" s="89"/>
      <c r="H4833" s="90"/>
      <c r="L4833" s="89"/>
      <c r="M4833" s="90"/>
    </row>
    <row r="4834" spans="7:13" x14ac:dyDescent="0.35">
      <c r="G4834" s="89"/>
      <c r="H4834" s="90"/>
      <c r="L4834" s="89"/>
      <c r="M4834" s="90"/>
    </row>
    <row r="4835" spans="7:13" x14ac:dyDescent="0.35">
      <c r="G4835" s="89"/>
      <c r="H4835" s="90"/>
      <c r="L4835" s="89"/>
      <c r="M4835" s="90"/>
    </row>
    <row r="4836" spans="7:13" x14ac:dyDescent="0.35">
      <c r="G4836" s="89"/>
      <c r="H4836" s="90"/>
      <c r="L4836" s="89"/>
      <c r="M4836" s="90"/>
    </row>
  </sheetData>
  <phoneticPr fontId="23" type="noConversion"/>
  <pageMargins left="0.7" right="0.7" top="0.75" bottom="0.75" header="0.3" footer="0.3"/>
  <customProperties>
    <customPr name="SheetID" r:id="rId1"/>
  </customProperties>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AV462"/>
  <sheetViews>
    <sheetView topLeftCell="D1" workbookViewId="0">
      <selection activeCell="F18" sqref="F18"/>
    </sheetView>
  </sheetViews>
  <sheetFormatPr defaultColWidth="9" defaultRowHeight="14.15" x14ac:dyDescent="0.3"/>
  <cols>
    <col min="1" max="1" width="9" style="1"/>
    <col min="2" max="2" width="13.2109375" style="1" customWidth="1"/>
    <col min="3" max="3" width="10.85546875" style="1" customWidth="1"/>
    <col min="4" max="12" width="13" style="1" customWidth="1"/>
    <col min="13" max="13" width="9" style="2"/>
    <col min="14" max="14" width="9.140625" style="2" customWidth="1"/>
    <col min="15" max="15" width="9.2109375" style="3" customWidth="1"/>
    <col min="16" max="16" width="13.42578125" style="3" customWidth="1"/>
    <col min="17" max="17" width="9" style="2"/>
    <col min="18" max="18" width="11.2109375" style="4" customWidth="1"/>
    <col min="19" max="19" width="15.140625" style="4" customWidth="1"/>
    <col min="20" max="21" width="8.2109375" style="4" customWidth="1"/>
    <col min="22" max="22" width="9.42578125" style="4" customWidth="1"/>
    <col min="23" max="23" width="8.140625" style="4" customWidth="1"/>
    <col min="24" max="26" width="8.2109375" style="4" customWidth="1"/>
    <col min="27" max="27" width="15.140625" style="4" customWidth="1"/>
    <col min="28" max="29" width="8.2109375" style="4" customWidth="1"/>
    <col min="30" max="30" width="12.42578125" style="50" customWidth="1"/>
    <col min="31" max="31" width="8.2109375" style="56" customWidth="1"/>
    <col min="32" max="32" width="9" style="1"/>
    <col min="33" max="33" width="10.35546875" style="57" customWidth="1"/>
    <col min="34" max="35" width="8.2109375" style="4" customWidth="1"/>
    <col min="36" max="36" width="9.42578125" style="4" customWidth="1"/>
    <col min="37" max="41" width="8.2109375" style="4" customWidth="1"/>
    <col min="42" max="42" width="11.78515625" style="58" customWidth="1"/>
    <col min="43" max="43" width="9" style="1"/>
    <col min="44" max="44" width="11.35546875" style="57" customWidth="1"/>
    <col min="45" max="45" width="8.2109375" style="59" customWidth="1"/>
    <col min="46" max="46" width="14.78515625" style="59" customWidth="1"/>
    <col min="47" max="48" width="9" style="2"/>
    <col min="49" max="16384" width="9" style="1"/>
  </cols>
  <sheetData>
    <row r="1" spans="1:46" ht="74.150000000000006" customHeight="1" x14ac:dyDescent="0.35">
      <c r="A1" s="138" t="s">
        <v>63</v>
      </c>
      <c r="B1" s="138"/>
      <c r="C1" s="138"/>
      <c r="D1" s="138"/>
      <c r="E1" s="138"/>
      <c r="F1" s="138"/>
      <c r="G1" s="138"/>
      <c r="H1" s="138"/>
      <c r="I1" s="138"/>
      <c r="J1" s="138"/>
      <c r="K1" s="138"/>
      <c r="L1" s="138"/>
      <c r="O1" s="139" t="s">
        <v>64</v>
      </c>
      <c r="P1" s="139"/>
      <c r="R1" s="140" t="s">
        <v>65</v>
      </c>
      <c r="S1" s="140"/>
      <c r="T1" s="140"/>
      <c r="U1" s="140"/>
      <c r="V1" s="140"/>
      <c r="W1" s="140"/>
      <c r="X1" s="140"/>
      <c r="Y1" s="140"/>
      <c r="Z1" s="140"/>
      <c r="AA1" s="140"/>
      <c r="AB1" s="140"/>
      <c r="AC1" s="140"/>
      <c r="AD1" s="140"/>
      <c r="AE1" s="140"/>
      <c r="AF1" s="140"/>
      <c r="AG1" s="140"/>
      <c r="AH1" s="140"/>
      <c r="AI1" s="140"/>
      <c r="AJ1" s="140"/>
      <c r="AK1" s="140"/>
      <c r="AL1" s="140"/>
      <c r="AM1" s="140"/>
      <c r="AN1" s="140"/>
      <c r="AO1" s="140"/>
      <c r="AP1" s="140"/>
      <c r="AQ1" s="140"/>
      <c r="AR1" s="140"/>
      <c r="AS1" s="140"/>
      <c r="AT1" s="140"/>
    </row>
    <row r="2" spans="1:46" ht="54.65" customHeight="1" x14ac:dyDescent="0.3">
      <c r="O2" s="49" t="str">
        <f>[2]!edb()</f>
        <v>Wind</v>
      </c>
      <c r="P2" s="50"/>
      <c r="R2" s="61" t="str">
        <f>[2]!edb()</f>
        <v>Wind</v>
      </c>
      <c r="S2" s="55"/>
      <c r="T2" s="55"/>
      <c r="U2" s="55"/>
      <c r="V2" s="55"/>
      <c r="W2" s="55"/>
      <c r="X2" s="62" t="s">
        <v>24</v>
      </c>
      <c r="Y2" s="55"/>
      <c r="Z2" s="55"/>
      <c r="AA2" s="55"/>
      <c r="AB2" s="66"/>
      <c r="AC2" s="67" t="str">
        <f>[2]!edb()</f>
        <v>Wind</v>
      </c>
      <c r="AD2" s="55"/>
      <c r="AG2" s="72"/>
      <c r="AS2" s="75"/>
      <c r="AT2" s="76"/>
    </row>
    <row r="3" spans="1:46" ht="28.3" x14ac:dyDescent="0.3">
      <c r="B3" s="6" t="s">
        <v>66</v>
      </c>
      <c r="C3" s="6" t="s">
        <v>67</v>
      </c>
      <c r="D3" s="7" t="s">
        <v>68</v>
      </c>
      <c r="E3" s="7" t="s">
        <v>69</v>
      </c>
      <c r="F3" s="7" t="s">
        <v>70</v>
      </c>
      <c r="G3" s="7" t="s">
        <v>71</v>
      </c>
      <c r="H3" s="1" t="s">
        <v>54</v>
      </c>
      <c r="I3" s="1" t="s">
        <v>48</v>
      </c>
      <c r="J3" s="1" t="s">
        <v>59</v>
      </c>
      <c r="K3" s="1" t="s">
        <v>61</v>
      </c>
      <c r="L3" s="1" t="s">
        <v>72</v>
      </c>
      <c r="O3" s="147" t="s">
        <v>158</v>
      </c>
      <c r="P3" s="148" t="s">
        <v>172</v>
      </c>
      <c r="R3" s="145" t="s">
        <v>158</v>
      </c>
      <c r="S3" s="145" t="s">
        <v>171</v>
      </c>
      <c r="T3" s="55" t="s">
        <v>73</v>
      </c>
      <c r="U3" s="55" t="s">
        <v>74</v>
      </c>
      <c r="V3" s="55" t="s">
        <v>75</v>
      </c>
      <c r="W3" s="55" t="s">
        <v>76</v>
      </c>
      <c r="X3" s="62" t="s">
        <v>77</v>
      </c>
      <c r="Y3" s="55"/>
      <c r="Z3" s="66" t="s">
        <v>78</v>
      </c>
      <c r="AA3" s="66" t="s">
        <v>79</v>
      </c>
      <c r="AB3" s="68"/>
      <c r="AC3" s="151" t="s">
        <v>158</v>
      </c>
      <c r="AD3" s="145" t="s">
        <v>169</v>
      </c>
      <c r="AE3" s="69"/>
      <c r="AG3" s="73"/>
      <c r="AH3" s="74"/>
      <c r="AI3" s="74"/>
      <c r="AJ3" s="74"/>
      <c r="AK3" s="74"/>
      <c r="AL3" s="74"/>
      <c r="AM3" s="74"/>
      <c r="AN3" s="74"/>
      <c r="AO3" s="74"/>
    </row>
    <row r="4" spans="1:46" x14ac:dyDescent="0.3">
      <c r="A4" s="8">
        <f>五大周期判断!B12</f>
        <v>46022</v>
      </c>
      <c r="B4" s="9">
        <f t="shared" ref="B4:B35" si="0">VLOOKUP(A4,O:P,2,0)</f>
        <v>1.5915304347826089</v>
      </c>
      <c r="C4" s="9">
        <f t="shared" ref="C4:C35" si="1">VLOOKUP(A4,R:X,7,0)</f>
        <v>0</v>
      </c>
      <c r="D4" s="7">
        <f>IF(C4&gt;C5,1,0)</f>
        <v>0</v>
      </c>
      <c r="E4" s="7">
        <f>1-D4</f>
        <v>1</v>
      </c>
      <c r="F4" s="7">
        <f>IF(B4&gt;B5,1,0)</f>
        <v>1</v>
      </c>
      <c r="G4" s="7">
        <f>1-F4</f>
        <v>0</v>
      </c>
      <c r="H4" s="1">
        <f>INT(AND(G4=1,E4=1))</f>
        <v>0</v>
      </c>
      <c r="I4" s="1">
        <f>INT(AND(G4=1,D4=1))</f>
        <v>0</v>
      </c>
      <c r="J4" s="1">
        <f>INT(AND(F4=1,E4=1))</f>
        <v>1</v>
      </c>
      <c r="K4" s="1">
        <f>INT(AND(F4=1,D4=1))</f>
        <v>0</v>
      </c>
      <c r="L4" s="1" t="str">
        <f>INDEX($H$3:$K$3,1,MATCH(1,H4:K4,0))</f>
        <v>紧货币紧信用</v>
      </c>
      <c r="O4" s="51">
        <v>46053</v>
      </c>
      <c r="P4" s="60">
        <v>1.5971571428571429</v>
      </c>
      <c r="R4" s="145" t="s">
        <v>162</v>
      </c>
      <c r="S4" s="145" t="s">
        <v>170</v>
      </c>
      <c r="T4" s="55"/>
      <c r="U4" s="55"/>
      <c r="V4" s="55"/>
      <c r="W4" s="55"/>
      <c r="X4" s="62"/>
      <c r="Y4" s="55"/>
      <c r="Z4" s="70">
        <v>44834</v>
      </c>
      <c r="AA4" s="68">
        <v>4966.4399000000003</v>
      </c>
      <c r="AB4" s="68"/>
      <c r="AC4" s="151" t="s">
        <v>162</v>
      </c>
      <c r="AD4" s="145" t="s">
        <v>170</v>
      </c>
      <c r="AG4" s="73"/>
      <c r="AH4" s="73"/>
      <c r="AI4" s="73"/>
      <c r="AJ4" s="73"/>
      <c r="AK4" s="73"/>
      <c r="AL4" s="73"/>
      <c r="AM4" s="73"/>
      <c r="AN4" s="73"/>
      <c r="AO4" s="73"/>
    </row>
    <row r="5" spans="1:46" x14ac:dyDescent="0.3">
      <c r="A5" s="8">
        <f>EOMONTH(A4,-1)</f>
        <v>45991</v>
      </c>
      <c r="B5" s="9">
        <f t="shared" si="0"/>
        <v>1.5822750000000001</v>
      </c>
      <c r="C5" s="9">
        <f t="shared" si="1"/>
        <v>0</v>
      </c>
      <c r="D5" s="7">
        <f t="shared" ref="D5:D36" si="2">IF(C5&gt;C6,1,0)</f>
        <v>0</v>
      </c>
      <c r="E5" s="7">
        <f t="shared" ref="E5:E36" si="3">1-D5</f>
        <v>1</v>
      </c>
      <c r="F5" s="7">
        <f t="shared" ref="F5:F36" si="4">IF(B5&gt;B6,1,0)</f>
        <v>0</v>
      </c>
      <c r="G5" s="7">
        <f t="shared" ref="G5:G36" si="5">1-F5</f>
        <v>1</v>
      </c>
      <c r="H5" s="1">
        <f>INT(AND(G5=1,E5=1))</f>
        <v>1</v>
      </c>
      <c r="I5" s="1">
        <f>INT(AND(G5=1,D5=1))</f>
        <v>0</v>
      </c>
      <c r="J5" s="1">
        <f>INT(AND(F5=1,E5=1))</f>
        <v>0</v>
      </c>
      <c r="K5" s="1">
        <f>INT(AND(F5=1,D5=1))</f>
        <v>0</v>
      </c>
      <c r="L5" s="1" t="str">
        <f t="shared" ref="L5:L36" si="6">INDEX($H$3:$K$3,1,MATCH(1,H5:K5,0))</f>
        <v>宽货币紧信用</v>
      </c>
      <c r="O5" s="51">
        <v>46022</v>
      </c>
      <c r="P5" s="60">
        <v>1.5915304347826089</v>
      </c>
      <c r="R5" s="14">
        <v>37287</v>
      </c>
      <c r="S5" s="15">
        <v>-472</v>
      </c>
      <c r="T5" s="55" t="e">
        <f t="shared" ref="T5:T68" si="7">VLOOKUP(R5,Z:AA,2,0)</f>
        <v>#N/A</v>
      </c>
      <c r="U5" s="63" t="e">
        <f t="shared" ref="U5:U68" si="8">S5+T5</f>
        <v>#N/A</v>
      </c>
      <c r="V5" s="55"/>
      <c r="W5" s="64">
        <f t="shared" ref="W5:W68" si="9">VLOOKUP(R5,AC:AD,2,1)</f>
        <v>112157.3</v>
      </c>
      <c r="X5" s="65"/>
      <c r="Y5" s="64"/>
      <c r="Z5" s="70">
        <v>44804</v>
      </c>
      <c r="AA5" s="68">
        <v>2606.1214</v>
      </c>
      <c r="AB5" s="68"/>
      <c r="AC5" s="71">
        <v>33969</v>
      </c>
      <c r="AD5" s="15">
        <v>27295.599999999999</v>
      </c>
      <c r="AG5" s="16"/>
      <c r="AH5" s="17"/>
      <c r="AI5" s="17"/>
      <c r="AJ5" s="17"/>
      <c r="AK5" s="17"/>
      <c r="AL5" s="17"/>
      <c r="AM5" s="17"/>
      <c r="AN5" s="17"/>
      <c r="AO5" s="17"/>
    </row>
    <row r="6" spans="1:46" x14ac:dyDescent="0.3">
      <c r="A6" s="8">
        <f t="shared" ref="A6:A37" si="10">EOMONTH(A5,-1)</f>
        <v>45961</v>
      </c>
      <c r="B6" s="9">
        <f t="shared" si="0"/>
        <v>1.5874999999999999</v>
      </c>
      <c r="C6" s="9">
        <f t="shared" si="1"/>
        <v>0</v>
      </c>
      <c r="D6" s="7">
        <f t="shared" si="2"/>
        <v>0</v>
      </c>
      <c r="E6" s="7">
        <f t="shared" si="3"/>
        <v>1</v>
      </c>
      <c r="F6" s="7">
        <f t="shared" si="4"/>
        <v>1</v>
      </c>
      <c r="G6" s="7">
        <f t="shared" si="5"/>
        <v>0</v>
      </c>
      <c r="H6" s="1">
        <f t="shared" ref="H6:H69" si="11">INT(AND(G6=1,E6=1))</f>
        <v>0</v>
      </c>
      <c r="I6" s="1">
        <f t="shared" ref="I6:I69" si="12">INT(AND(G6=1,D6=1))</f>
        <v>0</v>
      </c>
      <c r="J6" s="1">
        <f t="shared" ref="J6:J69" si="13">INT(AND(F6=1,E6=1))</f>
        <v>1</v>
      </c>
      <c r="K6" s="1">
        <f t="shared" ref="K6:K69" si="14">INT(AND(F6=1,D6=1))</f>
        <v>0</v>
      </c>
      <c r="L6" s="1" t="str">
        <f t="shared" si="6"/>
        <v>紧货币紧信用</v>
      </c>
      <c r="O6" s="51">
        <v>45991</v>
      </c>
      <c r="P6" s="60">
        <v>1.5822750000000001</v>
      </c>
      <c r="R6" s="14">
        <v>37315</v>
      </c>
      <c r="S6" s="15">
        <v>289</v>
      </c>
      <c r="T6" s="55" t="e">
        <f t="shared" si="7"/>
        <v>#N/A</v>
      </c>
      <c r="U6" s="63" t="e">
        <f t="shared" si="8"/>
        <v>#N/A</v>
      </c>
      <c r="V6" s="55"/>
      <c r="W6" s="64">
        <f t="shared" si="9"/>
        <v>112157.3</v>
      </c>
      <c r="X6" s="65"/>
      <c r="Y6" s="64"/>
      <c r="Z6" s="70">
        <v>44773</v>
      </c>
      <c r="AA6" s="68">
        <v>3083.3236000000002</v>
      </c>
      <c r="AB6" s="68"/>
      <c r="AC6" s="71">
        <v>34059</v>
      </c>
      <c r="AD6" s="15">
        <v>28877</v>
      </c>
      <c r="AG6" s="16"/>
      <c r="AH6" s="17"/>
      <c r="AI6" s="17"/>
      <c r="AJ6" s="17"/>
      <c r="AK6" s="17"/>
      <c r="AL6" s="17"/>
      <c r="AM6" s="17"/>
      <c r="AN6" s="17"/>
      <c r="AO6" s="17"/>
    </row>
    <row r="7" spans="1:46" x14ac:dyDescent="0.3">
      <c r="A7" s="8">
        <f t="shared" si="10"/>
        <v>45930</v>
      </c>
      <c r="B7" s="9">
        <f t="shared" si="0"/>
        <v>1.559391304347826</v>
      </c>
      <c r="C7" s="9">
        <f t="shared" si="1"/>
        <v>0</v>
      </c>
      <c r="D7" s="7">
        <f t="shared" si="2"/>
        <v>0</v>
      </c>
      <c r="E7" s="7">
        <f t="shared" si="3"/>
        <v>1</v>
      </c>
      <c r="F7" s="7">
        <f t="shared" si="4"/>
        <v>1</v>
      </c>
      <c r="G7" s="7">
        <f t="shared" si="5"/>
        <v>0</v>
      </c>
      <c r="H7" s="1">
        <f t="shared" si="11"/>
        <v>0</v>
      </c>
      <c r="I7" s="1">
        <f t="shared" si="12"/>
        <v>0</v>
      </c>
      <c r="J7" s="1">
        <f t="shared" si="13"/>
        <v>1</v>
      </c>
      <c r="K7" s="1">
        <f t="shared" si="14"/>
        <v>0</v>
      </c>
      <c r="L7" s="1" t="str">
        <f t="shared" si="6"/>
        <v>紧货币紧信用</v>
      </c>
      <c r="O7" s="51">
        <v>45961</v>
      </c>
      <c r="P7" s="60">
        <v>1.5874999999999999</v>
      </c>
      <c r="R7" s="14">
        <v>37346</v>
      </c>
      <c r="S7" s="15">
        <v>3136</v>
      </c>
      <c r="T7" s="55">
        <f t="shared" si="7"/>
        <v>96.7</v>
      </c>
      <c r="U7" s="63">
        <f t="shared" si="8"/>
        <v>3232.7</v>
      </c>
      <c r="V7" s="55"/>
      <c r="W7" s="64">
        <f t="shared" si="9"/>
        <v>114432.7</v>
      </c>
      <c r="X7" s="65"/>
      <c r="Y7" s="64"/>
      <c r="Z7" s="70">
        <v>44742</v>
      </c>
      <c r="AA7" s="68">
        <v>17012.5016</v>
      </c>
      <c r="AB7" s="68"/>
      <c r="AC7" s="71">
        <v>34150</v>
      </c>
      <c r="AD7" s="15">
        <v>30759.5</v>
      </c>
      <c r="AG7" s="16"/>
      <c r="AH7" s="17"/>
      <c r="AI7" s="17"/>
      <c r="AJ7" s="17"/>
      <c r="AK7" s="17"/>
      <c r="AL7" s="17"/>
      <c r="AM7" s="17"/>
      <c r="AN7" s="17"/>
      <c r="AO7" s="17"/>
    </row>
    <row r="8" spans="1:46" x14ac:dyDescent="0.3">
      <c r="A8" s="8">
        <f t="shared" si="10"/>
        <v>45900</v>
      </c>
      <c r="B8" s="9">
        <f t="shared" si="0"/>
        <v>1.5520666666666669</v>
      </c>
      <c r="C8" s="9">
        <f t="shared" si="1"/>
        <v>26.849749417613527</v>
      </c>
      <c r="D8" s="7">
        <f t="shared" si="2"/>
        <v>0</v>
      </c>
      <c r="E8" s="7">
        <f t="shared" si="3"/>
        <v>1</v>
      </c>
      <c r="F8" s="7">
        <f t="shared" si="4"/>
        <v>0</v>
      </c>
      <c r="G8" s="7">
        <f t="shared" si="5"/>
        <v>1</v>
      </c>
      <c r="H8" s="1">
        <f t="shared" si="11"/>
        <v>1</v>
      </c>
      <c r="I8" s="1">
        <f t="shared" si="12"/>
        <v>0</v>
      </c>
      <c r="J8" s="1">
        <f t="shared" si="13"/>
        <v>0</v>
      </c>
      <c r="K8" s="1">
        <f t="shared" si="14"/>
        <v>0</v>
      </c>
      <c r="L8" s="1" t="str">
        <f t="shared" si="6"/>
        <v>宽货币紧信用</v>
      </c>
      <c r="O8" s="51">
        <v>45930</v>
      </c>
      <c r="P8" s="60">
        <v>1.559391304347826</v>
      </c>
      <c r="R8" s="14">
        <v>37376</v>
      </c>
      <c r="S8" s="15">
        <v>1151</v>
      </c>
      <c r="T8" s="55">
        <f t="shared" si="7"/>
        <v>560</v>
      </c>
      <c r="U8" s="63">
        <f t="shared" si="8"/>
        <v>1711</v>
      </c>
      <c r="V8" s="55"/>
      <c r="W8" s="64">
        <f t="shared" si="9"/>
        <v>114432.7</v>
      </c>
      <c r="X8" s="65"/>
      <c r="Y8" s="64"/>
      <c r="Z8" s="70">
        <v>44712</v>
      </c>
      <c r="AA8" s="68">
        <v>12022.583699999999</v>
      </c>
      <c r="AB8" s="68"/>
      <c r="AC8" s="71">
        <v>34242</v>
      </c>
      <c r="AD8" s="15">
        <v>32964.199999999997</v>
      </c>
      <c r="AG8" s="16"/>
      <c r="AH8" s="17"/>
      <c r="AI8" s="17"/>
      <c r="AJ8" s="17"/>
      <c r="AK8" s="17"/>
      <c r="AL8" s="17"/>
      <c r="AM8" s="17"/>
      <c r="AN8" s="17"/>
      <c r="AO8" s="17"/>
    </row>
    <row r="9" spans="1:46" x14ac:dyDescent="0.3">
      <c r="A9" s="8">
        <f t="shared" si="10"/>
        <v>45869</v>
      </c>
      <c r="B9" s="9">
        <f t="shared" si="0"/>
        <v>1.5688478260869569</v>
      </c>
      <c r="C9" s="9">
        <f t="shared" si="1"/>
        <v>27.188921757094558</v>
      </c>
      <c r="D9" s="7">
        <f t="shared" si="2"/>
        <v>1</v>
      </c>
      <c r="E9" s="7">
        <f t="shared" si="3"/>
        <v>0</v>
      </c>
      <c r="F9" s="7">
        <f t="shared" si="4"/>
        <v>0</v>
      </c>
      <c r="G9" s="7">
        <f t="shared" si="5"/>
        <v>1</v>
      </c>
      <c r="H9" s="1">
        <f t="shared" si="11"/>
        <v>0</v>
      </c>
      <c r="I9" s="1">
        <f t="shared" si="12"/>
        <v>1</v>
      </c>
      <c r="J9" s="1">
        <f t="shared" si="13"/>
        <v>0</v>
      </c>
      <c r="K9" s="1">
        <f t="shared" si="14"/>
        <v>0</v>
      </c>
      <c r="L9" s="1" t="str">
        <f t="shared" si="6"/>
        <v>宽货币宽信用</v>
      </c>
      <c r="O9" s="51">
        <v>45900</v>
      </c>
      <c r="P9" s="60">
        <v>1.5520666666666669</v>
      </c>
      <c r="R9" s="14">
        <v>37407</v>
      </c>
      <c r="S9" s="15">
        <v>1774</v>
      </c>
      <c r="T9" s="55">
        <f t="shared" si="7"/>
        <v>200</v>
      </c>
      <c r="U9" s="63">
        <f t="shared" si="8"/>
        <v>1974</v>
      </c>
      <c r="V9" s="55"/>
      <c r="W9" s="64">
        <f t="shared" si="9"/>
        <v>114432.7</v>
      </c>
      <c r="X9" s="65"/>
      <c r="Y9" s="64"/>
      <c r="Z9" s="70">
        <v>44681</v>
      </c>
      <c r="AA9" s="68">
        <v>3410.8209000000002</v>
      </c>
      <c r="AB9" s="68"/>
      <c r="AC9" s="71">
        <v>34334</v>
      </c>
      <c r="AD9" s="15">
        <v>35819.699999999997</v>
      </c>
      <c r="AG9" s="16"/>
      <c r="AH9" s="17"/>
      <c r="AI9" s="17"/>
      <c r="AJ9" s="17"/>
      <c r="AK9" s="17"/>
      <c r="AL9" s="17"/>
      <c r="AM9" s="17"/>
      <c r="AN9" s="17"/>
      <c r="AO9" s="17"/>
    </row>
    <row r="10" spans="1:46" x14ac:dyDescent="0.3">
      <c r="A10" s="8">
        <f t="shared" si="10"/>
        <v>45838</v>
      </c>
      <c r="B10" s="9">
        <f t="shared" si="0"/>
        <v>1.63785</v>
      </c>
      <c r="C10" s="9">
        <f t="shared" si="1"/>
        <v>26.927068782157455</v>
      </c>
      <c r="D10" s="7">
        <f t="shared" si="2"/>
        <v>1</v>
      </c>
      <c r="E10" s="7">
        <f t="shared" si="3"/>
        <v>0</v>
      </c>
      <c r="F10" s="7">
        <f t="shared" si="4"/>
        <v>0</v>
      </c>
      <c r="G10" s="7">
        <f t="shared" si="5"/>
        <v>1</v>
      </c>
      <c r="H10" s="1">
        <f t="shared" si="11"/>
        <v>0</v>
      </c>
      <c r="I10" s="1">
        <f t="shared" si="12"/>
        <v>1</v>
      </c>
      <c r="J10" s="1">
        <f t="shared" si="13"/>
        <v>0</v>
      </c>
      <c r="K10" s="1">
        <f t="shared" si="14"/>
        <v>0</v>
      </c>
      <c r="L10" s="1" t="str">
        <f t="shared" si="6"/>
        <v>宽货币宽信用</v>
      </c>
      <c r="O10" s="51">
        <v>45869</v>
      </c>
      <c r="P10" s="60">
        <v>1.5688478260869569</v>
      </c>
      <c r="R10" s="14">
        <v>37437</v>
      </c>
      <c r="S10" s="15">
        <v>2621</v>
      </c>
      <c r="T10" s="55">
        <f t="shared" si="7"/>
        <v>720</v>
      </c>
      <c r="U10" s="63">
        <f t="shared" si="8"/>
        <v>3341</v>
      </c>
      <c r="V10" s="55"/>
      <c r="W10" s="64">
        <f t="shared" si="9"/>
        <v>116965.6</v>
      </c>
      <c r="X10" s="65"/>
      <c r="Y10" s="64"/>
      <c r="Z10" s="70">
        <v>44651</v>
      </c>
      <c r="AA10" s="68">
        <v>6007.3140999999996</v>
      </c>
      <c r="AB10" s="68"/>
      <c r="AC10" s="71">
        <v>34424</v>
      </c>
      <c r="AD10" s="15">
        <v>38377.5</v>
      </c>
      <c r="AG10" s="16"/>
      <c r="AH10" s="17"/>
      <c r="AI10" s="17"/>
      <c r="AJ10" s="17"/>
      <c r="AK10" s="17"/>
      <c r="AL10" s="17"/>
      <c r="AM10" s="17"/>
      <c r="AN10" s="17"/>
      <c r="AO10" s="17"/>
    </row>
    <row r="11" spans="1:46" x14ac:dyDescent="0.3">
      <c r="A11" s="8">
        <f t="shared" si="10"/>
        <v>45808</v>
      </c>
      <c r="B11" s="9">
        <f t="shared" si="0"/>
        <v>1.6645789473684209</v>
      </c>
      <c r="C11" s="9">
        <f t="shared" si="1"/>
        <v>26.500002863420569</v>
      </c>
      <c r="D11" s="7">
        <f t="shared" si="2"/>
        <v>1</v>
      </c>
      <c r="E11" s="7">
        <f t="shared" si="3"/>
        <v>0</v>
      </c>
      <c r="F11" s="7">
        <f t="shared" si="4"/>
        <v>0</v>
      </c>
      <c r="G11" s="7">
        <f t="shared" si="5"/>
        <v>1</v>
      </c>
      <c r="H11" s="1">
        <f t="shared" si="11"/>
        <v>0</v>
      </c>
      <c r="I11" s="1">
        <f t="shared" si="12"/>
        <v>1</v>
      </c>
      <c r="J11" s="1">
        <f t="shared" si="13"/>
        <v>0</v>
      </c>
      <c r="K11" s="1">
        <f t="shared" si="14"/>
        <v>0</v>
      </c>
      <c r="L11" s="1" t="str">
        <f t="shared" si="6"/>
        <v>宽货币宽信用</v>
      </c>
      <c r="O11" s="51">
        <v>45838</v>
      </c>
      <c r="P11" s="60">
        <v>1.63785</v>
      </c>
      <c r="R11" s="14">
        <v>37468</v>
      </c>
      <c r="S11" s="15">
        <v>813</v>
      </c>
      <c r="T11" s="55">
        <f t="shared" si="7"/>
        <v>188.3</v>
      </c>
      <c r="U11" s="63">
        <f t="shared" si="8"/>
        <v>1001.3</v>
      </c>
      <c r="V11" s="55"/>
      <c r="W11" s="64">
        <f t="shared" si="9"/>
        <v>116965.6</v>
      </c>
      <c r="X11" s="65"/>
      <c r="Y11" s="64"/>
      <c r="Z11" s="70">
        <v>44620</v>
      </c>
      <c r="AA11" s="68">
        <v>3489.6419000000001</v>
      </c>
      <c r="AB11" s="68"/>
      <c r="AC11" s="71">
        <v>34515</v>
      </c>
      <c r="AD11" s="15">
        <v>41519.800000000003</v>
      </c>
      <c r="AG11" s="16"/>
      <c r="AH11" s="17"/>
      <c r="AI11" s="17"/>
      <c r="AJ11" s="17"/>
      <c r="AK11" s="17"/>
      <c r="AL11" s="17"/>
      <c r="AM11" s="17"/>
      <c r="AN11" s="17"/>
      <c r="AO11" s="17"/>
    </row>
    <row r="12" spans="1:46" x14ac:dyDescent="0.3">
      <c r="A12" s="8">
        <f t="shared" si="10"/>
        <v>45777</v>
      </c>
      <c r="B12" s="9">
        <f t="shared" si="0"/>
        <v>1.7875000000000001</v>
      </c>
      <c r="C12" s="9">
        <f t="shared" si="1"/>
        <v>26.332823154999012</v>
      </c>
      <c r="D12" s="7">
        <f t="shared" si="2"/>
        <v>1</v>
      </c>
      <c r="E12" s="7">
        <f t="shared" si="3"/>
        <v>0</v>
      </c>
      <c r="F12" s="7">
        <f t="shared" si="4"/>
        <v>0</v>
      </c>
      <c r="G12" s="7">
        <f t="shared" si="5"/>
        <v>1</v>
      </c>
      <c r="H12" s="1">
        <f t="shared" si="11"/>
        <v>0</v>
      </c>
      <c r="I12" s="1">
        <f t="shared" si="12"/>
        <v>1</v>
      </c>
      <c r="J12" s="1">
        <f t="shared" si="13"/>
        <v>0</v>
      </c>
      <c r="K12" s="1">
        <f t="shared" si="14"/>
        <v>0</v>
      </c>
      <c r="L12" s="1" t="str">
        <f t="shared" si="6"/>
        <v>宽货币宽信用</v>
      </c>
      <c r="O12" s="51">
        <v>45808</v>
      </c>
      <c r="P12" s="60">
        <v>1.6645789473684209</v>
      </c>
      <c r="R12" s="14">
        <v>37499</v>
      </c>
      <c r="S12" s="15">
        <v>1585</v>
      </c>
      <c r="T12" s="55">
        <f t="shared" si="7"/>
        <v>400</v>
      </c>
      <c r="U12" s="63">
        <f t="shared" si="8"/>
        <v>1985</v>
      </c>
      <c r="V12" s="55"/>
      <c r="W12" s="64">
        <f t="shared" si="9"/>
        <v>116965.6</v>
      </c>
      <c r="X12" s="65"/>
      <c r="Y12" s="64"/>
      <c r="Z12" s="70">
        <v>44592</v>
      </c>
      <c r="AA12" s="68">
        <v>6969.5034600000099</v>
      </c>
      <c r="AB12" s="68"/>
      <c r="AC12" s="71">
        <v>34607</v>
      </c>
      <c r="AD12" s="15">
        <v>45022.1</v>
      </c>
      <c r="AG12" s="16"/>
      <c r="AH12" s="17"/>
      <c r="AI12" s="17"/>
      <c r="AJ12" s="17"/>
      <c r="AK12" s="17"/>
      <c r="AL12" s="17"/>
      <c r="AM12" s="17"/>
      <c r="AN12" s="17"/>
      <c r="AO12" s="17"/>
    </row>
    <row r="13" spans="1:46" x14ac:dyDescent="0.3">
      <c r="A13" s="8">
        <f t="shared" si="10"/>
        <v>45747</v>
      </c>
      <c r="B13" s="9">
        <f t="shared" si="0"/>
        <v>1.972261904761905</v>
      </c>
      <c r="C13" s="9">
        <f t="shared" si="1"/>
        <v>25.432901465880438</v>
      </c>
      <c r="D13" s="7">
        <f t="shared" si="2"/>
        <v>1</v>
      </c>
      <c r="E13" s="7">
        <f t="shared" si="3"/>
        <v>0</v>
      </c>
      <c r="F13" s="7">
        <f t="shared" si="4"/>
        <v>1</v>
      </c>
      <c r="G13" s="7">
        <f t="shared" si="5"/>
        <v>0</v>
      </c>
      <c r="H13" s="1">
        <f t="shared" si="11"/>
        <v>0</v>
      </c>
      <c r="I13" s="1">
        <f t="shared" si="12"/>
        <v>0</v>
      </c>
      <c r="J13" s="1">
        <f t="shared" si="13"/>
        <v>0</v>
      </c>
      <c r="K13" s="1">
        <f t="shared" si="14"/>
        <v>1</v>
      </c>
      <c r="L13" s="1" t="str">
        <f t="shared" si="6"/>
        <v>紧货币宽信用</v>
      </c>
      <c r="O13" s="51">
        <v>45777</v>
      </c>
      <c r="P13" s="60">
        <v>1.7875000000000001</v>
      </c>
      <c r="R13" s="14">
        <v>37529</v>
      </c>
      <c r="S13" s="15">
        <v>3507</v>
      </c>
      <c r="T13" s="55">
        <f t="shared" si="7"/>
        <v>801.65</v>
      </c>
      <c r="U13" s="63">
        <f t="shared" si="8"/>
        <v>4308.6499999999996</v>
      </c>
      <c r="V13" s="55"/>
      <c r="W13" s="64">
        <f t="shared" si="9"/>
        <v>119968</v>
      </c>
      <c r="X13" s="65"/>
      <c r="Y13" s="64"/>
      <c r="Z13" s="70">
        <v>44561</v>
      </c>
      <c r="AA13" s="68">
        <v>9452.9593000000095</v>
      </c>
      <c r="AB13" s="68"/>
      <c r="AC13" s="71">
        <v>34699</v>
      </c>
      <c r="AD13" s="15">
        <v>48862.3</v>
      </c>
      <c r="AG13" s="16"/>
      <c r="AH13" s="17"/>
      <c r="AI13" s="17"/>
      <c r="AJ13" s="17"/>
      <c r="AK13" s="17"/>
      <c r="AL13" s="17"/>
      <c r="AM13" s="17"/>
      <c r="AN13" s="17"/>
      <c r="AO13" s="17"/>
    </row>
    <row r="14" spans="1:46" x14ac:dyDescent="0.3">
      <c r="A14" s="8">
        <f t="shared" si="10"/>
        <v>45716</v>
      </c>
      <c r="B14" s="9">
        <f t="shared" si="0"/>
        <v>1.768742105263158</v>
      </c>
      <c r="C14" s="9">
        <f t="shared" si="1"/>
        <v>24.907678866215917</v>
      </c>
      <c r="D14" s="7">
        <f t="shared" si="2"/>
        <v>1</v>
      </c>
      <c r="E14" s="7">
        <f t="shared" si="3"/>
        <v>0</v>
      </c>
      <c r="F14" s="7">
        <f t="shared" si="4"/>
        <v>1</v>
      </c>
      <c r="G14" s="7">
        <f t="shared" si="5"/>
        <v>0</v>
      </c>
      <c r="H14" s="1">
        <f t="shared" si="11"/>
        <v>0</v>
      </c>
      <c r="I14" s="1">
        <f t="shared" si="12"/>
        <v>0</v>
      </c>
      <c r="J14" s="1">
        <f t="shared" si="13"/>
        <v>0</v>
      </c>
      <c r="K14" s="1">
        <f t="shared" si="14"/>
        <v>1</v>
      </c>
      <c r="L14" s="1" t="str">
        <f t="shared" si="6"/>
        <v>紧货币宽信用</v>
      </c>
      <c r="O14" s="51">
        <v>45747</v>
      </c>
      <c r="P14" s="60">
        <v>1.972261904761905</v>
      </c>
      <c r="R14" s="14">
        <v>37560</v>
      </c>
      <c r="S14" s="15">
        <v>795</v>
      </c>
      <c r="T14" s="55">
        <f t="shared" si="7"/>
        <v>-161</v>
      </c>
      <c r="U14" s="63">
        <f t="shared" si="8"/>
        <v>634</v>
      </c>
      <c r="V14" s="55"/>
      <c r="W14" s="64">
        <f t="shared" si="9"/>
        <v>119968</v>
      </c>
      <c r="X14" s="65"/>
      <c r="Y14" s="64"/>
      <c r="Z14" s="70">
        <v>44530</v>
      </c>
      <c r="AA14" s="68">
        <v>7452.6463999999996</v>
      </c>
      <c r="AB14" s="68"/>
      <c r="AC14" s="71">
        <v>34789</v>
      </c>
      <c r="AD14" s="15">
        <v>51620.5</v>
      </c>
      <c r="AG14" s="16"/>
      <c r="AH14" s="17"/>
      <c r="AI14" s="17"/>
      <c r="AJ14" s="17"/>
      <c r="AK14" s="17"/>
      <c r="AL14" s="17"/>
      <c r="AM14" s="17"/>
      <c r="AN14" s="17"/>
      <c r="AO14" s="17"/>
    </row>
    <row r="15" spans="1:46" x14ac:dyDescent="0.3">
      <c r="A15" s="8">
        <f t="shared" si="10"/>
        <v>45688</v>
      </c>
      <c r="B15" s="9">
        <f t="shared" si="0"/>
        <v>1.674052631578947</v>
      </c>
      <c r="C15" s="9">
        <f t="shared" si="1"/>
        <v>24.36082144927304</v>
      </c>
      <c r="D15" s="7">
        <f t="shared" si="2"/>
        <v>1</v>
      </c>
      <c r="E15" s="7">
        <f t="shared" si="3"/>
        <v>0</v>
      </c>
      <c r="F15" s="7">
        <f t="shared" si="4"/>
        <v>0</v>
      </c>
      <c r="G15" s="7">
        <f t="shared" si="5"/>
        <v>1</v>
      </c>
      <c r="H15" s="1">
        <f t="shared" si="11"/>
        <v>0</v>
      </c>
      <c r="I15" s="1">
        <f t="shared" si="12"/>
        <v>1</v>
      </c>
      <c r="J15" s="1">
        <f t="shared" si="13"/>
        <v>0</v>
      </c>
      <c r="K15" s="1">
        <f t="shared" si="14"/>
        <v>0</v>
      </c>
      <c r="L15" s="1" t="str">
        <f t="shared" si="6"/>
        <v>宽货币宽信用</v>
      </c>
      <c r="O15" s="51">
        <v>45716</v>
      </c>
      <c r="P15" s="60">
        <v>1.768742105263158</v>
      </c>
      <c r="R15" s="14">
        <v>37590</v>
      </c>
      <c r="S15" s="15">
        <v>1805</v>
      </c>
      <c r="T15" s="55">
        <f t="shared" si="7"/>
        <v>300</v>
      </c>
      <c r="U15" s="63">
        <f t="shared" si="8"/>
        <v>2105</v>
      </c>
      <c r="V15" s="55"/>
      <c r="W15" s="64">
        <f t="shared" si="9"/>
        <v>119968</v>
      </c>
      <c r="X15" s="65"/>
      <c r="Y15" s="64"/>
      <c r="Z15" s="70">
        <v>44500</v>
      </c>
      <c r="AA15" s="68">
        <v>8332.5772000000106</v>
      </c>
      <c r="AB15" s="68"/>
      <c r="AC15" s="71">
        <v>34880</v>
      </c>
      <c r="AD15" s="15">
        <v>54773</v>
      </c>
      <c r="AG15" s="16"/>
      <c r="AH15" s="17"/>
      <c r="AI15" s="17"/>
      <c r="AJ15" s="17"/>
      <c r="AK15" s="17"/>
      <c r="AL15" s="17"/>
      <c r="AM15" s="17"/>
      <c r="AN15" s="17"/>
      <c r="AO15" s="17"/>
    </row>
    <row r="16" spans="1:46" x14ac:dyDescent="0.3">
      <c r="A16" s="8">
        <f t="shared" si="10"/>
        <v>45657</v>
      </c>
      <c r="B16" s="9">
        <f t="shared" si="0"/>
        <v>1.729827272727273</v>
      </c>
      <c r="C16" s="9">
        <f t="shared" si="1"/>
        <v>23.929685352247539</v>
      </c>
      <c r="D16" s="7">
        <f t="shared" si="2"/>
        <v>1</v>
      </c>
      <c r="E16" s="7">
        <f t="shared" si="3"/>
        <v>0</v>
      </c>
      <c r="F16" s="7">
        <f t="shared" si="4"/>
        <v>0</v>
      </c>
      <c r="G16" s="7">
        <f t="shared" si="5"/>
        <v>1</v>
      </c>
      <c r="H16" s="1">
        <f t="shared" si="11"/>
        <v>0</v>
      </c>
      <c r="I16" s="1">
        <f t="shared" si="12"/>
        <v>1</v>
      </c>
      <c r="J16" s="1">
        <f t="shared" si="13"/>
        <v>0</v>
      </c>
      <c r="K16" s="1">
        <f t="shared" si="14"/>
        <v>0</v>
      </c>
      <c r="L16" s="1" t="str">
        <f t="shared" si="6"/>
        <v>宽货币宽信用</v>
      </c>
      <c r="O16" s="51">
        <v>45688</v>
      </c>
      <c r="P16" s="60">
        <v>1.674052631578947</v>
      </c>
      <c r="R16" s="14">
        <v>37621</v>
      </c>
      <c r="S16" s="15">
        <v>3109</v>
      </c>
      <c r="T16" s="55">
        <f t="shared" si="7"/>
        <v>216.1</v>
      </c>
      <c r="U16" s="63">
        <f t="shared" si="8"/>
        <v>3325.1</v>
      </c>
      <c r="V16" s="63" t="e">
        <f t="shared" ref="V16:V79" si="15">SUM(U5:U16)</f>
        <v>#N/A</v>
      </c>
      <c r="W16" s="64">
        <f t="shared" si="9"/>
        <v>123311.8</v>
      </c>
      <c r="X16" s="65" t="e">
        <f t="shared" ref="X16:X79" si="16">V16/W16*100</f>
        <v>#N/A</v>
      </c>
      <c r="Y16" s="64"/>
      <c r="Z16" s="70">
        <v>44469</v>
      </c>
      <c r="AA16" s="68">
        <v>9594.1311999999998</v>
      </c>
      <c r="AB16" s="68"/>
      <c r="AC16" s="71">
        <v>34972</v>
      </c>
      <c r="AD16" s="15">
        <v>58089.4</v>
      </c>
      <c r="AG16" s="16"/>
      <c r="AH16" s="17"/>
      <c r="AI16" s="17"/>
      <c r="AJ16" s="17"/>
      <c r="AK16" s="17"/>
      <c r="AL16" s="17"/>
      <c r="AM16" s="17"/>
      <c r="AN16" s="17"/>
      <c r="AO16" s="17"/>
    </row>
    <row r="17" spans="1:41" x14ac:dyDescent="0.3">
      <c r="A17" s="8">
        <f t="shared" si="10"/>
        <v>45626</v>
      </c>
      <c r="B17" s="9">
        <f t="shared" si="0"/>
        <v>1.8626666666666669</v>
      </c>
      <c r="C17" s="9">
        <f t="shared" si="1"/>
        <v>23.530712987879514</v>
      </c>
      <c r="D17" s="7">
        <f t="shared" si="2"/>
        <v>0</v>
      </c>
      <c r="E17" s="7">
        <f t="shared" si="3"/>
        <v>1</v>
      </c>
      <c r="F17" s="7">
        <f t="shared" si="4"/>
        <v>1</v>
      </c>
      <c r="G17" s="7">
        <f t="shared" si="5"/>
        <v>0</v>
      </c>
      <c r="H17" s="1">
        <f t="shared" si="11"/>
        <v>0</v>
      </c>
      <c r="I17" s="1">
        <f t="shared" si="12"/>
        <v>0</v>
      </c>
      <c r="J17" s="1">
        <f t="shared" si="13"/>
        <v>1</v>
      </c>
      <c r="K17" s="1">
        <f t="shared" si="14"/>
        <v>0</v>
      </c>
      <c r="L17" s="1" t="str">
        <f t="shared" si="6"/>
        <v>紧货币紧信用</v>
      </c>
      <c r="O17" s="51">
        <v>45657</v>
      </c>
      <c r="P17" s="60">
        <v>1.729827272727273</v>
      </c>
      <c r="R17" s="14">
        <v>37652</v>
      </c>
      <c r="S17" s="15">
        <v>3386</v>
      </c>
      <c r="T17" s="55">
        <f t="shared" si="7"/>
        <v>0</v>
      </c>
      <c r="U17" s="63">
        <f t="shared" si="8"/>
        <v>3386</v>
      </c>
      <c r="V17" s="63" t="e">
        <f t="shared" si="15"/>
        <v>#N/A</v>
      </c>
      <c r="W17" s="64">
        <f t="shared" si="9"/>
        <v>123311.8</v>
      </c>
      <c r="X17" s="65" t="e">
        <f t="shared" si="16"/>
        <v>#N/A</v>
      </c>
      <c r="Y17" s="64"/>
      <c r="Z17" s="70">
        <v>44439</v>
      </c>
      <c r="AA17" s="68">
        <v>9274.7821999999906</v>
      </c>
      <c r="AB17" s="68"/>
      <c r="AC17" s="71">
        <v>35064</v>
      </c>
      <c r="AD17" s="15">
        <v>61649.4</v>
      </c>
      <c r="AG17" s="16"/>
      <c r="AH17" s="17"/>
      <c r="AI17" s="17"/>
      <c r="AJ17" s="17"/>
      <c r="AK17" s="17"/>
      <c r="AL17" s="17"/>
      <c r="AM17" s="17"/>
      <c r="AN17" s="17"/>
      <c r="AO17" s="17"/>
    </row>
    <row r="18" spans="1:41" x14ac:dyDescent="0.3">
      <c r="A18" s="8">
        <f t="shared" si="10"/>
        <v>45596</v>
      </c>
      <c r="B18" s="9">
        <f t="shared" si="0"/>
        <v>1.860526315789474</v>
      </c>
      <c r="C18" s="9">
        <f t="shared" si="1"/>
        <v>23.625773833578641</v>
      </c>
      <c r="D18" s="7">
        <f t="shared" si="2"/>
        <v>0</v>
      </c>
      <c r="E18" s="7">
        <f t="shared" si="3"/>
        <v>1</v>
      </c>
      <c r="F18" s="7">
        <f t="shared" si="4"/>
        <v>1</v>
      </c>
      <c r="G18" s="7">
        <f t="shared" si="5"/>
        <v>0</v>
      </c>
      <c r="H18" s="1">
        <f t="shared" si="11"/>
        <v>0</v>
      </c>
      <c r="I18" s="1">
        <f t="shared" si="12"/>
        <v>0</v>
      </c>
      <c r="J18" s="1">
        <f t="shared" si="13"/>
        <v>1</v>
      </c>
      <c r="K18" s="1">
        <f t="shared" si="14"/>
        <v>0</v>
      </c>
      <c r="L18" s="1" t="str">
        <f t="shared" si="6"/>
        <v>紧货币紧信用</v>
      </c>
      <c r="O18" s="51">
        <v>45626</v>
      </c>
      <c r="P18" s="60">
        <v>1.8626666666666669</v>
      </c>
      <c r="R18" s="14">
        <v>37680</v>
      </c>
      <c r="S18" s="15">
        <v>998</v>
      </c>
      <c r="T18" s="55">
        <f t="shared" si="7"/>
        <v>450</v>
      </c>
      <c r="U18" s="63">
        <f t="shared" si="8"/>
        <v>1448</v>
      </c>
      <c r="V18" s="63">
        <f t="shared" si="15"/>
        <v>28451.75</v>
      </c>
      <c r="W18" s="64">
        <f t="shared" si="9"/>
        <v>123311.8</v>
      </c>
      <c r="X18" s="65">
        <f t="shared" si="16"/>
        <v>23.073014910170802</v>
      </c>
      <c r="Y18" s="64"/>
      <c r="Z18" s="70">
        <v>44408</v>
      </c>
      <c r="AA18" s="68">
        <v>2634.7044000000001</v>
      </c>
      <c r="AB18" s="68"/>
      <c r="AC18" s="71">
        <v>35155</v>
      </c>
      <c r="AD18" s="15">
        <v>64187.7</v>
      </c>
      <c r="AG18" s="16"/>
      <c r="AH18" s="17"/>
      <c r="AI18" s="17"/>
      <c r="AJ18" s="17"/>
      <c r="AK18" s="17"/>
      <c r="AL18" s="17"/>
      <c r="AM18" s="17"/>
      <c r="AN18" s="17"/>
      <c r="AO18" s="17"/>
    </row>
    <row r="19" spans="1:41" x14ac:dyDescent="0.3">
      <c r="A19" s="8">
        <f t="shared" si="10"/>
        <v>45565</v>
      </c>
      <c r="B19" s="9">
        <f t="shared" si="0"/>
        <v>1.847666666666667</v>
      </c>
      <c r="C19" s="9">
        <f t="shared" si="1"/>
        <v>23.950227162382696</v>
      </c>
      <c r="D19" s="7">
        <f t="shared" si="2"/>
        <v>0</v>
      </c>
      <c r="E19" s="7">
        <f t="shared" si="3"/>
        <v>1</v>
      </c>
      <c r="F19" s="7">
        <f t="shared" si="4"/>
        <v>1</v>
      </c>
      <c r="G19" s="7">
        <f t="shared" si="5"/>
        <v>0</v>
      </c>
      <c r="H19" s="1">
        <f t="shared" si="11"/>
        <v>0</v>
      </c>
      <c r="I19" s="1">
        <f t="shared" si="12"/>
        <v>0</v>
      </c>
      <c r="J19" s="1">
        <f t="shared" si="13"/>
        <v>1</v>
      </c>
      <c r="K19" s="1">
        <f t="shared" si="14"/>
        <v>0</v>
      </c>
      <c r="L19" s="1" t="str">
        <f t="shared" si="6"/>
        <v>紧货币紧信用</v>
      </c>
      <c r="O19" s="51">
        <v>45596</v>
      </c>
      <c r="P19" s="60">
        <v>1.860526315789474</v>
      </c>
      <c r="R19" s="14">
        <v>37711</v>
      </c>
      <c r="S19" s="15">
        <v>4041</v>
      </c>
      <c r="T19" s="55">
        <f t="shared" si="7"/>
        <v>-350</v>
      </c>
      <c r="U19" s="63">
        <f t="shared" si="8"/>
        <v>3691</v>
      </c>
      <c r="V19" s="63">
        <f t="shared" si="15"/>
        <v>28910.049999999996</v>
      </c>
      <c r="W19" s="64">
        <f t="shared" si="9"/>
        <v>126927.8</v>
      </c>
      <c r="X19" s="65">
        <f t="shared" si="16"/>
        <v>22.776767579679152</v>
      </c>
      <c r="Y19" s="64"/>
      <c r="Z19" s="70">
        <v>44377</v>
      </c>
      <c r="AA19" s="68">
        <v>6563.5523999999996</v>
      </c>
      <c r="AB19" s="68"/>
      <c r="AC19" s="71">
        <v>35246</v>
      </c>
      <c r="AD19" s="15">
        <v>66742.2</v>
      </c>
      <c r="AG19" s="16"/>
      <c r="AH19" s="17"/>
      <c r="AI19" s="17"/>
      <c r="AJ19" s="17"/>
      <c r="AK19" s="17"/>
      <c r="AL19" s="17"/>
      <c r="AM19" s="17"/>
      <c r="AN19" s="17"/>
      <c r="AO19" s="17"/>
    </row>
    <row r="20" spans="1:41" x14ac:dyDescent="0.3">
      <c r="A20" s="8">
        <f t="shared" si="10"/>
        <v>45535</v>
      </c>
      <c r="B20" s="9">
        <f t="shared" si="0"/>
        <v>1.842840909090909</v>
      </c>
      <c r="C20" s="9">
        <f t="shared" si="1"/>
        <v>24.466245634873122</v>
      </c>
      <c r="D20" s="7">
        <f t="shared" si="2"/>
        <v>0</v>
      </c>
      <c r="E20" s="7">
        <f t="shared" si="3"/>
        <v>1</v>
      </c>
      <c r="F20" s="7">
        <f t="shared" si="4"/>
        <v>0</v>
      </c>
      <c r="G20" s="7">
        <f t="shared" si="5"/>
        <v>1</v>
      </c>
      <c r="H20" s="1">
        <f t="shared" si="11"/>
        <v>1</v>
      </c>
      <c r="I20" s="1">
        <f t="shared" si="12"/>
        <v>0</v>
      </c>
      <c r="J20" s="1">
        <f t="shared" si="13"/>
        <v>0</v>
      </c>
      <c r="K20" s="1">
        <f t="shared" si="14"/>
        <v>0</v>
      </c>
      <c r="L20" s="1" t="str">
        <f t="shared" si="6"/>
        <v>宽货币紧信用</v>
      </c>
      <c r="O20" s="51">
        <v>45565</v>
      </c>
      <c r="P20" s="60">
        <v>1.847666666666667</v>
      </c>
      <c r="R20" s="14">
        <v>37741</v>
      </c>
      <c r="S20" s="15">
        <v>2622</v>
      </c>
      <c r="T20" s="55">
        <f t="shared" si="7"/>
        <v>1680</v>
      </c>
      <c r="U20" s="63">
        <f t="shared" si="8"/>
        <v>4302</v>
      </c>
      <c r="V20" s="63">
        <f t="shared" si="15"/>
        <v>31501.05</v>
      </c>
      <c r="W20" s="64">
        <f t="shared" si="9"/>
        <v>126927.8</v>
      </c>
      <c r="X20" s="65">
        <f t="shared" si="16"/>
        <v>24.818085557301078</v>
      </c>
      <c r="Y20" s="64"/>
      <c r="Z20" s="70">
        <v>44347</v>
      </c>
      <c r="AA20" s="68">
        <v>7937.2356</v>
      </c>
      <c r="AB20" s="68"/>
      <c r="AC20" s="71">
        <v>35338</v>
      </c>
      <c r="AD20" s="15">
        <v>69205.899999999994</v>
      </c>
      <c r="AG20" s="16"/>
      <c r="AH20" s="17"/>
      <c r="AI20" s="17"/>
      <c r="AJ20" s="17"/>
      <c r="AK20" s="17"/>
      <c r="AL20" s="17"/>
      <c r="AM20" s="17"/>
      <c r="AN20" s="17"/>
      <c r="AO20" s="17"/>
    </row>
    <row r="21" spans="1:41" x14ac:dyDescent="0.3">
      <c r="A21" s="8">
        <f t="shared" si="10"/>
        <v>45504</v>
      </c>
      <c r="B21" s="9">
        <f t="shared" si="0"/>
        <v>1.895347826086957</v>
      </c>
      <c r="C21" s="9">
        <f t="shared" si="1"/>
        <v>24.538737091155959</v>
      </c>
      <c r="D21" s="7">
        <f t="shared" si="2"/>
        <v>1</v>
      </c>
      <c r="E21" s="7">
        <f t="shared" si="3"/>
        <v>0</v>
      </c>
      <c r="F21" s="7">
        <f t="shared" si="4"/>
        <v>0</v>
      </c>
      <c r="G21" s="7">
        <f t="shared" si="5"/>
        <v>1</v>
      </c>
      <c r="H21" s="1">
        <f t="shared" si="11"/>
        <v>0</v>
      </c>
      <c r="I21" s="1">
        <f t="shared" si="12"/>
        <v>1</v>
      </c>
      <c r="J21" s="1">
        <f t="shared" si="13"/>
        <v>0</v>
      </c>
      <c r="K21" s="1">
        <f t="shared" si="14"/>
        <v>0</v>
      </c>
      <c r="L21" s="1" t="str">
        <f t="shared" si="6"/>
        <v>宽货币宽信用</v>
      </c>
      <c r="O21" s="51">
        <v>45535</v>
      </c>
      <c r="P21" s="60">
        <v>1.842840909090909</v>
      </c>
      <c r="R21" s="14">
        <v>37772</v>
      </c>
      <c r="S21" s="15">
        <v>2971</v>
      </c>
      <c r="T21" s="55">
        <f t="shared" si="7"/>
        <v>50</v>
      </c>
      <c r="U21" s="63">
        <f t="shared" si="8"/>
        <v>3021</v>
      </c>
      <c r="V21" s="63">
        <f t="shared" si="15"/>
        <v>32548.05</v>
      </c>
      <c r="W21" s="64">
        <f t="shared" si="9"/>
        <v>126927.8</v>
      </c>
      <c r="X21" s="65">
        <f t="shared" si="16"/>
        <v>25.642963952735332</v>
      </c>
      <c r="Y21" s="64"/>
      <c r="Z21" s="70">
        <v>44316</v>
      </c>
      <c r="AA21" s="68">
        <v>3691.7739000000001</v>
      </c>
      <c r="AB21" s="68"/>
      <c r="AC21" s="71">
        <v>35430</v>
      </c>
      <c r="AD21" s="15">
        <v>72210.5</v>
      </c>
      <c r="AG21" s="16"/>
      <c r="AH21" s="17"/>
      <c r="AI21" s="17"/>
      <c r="AJ21" s="17"/>
      <c r="AK21" s="17"/>
      <c r="AL21" s="17"/>
      <c r="AM21" s="17"/>
      <c r="AN21" s="17"/>
      <c r="AO21" s="17"/>
    </row>
    <row r="22" spans="1:41" x14ac:dyDescent="0.3">
      <c r="A22" s="8">
        <f t="shared" si="10"/>
        <v>45473</v>
      </c>
      <c r="B22" s="9">
        <f t="shared" si="0"/>
        <v>1.9348421052631579</v>
      </c>
      <c r="C22" s="9">
        <f t="shared" si="1"/>
        <v>24.361224016722776</v>
      </c>
      <c r="D22" s="7">
        <f t="shared" si="2"/>
        <v>0</v>
      </c>
      <c r="E22" s="7">
        <f t="shared" si="3"/>
        <v>1</v>
      </c>
      <c r="F22" s="7">
        <f t="shared" si="4"/>
        <v>0</v>
      </c>
      <c r="G22" s="7">
        <f t="shared" si="5"/>
        <v>1</v>
      </c>
      <c r="H22" s="1">
        <f t="shared" si="11"/>
        <v>1</v>
      </c>
      <c r="I22" s="1">
        <f t="shared" si="12"/>
        <v>0</v>
      </c>
      <c r="J22" s="1">
        <f t="shared" si="13"/>
        <v>0</v>
      </c>
      <c r="K22" s="1">
        <f t="shared" si="14"/>
        <v>0</v>
      </c>
      <c r="L22" s="1" t="str">
        <f t="shared" si="6"/>
        <v>宽货币紧信用</v>
      </c>
      <c r="O22" s="51">
        <v>45504</v>
      </c>
      <c r="P22" s="60">
        <v>1.895347826086957</v>
      </c>
      <c r="R22" s="14">
        <v>37802</v>
      </c>
      <c r="S22" s="15">
        <v>5842</v>
      </c>
      <c r="T22" s="55">
        <f t="shared" si="7"/>
        <v>80</v>
      </c>
      <c r="U22" s="63">
        <f t="shared" si="8"/>
        <v>5922</v>
      </c>
      <c r="V22" s="63">
        <f t="shared" si="15"/>
        <v>35129.050000000003</v>
      </c>
      <c r="W22" s="64">
        <f t="shared" si="9"/>
        <v>130355.3</v>
      </c>
      <c r="X22" s="65">
        <f t="shared" si="16"/>
        <v>26.948693302075178</v>
      </c>
      <c r="Y22" s="64"/>
      <c r="Z22" s="70">
        <v>44286</v>
      </c>
      <c r="AA22" s="68">
        <v>3074.0790000000002</v>
      </c>
      <c r="AB22" s="68"/>
      <c r="AC22" s="71">
        <v>35520</v>
      </c>
      <c r="AD22" s="15">
        <v>74298</v>
      </c>
      <c r="AG22" s="16"/>
      <c r="AH22" s="17"/>
      <c r="AI22" s="17"/>
      <c r="AJ22" s="17"/>
      <c r="AK22" s="17"/>
      <c r="AL22" s="17"/>
      <c r="AM22" s="17"/>
      <c r="AN22" s="17"/>
      <c r="AO22" s="17"/>
    </row>
    <row r="23" spans="1:41" x14ac:dyDescent="0.3">
      <c r="A23" s="8">
        <f t="shared" si="10"/>
        <v>45443</v>
      </c>
      <c r="B23" s="9">
        <f t="shared" si="0"/>
        <v>1.9711904761904759</v>
      </c>
      <c r="C23" s="9">
        <f t="shared" si="1"/>
        <v>25.301811458142133</v>
      </c>
      <c r="D23" s="7">
        <f t="shared" si="2"/>
        <v>1</v>
      </c>
      <c r="E23" s="7">
        <f t="shared" si="3"/>
        <v>0</v>
      </c>
      <c r="F23" s="7">
        <f t="shared" si="4"/>
        <v>0</v>
      </c>
      <c r="G23" s="7">
        <f t="shared" si="5"/>
        <v>1</v>
      </c>
      <c r="H23" s="1">
        <f t="shared" si="11"/>
        <v>0</v>
      </c>
      <c r="I23" s="1">
        <f t="shared" si="12"/>
        <v>1</v>
      </c>
      <c r="J23" s="1">
        <f t="shared" si="13"/>
        <v>0</v>
      </c>
      <c r="K23" s="1">
        <f t="shared" si="14"/>
        <v>0</v>
      </c>
      <c r="L23" s="1" t="str">
        <f t="shared" si="6"/>
        <v>宽货币宽信用</v>
      </c>
      <c r="O23" s="51">
        <v>45473</v>
      </c>
      <c r="P23" s="60">
        <v>1.9348421052631579</v>
      </c>
      <c r="R23" s="14">
        <v>37833</v>
      </c>
      <c r="S23" s="15">
        <v>1344</v>
      </c>
      <c r="T23" s="55">
        <f t="shared" si="7"/>
        <v>-5</v>
      </c>
      <c r="U23" s="63">
        <f t="shared" si="8"/>
        <v>1339</v>
      </c>
      <c r="V23" s="63">
        <f t="shared" si="15"/>
        <v>35466.75</v>
      </c>
      <c r="W23" s="64">
        <f t="shared" si="9"/>
        <v>130355.3</v>
      </c>
      <c r="X23" s="65">
        <f t="shared" si="16"/>
        <v>27.207754498666336</v>
      </c>
      <c r="Y23" s="64"/>
      <c r="Z23" s="70">
        <v>44255</v>
      </c>
      <c r="AA23" s="68">
        <v>492.66599999999897</v>
      </c>
      <c r="AB23" s="68"/>
      <c r="AC23" s="71">
        <v>35611</v>
      </c>
      <c r="AD23" s="15">
        <v>76339.100000000006</v>
      </c>
      <c r="AG23" s="16"/>
      <c r="AH23" s="17"/>
      <c r="AI23" s="17"/>
      <c r="AJ23" s="17"/>
      <c r="AK23" s="17"/>
      <c r="AL23" s="17"/>
      <c r="AM23" s="17"/>
      <c r="AN23" s="17"/>
      <c r="AO23" s="17"/>
    </row>
    <row r="24" spans="1:41" x14ac:dyDescent="0.3">
      <c r="A24" s="8">
        <f t="shared" si="10"/>
        <v>45412</v>
      </c>
      <c r="B24" s="9">
        <f t="shared" si="0"/>
        <v>2.0665</v>
      </c>
      <c r="C24" s="9">
        <f t="shared" si="1"/>
        <v>24.914266241344148</v>
      </c>
      <c r="D24" s="7">
        <f t="shared" si="2"/>
        <v>0</v>
      </c>
      <c r="E24" s="7">
        <f t="shared" si="3"/>
        <v>1</v>
      </c>
      <c r="F24" s="7">
        <f t="shared" si="4"/>
        <v>0</v>
      </c>
      <c r="G24" s="7">
        <f t="shared" si="5"/>
        <v>1</v>
      </c>
      <c r="H24" s="1">
        <f t="shared" si="11"/>
        <v>1</v>
      </c>
      <c r="I24" s="1">
        <f t="shared" si="12"/>
        <v>0</v>
      </c>
      <c r="J24" s="1">
        <f t="shared" si="13"/>
        <v>0</v>
      </c>
      <c r="K24" s="1">
        <f t="shared" si="14"/>
        <v>0</v>
      </c>
      <c r="L24" s="1" t="str">
        <f t="shared" si="6"/>
        <v>宽货币紧信用</v>
      </c>
      <c r="O24" s="51">
        <v>45443</v>
      </c>
      <c r="P24" s="60">
        <v>1.9711904761904759</v>
      </c>
      <c r="R24" s="14">
        <v>37864</v>
      </c>
      <c r="S24" s="15">
        <v>3321</v>
      </c>
      <c r="T24" s="55">
        <f t="shared" si="7"/>
        <v>260</v>
      </c>
      <c r="U24" s="63">
        <f t="shared" si="8"/>
        <v>3581</v>
      </c>
      <c r="V24" s="63">
        <f t="shared" si="15"/>
        <v>37062.75</v>
      </c>
      <c r="W24" s="64">
        <f t="shared" si="9"/>
        <v>130355.3</v>
      </c>
      <c r="X24" s="65">
        <f t="shared" si="16"/>
        <v>28.432100574353324</v>
      </c>
      <c r="Y24" s="64"/>
      <c r="Z24" s="70">
        <v>44227</v>
      </c>
      <c r="AA24" s="68">
        <v>2923.2073999999998</v>
      </c>
      <c r="AB24" s="68"/>
      <c r="AC24" s="71">
        <v>35703</v>
      </c>
      <c r="AD24" s="15">
        <v>78263.399999999994</v>
      </c>
      <c r="AG24" s="16"/>
      <c r="AH24" s="17"/>
      <c r="AI24" s="17"/>
      <c r="AJ24" s="17"/>
      <c r="AK24" s="17"/>
      <c r="AL24" s="17"/>
      <c r="AM24" s="17"/>
      <c r="AN24" s="17"/>
      <c r="AO24" s="17"/>
    </row>
    <row r="25" spans="1:41" x14ac:dyDescent="0.3">
      <c r="A25" s="8">
        <f t="shared" si="10"/>
        <v>45382</v>
      </c>
      <c r="B25" s="9">
        <f t="shared" si="0"/>
        <v>2.1623809523809521</v>
      </c>
      <c r="C25" s="9">
        <f t="shared" si="1"/>
        <v>25.902227156456053</v>
      </c>
      <c r="D25" s="7">
        <f t="shared" si="2"/>
        <v>0</v>
      </c>
      <c r="E25" s="7">
        <f t="shared" si="3"/>
        <v>1</v>
      </c>
      <c r="F25" s="7">
        <f t="shared" si="4"/>
        <v>0</v>
      </c>
      <c r="G25" s="7">
        <f t="shared" si="5"/>
        <v>1</v>
      </c>
      <c r="H25" s="1">
        <f t="shared" si="11"/>
        <v>1</v>
      </c>
      <c r="I25" s="1">
        <f t="shared" si="12"/>
        <v>0</v>
      </c>
      <c r="J25" s="1">
        <f t="shared" si="13"/>
        <v>0</v>
      </c>
      <c r="K25" s="1">
        <f t="shared" si="14"/>
        <v>0</v>
      </c>
      <c r="L25" s="1" t="str">
        <f t="shared" si="6"/>
        <v>宽货币紧信用</v>
      </c>
      <c r="O25" s="51">
        <v>45412</v>
      </c>
      <c r="P25" s="60">
        <v>2.0665</v>
      </c>
      <c r="R25" s="14">
        <v>37894</v>
      </c>
      <c r="S25" s="15">
        <v>4040</v>
      </c>
      <c r="T25" s="55">
        <f t="shared" si="7"/>
        <v>183.8</v>
      </c>
      <c r="U25" s="63">
        <f t="shared" si="8"/>
        <v>4223.8</v>
      </c>
      <c r="V25" s="63">
        <f t="shared" si="15"/>
        <v>36977.9</v>
      </c>
      <c r="W25" s="64">
        <f t="shared" si="9"/>
        <v>134469.20000000001</v>
      </c>
      <c r="X25" s="65">
        <f t="shared" si="16"/>
        <v>27.49915965886612</v>
      </c>
      <c r="Y25" s="64"/>
      <c r="Z25" s="70">
        <v>44196</v>
      </c>
      <c r="AA25" s="68">
        <v>7235.2096000000001</v>
      </c>
      <c r="AB25" s="68"/>
      <c r="AC25" s="71">
        <v>35795</v>
      </c>
      <c r="AD25" s="15">
        <v>80225.100000000006</v>
      </c>
      <c r="AG25" s="16"/>
      <c r="AH25" s="17"/>
      <c r="AI25" s="17"/>
      <c r="AJ25" s="17"/>
      <c r="AK25" s="17"/>
      <c r="AL25" s="17"/>
      <c r="AM25" s="17"/>
      <c r="AN25" s="17"/>
      <c r="AO25" s="17"/>
    </row>
    <row r="26" spans="1:41" x14ac:dyDescent="0.3">
      <c r="A26" s="8">
        <f t="shared" si="10"/>
        <v>45351</v>
      </c>
      <c r="B26" s="9">
        <f t="shared" si="0"/>
        <v>2.2877166666666668</v>
      </c>
      <c r="C26" s="9">
        <f t="shared" si="1"/>
        <v>26.572934680335301</v>
      </c>
      <c r="D26" s="7">
        <f t="shared" si="2"/>
        <v>0</v>
      </c>
      <c r="E26" s="7">
        <f t="shared" si="3"/>
        <v>1</v>
      </c>
      <c r="F26" s="7">
        <f t="shared" si="4"/>
        <v>0</v>
      </c>
      <c r="G26" s="7">
        <f t="shared" si="5"/>
        <v>1</v>
      </c>
      <c r="H26" s="1">
        <f t="shared" si="11"/>
        <v>1</v>
      </c>
      <c r="I26" s="1">
        <f t="shared" si="12"/>
        <v>0</v>
      </c>
      <c r="J26" s="1">
        <f t="shared" si="13"/>
        <v>0</v>
      </c>
      <c r="K26" s="1">
        <f t="shared" si="14"/>
        <v>0</v>
      </c>
      <c r="L26" s="1" t="str">
        <f t="shared" si="6"/>
        <v>宽货币紧信用</v>
      </c>
      <c r="O26" s="51">
        <v>45382</v>
      </c>
      <c r="P26" s="60">
        <v>2.1623809523809521</v>
      </c>
      <c r="R26" s="14">
        <v>37925</v>
      </c>
      <c r="S26" s="15">
        <v>1218</v>
      </c>
      <c r="T26" s="55">
        <f t="shared" si="7"/>
        <v>100</v>
      </c>
      <c r="U26" s="63">
        <f t="shared" si="8"/>
        <v>1318</v>
      </c>
      <c r="V26" s="63">
        <f t="shared" si="15"/>
        <v>37661.9</v>
      </c>
      <c r="W26" s="64">
        <f t="shared" si="9"/>
        <v>134469.20000000001</v>
      </c>
      <c r="X26" s="65">
        <f t="shared" si="16"/>
        <v>28.00782632751589</v>
      </c>
      <c r="Y26" s="64"/>
      <c r="Z26" s="70">
        <v>44165</v>
      </c>
      <c r="AA26" s="68">
        <v>3193.6318000000001</v>
      </c>
      <c r="AB26" s="68"/>
      <c r="AC26" s="71">
        <v>35885</v>
      </c>
      <c r="AD26" s="15">
        <v>81622.399999999994</v>
      </c>
      <c r="AG26" s="16"/>
      <c r="AH26" s="17"/>
      <c r="AI26" s="17"/>
      <c r="AJ26" s="17"/>
      <c r="AK26" s="17"/>
      <c r="AL26" s="17"/>
      <c r="AM26" s="17"/>
      <c r="AN26" s="17"/>
      <c r="AO26" s="17"/>
    </row>
    <row r="27" spans="1:41" x14ac:dyDescent="0.3">
      <c r="A27" s="8">
        <f t="shared" si="10"/>
        <v>45322</v>
      </c>
      <c r="B27" s="9">
        <f t="shared" si="0"/>
        <v>2.4022727272727269</v>
      </c>
      <c r="C27" s="9">
        <f t="shared" si="1"/>
        <v>27.859449614833608</v>
      </c>
      <c r="D27" s="7">
        <f t="shared" si="2"/>
        <v>1</v>
      </c>
      <c r="E27" s="7">
        <f t="shared" si="3"/>
        <v>0</v>
      </c>
      <c r="F27" s="7">
        <f t="shared" si="4"/>
        <v>0</v>
      </c>
      <c r="G27" s="7">
        <f t="shared" si="5"/>
        <v>1</v>
      </c>
      <c r="H27" s="1">
        <f t="shared" si="11"/>
        <v>0</v>
      </c>
      <c r="I27" s="1">
        <f t="shared" si="12"/>
        <v>1</v>
      </c>
      <c r="J27" s="1">
        <f t="shared" si="13"/>
        <v>0</v>
      </c>
      <c r="K27" s="1">
        <f t="shared" si="14"/>
        <v>0</v>
      </c>
      <c r="L27" s="1" t="str">
        <f t="shared" si="6"/>
        <v>宽货币宽信用</v>
      </c>
      <c r="O27" s="51">
        <v>45351</v>
      </c>
      <c r="P27" s="60">
        <v>2.2877166666666668</v>
      </c>
      <c r="R27" s="14">
        <v>37955</v>
      </c>
      <c r="S27" s="15">
        <v>1832</v>
      </c>
      <c r="T27" s="55">
        <f t="shared" si="7"/>
        <v>824.9</v>
      </c>
      <c r="U27" s="63">
        <f t="shared" si="8"/>
        <v>2656.9</v>
      </c>
      <c r="V27" s="63">
        <f t="shared" si="15"/>
        <v>38213.800000000003</v>
      </c>
      <c r="W27" s="64">
        <f t="shared" si="9"/>
        <v>134469.20000000001</v>
      </c>
      <c r="X27" s="65">
        <f t="shared" si="16"/>
        <v>28.418254886620876</v>
      </c>
      <c r="Y27" s="64"/>
      <c r="Z27" s="70">
        <v>44135</v>
      </c>
      <c r="AA27" s="68">
        <v>6154.1818999999996</v>
      </c>
      <c r="AB27" s="68"/>
      <c r="AC27" s="71">
        <v>35976</v>
      </c>
      <c r="AD27" s="15">
        <v>82791.3</v>
      </c>
      <c r="AG27" s="16"/>
      <c r="AH27" s="17"/>
      <c r="AI27" s="17"/>
      <c r="AJ27" s="17"/>
      <c r="AK27" s="17"/>
      <c r="AL27" s="17"/>
      <c r="AM27" s="17"/>
      <c r="AN27" s="17"/>
      <c r="AO27" s="17"/>
    </row>
    <row r="28" spans="1:41" x14ac:dyDescent="0.3">
      <c r="A28" s="8">
        <f t="shared" si="10"/>
        <v>45291</v>
      </c>
      <c r="B28" s="9">
        <f t="shared" si="0"/>
        <v>2.5737142857142858</v>
      </c>
      <c r="C28" s="9">
        <f t="shared" si="1"/>
        <v>27.490284498202001</v>
      </c>
      <c r="D28" s="7">
        <f t="shared" si="2"/>
        <v>1</v>
      </c>
      <c r="E28" s="7">
        <f t="shared" si="3"/>
        <v>0</v>
      </c>
      <c r="F28" s="7">
        <f t="shared" si="4"/>
        <v>1</v>
      </c>
      <c r="G28" s="7">
        <f t="shared" si="5"/>
        <v>0</v>
      </c>
      <c r="H28" s="1">
        <f t="shared" si="11"/>
        <v>0</v>
      </c>
      <c r="I28" s="1">
        <f t="shared" si="12"/>
        <v>0</v>
      </c>
      <c r="J28" s="1">
        <f t="shared" si="13"/>
        <v>0</v>
      </c>
      <c r="K28" s="1">
        <f t="shared" si="14"/>
        <v>1</v>
      </c>
      <c r="L28" s="1" t="str">
        <f t="shared" si="6"/>
        <v>紧货币宽信用</v>
      </c>
      <c r="O28" s="51">
        <v>45322</v>
      </c>
      <c r="P28" s="60">
        <v>2.4022727272727269</v>
      </c>
      <c r="R28" s="14">
        <v>37986</v>
      </c>
      <c r="S28" s="15">
        <v>2498</v>
      </c>
      <c r="T28" s="55">
        <f t="shared" si="7"/>
        <v>2018.57</v>
      </c>
      <c r="U28" s="63">
        <f t="shared" si="8"/>
        <v>4516.57</v>
      </c>
      <c r="V28" s="63">
        <f t="shared" si="15"/>
        <v>39405.269999999997</v>
      </c>
      <c r="W28" s="64">
        <f t="shared" si="9"/>
        <v>139377.29999999999</v>
      </c>
      <c r="X28" s="65">
        <f t="shared" si="16"/>
        <v>28.272372904339516</v>
      </c>
      <c r="Y28" s="64"/>
      <c r="Z28" s="70">
        <v>44104</v>
      </c>
      <c r="AA28" s="68">
        <v>9315.7736999999997</v>
      </c>
      <c r="AB28" s="68"/>
      <c r="AC28" s="71">
        <v>36068</v>
      </c>
      <c r="AD28" s="15">
        <v>84107.1</v>
      </c>
      <c r="AG28" s="16"/>
      <c r="AH28" s="17"/>
      <c r="AI28" s="17"/>
      <c r="AJ28" s="17"/>
      <c r="AK28" s="17"/>
      <c r="AL28" s="17"/>
      <c r="AM28" s="17"/>
      <c r="AN28" s="17"/>
      <c r="AO28" s="17"/>
    </row>
    <row r="29" spans="1:41" x14ac:dyDescent="0.3">
      <c r="A29" s="8">
        <f t="shared" si="10"/>
        <v>45260</v>
      </c>
      <c r="B29" s="9">
        <f t="shared" si="0"/>
        <v>2.454277272727273</v>
      </c>
      <c r="C29" s="9">
        <f t="shared" si="1"/>
        <v>27.320532747887395</v>
      </c>
      <c r="D29" s="7">
        <f t="shared" si="2"/>
        <v>1</v>
      </c>
      <c r="E29" s="7">
        <f t="shared" si="3"/>
        <v>0</v>
      </c>
      <c r="F29" s="7">
        <f t="shared" si="4"/>
        <v>1</v>
      </c>
      <c r="G29" s="7">
        <f t="shared" si="5"/>
        <v>0</v>
      </c>
      <c r="H29" s="1">
        <f t="shared" si="11"/>
        <v>0</v>
      </c>
      <c r="I29" s="1">
        <f t="shared" si="12"/>
        <v>0</v>
      </c>
      <c r="J29" s="1">
        <f t="shared" si="13"/>
        <v>0</v>
      </c>
      <c r="K29" s="1">
        <f t="shared" si="14"/>
        <v>1</v>
      </c>
      <c r="L29" s="1" t="str">
        <f t="shared" si="6"/>
        <v>紧货币宽信用</v>
      </c>
      <c r="O29" s="51">
        <v>45291</v>
      </c>
      <c r="P29" s="60">
        <v>2.5737142857142858</v>
      </c>
      <c r="R29" s="14">
        <v>38017</v>
      </c>
      <c r="S29" s="15">
        <v>2114</v>
      </c>
      <c r="T29" s="55">
        <f t="shared" si="7"/>
        <v>0</v>
      </c>
      <c r="U29" s="63">
        <f t="shared" si="8"/>
        <v>2114</v>
      </c>
      <c r="V29" s="63">
        <f t="shared" si="15"/>
        <v>38133.270000000004</v>
      </c>
      <c r="W29" s="64">
        <f t="shared" si="9"/>
        <v>139377.29999999999</v>
      </c>
      <c r="X29" s="65">
        <f t="shared" si="16"/>
        <v>27.359742224881678</v>
      </c>
      <c r="Y29" s="64"/>
      <c r="Z29" s="70">
        <v>44074</v>
      </c>
      <c r="AA29" s="68">
        <v>13620.0028</v>
      </c>
      <c r="AB29" s="68"/>
      <c r="AC29" s="71">
        <v>36160</v>
      </c>
      <c r="AD29" s="15">
        <v>85863.9</v>
      </c>
      <c r="AG29" s="16"/>
      <c r="AH29" s="17"/>
      <c r="AI29" s="17"/>
      <c r="AJ29" s="17"/>
      <c r="AK29" s="17"/>
      <c r="AL29" s="17"/>
      <c r="AM29" s="17"/>
      <c r="AN29" s="17"/>
      <c r="AO29" s="17"/>
    </row>
    <row r="30" spans="1:41" x14ac:dyDescent="0.3">
      <c r="A30" s="8">
        <f t="shared" si="10"/>
        <v>45230</v>
      </c>
      <c r="B30" s="9">
        <f t="shared" si="0"/>
        <v>2.3387894736842112</v>
      </c>
      <c r="C30" s="9">
        <f t="shared" si="1"/>
        <v>26.951841245519155</v>
      </c>
      <c r="D30" s="7">
        <f t="shared" si="2"/>
        <v>1</v>
      </c>
      <c r="E30" s="7">
        <f t="shared" si="3"/>
        <v>0</v>
      </c>
      <c r="F30" s="7">
        <f t="shared" si="4"/>
        <v>1</v>
      </c>
      <c r="G30" s="7">
        <f t="shared" si="5"/>
        <v>0</v>
      </c>
      <c r="H30" s="1">
        <f t="shared" si="11"/>
        <v>0</v>
      </c>
      <c r="I30" s="1">
        <f t="shared" si="12"/>
        <v>0</v>
      </c>
      <c r="J30" s="1">
        <f t="shared" si="13"/>
        <v>0</v>
      </c>
      <c r="K30" s="1">
        <f t="shared" si="14"/>
        <v>1</v>
      </c>
      <c r="L30" s="1" t="str">
        <f t="shared" si="6"/>
        <v>紧货币宽信用</v>
      </c>
      <c r="O30" s="51">
        <v>45260</v>
      </c>
      <c r="P30" s="60">
        <v>2.454277272727273</v>
      </c>
      <c r="R30" s="14">
        <v>38046</v>
      </c>
      <c r="S30" s="15">
        <v>438</v>
      </c>
      <c r="T30" s="55">
        <f t="shared" si="7"/>
        <v>0</v>
      </c>
      <c r="U30" s="63">
        <f t="shared" si="8"/>
        <v>438</v>
      </c>
      <c r="V30" s="63">
        <f t="shared" si="15"/>
        <v>37123.270000000004</v>
      </c>
      <c r="W30" s="64">
        <f t="shared" si="9"/>
        <v>139377.29999999999</v>
      </c>
      <c r="X30" s="65">
        <f t="shared" si="16"/>
        <v>26.635090506129771</v>
      </c>
      <c r="Y30" s="64"/>
      <c r="Z30" s="70">
        <v>44043</v>
      </c>
      <c r="AA30" s="68">
        <v>5042.8822</v>
      </c>
      <c r="AB30" s="68"/>
      <c r="AC30" s="71">
        <v>36250</v>
      </c>
      <c r="AD30" s="15">
        <v>87209.600000000006</v>
      </c>
      <c r="AG30" s="16"/>
      <c r="AH30" s="17"/>
      <c r="AI30" s="17"/>
      <c r="AJ30" s="17"/>
      <c r="AK30" s="17"/>
      <c r="AL30" s="17"/>
      <c r="AM30" s="17"/>
      <c r="AN30" s="17"/>
      <c r="AO30" s="17"/>
    </row>
    <row r="31" spans="1:41" x14ac:dyDescent="0.3">
      <c r="A31" s="8">
        <f t="shared" si="10"/>
        <v>45199</v>
      </c>
      <c r="B31" s="9">
        <f t="shared" si="0"/>
        <v>2.1665000000000001</v>
      </c>
      <c r="C31" s="9">
        <f t="shared" si="1"/>
        <v>26.224384851085997</v>
      </c>
      <c r="D31" s="7">
        <f t="shared" si="2"/>
        <v>1</v>
      </c>
      <c r="E31" s="7">
        <f t="shared" si="3"/>
        <v>0</v>
      </c>
      <c r="F31" s="7">
        <f t="shared" si="4"/>
        <v>1</v>
      </c>
      <c r="G31" s="7">
        <f t="shared" si="5"/>
        <v>0</v>
      </c>
      <c r="H31" s="1">
        <f t="shared" si="11"/>
        <v>0</v>
      </c>
      <c r="I31" s="1">
        <f t="shared" si="12"/>
        <v>0</v>
      </c>
      <c r="J31" s="1">
        <f t="shared" si="13"/>
        <v>0</v>
      </c>
      <c r="K31" s="1">
        <f t="shared" si="14"/>
        <v>1</v>
      </c>
      <c r="L31" s="1" t="str">
        <f t="shared" si="6"/>
        <v>紧货币宽信用</v>
      </c>
      <c r="O31" s="51">
        <v>45230</v>
      </c>
      <c r="P31" s="60">
        <v>2.3387894736842112</v>
      </c>
      <c r="R31" s="14">
        <v>38077</v>
      </c>
      <c r="S31" s="15">
        <v>6557</v>
      </c>
      <c r="T31" s="55">
        <f t="shared" si="7"/>
        <v>101.6</v>
      </c>
      <c r="U31" s="63">
        <f t="shared" si="8"/>
        <v>6658.6</v>
      </c>
      <c r="V31" s="63">
        <f t="shared" si="15"/>
        <v>40090.870000000003</v>
      </c>
      <c r="W31" s="64">
        <f t="shared" si="9"/>
        <v>144203.1</v>
      </c>
      <c r="X31" s="65">
        <f t="shared" si="16"/>
        <v>27.80167000570723</v>
      </c>
      <c r="Y31" s="64"/>
      <c r="Z31" s="70">
        <v>44012</v>
      </c>
      <c r="AA31" s="68">
        <v>4978.8786</v>
      </c>
      <c r="AB31" s="68"/>
      <c r="AC31" s="71">
        <v>36341</v>
      </c>
      <c r="AD31" s="15">
        <v>88511.2</v>
      </c>
      <c r="AG31" s="16"/>
      <c r="AH31" s="17"/>
      <c r="AI31" s="17"/>
      <c r="AJ31" s="17"/>
      <c r="AK31" s="17"/>
      <c r="AL31" s="17"/>
      <c r="AM31" s="17"/>
      <c r="AN31" s="17"/>
      <c r="AO31" s="17"/>
    </row>
    <row r="32" spans="1:41" x14ac:dyDescent="0.3">
      <c r="A32" s="8">
        <f t="shared" si="10"/>
        <v>45169</v>
      </c>
      <c r="B32" s="9">
        <f t="shared" si="0"/>
        <v>2.0501739130434782</v>
      </c>
      <c r="C32" s="9">
        <f t="shared" si="1"/>
        <v>26.027357560317334</v>
      </c>
      <c r="D32" s="7">
        <f t="shared" si="2"/>
        <v>1</v>
      </c>
      <c r="E32" s="7">
        <f t="shared" si="3"/>
        <v>0</v>
      </c>
      <c r="F32" s="7">
        <f t="shared" si="4"/>
        <v>0</v>
      </c>
      <c r="G32" s="7">
        <f t="shared" si="5"/>
        <v>1</v>
      </c>
      <c r="H32" s="1">
        <f t="shared" si="11"/>
        <v>0</v>
      </c>
      <c r="I32" s="1">
        <f t="shared" si="12"/>
        <v>1</v>
      </c>
      <c r="J32" s="1">
        <f t="shared" si="13"/>
        <v>0</v>
      </c>
      <c r="K32" s="1">
        <f t="shared" si="14"/>
        <v>0</v>
      </c>
      <c r="L32" s="1" t="str">
        <f t="shared" si="6"/>
        <v>宽货币宽信用</v>
      </c>
      <c r="O32" s="51">
        <v>45199</v>
      </c>
      <c r="P32" s="60">
        <v>2.1665000000000001</v>
      </c>
      <c r="R32" s="14">
        <v>38107</v>
      </c>
      <c r="S32" s="15">
        <v>2731</v>
      </c>
      <c r="T32" s="55">
        <f t="shared" si="7"/>
        <v>1472.2</v>
      </c>
      <c r="U32" s="63">
        <f t="shared" si="8"/>
        <v>4203.2</v>
      </c>
      <c r="V32" s="63">
        <f t="shared" si="15"/>
        <v>39992.07</v>
      </c>
      <c r="W32" s="64">
        <f t="shared" si="9"/>
        <v>144203.1</v>
      </c>
      <c r="X32" s="65">
        <f t="shared" si="16"/>
        <v>27.733155528556598</v>
      </c>
      <c r="Y32" s="64"/>
      <c r="Z32" s="70">
        <v>43982</v>
      </c>
      <c r="AA32" s="68">
        <v>15020.822</v>
      </c>
      <c r="AB32" s="68"/>
      <c r="AC32" s="71">
        <v>36433</v>
      </c>
      <c r="AD32" s="15">
        <v>89821.4</v>
      </c>
      <c r="AG32" s="16"/>
      <c r="AH32" s="17"/>
      <c r="AI32" s="17"/>
      <c r="AJ32" s="17"/>
      <c r="AK32" s="17"/>
      <c r="AL32" s="17"/>
      <c r="AM32" s="17"/>
      <c r="AN32" s="17"/>
      <c r="AO32" s="17"/>
    </row>
    <row r="33" spans="1:41" x14ac:dyDescent="0.3">
      <c r="A33" s="8">
        <f t="shared" si="10"/>
        <v>45138</v>
      </c>
      <c r="B33" s="9">
        <f t="shared" si="0"/>
        <v>2.1155714285714291</v>
      </c>
      <c r="C33" s="9">
        <f t="shared" si="1"/>
        <v>25.508779851483197</v>
      </c>
      <c r="D33" s="7">
        <f t="shared" si="2"/>
        <v>0</v>
      </c>
      <c r="E33" s="7">
        <f t="shared" si="3"/>
        <v>1</v>
      </c>
      <c r="F33" s="7">
        <f t="shared" si="4"/>
        <v>0</v>
      </c>
      <c r="G33" s="7">
        <f t="shared" si="5"/>
        <v>1</v>
      </c>
      <c r="H33" s="1">
        <f t="shared" si="11"/>
        <v>1</v>
      </c>
      <c r="I33" s="1">
        <f t="shared" si="12"/>
        <v>0</v>
      </c>
      <c r="J33" s="1">
        <f t="shared" si="13"/>
        <v>0</v>
      </c>
      <c r="K33" s="1">
        <f t="shared" si="14"/>
        <v>0</v>
      </c>
      <c r="L33" s="1" t="str">
        <f t="shared" si="6"/>
        <v>宽货币紧信用</v>
      </c>
      <c r="O33" s="51">
        <v>45169</v>
      </c>
      <c r="P33" s="60">
        <v>2.0501739130434782</v>
      </c>
      <c r="R33" s="14">
        <v>38138</v>
      </c>
      <c r="S33" s="15">
        <v>2443</v>
      </c>
      <c r="T33" s="55">
        <f t="shared" si="7"/>
        <v>-242.5</v>
      </c>
      <c r="U33" s="63">
        <f t="shared" si="8"/>
        <v>2200.5</v>
      </c>
      <c r="V33" s="63">
        <f t="shared" si="15"/>
        <v>39171.57</v>
      </c>
      <c r="W33" s="64">
        <f t="shared" si="9"/>
        <v>144203.1</v>
      </c>
      <c r="X33" s="65">
        <f t="shared" si="16"/>
        <v>27.164166373677123</v>
      </c>
      <c r="Y33" s="64"/>
      <c r="Z33" s="70">
        <v>43951</v>
      </c>
      <c r="AA33" s="68">
        <v>2898.4261000000001</v>
      </c>
      <c r="AB33" s="68"/>
      <c r="AC33" s="71">
        <v>36525</v>
      </c>
      <c r="AD33" s="15">
        <v>91378.9</v>
      </c>
      <c r="AG33" s="16"/>
      <c r="AH33" s="17"/>
      <c r="AI33" s="17"/>
      <c r="AJ33" s="17"/>
      <c r="AK33" s="17"/>
      <c r="AL33" s="17"/>
      <c r="AM33" s="17"/>
      <c r="AN33" s="17"/>
      <c r="AO33" s="17"/>
    </row>
    <row r="34" spans="1:41" x14ac:dyDescent="0.3">
      <c r="A34" s="8">
        <f t="shared" si="10"/>
        <v>45107</v>
      </c>
      <c r="B34" s="9">
        <f t="shared" si="0"/>
        <v>2.1543333333333332</v>
      </c>
      <c r="C34" s="9">
        <f t="shared" si="1"/>
        <v>25.699801547488949</v>
      </c>
      <c r="D34" s="7">
        <f t="shared" si="2"/>
        <v>0</v>
      </c>
      <c r="E34" s="7">
        <f t="shared" si="3"/>
        <v>1</v>
      </c>
      <c r="F34" s="7">
        <f t="shared" si="4"/>
        <v>0</v>
      </c>
      <c r="G34" s="7">
        <f t="shared" si="5"/>
        <v>1</v>
      </c>
      <c r="H34" s="1">
        <f t="shared" si="11"/>
        <v>1</v>
      </c>
      <c r="I34" s="1">
        <f t="shared" si="12"/>
        <v>0</v>
      </c>
      <c r="J34" s="1">
        <f t="shared" si="13"/>
        <v>0</v>
      </c>
      <c r="K34" s="1">
        <f t="shared" si="14"/>
        <v>0</v>
      </c>
      <c r="L34" s="1" t="str">
        <f t="shared" si="6"/>
        <v>宽货币紧信用</v>
      </c>
      <c r="O34" s="51">
        <v>45138</v>
      </c>
      <c r="P34" s="60">
        <v>2.1155714285714291</v>
      </c>
      <c r="R34" s="14">
        <v>38168</v>
      </c>
      <c r="S34" s="15">
        <v>3229</v>
      </c>
      <c r="T34" s="55">
        <f t="shared" si="7"/>
        <v>632.29999999999995</v>
      </c>
      <c r="U34" s="63">
        <f t="shared" si="8"/>
        <v>3861.3</v>
      </c>
      <c r="V34" s="63">
        <f t="shared" si="15"/>
        <v>37110.869999999995</v>
      </c>
      <c r="W34" s="64">
        <f t="shared" si="9"/>
        <v>150476.70000000001</v>
      </c>
      <c r="X34" s="65">
        <f t="shared" si="16"/>
        <v>24.662203517222263</v>
      </c>
      <c r="Y34" s="64"/>
      <c r="Z34" s="70">
        <v>43921</v>
      </c>
      <c r="AA34" s="68">
        <v>5233.6126999999997</v>
      </c>
      <c r="AB34" s="68"/>
      <c r="AC34" s="71">
        <v>36616</v>
      </c>
      <c r="AD34" s="15">
        <v>93396.9</v>
      </c>
      <c r="AG34" s="16"/>
      <c r="AH34" s="17"/>
      <c r="AI34" s="17"/>
      <c r="AJ34" s="17"/>
      <c r="AK34" s="17"/>
      <c r="AL34" s="17"/>
      <c r="AM34" s="17"/>
      <c r="AN34" s="17"/>
      <c r="AO34" s="17"/>
    </row>
    <row r="35" spans="1:41" x14ac:dyDescent="0.3">
      <c r="A35" s="8">
        <f t="shared" si="10"/>
        <v>45077</v>
      </c>
      <c r="B35" s="9">
        <f t="shared" si="0"/>
        <v>2.3034761904761898</v>
      </c>
      <c r="C35" s="9">
        <f t="shared" si="1"/>
        <v>26.825489746700811</v>
      </c>
      <c r="D35" s="7">
        <f t="shared" si="2"/>
        <v>0</v>
      </c>
      <c r="E35" s="7">
        <f t="shared" si="3"/>
        <v>1</v>
      </c>
      <c r="F35" s="7">
        <f t="shared" si="4"/>
        <v>0</v>
      </c>
      <c r="G35" s="7">
        <f t="shared" si="5"/>
        <v>1</v>
      </c>
      <c r="H35" s="1">
        <f t="shared" si="11"/>
        <v>1</v>
      </c>
      <c r="I35" s="1">
        <f t="shared" si="12"/>
        <v>0</v>
      </c>
      <c r="J35" s="1">
        <f t="shared" si="13"/>
        <v>0</v>
      </c>
      <c r="K35" s="1">
        <f t="shared" si="14"/>
        <v>0</v>
      </c>
      <c r="L35" s="1" t="str">
        <f t="shared" si="6"/>
        <v>宽货币紧信用</v>
      </c>
      <c r="O35" s="51">
        <v>45107</v>
      </c>
      <c r="P35" s="60">
        <v>2.1543333333333332</v>
      </c>
      <c r="R35" s="14">
        <v>38199</v>
      </c>
      <c r="S35" s="15">
        <v>590</v>
      </c>
      <c r="T35" s="55">
        <f t="shared" si="7"/>
        <v>957</v>
      </c>
      <c r="U35" s="63">
        <f t="shared" si="8"/>
        <v>1547</v>
      </c>
      <c r="V35" s="63">
        <f t="shared" si="15"/>
        <v>37318.869999999995</v>
      </c>
      <c r="W35" s="64">
        <f t="shared" si="9"/>
        <v>150476.70000000001</v>
      </c>
      <c r="X35" s="65">
        <f t="shared" si="16"/>
        <v>24.80043089727512</v>
      </c>
      <c r="Y35" s="64"/>
      <c r="Z35" s="70">
        <v>43890</v>
      </c>
      <c r="AA35" s="68">
        <v>3693.02</v>
      </c>
      <c r="AB35" s="68"/>
      <c r="AC35" s="71">
        <v>36707</v>
      </c>
      <c r="AD35" s="15">
        <v>95922.7</v>
      </c>
      <c r="AG35" s="16"/>
      <c r="AH35" s="17"/>
      <c r="AI35" s="17"/>
      <c r="AJ35" s="17"/>
      <c r="AK35" s="17"/>
      <c r="AL35" s="17"/>
      <c r="AM35" s="17"/>
      <c r="AN35" s="17"/>
      <c r="AO35" s="17"/>
    </row>
    <row r="36" spans="1:41" x14ac:dyDescent="0.3">
      <c r="A36" s="8">
        <f t="shared" si="10"/>
        <v>45046</v>
      </c>
      <c r="B36" s="9">
        <f t="shared" ref="B36:B67" si="17">VLOOKUP(A36,O:P,2,0)</f>
        <v>2.42415</v>
      </c>
      <c r="C36" s="9">
        <f t="shared" ref="C36:C67" si="18">VLOOKUP(A36,R:X,7,0)</f>
        <v>27.854529974368852</v>
      </c>
      <c r="D36" s="7">
        <f t="shared" si="2"/>
        <v>1</v>
      </c>
      <c r="E36" s="7">
        <f t="shared" si="3"/>
        <v>0</v>
      </c>
      <c r="F36" s="7">
        <f t="shared" si="4"/>
        <v>0</v>
      </c>
      <c r="G36" s="7">
        <f t="shared" si="5"/>
        <v>1</v>
      </c>
      <c r="H36" s="1">
        <f t="shared" si="11"/>
        <v>0</v>
      </c>
      <c r="I36" s="1">
        <f t="shared" si="12"/>
        <v>1</v>
      </c>
      <c r="J36" s="1">
        <f t="shared" si="13"/>
        <v>0</v>
      </c>
      <c r="K36" s="1">
        <f t="shared" si="14"/>
        <v>0</v>
      </c>
      <c r="L36" s="1" t="str">
        <f t="shared" si="6"/>
        <v>宽货币宽信用</v>
      </c>
      <c r="O36" s="51">
        <v>45077</v>
      </c>
      <c r="P36" s="60">
        <v>2.3034761904761898</v>
      </c>
      <c r="R36" s="14">
        <v>38230</v>
      </c>
      <c r="S36" s="15">
        <v>1501</v>
      </c>
      <c r="T36" s="55">
        <f t="shared" si="7"/>
        <v>615.29999999999995</v>
      </c>
      <c r="U36" s="63">
        <f t="shared" si="8"/>
        <v>2116.3000000000002</v>
      </c>
      <c r="V36" s="63">
        <f t="shared" si="15"/>
        <v>35854.170000000006</v>
      </c>
      <c r="W36" s="64">
        <f t="shared" si="9"/>
        <v>150476.70000000001</v>
      </c>
      <c r="X36" s="65">
        <f t="shared" si="16"/>
        <v>23.827057610912522</v>
      </c>
      <c r="Y36" s="64"/>
      <c r="Z36" s="70">
        <v>43861</v>
      </c>
      <c r="AA36" s="68">
        <v>7648.0378000000101</v>
      </c>
      <c r="AB36" s="68"/>
      <c r="AC36" s="71">
        <v>36799</v>
      </c>
      <c r="AD36" s="15">
        <v>98640.7</v>
      </c>
      <c r="AG36" s="16"/>
      <c r="AH36" s="17"/>
      <c r="AI36" s="17"/>
      <c r="AJ36" s="17"/>
      <c r="AK36" s="17"/>
      <c r="AL36" s="17"/>
      <c r="AM36" s="17"/>
      <c r="AN36" s="17"/>
      <c r="AO36" s="17"/>
    </row>
    <row r="37" spans="1:41" x14ac:dyDescent="0.3">
      <c r="A37" s="8">
        <f t="shared" si="10"/>
        <v>45016</v>
      </c>
      <c r="B37" s="9">
        <f t="shared" si="17"/>
        <v>2.4777391304347831</v>
      </c>
      <c r="C37" s="9">
        <f t="shared" si="18"/>
        <v>27.620624447706383</v>
      </c>
      <c r="D37" s="7">
        <f t="shared" ref="D37:D68" si="19">IF(C37&gt;C38,1,0)</f>
        <v>1</v>
      </c>
      <c r="E37" s="7">
        <f t="shared" ref="E37:E68" si="20">1-D37</f>
        <v>0</v>
      </c>
      <c r="F37" s="7">
        <f t="shared" ref="F37:F68" si="21">IF(B37&gt;B38,1,0)</f>
        <v>1</v>
      </c>
      <c r="G37" s="7">
        <f t="shared" ref="G37:G68" si="22">1-F37</f>
        <v>0</v>
      </c>
      <c r="H37" s="1">
        <f t="shared" si="11"/>
        <v>0</v>
      </c>
      <c r="I37" s="1">
        <f t="shared" si="12"/>
        <v>0</v>
      </c>
      <c r="J37" s="1">
        <f t="shared" si="13"/>
        <v>0</v>
      </c>
      <c r="K37" s="1">
        <f t="shared" si="14"/>
        <v>1</v>
      </c>
      <c r="L37" s="1" t="str">
        <f t="shared" ref="L37:L68" si="23">INDEX($H$3:$K$3,1,MATCH(1,H37:K37,0))</f>
        <v>紧货币宽信用</v>
      </c>
      <c r="O37" s="51">
        <v>45046</v>
      </c>
      <c r="P37" s="60">
        <v>2.42415</v>
      </c>
      <c r="R37" s="14">
        <v>38260</v>
      </c>
      <c r="S37" s="15">
        <v>2981</v>
      </c>
      <c r="T37" s="55">
        <f t="shared" si="7"/>
        <v>153</v>
      </c>
      <c r="U37" s="63">
        <f t="shared" si="8"/>
        <v>3134</v>
      </c>
      <c r="V37" s="63">
        <f t="shared" si="15"/>
        <v>34764.369999999995</v>
      </c>
      <c r="W37" s="64">
        <f t="shared" si="9"/>
        <v>157146.4</v>
      </c>
      <c r="X37" s="65">
        <f t="shared" si="16"/>
        <v>22.122282152184201</v>
      </c>
      <c r="Y37" s="64"/>
      <c r="Z37" s="70">
        <v>43830</v>
      </c>
      <c r="AA37" s="68">
        <v>3211.1605</v>
      </c>
      <c r="AB37" s="68"/>
      <c r="AC37" s="71">
        <v>36891</v>
      </c>
      <c r="AD37" s="15">
        <v>101308.6</v>
      </c>
      <c r="AG37" s="16"/>
      <c r="AH37" s="17"/>
      <c r="AI37" s="17"/>
      <c r="AJ37" s="17"/>
      <c r="AK37" s="17"/>
      <c r="AL37" s="17"/>
      <c r="AM37" s="17"/>
      <c r="AN37" s="17"/>
      <c r="AO37" s="17"/>
    </row>
    <row r="38" spans="1:41" x14ac:dyDescent="0.3">
      <c r="A38" s="8">
        <f t="shared" ref="A38:A69" si="24">EOMONTH(A37,-1)</f>
        <v>44985</v>
      </c>
      <c r="B38" s="9">
        <f t="shared" si="17"/>
        <v>2.3834499999999998</v>
      </c>
      <c r="C38" s="9">
        <f t="shared" si="18"/>
        <v>27.368961174584751</v>
      </c>
      <c r="D38" s="7">
        <f t="shared" si="19"/>
        <v>1</v>
      </c>
      <c r="E38" s="7">
        <f t="shared" si="20"/>
        <v>0</v>
      </c>
      <c r="F38" s="7">
        <f t="shared" si="21"/>
        <v>1</v>
      </c>
      <c r="G38" s="7">
        <f t="shared" si="22"/>
        <v>0</v>
      </c>
      <c r="H38" s="1">
        <f t="shared" si="11"/>
        <v>0</v>
      </c>
      <c r="I38" s="1">
        <f t="shared" si="12"/>
        <v>0</v>
      </c>
      <c r="J38" s="1">
        <f t="shared" si="13"/>
        <v>0</v>
      </c>
      <c r="K38" s="1">
        <f t="shared" si="14"/>
        <v>1</v>
      </c>
      <c r="L38" s="1" t="str">
        <f t="shared" si="23"/>
        <v>紧货币宽信用</v>
      </c>
      <c r="O38" s="51">
        <v>45016</v>
      </c>
      <c r="P38" s="60">
        <v>2.4777391304347831</v>
      </c>
      <c r="R38" s="14">
        <v>38291</v>
      </c>
      <c r="S38" s="15">
        <v>483</v>
      </c>
      <c r="T38" s="55">
        <f t="shared" si="7"/>
        <v>221.1</v>
      </c>
      <c r="U38" s="63">
        <f t="shared" si="8"/>
        <v>704.1</v>
      </c>
      <c r="V38" s="63">
        <f t="shared" si="15"/>
        <v>34150.469999999994</v>
      </c>
      <c r="W38" s="64">
        <f t="shared" si="9"/>
        <v>157146.4</v>
      </c>
      <c r="X38" s="65">
        <f t="shared" si="16"/>
        <v>21.731627323311255</v>
      </c>
      <c r="Y38" s="64"/>
      <c r="Z38" s="70">
        <v>43799</v>
      </c>
      <c r="AA38" s="68">
        <v>2273.0463</v>
      </c>
      <c r="AB38" s="68"/>
      <c r="AC38" s="71">
        <v>36981</v>
      </c>
      <c r="AD38" s="15">
        <v>104130.1</v>
      </c>
      <c r="AG38" s="16"/>
      <c r="AH38" s="17"/>
      <c r="AI38" s="17"/>
      <c r="AJ38" s="17"/>
      <c r="AK38" s="17"/>
      <c r="AL38" s="17"/>
      <c r="AM38" s="17"/>
      <c r="AN38" s="17"/>
      <c r="AO38" s="17"/>
    </row>
    <row r="39" spans="1:41" x14ac:dyDescent="0.3">
      <c r="A39" s="8">
        <f t="shared" si="24"/>
        <v>44957</v>
      </c>
      <c r="B39" s="9">
        <f t="shared" si="17"/>
        <v>2.362333333333333</v>
      </c>
      <c r="C39" s="9">
        <f t="shared" si="18"/>
        <v>25.793633911285575</v>
      </c>
      <c r="D39" s="7">
        <f t="shared" si="19"/>
        <v>0</v>
      </c>
      <c r="E39" s="7">
        <f t="shared" si="20"/>
        <v>1</v>
      </c>
      <c r="F39" s="7">
        <f t="shared" si="21"/>
        <v>1</v>
      </c>
      <c r="G39" s="7">
        <f t="shared" si="22"/>
        <v>0</v>
      </c>
      <c r="H39" s="1">
        <f t="shared" si="11"/>
        <v>0</v>
      </c>
      <c r="I39" s="1">
        <f t="shared" si="12"/>
        <v>0</v>
      </c>
      <c r="J39" s="1">
        <f t="shared" si="13"/>
        <v>1</v>
      </c>
      <c r="K39" s="1">
        <f t="shared" si="14"/>
        <v>0</v>
      </c>
      <c r="L39" s="1" t="str">
        <f t="shared" si="23"/>
        <v>紧货币紧信用</v>
      </c>
      <c r="O39" s="51">
        <v>44985</v>
      </c>
      <c r="P39" s="60">
        <v>2.3834499999999998</v>
      </c>
      <c r="R39" s="14">
        <v>38321</v>
      </c>
      <c r="S39" s="15">
        <v>1977</v>
      </c>
      <c r="T39" s="55">
        <f t="shared" si="7"/>
        <v>332.3</v>
      </c>
      <c r="U39" s="63">
        <f t="shared" si="8"/>
        <v>2309.3000000000002</v>
      </c>
      <c r="V39" s="63">
        <f t="shared" si="15"/>
        <v>33802.869999999995</v>
      </c>
      <c r="W39" s="64">
        <f t="shared" si="9"/>
        <v>157146.4</v>
      </c>
      <c r="X39" s="65">
        <f t="shared" si="16"/>
        <v>21.510432310253368</v>
      </c>
      <c r="Y39" s="64"/>
      <c r="Z39" s="70">
        <v>43769</v>
      </c>
      <c r="AA39" s="68">
        <v>1750.3545999999999</v>
      </c>
      <c r="AB39" s="68"/>
      <c r="AC39" s="71">
        <v>37072</v>
      </c>
      <c r="AD39" s="15">
        <v>106870.8</v>
      </c>
      <c r="AG39" s="16"/>
      <c r="AH39" s="17"/>
      <c r="AI39" s="17"/>
      <c r="AJ39" s="17"/>
      <c r="AK39" s="17"/>
      <c r="AL39" s="17"/>
      <c r="AM39" s="17"/>
      <c r="AN39" s="17"/>
      <c r="AO39" s="17"/>
    </row>
    <row r="40" spans="1:41" x14ac:dyDescent="0.3">
      <c r="A40" s="8">
        <f t="shared" si="24"/>
        <v>44926</v>
      </c>
      <c r="B40" s="9">
        <f t="shared" si="17"/>
        <v>2.319454545454545</v>
      </c>
      <c r="C40" s="9">
        <f t="shared" si="18"/>
        <v>25.93974065283539</v>
      </c>
      <c r="D40" s="7">
        <f t="shared" si="19"/>
        <v>0</v>
      </c>
      <c r="E40" s="7">
        <f t="shared" si="20"/>
        <v>1</v>
      </c>
      <c r="F40" s="7">
        <f t="shared" si="21"/>
        <v>1</v>
      </c>
      <c r="G40" s="7">
        <f t="shared" si="22"/>
        <v>0</v>
      </c>
      <c r="H40" s="1">
        <f t="shared" si="11"/>
        <v>0</v>
      </c>
      <c r="I40" s="1">
        <f t="shared" si="12"/>
        <v>0</v>
      </c>
      <c r="J40" s="1">
        <f t="shared" si="13"/>
        <v>1</v>
      </c>
      <c r="K40" s="1">
        <f t="shared" si="14"/>
        <v>0</v>
      </c>
      <c r="L40" s="1" t="str">
        <f t="shared" si="23"/>
        <v>紧货币紧信用</v>
      </c>
      <c r="O40" s="51">
        <v>44957</v>
      </c>
      <c r="P40" s="60">
        <v>2.362333333333333</v>
      </c>
      <c r="R40" s="14">
        <v>38352</v>
      </c>
      <c r="S40" s="15">
        <v>3586</v>
      </c>
      <c r="T40" s="55">
        <f t="shared" si="7"/>
        <v>-630.03</v>
      </c>
      <c r="U40" s="63">
        <f t="shared" si="8"/>
        <v>2955.9700000000003</v>
      </c>
      <c r="V40" s="63">
        <f t="shared" si="15"/>
        <v>32242.269999999997</v>
      </c>
      <c r="W40" s="64">
        <f t="shared" si="9"/>
        <v>164227.9</v>
      </c>
      <c r="X40" s="65">
        <f t="shared" si="16"/>
        <v>19.632638546799903</v>
      </c>
      <c r="Y40" s="64"/>
      <c r="Z40" s="70">
        <v>43738</v>
      </c>
      <c r="AA40" s="68">
        <v>2396.8715000000002</v>
      </c>
      <c r="AB40" s="68"/>
      <c r="AC40" s="71">
        <v>37164</v>
      </c>
      <c r="AD40" s="15">
        <v>109559</v>
      </c>
      <c r="AG40" s="16"/>
      <c r="AH40" s="17"/>
      <c r="AI40" s="17"/>
      <c r="AJ40" s="17"/>
      <c r="AK40" s="17"/>
      <c r="AL40" s="17"/>
      <c r="AM40" s="17"/>
      <c r="AN40" s="17"/>
      <c r="AO40" s="17"/>
    </row>
    <row r="41" spans="1:41" x14ac:dyDescent="0.3">
      <c r="A41" s="8">
        <f t="shared" si="24"/>
        <v>44895</v>
      </c>
      <c r="B41" s="9">
        <f t="shared" si="17"/>
        <v>2.0111363636363642</v>
      </c>
      <c r="C41" s="9">
        <f t="shared" si="18"/>
        <v>27.000190116304136</v>
      </c>
      <c r="D41" s="7">
        <f t="shared" si="19"/>
        <v>0</v>
      </c>
      <c r="E41" s="7">
        <f t="shared" si="20"/>
        <v>1</v>
      </c>
      <c r="F41" s="7">
        <f t="shared" si="21"/>
        <v>1</v>
      </c>
      <c r="G41" s="7">
        <f t="shared" si="22"/>
        <v>0</v>
      </c>
      <c r="H41" s="1">
        <f t="shared" si="11"/>
        <v>0</v>
      </c>
      <c r="I41" s="1">
        <f t="shared" si="12"/>
        <v>0</v>
      </c>
      <c r="J41" s="1">
        <f t="shared" si="13"/>
        <v>1</v>
      </c>
      <c r="K41" s="1">
        <f t="shared" si="14"/>
        <v>0</v>
      </c>
      <c r="L41" s="1" t="str">
        <f t="shared" si="23"/>
        <v>紧货币紧信用</v>
      </c>
      <c r="O41" s="51">
        <v>44926</v>
      </c>
      <c r="P41" s="60">
        <v>2.319454545454545</v>
      </c>
      <c r="R41" s="14">
        <v>38383</v>
      </c>
      <c r="S41" s="15">
        <v>3620</v>
      </c>
      <c r="T41" s="55">
        <f t="shared" si="7"/>
        <v>0</v>
      </c>
      <c r="U41" s="63">
        <f t="shared" si="8"/>
        <v>3620</v>
      </c>
      <c r="V41" s="63">
        <f t="shared" si="15"/>
        <v>33748.269999999997</v>
      </c>
      <c r="W41" s="64">
        <f t="shared" si="9"/>
        <v>164227.9</v>
      </c>
      <c r="X41" s="65">
        <f t="shared" si="16"/>
        <v>20.549656909696829</v>
      </c>
      <c r="Y41" s="64"/>
      <c r="Z41" s="70">
        <v>43708</v>
      </c>
      <c r="AA41" s="68">
        <v>5851.5141000000003</v>
      </c>
      <c r="AB41" s="68"/>
      <c r="AC41" s="71">
        <v>37256</v>
      </c>
      <c r="AD41" s="15">
        <v>112157.3</v>
      </c>
      <c r="AG41" s="16"/>
      <c r="AH41" s="17"/>
      <c r="AI41" s="17"/>
      <c r="AJ41" s="17"/>
      <c r="AK41" s="17"/>
      <c r="AL41" s="17"/>
      <c r="AM41" s="17"/>
      <c r="AN41" s="17"/>
      <c r="AO41" s="17"/>
    </row>
    <row r="42" spans="1:41" x14ac:dyDescent="0.3">
      <c r="A42" s="8">
        <f t="shared" si="24"/>
        <v>44865</v>
      </c>
      <c r="B42" s="9">
        <f t="shared" si="17"/>
        <v>1.6995555555555559</v>
      </c>
      <c r="C42" s="9">
        <f t="shared" si="18"/>
        <v>27.502103692437551</v>
      </c>
      <c r="D42" s="7">
        <f t="shared" si="19"/>
        <v>0</v>
      </c>
      <c r="E42" s="7">
        <f t="shared" si="20"/>
        <v>1</v>
      </c>
      <c r="F42" s="7">
        <f t="shared" si="21"/>
        <v>1</v>
      </c>
      <c r="G42" s="7">
        <f t="shared" si="22"/>
        <v>0</v>
      </c>
      <c r="H42" s="1">
        <f t="shared" si="11"/>
        <v>0</v>
      </c>
      <c r="I42" s="1">
        <f t="shared" si="12"/>
        <v>0</v>
      </c>
      <c r="J42" s="1">
        <f t="shared" si="13"/>
        <v>1</v>
      </c>
      <c r="K42" s="1">
        <f t="shared" si="14"/>
        <v>0</v>
      </c>
      <c r="L42" s="1" t="str">
        <f t="shared" si="23"/>
        <v>紧货币紧信用</v>
      </c>
      <c r="O42" s="51">
        <v>44895</v>
      </c>
      <c r="P42" s="60">
        <v>2.0111363636363642</v>
      </c>
      <c r="R42" s="14">
        <v>38411</v>
      </c>
      <c r="S42" s="15">
        <v>824</v>
      </c>
      <c r="T42" s="55">
        <f t="shared" si="7"/>
        <v>46.8</v>
      </c>
      <c r="U42" s="63">
        <f t="shared" si="8"/>
        <v>870.8</v>
      </c>
      <c r="V42" s="63">
        <f t="shared" si="15"/>
        <v>34181.07</v>
      </c>
      <c r="W42" s="64">
        <f t="shared" si="9"/>
        <v>164227.9</v>
      </c>
      <c r="X42" s="65">
        <f t="shared" si="16"/>
        <v>20.813193129790982</v>
      </c>
      <c r="Y42" s="64"/>
      <c r="Z42" s="70">
        <v>43677</v>
      </c>
      <c r="AA42" s="68">
        <v>5311.6426000000101</v>
      </c>
      <c r="AB42" s="68"/>
      <c r="AC42" s="71">
        <v>37346</v>
      </c>
      <c r="AD42" s="15">
        <v>114432.7</v>
      </c>
      <c r="AG42" s="16"/>
      <c r="AH42" s="17"/>
      <c r="AI42" s="17"/>
      <c r="AJ42" s="17"/>
      <c r="AK42" s="17"/>
      <c r="AL42" s="17"/>
      <c r="AM42" s="17"/>
      <c r="AN42" s="17"/>
      <c r="AO42" s="17"/>
    </row>
    <row r="43" spans="1:41" x14ac:dyDescent="0.3">
      <c r="A43" s="8">
        <f t="shared" si="24"/>
        <v>44834</v>
      </c>
      <c r="B43" s="9">
        <f t="shared" si="17"/>
        <v>1.6132380952380949</v>
      </c>
      <c r="C43" s="9">
        <f t="shared" si="18"/>
        <v>28.077189179442353</v>
      </c>
      <c r="D43" s="7">
        <f t="shared" si="19"/>
        <v>1</v>
      </c>
      <c r="E43" s="7">
        <f t="shared" si="20"/>
        <v>0</v>
      </c>
      <c r="F43" s="7">
        <f t="shared" si="21"/>
        <v>0</v>
      </c>
      <c r="G43" s="7">
        <f t="shared" si="22"/>
        <v>1</v>
      </c>
      <c r="H43" s="1">
        <f t="shared" si="11"/>
        <v>0</v>
      </c>
      <c r="I43" s="1">
        <f t="shared" si="12"/>
        <v>1</v>
      </c>
      <c r="J43" s="1">
        <f t="shared" si="13"/>
        <v>0</v>
      </c>
      <c r="K43" s="1">
        <f t="shared" si="14"/>
        <v>0</v>
      </c>
      <c r="L43" s="1" t="str">
        <f t="shared" si="23"/>
        <v>宽货币宽信用</v>
      </c>
      <c r="O43" s="51">
        <v>44865</v>
      </c>
      <c r="P43" s="60">
        <v>1.6995555555555559</v>
      </c>
      <c r="R43" s="14">
        <v>38442</v>
      </c>
      <c r="S43" s="15">
        <v>4189</v>
      </c>
      <c r="T43" s="55">
        <f t="shared" si="7"/>
        <v>-201.6</v>
      </c>
      <c r="U43" s="63">
        <f t="shared" si="8"/>
        <v>3987.4</v>
      </c>
      <c r="V43" s="63">
        <f t="shared" si="15"/>
        <v>31509.87</v>
      </c>
      <c r="W43" s="64">
        <f t="shared" si="9"/>
        <v>170199.3</v>
      </c>
      <c r="X43" s="65">
        <f t="shared" si="16"/>
        <v>18.513513275318992</v>
      </c>
      <c r="Y43" s="64"/>
      <c r="Z43" s="70">
        <v>43646</v>
      </c>
      <c r="AA43" s="68">
        <v>7881.3980999999903</v>
      </c>
      <c r="AB43" s="68"/>
      <c r="AC43" s="71">
        <v>37437</v>
      </c>
      <c r="AD43" s="15">
        <v>116965.6</v>
      </c>
      <c r="AG43" s="16"/>
      <c r="AH43" s="17"/>
      <c r="AI43" s="17"/>
      <c r="AJ43" s="17"/>
      <c r="AK43" s="17"/>
      <c r="AL43" s="17"/>
      <c r="AM43" s="17"/>
      <c r="AN43" s="17"/>
      <c r="AO43" s="17"/>
    </row>
    <row r="44" spans="1:41" x14ac:dyDescent="0.3">
      <c r="A44" s="8">
        <f t="shared" si="24"/>
        <v>44804</v>
      </c>
      <c r="B44" s="9">
        <f t="shared" si="17"/>
        <v>1.6428086956521739</v>
      </c>
      <c r="C44" s="9">
        <f t="shared" si="18"/>
        <v>27.953834551746088</v>
      </c>
      <c r="D44" s="7">
        <f t="shared" si="19"/>
        <v>0</v>
      </c>
      <c r="E44" s="7">
        <f t="shared" si="20"/>
        <v>1</v>
      </c>
      <c r="F44" s="7">
        <f t="shared" si="21"/>
        <v>0</v>
      </c>
      <c r="G44" s="7">
        <f t="shared" si="22"/>
        <v>1</v>
      </c>
      <c r="H44" s="1">
        <f t="shared" si="11"/>
        <v>1</v>
      </c>
      <c r="I44" s="1">
        <f t="shared" si="12"/>
        <v>0</v>
      </c>
      <c r="J44" s="1">
        <f t="shared" si="13"/>
        <v>0</v>
      </c>
      <c r="K44" s="1">
        <f t="shared" si="14"/>
        <v>0</v>
      </c>
      <c r="L44" s="1" t="str">
        <f t="shared" si="23"/>
        <v>宽货币紧信用</v>
      </c>
      <c r="O44" s="51">
        <v>44834</v>
      </c>
      <c r="P44" s="60">
        <v>1.6132380952380949</v>
      </c>
      <c r="R44" s="14">
        <v>38472</v>
      </c>
      <c r="S44" s="15">
        <v>1999</v>
      </c>
      <c r="T44" s="55">
        <f t="shared" si="7"/>
        <v>683.9</v>
      </c>
      <c r="U44" s="63">
        <f t="shared" si="8"/>
        <v>2682.9</v>
      </c>
      <c r="V44" s="63">
        <f t="shared" si="15"/>
        <v>29989.570000000003</v>
      </c>
      <c r="W44" s="64">
        <f t="shared" si="9"/>
        <v>170199.3</v>
      </c>
      <c r="X44" s="65">
        <f t="shared" si="16"/>
        <v>17.620266358322276</v>
      </c>
      <c r="Y44" s="64"/>
      <c r="Z44" s="70">
        <v>43616</v>
      </c>
      <c r="AA44" s="68">
        <v>4533.8326999999999</v>
      </c>
      <c r="AB44" s="68"/>
      <c r="AC44" s="71">
        <v>37529</v>
      </c>
      <c r="AD44" s="15">
        <v>119968</v>
      </c>
      <c r="AG44" s="16"/>
      <c r="AH44" s="17"/>
      <c r="AI44" s="17"/>
      <c r="AJ44" s="17"/>
      <c r="AK44" s="17"/>
      <c r="AL44" s="17"/>
      <c r="AM44" s="17"/>
      <c r="AN44" s="17"/>
      <c r="AO44" s="17"/>
    </row>
    <row r="45" spans="1:41" x14ac:dyDescent="0.3">
      <c r="A45" s="8">
        <f t="shared" si="24"/>
        <v>44773</v>
      </c>
      <c r="B45" s="9">
        <f t="shared" si="17"/>
        <v>1.945904761904762</v>
      </c>
      <c r="C45" s="9">
        <f t="shared" si="18"/>
        <v>28.383053625708211</v>
      </c>
      <c r="D45" s="7">
        <f t="shared" si="19"/>
        <v>0</v>
      </c>
      <c r="E45" s="7">
        <f t="shared" si="20"/>
        <v>1</v>
      </c>
      <c r="F45" s="7">
        <f t="shared" si="21"/>
        <v>0</v>
      </c>
      <c r="G45" s="7">
        <f t="shared" si="22"/>
        <v>1</v>
      </c>
      <c r="H45" s="1">
        <f t="shared" si="11"/>
        <v>1</v>
      </c>
      <c r="I45" s="1">
        <f t="shared" si="12"/>
        <v>0</v>
      </c>
      <c r="J45" s="1">
        <f t="shared" si="13"/>
        <v>0</v>
      </c>
      <c r="K45" s="1">
        <f t="shared" si="14"/>
        <v>0</v>
      </c>
      <c r="L45" s="1" t="str">
        <f t="shared" si="23"/>
        <v>宽货币紧信用</v>
      </c>
      <c r="O45" s="51">
        <v>44804</v>
      </c>
      <c r="P45" s="60">
        <v>1.6428086956521739</v>
      </c>
      <c r="R45" s="14">
        <v>38503</v>
      </c>
      <c r="S45" s="15">
        <v>1968</v>
      </c>
      <c r="T45" s="55">
        <f t="shared" si="7"/>
        <v>573.5</v>
      </c>
      <c r="U45" s="63">
        <f t="shared" si="8"/>
        <v>2541.5</v>
      </c>
      <c r="V45" s="63">
        <f t="shared" si="15"/>
        <v>30330.570000000003</v>
      </c>
      <c r="W45" s="64">
        <f t="shared" si="9"/>
        <v>170199.3</v>
      </c>
      <c r="X45" s="65">
        <f t="shared" si="16"/>
        <v>17.820619708776714</v>
      </c>
      <c r="Y45" s="64"/>
      <c r="Z45" s="70">
        <v>43585</v>
      </c>
      <c r="AA45" s="68">
        <v>2429.415</v>
      </c>
      <c r="AB45" s="68"/>
      <c r="AC45" s="71">
        <v>37621</v>
      </c>
      <c r="AD45" s="15">
        <v>123311.8</v>
      </c>
      <c r="AG45" s="16"/>
      <c r="AH45" s="17"/>
      <c r="AI45" s="17"/>
      <c r="AJ45" s="17"/>
      <c r="AK45" s="17"/>
      <c r="AL45" s="17"/>
      <c r="AM45" s="17"/>
      <c r="AN45" s="17"/>
      <c r="AO45" s="17"/>
    </row>
    <row r="46" spans="1:41" x14ac:dyDescent="0.3">
      <c r="A46" s="8">
        <f t="shared" si="24"/>
        <v>44742</v>
      </c>
      <c r="B46" s="9">
        <f t="shared" si="17"/>
        <v>2.0006190476190482</v>
      </c>
      <c r="C46" s="9">
        <f t="shared" si="18"/>
        <v>28.628854241891506</v>
      </c>
      <c r="D46" s="7">
        <f t="shared" si="19"/>
        <v>1</v>
      </c>
      <c r="E46" s="7">
        <f t="shared" si="20"/>
        <v>0</v>
      </c>
      <c r="F46" s="7">
        <f t="shared" si="21"/>
        <v>0</v>
      </c>
      <c r="G46" s="7">
        <f t="shared" si="22"/>
        <v>1</v>
      </c>
      <c r="H46" s="1">
        <f t="shared" si="11"/>
        <v>0</v>
      </c>
      <c r="I46" s="1">
        <f t="shared" si="12"/>
        <v>1</v>
      </c>
      <c r="J46" s="1">
        <f t="shared" si="13"/>
        <v>0</v>
      </c>
      <c r="K46" s="1">
        <f t="shared" si="14"/>
        <v>0</v>
      </c>
      <c r="L46" s="1" t="str">
        <f t="shared" si="23"/>
        <v>宽货币宽信用</v>
      </c>
      <c r="O46" s="51">
        <v>44773</v>
      </c>
      <c r="P46" s="60">
        <v>1.945904761904762</v>
      </c>
      <c r="R46" s="14">
        <v>38533</v>
      </c>
      <c r="S46" s="15">
        <v>4723</v>
      </c>
      <c r="T46" s="55">
        <f t="shared" si="7"/>
        <v>-106.2</v>
      </c>
      <c r="U46" s="63">
        <f t="shared" si="8"/>
        <v>4616.8</v>
      </c>
      <c r="V46" s="63">
        <f t="shared" si="15"/>
        <v>31086.070000000003</v>
      </c>
      <c r="W46" s="64">
        <f t="shared" si="9"/>
        <v>176347.3</v>
      </c>
      <c r="X46" s="65">
        <f t="shared" si="16"/>
        <v>17.62775500390423</v>
      </c>
      <c r="Y46" s="64"/>
      <c r="Z46" s="70">
        <v>43555</v>
      </c>
      <c r="AA46" s="68">
        <v>4342.0387000000001</v>
      </c>
      <c r="AB46" s="68"/>
      <c r="AC46" s="71">
        <v>37711</v>
      </c>
      <c r="AD46" s="15">
        <v>126927.8</v>
      </c>
      <c r="AG46" s="16"/>
      <c r="AH46" s="17"/>
      <c r="AI46" s="17"/>
      <c r="AJ46" s="17"/>
      <c r="AK46" s="17"/>
      <c r="AL46" s="17"/>
      <c r="AM46" s="17"/>
      <c r="AN46" s="17"/>
      <c r="AO46" s="17"/>
    </row>
    <row r="47" spans="1:41" x14ac:dyDescent="0.3">
      <c r="A47" s="8">
        <f t="shared" si="24"/>
        <v>44712</v>
      </c>
      <c r="B47" s="9">
        <f t="shared" si="17"/>
        <v>2.0969500000000001</v>
      </c>
      <c r="C47" s="9">
        <f t="shared" si="18"/>
        <v>27.648711862331965</v>
      </c>
      <c r="D47" s="7">
        <f t="shared" si="19"/>
        <v>1</v>
      </c>
      <c r="E47" s="7">
        <f t="shared" si="20"/>
        <v>0</v>
      </c>
      <c r="F47" s="7">
        <f t="shared" si="21"/>
        <v>0</v>
      </c>
      <c r="G47" s="7">
        <f t="shared" si="22"/>
        <v>1</v>
      </c>
      <c r="H47" s="1">
        <f t="shared" si="11"/>
        <v>0</v>
      </c>
      <c r="I47" s="1">
        <f t="shared" si="12"/>
        <v>1</v>
      </c>
      <c r="J47" s="1">
        <f t="shared" si="13"/>
        <v>0</v>
      </c>
      <c r="K47" s="1">
        <f t="shared" si="14"/>
        <v>0</v>
      </c>
      <c r="L47" s="1" t="str">
        <f t="shared" si="23"/>
        <v>宽货币宽信用</v>
      </c>
      <c r="O47" s="51">
        <v>44742</v>
      </c>
      <c r="P47" s="60">
        <v>2.0006190476190482</v>
      </c>
      <c r="R47" s="14">
        <v>38564</v>
      </c>
      <c r="S47" s="15">
        <v>629</v>
      </c>
      <c r="T47" s="55">
        <f t="shared" si="7"/>
        <v>200.8</v>
      </c>
      <c r="U47" s="63">
        <f t="shared" si="8"/>
        <v>829.8</v>
      </c>
      <c r="V47" s="63">
        <f t="shared" si="15"/>
        <v>30368.870000000003</v>
      </c>
      <c r="W47" s="64">
        <f t="shared" si="9"/>
        <v>176347.3</v>
      </c>
      <c r="X47" s="65">
        <f t="shared" si="16"/>
        <v>17.22105753816475</v>
      </c>
      <c r="Y47" s="64"/>
      <c r="Z47" s="70">
        <v>43524</v>
      </c>
      <c r="AA47" s="68">
        <v>3688.4276</v>
      </c>
      <c r="AB47" s="68"/>
      <c r="AC47" s="71">
        <v>37802</v>
      </c>
      <c r="AD47" s="15">
        <v>130355.3</v>
      </c>
      <c r="AG47" s="16"/>
      <c r="AH47" s="17"/>
      <c r="AI47" s="17"/>
      <c r="AJ47" s="17"/>
      <c r="AK47" s="17"/>
      <c r="AL47" s="17"/>
      <c r="AM47" s="17"/>
      <c r="AN47" s="17"/>
      <c r="AO47" s="17"/>
    </row>
    <row r="48" spans="1:41" x14ac:dyDescent="0.3">
      <c r="A48" s="8">
        <f t="shared" si="24"/>
        <v>44681</v>
      </c>
      <c r="B48" s="9">
        <f t="shared" si="17"/>
        <v>2.3164761904761901</v>
      </c>
      <c r="C48" s="9">
        <f t="shared" si="18"/>
        <v>26.905114923479665</v>
      </c>
      <c r="D48" s="7">
        <f t="shared" si="19"/>
        <v>0</v>
      </c>
      <c r="E48" s="7">
        <f t="shared" si="20"/>
        <v>1</v>
      </c>
      <c r="F48" s="7">
        <f t="shared" si="21"/>
        <v>0</v>
      </c>
      <c r="G48" s="7">
        <f t="shared" si="22"/>
        <v>1</v>
      </c>
      <c r="H48" s="1">
        <f t="shared" si="11"/>
        <v>1</v>
      </c>
      <c r="I48" s="1">
        <f t="shared" si="12"/>
        <v>0</v>
      </c>
      <c r="J48" s="1">
        <f t="shared" si="13"/>
        <v>0</v>
      </c>
      <c r="K48" s="1">
        <f t="shared" si="14"/>
        <v>0</v>
      </c>
      <c r="L48" s="1" t="str">
        <f t="shared" si="23"/>
        <v>宽货币紧信用</v>
      </c>
      <c r="O48" s="51">
        <v>44712</v>
      </c>
      <c r="P48" s="60">
        <v>2.0969500000000001</v>
      </c>
      <c r="R48" s="14">
        <v>38595</v>
      </c>
      <c r="S48" s="15">
        <v>2097</v>
      </c>
      <c r="T48" s="55">
        <f t="shared" si="7"/>
        <v>943.9</v>
      </c>
      <c r="U48" s="63">
        <f t="shared" si="8"/>
        <v>3040.9</v>
      </c>
      <c r="V48" s="63">
        <f t="shared" si="15"/>
        <v>31293.47</v>
      </c>
      <c r="W48" s="64">
        <f t="shared" si="9"/>
        <v>176347.3</v>
      </c>
      <c r="X48" s="65">
        <f t="shared" si="16"/>
        <v>17.745363836021308</v>
      </c>
      <c r="Y48" s="64"/>
      <c r="Z48" s="70">
        <v>43496</v>
      </c>
      <c r="AA48" s="68">
        <v>4349.6643000000004</v>
      </c>
      <c r="AB48" s="68"/>
      <c r="AC48" s="71">
        <v>37894</v>
      </c>
      <c r="AD48" s="15">
        <v>134469.20000000001</v>
      </c>
      <c r="AG48" s="16"/>
      <c r="AH48" s="17"/>
      <c r="AI48" s="17"/>
      <c r="AJ48" s="17"/>
      <c r="AK48" s="17"/>
      <c r="AL48" s="17"/>
      <c r="AM48" s="17"/>
      <c r="AN48" s="17"/>
      <c r="AO48" s="17"/>
    </row>
    <row r="49" spans="1:41" x14ac:dyDescent="0.3">
      <c r="A49" s="8">
        <f t="shared" si="24"/>
        <v>44651</v>
      </c>
      <c r="B49" s="9">
        <f t="shared" si="17"/>
        <v>2.3658695652173911</v>
      </c>
      <c r="C49" s="9">
        <f t="shared" si="18"/>
        <v>27.677977456461996</v>
      </c>
      <c r="D49" s="7">
        <f t="shared" si="19"/>
        <v>1</v>
      </c>
      <c r="E49" s="7">
        <f t="shared" si="20"/>
        <v>0</v>
      </c>
      <c r="F49" s="7">
        <f t="shared" si="21"/>
        <v>0</v>
      </c>
      <c r="G49" s="7">
        <f t="shared" si="22"/>
        <v>1</v>
      </c>
      <c r="H49" s="1">
        <f t="shared" si="11"/>
        <v>0</v>
      </c>
      <c r="I49" s="1">
        <f t="shared" si="12"/>
        <v>1</v>
      </c>
      <c r="J49" s="1">
        <f t="shared" si="13"/>
        <v>0</v>
      </c>
      <c r="K49" s="1">
        <f t="shared" si="14"/>
        <v>0</v>
      </c>
      <c r="L49" s="1" t="str">
        <f t="shared" si="23"/>
        <v>宽货币宽信用</v>
      </c>
      <c r="O49" s="51">
        <v>44681</v>
      </c>
      <c r="P49" s="60">
        <v>2.3164761904761901</v>
      </c>
      <c r="R49" s="14">
        <v>38625</v>
      </c>
      <c r="S49" s="15">
        <v>6041</v>
      </c>
      <c r="T49" s="55">
        <f t="shared" si="7"/>
        <v>-379.3</v>
      </c>
      <c r="U49" s="63">
        <f t="shared" si="8"/>
        <v>5661.7</v>
      </c>
      <c r="V49" s="63">
        <f t="shared" si="15"/>
        <v>33821.17</v>
      </c>
      <c r="W49" s="64">
        <f t="shared" si="9"/>
        <v>182581</v>
      </c>
      <c r="X49" s="65">
        <f t="shared" si="16"/>
        <v>18.523926366927554</v>
      </c>
      <c r="Y49" s="64"/>
      <c r="Z49" s="70">
        <v>43465</v>
      </c>
      <c r="AA49" s="68">
        <v>3475.4594000000002</v>
      </c>
      <c r="AB49" s="68"/>
      <c r="AC49" s="71">
        <v>37986</v>
      </c>
      <c r="AD49" s="15">
        <v>139377.29999999999</v>
      </c>
      <c r="AG49" s="16"/>
      <c r="AH49" s="17"/>
      <c r="AI49" s="17"/>
      <c r="AJ49" s="17"/>
      <c r="AK49" s="17"/>
      <c r="AL49" s="17"/>
      <c r="AM49" s="17"/>
      <c r="AN49" s="17"/>
      <c r="AO49" s="17"/>
    </row>
    <row r="50" spans="1:41" x14ac:dyDescent="0.3">
      <c r="A50" s="8">
        <f t="shared" si="24"/>
        <v>44620</v>
      </c>
      <c r="B50" s="9">
        <f t="shared" si="17"/>
        <v>2.4100625</v>
      </c>
      <c r="C50" s="9">
        <f t="shared" si="18"/>
        <v>27.108857127522633</v>
      </c>
      <c r="D50" s="7">
        <f t="shared" si="19"/>
        <v>0</v>
      </c>
      <c r="E50" s="7">
        <f t="shared" si="20"/>
        <v>1</v>
      </c>
      <c r="F50" s="7">
        <f t="shared" si="21"/>
        <v>0</v>
      </c>
      <c r="G50" s="7">
        <f t="shared" si="22"/>
        <v>1</v>
      </c>
      <c r="H50" s="1">
        <f t="shared" si="11"/>
        <v>1</v>
      </c>
      <c r="I50" s="1">
        <f t="shared" si="12"/>
        <v>0</v>
      </c>
      <c r="J50" s="1">
        <f t="shared" si="13"/>
        <v>0</v>
      </c>
      <c r="K50" s="1">
        <f t="shared" si="14"/>
        <v>0</v>
      </c>
      <c r="L50" s="1" t="str">
        <f t="shared" si="23"/>
        <v>宽货币紧信用</v>
      </c>
      <c r="O50" s="51">
        <v>44651</v>
      </c>
      <c r="P50" s="60">
        <v>2.3658695652173911</v>
      </c>
      <c r="R50" s="14">
        <v>38656</v>
      </c>
      <c r="S50" s="15">
        <v>-974</v>
      </c>
      <c r="T50" s="55">
        <f t="shared" si="7"/>
        <v>731.5</v>
      </c>
      <c r="U50" s="63">
        <f t="shared" si="8"/>
        <v>-242.5</v>
      </c>
      <c r="V50" s="63">
        <f t="shared" si="15"/>
        <v>32874.57</v>
      </c>
      <c r="W50" s="64">
        <f t="shared" si="9"/>
        <v>182581</v>
      </c>
      <c r="X50" s="65">
        <f t="shared" si="16"/>
        <v>18.005471544136576</v>
      </c>
      <c r="Y50" s="64"/>
      <c r="Z50" s="70">
        <v>43434</v>
      </c>
      <c r="AA50" s="68">
        <v>-374.49220000000003</v>
      </c>
      <c r="AB50" s="68"/>
      <c r="AC50" s="71">
        <v>38077</v>
      </c>
      <c r="AD50" s="15">
        <v>144203.1</v>
      </c>
      <c r="AG50" s="16"/>
      <c r="AH50" s="17"/>
      <c r="AI50" s="17"/>
      <c r="AJ50" s="17"/>
      <c r="AK50" s="17"/>
      <c r="AL50" s="17"/>
      <c r="AM50" s="17"/>
      <c r="AN50" s="17"/>
      <c r="AO50" s="17"/>
    </row>
    <row r="51" spans="1:41" x14ac:dyDescent="0.3">
      <c r="A51" s="8">
        <f t="shared" si="24"/>
        <v>44592</v>
      </c>
      <c r="B51" s="9">
        <f t="shared" si="17"/>
        <v>2.4822380952380949</v>
      </c>
      <c r="C51" s="9">
        <f t="shared" si="18"/>
        <v>27.541034721589202</v>
      </c>
      <c r="D51" s="7">
        <f t="shared" si="19"/>
        <v>1</v>
      </c>
      <c r="E51" s="7">
        <f t="shared" si="20"/>
        <v>0</v>
      </c>
      <c r="F51" s="7">
        <f t="shared" si="21"/>
        <v>0</v>
      </c>
      <c r="G51" s="7">
        <f t="shared" si="22"/>
        <v>1</v>
      </c>
      <c r="H51" s="1">
        <f t="shared" si="11"/>
        <v>0</v>
      </c>
      <c r="I51" s="1">
        <f t="shared" si="12"/>
        <v>1</v>
      </c>
      <c r="J51" s="1">
        <f t="shared" si="13"/>
        <v>0</v>
      </c>
      <c r="K51" s="1">
        <f t="shared" si="14"/>
        <v>0</v>
      </c>
      <c r="L51" s="1" t="str">
        <f t="shared" si="23"/>
        <v>宽货币宽信用</v>
      </c>
      <c r="O51" s="51">
        <v>44620</v>
      </c>
      <c r="P51" s="60">
        <v>2.4100625</v>
      </c>
      <c r="R51" s="14">
        <v>38686</v>
      </c>
      <c r="S51" s="15">
        <v>2368</v>
      </c>
      <c r="T51" s="55">
        <f t="shared" si="7"/>
        <v>-57.5</v>
      </c>
      <c r="U51" s="63">
        <f t="shared" si="8"/>
        <v>2310.5</v>
      </c>
      <c r="V51" s="63">
        <f t="shared" si="15"/>
        <v>32875.770000000004</v>
      </c>
      <c r="W51" s="64">
        <f t="shared" si="9"/>
        <v>182581</v>
      </c>
      <c r="X51" s="65">
        <f t="shared" si="16"/>
        <v>18.006128786675504</v>
      </c>
      <c r="Y51" s="64"/>
      <c r="Z51" s="70">
        <v>43404</v>
      </c>
      <c r="AA51" s="68">
        <v>3227.7746999999999</v>
      </c>
      <c r="AB51" s="68"/>
      <c r="AC51" s="71">
        <v>38168</v>
      </c>
      <c r="AD51" s="15">
        <v>150476.70000000001</v>
      </c>
      <c r="AG51" s="16"/>
      <c r="AH51" s="17"/>
      <c r="AI51" s="17"/>
      <c r="AJ51" s="17"/>
      <c r="AK51" s="17"/>
      <c r="AL51" s="17"/>
      <c r="AM51" s="17"/>
      <c r="AN51" s="17"/>
      <c r="AO51" s="17"/>
    </row>
    <row r="52" spans="1:41" x14ac:dyDescent="0.3">
      <c r="A52" s="8">
        <f t="shared" si="24"/>
        <v>44561</v>
      </c>
      <c r="B52" s="9">
        <f t="shared" si="17"/>
        <v>2.4946956521739132</v>
      </c>
      <c r="C52" s="9">
        <f t="shared" si="18"/>
        <v>26.699766489496284</v>
      </c>
      <c r="D52" s="7">
        <f t="shared" si="19"/>
        <v>0</v>
      </c>
      <c r="E52" s="7">
        <f t="shared" si="20"/>
        <v>1</v>
      </c>
      <c r="F52" s="7">
        <f t="shared" si="21"/>
        <v>1</v>
      </c>
      <c r="G52" s="7">
        <f t="shared" si="22"/>
        <v>0</v>
      </c>
      <c r="H52" s="1">
        <f t="shared" si="11"/>
        <v>0</v>
      </c>
      <c r="I52" s="1">
        <f t="shared" si="12"/>
        <v>0</v>
      </c>
      <c r="J52" s="1">
        <f t="shared" si="13"/>
        <v>1</v>
      </c>
      <c r="K52" s="1">
        <f t="shared" si="14"/>
        <v>0</v>
      </c>
      <c r="L52" s="1" t="str">
        <f t="shared" si="23"/>
        <v>紧货币紧信用</v>
      </c>
      <c r="O52" s="51">
        <v>44592</v>
      </c>
      <c r="P52" s="60">
        <v>2.4822380952380949</v>
      </c>
      <c r="R52" s="14">
        <v>38717</v>
      </c>
      <c r="S52" s="15">
        <v>2524</v>
      </c>
      <c r="T52" s="55">
        <f t="shared" si="7"/>
        <v>654.9</v>
      </c>
      <c r="U52" s="63">
        <f t="shared" si="8"/>
        <v>3178.9</v>
      </c>
      <c r="V52" s="63">
        <f t="shared" si="15"/>
        <v>33098.700000000004</v>
      </c>
      <c r="W52" s="64">
        <f t="shared" si="9"/>
        <v>189907.5</v>
      </c>
      <c r="X52" s="65">
        <f t="shared" si="16"/>
        <v>17.42885352079302</v>
      </c>
      <c r="Y52" s="64"/>
      <c r="Z52" s="70">
        <v>43373</v>
      </c>
      <c r="AA52" s="68">
        <v>7601.7070000000103</v>
      </c>
      <c r="AB52" s="68"/>
      <c r="AC52" s="71">
        <v>38260</v>
      </c>
      <c r="AD52" s="15">
        <v>157146.4</v>
      </c>
      <c r="AG52" s="16"/>
      <c r="AH52" s="17"/>
      <c r="AI52" s="17"/>
      <c r="AJ52" s="17"/>
      <c r="AK52" s="17"/>
      <c r="AL52" s="17"/>
      <c r="AM52" s="17"/>
      <c r="AN52" s="17"/>
      <c r="AO52" s="17"/>
    </row>
    <row r="53" spans="1:41" x14ac:dyDescent="0.3">
      <c r="A53" s="8">
        <f t="shared" si="24"/>
        <v>44530</v>
      </c>
      <c r="B53" s="9">
        <f t="shared" si="17"/>
        <v>2.4658636363636361</v>
      </c>
      <c r="C53" s="9">
        <f t="shared" si="18"/>
        <v>26.802177921961441</v>
      </c>
      <c r="D53" s="7">
        <f t="shared" si="19"/>
        <v>1</v>
      </c>
      <c r="E53" s="7">
        <f t="shared" si="20"/>
        <v>0</v>
      </c>
      <c r="F53" s="7">
        <f t="shared" si="21"/>
        <v>1</v>
      </c>
      <c r="G53" s="7">
        <f t="shared" si="22"/>
        <v>0</v>
      </c>
      <c r="H53" s="1">
        <f t="shared" si="11"/>
        <v>0</v>
      </c>
      <c r="I53" s="1">
        <f t="shared" si="12"/>
        <v>0</v>
      </c>
      <c r="J53" s="1">
        <f t="shared" si="13"/>
        <v>0</v>
      </c>
      <c r="K53" s="1">
        <f t="shared" si="14"/>
        <v>1</v>
      </c>
      <c r="L53" s="1" t="str">
        <f t="shared" si="23"/>
        <v>紧货币宽信用</v>
      </c>
      <c r="O53" s="51">
        <v>44561</v>
      </c>
      <c r="P53" s="60">
        <v>2.4946956521739132</v>
      </c>
      <c r="R53" s="14">
        <v>38748</v>
      </c>
      <c r="S53" s="15">
        <v>6323</v>
      </c>
      <c r="T53" s="55">
        <f t="shared" si="7"/>
        <v>0</v>
      </c>
      <c r="U53" s="63">
        <f t="shared" si="8"/>
        <v>6323</v>
      </c>
      <c r="V53" s="63">
        <f t="shared" si="15"/>
        <v>35801.700000000004</v>
      </c>
      <c r="W53" s="64">
        <f t="shared" si="9"/>
        <v>189907.5</v>
      </c>
      <c r="X53" s="65">
        <f t="shared" si="16"/>
        <v>18.85217803404289</v>
      </c>
      <c r="Y53" s="64"/>
      <c r="Z53" s="70">
        <v>43343</v>
      </c>
      <c r="AA53" s="68">
        <v>9265.4159</v>
      </c>
      <c r="AB53" s="68"/>
      <c r="AC53" s="71">
        <v>38352</v>
      </c>
      <c r="AD53" s="15">
        <v>164227.9</v>
      </c>
      <c r="AG53" s="16"/>
      <c r="AH53" s="17"/>
      <c r="AI53" s="17"/>
      <c r="AJ53" s="17"/>
      <c r="AK53" s="17"/>
      <c r="AL53" s="17"/>
      <c r="AM53" s="17"/>
      <c r="AN53" s="17"/>
      <c r="AO53" s="17"/>
    </row>
    <row r="54" spans="1:41" x14ac:dyDescent="0.3">
      <c r="A54" s="8">
        <f t="shared" si="24"/>
        <v>44500</v>
      </c>
      <c r="B54" s="9">
        <f t="shared" si="17"/>
        <v>2.4317176470588242</v>
      </c>
      <c r="C54" s="9">
        <f t="shared" si="18"/>
        <v>26.397219190038783</v>
      </c>
      <c r="D54" s="7">
        <f t="shared" si="19"/>
        <v>1</v>
      </c>
      <c r="E54" s="7">
        <f t="shared" si="20"/>
        <v>0</v>
      </c>
      <c r="F54" s="7">
        <f t="shared" si="21"/>
        <v>1</v>
      </c>
      <c r="G54" s="7">
        <f t="shared" si="22"/>
        <v>0</v>
      </c>
      <c r="H54" s="1">
        <f t="shared" si="11"/>
        <v>0</v>
      </c>
      <c r="I54" s="1">
        <f t="shared" si="12"/>
        <v>0</v>
      </c>
      <c r="J54" s="1">
        <f t="shared" si="13"/>
        <v>0</v>
      </c>
      <c r="K54" s="1">
        <f t="shared" si="14"/>
        <v>1</v>
      </c>
      <c r="L54" s="1" t="str">
        <f t="shared" si="23"/>
        <v>紧货币宽信用</v>
      </c>
      <c r="O54" s="51">
        <v>44530</v>
      </c>
      <c r="P54" s="60">
        <v>2.4658636363636361</v>
      </c>
      <c r="R54" s="14">
        <v>38776</v>
      </c>
      <c r="S54" s="15">
        <v>1737</v>
      </c>
      <c r="T54" s="55">
        <f t="shared" si="7"/>
        <v>-150</v>
      </c>
      <c r="U54" s="63">
        <f t="shared" si="8"/>
        <v>1587</v>
      </c>
      <c r="V54" s="63">
        <f t="shared" si="15"/>
        <v>36517.9</v>
      </c>
      <c r="W54" s="64">
        <f t="shared" si="9"/>
        <v>189907.5</v>
      </c>
      <c r="X54" s="65">
        <f t="shared" si="16"/>
        <v>19.229309005700141</v>
      </c>
      <c r="Y54" s="64"/>
      <c r="Z54" s="70">
        <v>43312</v>
      </c>
      <c r="AA54" s="68">
        <v>8503.4125999999997</v>
      </c>
      <c r="AB54" s="68"/>
      <c r="AC54" s="71">
        <v>38442</v>
      </c>
      <c r="AD54" s="15">
        <v>170199.3</v>
      </c>
      <c r="AG54" s="16"/>
      <c r="AH54" s="17"/>
      <c r="AI54" s="17"/>
      <c r="AJ54" s="17"/>
      <c r="AK54" s="17"/>
      <c r="AL54" s="17"/>
      <c r="AM54" s="17"/>
      <c r="AN54" s="17"/>
      <c r="AO54" s="17"/>
    </row>
    <row r="55" spans="1:41" x14ac:dyDescent="0.3">
      <c r="A55" s="8">
        <f t="shared" si="24"/>
        <v>44469</v>
      </c>
      <c r="B55" s="9">
        <f t="shared" si="17"/>
        <v>2.3775454545454551</v>
      </c>
      <c r="C55" s="9">
        <f t="shared" si="18"/>
        <v>26.20060245049034</v>
      </c>
      <c r="D55" s="7">
        <f t="shared" si="19"/>
        <v>0</v>
      </c>
      <c r="E55" s="7">
        <f t="shared" si="20"/>
        <v>1</v>
      </c>
      <c r="F55" s="7">
        <f t="shared" si="21"/>
        <v>1</v>
      </c>
      <c r="G55" s="7">
        <f t="shared" si="22"/>
        <v>0</v>
      </c>
      <c r="H55" s="1">
        <f t="shared" si="11"/>
        <v>0</v>
      </c>
      <c r="I55" s="1">
        <f t="shared" si="12"/>
        <v>0</v>
      </c>
      <c r="J55" s="1">
        <f t="shared" si="13"/>
        <v>1</v>
      </c>
      <c r="K55" s="1">
        <f t="shared" si="14"/>
        <v>0</v>
      </c>
      <c r="L55" s="1" t="str">
        <f t="shared" si="23"/>
        <v>紧货币紧信用</v>
      </c>
      <c r="O55" s="51">
        <v>44500</v>
      </c>
      <c r="P55" s="60">
        <v>2.4317176470588242</v>
      </c>
      <c r="R55" s="14">
        <v>38807</v>
      </c>
      <c r="S55" s="15">
        <v>7472</v>
      </c>
      <c r="T55" s="55">
        <f t="shared" si="7"/>
        <v>439</v>
      </c>
      <c r="U55" s="63">
        <f t="shared" si="8"/>
        <v>7911</v>
      </c>
      <c r="V55" s="63">
        <f t="shared" si="15"/>
        <v>40441.5</v>
      </c>
      <c r="W55" s="64">
        <f t="shared" si="9"/>
        <v>196660</v>
      </c>
      <c r="X55" s="65">
        <f t="shared" si="16"/>
        <v>20.564171666836163</v>
      </c>
      <c r="Y55" s="64"/>
      <c r="Z55" s="70">
        <v>43281</v>
      </c>
      <c r="AA55" s="68">
        <v>5718.9377000000004</v>
      </c>
      <c r="AB55" s="68"/>
      <c r="AC55" s="71">
        <v>38533</v>
      </c>
      <c r="AD55" s="15">
        <v>176347.3</v>
      </c>
      <c r="AG55" s="16"/>
      <c r="AH55" s="17"/>
      <c r="AI55" s="17"/>
      <c r="AJ55" s="17"/>
      <c r="AK55" s="17"/>
      <c r="AL55" s="17"/>
      <c r="AM55" s="17"/>
      <c r="AN55" s="17"/>
      <c r="AO55" s="17"/>
    </row>
    <row r="56" spans="1:41" x14ac:dyDescent="0.3">
      <c r="A56" s="8">
        <f t="shared" si="24"/>
        <v>44439</v>
      </c>
      <c r="B56" s="9">
        <f t="shared" si="17"/>
        <v>2.3626818181818181</v>
      </c>
      <c r="C56" s="9">
        <f t="shared" si="18"/>
        <v>27.36825033226263</v>
      </c>
      <c r="D56" s="7">
        <f t="shared" si="19"/>
        <v>0</v>
      </c>
      <c r="E56" s="7">
        <f t="shared" si="20"/>
        <v>1</v>
      </c>
      <c r="F56" s="7">
        <f t="shared" si="21"/>
        <v>0</v>
      </c>
      <c r="G56" s="7">
        <f t="shared" si="22"/>
        <v>1</v>
      </c>
      <c r="H56" s="1">
        <f t="shared" si="11"/>
        <v>1</v>
      </c>
      <c r="I56" s="1">
        <f t="shared" si="12"/>
        <v>0</v>
      </c>
      <c r="J56" s="1">
        <f t="shared" si="13"/>
        <v>0</v>
      </c>
      <c r="K56" s="1">
        <f t="shared" si="14"/>
        <v>0</v>
      </c>
      <c r="L56" s="1" t="str">
        <f t="shared" si="23"/>
        <v>宽货币紧信用</v>
      </c>
      <c r="O56" s="51">
        <v>44469</v>
      </c>
      <c r="P56" s="60">
        <v>2.3775454545454551</v>
      </c>
      <c r="R56" s="14">
        <v>38837</v>
      </c>
      <c r="S56" s="15">
        <v>3325</v>
      </c>
      <c r="T56" s="55">
        <f t="shared" si="7"/>
        <v>259.60000000000002</v>
      </c>
      <c r="U56" s="63">
        <f t="shared" si="8"/>
        <v>3584.6</v>
      </c>
      <c r="V56" s="63">
        <f t="shared" si="15"/>
        <v>41343.200000000004</v>
      </c>
      <c r="W56" s="64">
        <f t="shared" si="9"/>
        <v>196660</v>
      </c>
      <c r="X56" s="65">
        <f t="shared" si="16"/>
        <v>21.022678734872372</v>
      </c>
      <c r="Y56" s="64"/>
      <c r="Z56" s="70">
        <v>43251</v>
      </c>
      <c r="AA56" s="68">
        <v>3095.7674999999999</v>
      </c>
      <c r="AB56" s="68"/>
      <c r="AC56" s="71">
        <v>38625</v>
      </c>
      <c r="AD56" s="15">
        <v>182581</v>
      </c>
      <c r="AG56" s="16"/>
      <c r="AH56" s="17"/>
      <c r="AI56" s="17"/>
      <c r="AJ56" s="17"/>
      <c r="AK56" s="17"/>
      <c r="AL56" s="17"/>
      <c r="AM56" s="17"/>
      <c r="AN56" s="17"/>
      <c r="AO56" s="17"/>
    </row>
    <row r="57" spans="1:41" x14ac:dyDescent="0.3">
      <c r="A57" s="8">
        <f t="shared" si="24"/>
        <v>44408</v>
      </c>
      <c r="B57" s="9">
        <f t="shared" si="17"/>
        <v>2.4178636363636361</v>
      </c>
      <c r="C57" s="9">
        <f t="shared" si="18"/>
        <v>27.902884585023351</v>
      </c>
      <c r="D57" s="7">
        <f t="shared" si="19"/>
        <v>0</v>
      </c>
      <c r="E57" s="7">
        <f t="shared" si="20"/>
        <v>1</v>
      </c>
      <c r="F57" s="7">
        <f t="shared" si="21"/>
        <v>0</v>
      </c>
      <c r="G57" s="7">
        <f t="shared" si="22"/>
        <v>1</v>
      </c>
      <c r="H57" s="1">
        <f t="shared" si="11"/>
        <v>1</v>
      </c>
      <c r="I57" s="1">
        <f t="shared" si="12"/>
        <v>0</v>
      </c>
      <c r="J57" s="1">
        <f t="shared" si="13"/>
        <v>0</v>
      </c>
      <c r="K57" s="1">
        <f t="shared" si="14"/>
        <v>0</v>
      </c>
      <c r="L57" s="1" t="str">
        <f t="shared" si="23"/>
        <v>宽货币紧信用</v>
      </c>
      <c r="O57" s="51">
        <v>44439</v>
      </c>
      <c r="P57" s="60">
        <v>2.3626818181818181</v>
      </c>
      <c r="R57" s="14">
        <v>38868</v>
      </c>
      <c r="S57" s="15">
        <v>3785</v>
      </c>
      <c r="T57" s="55">
        <f t="shared" si="7"/>
        <v>463.6</v>
      </c>
      <c r="U57" s="63">
        <f t="shared" si="8"/>
        <v>4248.6000000000004</v>
      </c>
      <c r="V57" s="63">
        <f t="shared" si="15"/>
        <v>43050.3</v>
      </c>
      <c r="W57" s="64">
        <f t="shared" si="9"/>
        <v>196660</v>
      </c>
      <c r="X57" s="65">
        <f t="shared" si="16"/>
        <v>21.890725109325743</v>
      </c>
      <c r="Y57" s="64"/>
      <c r="Z57" s="70">
        <v>43220</v>
      </c>
      <c r="AA57" s="68">
        <v>5278.3784999999998</v>
      </c>
      <c r="AB57" s="68"/>
      <c r="AC57" s="71">
        <v>38717</v>
      </c>
      <c r="AD57" s="15">
        <v>189907.5</v>
      </c>
      <c r="AG57" s="16"/>
      <c r="AH57" s="17"/>
      <c r="AI57" s="17"/>
      <c r="AJ57" s="17"/>
      <c r="AK57" s="17"/>
      <c r="AL57" s="17"/>
      <c r="AM57" s="17"/>
      <c r="AN57" s="17"/>
      <c r="AO57" s="17"/>
    </row>
    <row r="58" spans="1:41" x14ac:dyDescent="0.3">
      <c r="A58" s="8">
        <f t="shared" si="24"/>
        <v>44377</v>
      </c>
      <c r="B58" s="9">
        <f t="shared" si="17"/>
        <v>2.4500000000000002</v>
      </c>
      <c r="C58" s="9">
        <f t="shared" si="18"/>
        <v>28.456894844259967</v>
      </c>
      <c r="D58" s="7">
        <f t="shared" si="19"/>
        <v>0</v>
      </c>
      <c r="E58" s="7">
        <f t="shared" si="20"/>
        <v>1</v>
      </c>
      <c r="F58" s="7">
        <f t="shared" si="21"/>
        <v>0</v>
      </c>
      <c r="G58" s="7">
        <f t="shared" si="22"/>
        <v>1</v>
      </c>
      <c r="H58" s="1">
        <f t="shared" si="11"/>
        <v>1</v>
      </c>
      <c r="I58" s="1">
        <f t="shared" si="12"/>
        <v>0</v>
      </c>
      <c r="J58" s="1">
        <f t="shared" si="13"/>
        <v>0</v>
      </c>
      <c r="K58" s="1">
        <f t="shared" si="14"/>
        <v>0</v>
      </c>
      <c r="L58" s="1" t="str">
        <f t="shared" si="23"/>
        <v>宽货币紧信用</v>
      </c>
      <c r="O58" s="51">
        <v>44408</v>
      </c>
      <c r="P58" s="60">
        <v>2.4178636363636361</v>
      </c>
      <c r="R58" s="14">
        <v>38898</v>
      </c>
      <c r="S58" s="15">
        <v>3843</v>
      </c>
      <c r="T58" s="55">
        <f t="shared" si="7"/>
        <v>-891.8</v>
      </c>
      <c r="U58" s="63">
        <f t="shared" si="8"/>
        <v>2951.2</v>
      </c>
      <c r="V58" s="63">
        <f t="shared" si="15"/>
        <v>41384.699999999997</v>
      </c>
      <c r="W58" s="64">
        <f t="shared" si="9"/>
        <v>204675.5</v>
      </c>
      <c r="X58" s="65">
        <f t="shared" si="16"/>
        <v>20.219664786454654</v>
      </c>
      <c r="Y58" s="64"/>
      <c r="Z58" s="70">
        <v>43190</v>
      </c>
      <c r="AA58" s="68">
        <v>1622.9275</v>
      </c>
      <c r="AB58" s="68"/>
      <c r="AC58" s="71">
        <v>38807</v>
      </c>
      <c r="AD58" s="15">
        <v>196660</v>
      </c>
      <c r="AG58" s="16"/>
      <c r="AH58" s="17"/>
      <c r="AI58" s="17"/>
      <c r="AJ58" s="17"/>
      <c r="AK58" s="17"/>
      <c r="AL58" s="17"/>
      <c r="AM58" s="17"/>
      <c r="AN58" s="17"/>
      <c r="AO58" s="17"/>
    </row>
    <row r="59" spans="1:41" x14ac:dyDescent="0.3">
      <c r="A59" s="8">
        <f t="shared" si="24"/>
        <v>44347</v>
      </c>
      <c r="B59" s="9">
        <f t="shared" si="17"/>
        <v>2.5134210526315788</v>
      </c>
      <c r="C59" s="9">
        <f t="shared" si="18"/>
        <v>29.150246109332308</v>
      </c>
      <c r="D59" s="7">
        <f t="shared" si="19"/>
        <v>0</v>
      </c>
      <c r="E59" s="7">
        <f t="shared" si="20"/>
        <v>1</v>
      </c>
      <c r="F59" s="7">
        <f t="shared" si="21"/>
        <v>0</v>
      </c>
      <c r="G59" s="7">
        <f t="shared" si="22"/>
        <v>1</v>
      </c>
      <c r="H59" s="1">
        <f t="shared" si="11"/>
        <v>1</v>
      </c>
      <c r="I59" s="1">
        <f t="shared" si="12"/>
        <v>0</v>
      </c>
      <c r="J59" s="1">
        <f t="shared" si="13"/>
        <v>0</v>
      </c>
      <c r="K59" s="1">
        <f t="shared" si="14"/>
        <v>0</v>
      </c>
      <c r="L59" s="1" t="str">
        <f t="shared" si="23"/>
        <v>宽货币紧信用</v>
      </c>
      <c r="O59" s="51">
        <v>44377</v>
      </c>
      <c r="P59" s="60">
        <v>2.4500000000000002</v>
      </c>
      <c r="R59" s="14">
        <v>38929</v>
      </c>
      <c r="S59" s="15">
        <v>2254</v>
      </c>
      <c r="T59" s="55">
        <f t="shared" si="7"/>
        <v>569.79999999999995</v>
      </c>
      <c r="U59" s="63">
        <f t="shared" si="8"/>
        <v>2823.8</v>
      </c>
      <c r="V59" s="63">
        <f t="shared" si="15"/>
        <v>43378.7</v>
      </c>
      <c r="W59" s="64">
        <f t="shared" si="9"/>
        <v>204675.5</v>
      </c>
      <c r="X59" s="65">
        <f t="shared" si="16"/>
        <v>21.193889840259335</v>
      </c>
      <c r="Y59" s="64"/>
      <c r="Z59" s="70">
        <v>43159</v>
      </c>
      <c r="AA59" s="68">
        <v>65.610200000000106</v>
      </c>
      <c r="AB59" s="68"/>
      <c r="AC59" s="71">
        <v>38898</v>
      </c>
      <c r="AD59" s="15">
        <v>204675.5</v>
      </c>
      <c r="AG59" s="16"/>
      <c r="AH59" s="17"/>
      <c r="AI59" s="17"/>
      <c r="AJ59" s="17"/>
      <c r="AK59" s="17"/>
      <c r="AL59" s="17"/>
      <c r="AM59" s="17"/>
      <c r="AN59" s="17"/>
      <c r="AO59" s="17"/>
    </row>
    <row r="60" spans="1:41" x14ac:dyDescent="0.3">
      <c r="A60" s="8">
        <f t="shared" si="24"/>
        <v>44316</v>
      </c>
      <c r="B60" s="9">
        <f t="shared" si="17"/>
        <v>2.6046363636363639</v>
      </c>
      <c r="C60" s="9">
        <f t="shared" si="18"/>
        <v>30.292942866273005</v>
      </c>
      <c r="D60" s="7">
        <f t="shared" si="19"/>
        <v>0</v>
      </c>
      <c r="E60" s="7">
        <f t="shared" si="20"/>
        <v>1</v>
      </c>
      <c r="F60" s="7">
        <f t="shared" si="21"/>
        <v>0</v>
      </c>
      <c r="G60" s="7">
        <f t="shared" si="22"/>
        <v>1</v>
      </c>
      <c r="H60" s="1">
        <f t="shared" si="11"/>
        <v>1</v>
      </c>
      <c r="I60" s="1">
        <f t="shared" si="12"/>
        <v>0</v>
      </c>
      <c r="J60" s="1">
        <f t="shared" si="13"/>
        <v>0</v>
      </c>
      <c r="K60" s="1">
        <f t="shared" si="14"/>
        <v>0</v>
      </c>
      <c r="L60" s="1" t="str">
        <f t="shared" si="23"/>
        <v>宽货币紧信用</v>
      </c>
      <c r="O60" s="51">
        <v>44347</v>
      </c>
      <c r="P60" s="60">
        <v>2.5134210526315788</v>
      </c>
      <c r="R60" s="14">
        <v>38960</v>
      </c>
      <c r="S60" s="15">
        <v>3362</v>
      </c>
      <c r="T60" s="55">
        <f t="shared" si="7"/>
        <v>551.07000000000005</v>
      </c>
      <c r="U60" s="63">
        <f t="shared" si="8"/>
        <v>3913.07</v>
      </c>
      <c r="V60" s="63">
        <f t="shared" si="15"/>
        <v>44250.869999999995</v>
      </c>
      <c r="W60" s="64">
        <f t="shared" si="9"/>
        <v>204675.5</v>
      </c>
      <c r="X60" s="65">
        <f t="shared" si="16"/>
        <v>21.620013142755237</v>
      </c>
      <c r="Y60" s="64"/>
      <c r="Z60" s="70">
        <v>43131</v>
      </c>
      <c r="AA60" s="68">
        <v>244.3</v>
      </c>
      <c r="AB60" s="68"/>
      <c r="AC60" s="71">
        <v>38990</v>
      </c>
      <c r="AD60" s="15">
        <v>212814.3</v>
      </c>
      <c r="AG60" s="16"/>
      <c r="AH60" s="17"/>
      <c r="AI60" s="17"/>
      <c r="AJ60" s="17"/>
      <c r="AK60" s="17"/>
      <c r="AL60" s="17"/>
      <c r="AM60" s="17"/>
      <c r="AN60" s="17"/>
      <c r="AO60" s="17"/>
    </row>
    <row r="61" spans="1:41" x14ac:dyDescent="0.3">
      <c r="A61" s="8">
        <f t="shared" si="24"/>
        <v>44286</v>
      </c>
      <c r="B61" s="9">
        <f t="shared" si="17"/>
        <v>2.715369565217391</v>
      </c>
      <c r="C61" s="9">
        <f t="shared" si="18"/>
        <v>31.446100149261518</v>
      </c>
      <c r="D61" s="7">
        <f t="shared" si="19"/>
        <v>0</v>
      </c>
      <c r="E61" s="7">
        <f t="shared" si="20"/>
        <v>1</v>
      </c>
      <c r="F61" s="7">
        <f t="shared" si="21"/>
        <v>0</v>
      </c>
      <c r="G61" s="7">
        <f t="shared" si="22"/>
        <v>1</v>
      </c>
      <c r="H61" s="1">
        <f t="shared" si="11"/>
        <v>1</v>
      </c>
      <c r="I61" s="1">
        <f t="shared" si="12"/>
        <v>0</v>
      </c>
      <c r="J61" s="1">
        <f t="shared" si="13"/>
        <v>0</v>
      </c>
      <c r="K61" s="1">
        <f t="shared" si="14"/>
        <v>0</v>
      </c>
      <c r="L61" s="1" t="str">
        <f t="shared" si="23"/>
        <v>宽货币紧信用</v>
      </c>
      <c r="O61" s="51">
        <v>44316</v>
      </c>
      <c r="P61" s="60">
        <v>2.6046363636363639</v>
      </c>
      <c r="R61" s="14">
        <v>38990</v>
      </c>
      <c r="S61" s="15">
        <v>3077</v>
      </c>
      <c r="T61" s="55">
        <f t="shared" si="7"/>
        <v>74.399999999999906</v>
      </c>
      <c r="U61" s="63">
        <f t="shared" si="8"/>
        <v>3151.4</v>
      </c>
      <c r="V61" s="63">
        <f t="shared" si="15"/>
        <v>41740.57</v>
      </c>
      <c r="W61" s="64">
        <f t="shared" si="9"/>
        <v>212814.3</v>
      </c>
      <c r="X61" s="65">
        <f t="shared" si="16"/>
        <v>19.613611491333057</v>
      </c>
      <c r="Y61" s="64"/>
      <c r="Z61" s="70">
        <v>43100</v>
      </c>
      <c r="AA61" s="68">
        <v>2008.51</v>
      </c>
      <c r="AB61" s="68"/>
      <c r="AC61" s="71">
        <v>39082</v>
      </c>
      <c r="AD61" s="15">
        <v>222578.3</v>
      </c>
      <c r="AG61" s="16"/>
      <c r="AH61" s="17"/>
      <c r="AI61" s="17"/>
      <c r="AJ61" s="17"/>
      <c r="AK61" s="17"/>
      <c r="AL61" s="17"/>
      <c r="AM61" s="17"/>
      <c r="AN61" s="17"/>
      <c r="AO61" s="17"/>
    </row>
    <row r="62" spans="1:41" x14ac:dyDescent="0.3">
      <c r="A62" s="8">
        <f t="shared" si="24"/>
        <v>44255</v>
      </c>
      <c r="B62" s="9">
        <f t="shared" si="17"/>
        <v>2.8085882352941178</v>
      </c>
      <c r="C62" s="9">
        <f t="shared" si="18"/>
        <v>34.571865480363428</v>
      </c>
      <c r="D62" s="7">
        <f t="shared" si="19"/>
        <v>1</v>
      </c>
      <c r="E62" s="7">
        <f t="shared" si="20"/>
        <v>0</v>
      </c>
      <c r="F62" s="7">
        <f t="shared" si="21"/>
        <v>1</v>
      </c>
      <c r="G62" s="7">
        <f t="shared" si="22"/>
        <v>0</v>
      </c>
      <c r="H62" s="1">
        <f t="shared" si="11"/>
        <v>0</v>
      </c>
      <c r="I62" s="1">
        <f t="shared" si="12"/>
        <v>0</v>
      </c>
      <c r="J62" s="1">
        <f t="shared" si="13"/>
        <v>0</v>
      </c>
      <c r="K62" s="1">
        <f t="shared" si="14"/>
        <v>1</v>
      </c>
      <c r="L62" s="1" t="str">
        <f t="shared" si="23"/>
        <v>紧货币宽信用</v>
      </c>
      <c r="O62" s="51">
        <v>44286</v>
      </c>
      <c r="P62" s="60">
        <v>2.715369565217391</v>
      </c>
      <c r="R62" s="14">
        <v>39021</v>
      </c>
      <c r="S62" s="15">
        <v>894</v>
      </c>
      <c r="T62" s="55">
        <f t="shared" si="7"/>
        <v>860.6</v>
      </c>
      <c r="U62" s="63">
        <f t="shared" si="8"/>
        <v>1754.6</v>
      </c>
      <c r="V62" s="63">
        <f t="shared" si="15"/>
        <v>43737.67</v>
      </c>
      <c r="W62" s="64">
        <f t="shared" si="9"/>
        <v>212814.3</v>
      </c>
      <c r="X62" s="65">
        <f t="shared" si="16"/>
        <v>20.552035272065837</v>
      </c>
      <c r="Y62" s="64"/>
      <c r="Z62" s="70">
        <v>43069</v>
      </c>
      <c r="AA62" s="68">
        <v>6015.1720999999998</v>
      </c>
      <c r="AB62" s="68"/>
      <c r="AC62" s="71">
        <v>39172</v>
      </c>
      <c r="AD62" s="15">
        <v>232827.2</v>
      </c>
      <c r="AG62" s="16"/>
      <c r="AH62" s="17"/>
      <c r="AI62" s="17"/>
      <c r="AJ62" s="17"/>
      <c r="AK62" s="17"/>
      <c r="AL62" s="17"/>
      <c r="AM62" s="17"/>
      <c r="AN62" s="17"/>
      <c r="AO62" s="17"/>
    </row>
    <row r="63" spans="1:41" x14ac:dyDescent="0.3">
      <c r="A63" s="8">
        <f t="shared" si="24"/>
        <v>44227</v>
      </c>
      <c r="B63" s="9">
        <f t="shared" si="17"/>
        <v>2.6309</v>
      </c>
      <c r="C63" s="9">
        <f t="shared" si="18"/>
        <v>33.749924507243676</v>
      </c>
      <c r="D63" s="7">
        <f t="shared" si="19"/>
        <v>1</v>
      </c>
      <c r="E63" s="7">
        <f t="shared" si="20"/>
        <v>0</v>
      </c>
      <c r="F63" s="7">
        <f t="shared" si="21"/>
        <v>0</v>
      </c>
      <c r="G63" s="7">
        <f t="shared" si="22"/>
        <v>1</v>
      </c>
      <c r="H63" s="1">
        <f t="shared" si="11"/>
        <v>0</v>
      </c>
      <c r="I63" s="1">
        <f t="shared" si="12"/>
        <v>1</v>
      </c>
      <c r="J63" s="1">
        <f t="shared" si="13"/>
        <v>0</v>
      </c>
      <c r="K63" s="1">
        <f t="shared" si="14"/>
        <v>0</v>
      </c>
      <c r="L63" s="1" t="str">
        <f t="shared" si="23"/>
        <v>宽货币宽信用</v>
      </c>
      <c r="O63" s="51">
        <v>44255</v>
      </c>
      <c r="P63" s="60">
        <v>2.8085882352941178</v>
      </c>
      <c r="R63" s="14">
        <v>39051</v>
      </c>
      <c r="S63" s="15">
        <v>2788</v>
      </c>
      <c r="T63" s="55">
        <f t="shared" si="7"/>
        <v>435.9</v>
      </c>
      <c r="U63" s="63">
        <f t="shared" si="8"/>
        <v>3223.9</v>
      </c>
      <c r="V63" s="63">
        <f t="shared" si="15"/>
        <v>44651.07</v>
      </c>
      <c r="W63" s="64">
        <f t="shared" si="9"/>
        <v>212814.3</v>
      </c>
      <c r="X63" s="65">
        <f t="shared" si="16"/>
        <v>20.981235753424464</v>
      </c>
      <c r="Y63" s="64"/>
      <c r="Z63" s="70">
        <v>43039</v>
      </c>
      <c r="AA63" s="68">
        <v>5891.9395000000004</v>
      </c>
      <c r="AB63" s="68"/>
      <c r="AC63" s="71">
        <v>39263</v>
      </c>
      <c r="AD63" s="15">
        <v>245162.9</v>
      </c>
      <c r="AG63" s="16"/>
      <c r="AH63" s="17"/>
      <c r="AI63" s="17"/>
      <c r="AJ63" s="17"/>
      <c r="AK63" s="17"/>
      <c r="AL63" s="17"/>
      <c r="AM63" s="17"/>
      <c r="AN63" s="17"/>
      <c r="AO63" s="17"/>
    </row>
    <row r="64" spans="1:41" x14ac:dyDescent="0.3">
      <c r="A64" s="8">
        <f t="shared" si="24"/>
        <v>44196</v>
      </c>
      <c r="B64" s="9">
        <f t="shared" si="17"/>
        <v>2.925652173913043</v>
      </c>
      <c r="C64" s="9">
        <f t="shared" si="18"/>
        <v>33.619569655052459</v>
      </c>
      <c r="D64" s="7">
        <f t="shared" si="19"/>
        <v>0</v>
      </c>
      <c r="E64" s="7">
        <f t="shared" si="20"/>
        <v>1</v>
      </c>
      <c r="F64" s="7">
        <f t="shared" si="21"/>
        <v>0</v>
      </c>
      <c r="G64" s="7">
        <f t="shared" si="22"/>
        <v>1</v>
      </c>
      <c r="H64" s="1">
        <f t="shared" si="11"/>
        <v>1</v>
      </c>
      <c r="I64" s="1">
        <f t="shared" si="12"/>
        <v>0</v>
      </c>
      <c r="J64" s="1">
        <f t="shared" si="13"/>
        <v>0</v>
      </c>
      <c r="K64" s="1">
        <f t="shared" si="14"/>
        <v>0</v>
      </c>
      <c r="L64" s="1" t="str">
        <f t="shared" si="23"/>
        <v>宽货币紧信用</v>
      </c>
      <c r="O64" s="51">
        <v>44227</v>
      </c>
      <c r="P64" s="60">
        <v>2.6309</v>
      </c>
      <c r="R64" s="14">
        <v>39082</v>
      </c>
      <c r="S64" s="15">
        <v>3837</v>
      </c>
      <c r="T64" s="55">
        <f t="shared" si="7"/>
        <v>-296.60000000000002</v>
      </c>
      <c r="U64" s="63">
        <f t="shared" si="8"/>
        <v>3540.4</v>
      </c>
      <c r="V64" s="63">
        <f t="shared" si="15"/>
        <v>45012.57</v>
      </c>
      <c r="W64" s="64">
        <f t="shared" si="9"/>
        <v>222578.3</v>
      </c>
      <c r="X64" s="65">
        <f t="shared" si="16"/>
        <v>20.2232517725223</v>
      </c>
      <c r="Y64" s="64"/>
      <c r="Z64" s="70">
        <v>43008</v>
      </c>
      <c r="AA64" s="68">
        <v>4908.3056999999999</v>
      </c>
      <c r="AB64" s="68"/>
      <c r="AC64" s="71">
        <v>39355</v>
      </c>
      <c r="AD64" s="15">
        <v>258836.5</v>
      </c>
      <c r="AG64" s="16"/>
      <c r="AH64" s="17"/>
      <c r="AI64" s="17"/>
      <c r="AJ64" s="17"/>
      <c r="AK64" s="17"/>
      <c r="AL64" s="17"/>
      <c r="AM64" s="17"/>
      <c r="AN64" s="17"/>
      <c r="AO64" s="17"/>
    </row>
    <row r="65" spans="1:41" x14ac:dyDescent="0.3">
      <c r="A65" s="8">
        <f t="shared" si="24"/>
        <v>44165</v>
      </c>
      <c r="B65" s="9">
        <f t="shared" si="17"/>
        <v>3.027857142857143</v>
      </c>
      <c r="C65" s="9">
        <f t="shared" si="18"/>
        <v>34.815170945537908</v>
      </c>
      <c r="D65" s="7">
        <f t="shared" si="19"/>
        <v>1</v>
      </c>
      <c r="E65" s="7">
        <f t="shared" si="20"/>
        <v>0</v>
      </c>
      <c r="F65" s="7">
        <f t="shared" si="21"/>
        <v>1</v>
      </c>
      <c r="G65" s="7">
        <f t="shared" si="22"/>
        <v>0</v>
      </c>
      <c r="H65" s="1">
        <f t="shared" si="11"/>
        <v>0</v>
      </c>
      <c r="I65" s="1">
        <f t="shared" si="12"/>
        <v>0</v>
      </c>
      <c r="J65" s="1">
        <f t="shared" si="13"/>
        <v>0</v>
      </c>
      <c r="K65" s="1">
        <f t="shared" si="14"/>
        <v>1</v>
      </c>
      <c r="L65" s="1" t="str">
        <f t="shared" si="23"/>
        <v>紧货币宽信用</v>
      </c>
      <c r="O65" s="51">
        <v>44196</v>
      </c>
      <c r="P65" s="60">
        <v>2.925652173913043</v>
      </c>
      <c r="R65" s="14">
        <v>39113</v>
      </c>
      <c r="S65" s="15">
        <v>6908</v>
      </c>
      <c r="T65" s="55">
        <f t="shared" si="7"/>
        <v>-300</v>
      </c>
      <c r="U65" s="63">
        <f t="shared" si="8"/>
        <v>6608</v>
      </c>
      <c r="V65" s="63">
        <f t="shared" si="15"/>
        <v>45297.57</v>
      </c>
      <c r="W65" s="64">
        <f t="shared" si="9"/>
        <v>222578.3</v>
      </c>
      <c r="X65" s="65">
        <f t="shared" si="16"/>
        <v>20.351296599893161</v>
      </c>
      <c r="Y65" s="64"/>
      <c r="Z65" s="70">
        <v>42978</v>
      </c>
      <c r="AA65" s="68">
        <v>4849.2963</v>
      </c>
      <c r="AB65" s="68"/>
      <c r="AC65" s="71">
        <v>39447</v>
      </c>
      <c r="AD65" s="15">
        <v>274179.7</v>
      </c>
      <c r="AG65" s="16"/>
      <c r="AH65" s="17"/>
      <c r="AI65" s="17"/>
      <c r="AJ65" s="17"/>
      <c r="AK65" s="17"/>
      <c r="AL65" s="17"/>
      <c r="AM65" s="17"/>
      <c r="AN65" s="17"/>
      <c r="AO65" s="17"/>
    </row>
    <row r="66" spans="1:41" x14ac:dyDescent="0.3">
      <c r="A66" s="8">
        <f t="shared" si="24"/>
        <v>44135</v>
      </c>
      <c r="B66" s="9">
        <f t="shared" si="17"/>
        <v>2.834411764705882</v>
      </c>
      <c r="C66" s="9">
        <f t="shared" si="18"/>
        <v>34.675490282375662</v>
      </c>
      <c r="D66" s="7">
        <f t="shared" si="19"/>
        <v>1</v>
      </c>
      <c r="E66" s="7">
        <f t="shared" si="20"/>
        <v>0</v>
      </c>
      <c r="F66" s="7">
        <f t="shared" si="21"/>
        <v>1</v>
      </c>
      <c r="G66" s="7">
        <f t="shared" si="22"/>
        <v>0</v>
      </c>
      <c r="H66" s="1">
        <f t="shared" si="11"/>
        <v>0</v>
      </c>
      <c r="I66" s="1">
        <f t="shared" si="12"/>
        <v>0</v>
      </c>
      <c r="J66" s="1">
        <f t="shared" si="13"/>
        <v>0</v>
      </c>
      <c r="K66" s="1">
        <f t="shared" si="14"/>
        <v>1</v>
      </c>
      <c r="L66" s="1" t="str">
        <f t="shared" si="23"/>
        <v>紧货币宽信用</v>
      </c>
      <c r="O66" s="51">
        <v>44165</v>
      </c>
      <c r="P66" s="60">
        <v>3.027857142857143</v>
      </c>
      <c r="R66" s="14">
        <v>39141</v>
      </c>
      <c r="S66" s="15">
        <v>3083</v>
      </c>
      <c r="T66" s="55">
        <f t="shared" si="7"/>
        <v>100</v>
      </c>
      <c r="U66" s="63">
        <f t="shared" si="8"/>
        <v>3183</v>
      </c>
      <c r="V66" s="63">
        <f t="shared" si="15"/>
        <v>46893.57</v>
      </c>
      <c r="W66" s="64">
        <f t="shared" si="9"/>
        <v>222578.3</v>
      </c>
      <c r="X66" s="65">
        <f t="shared" si="16"/>
        <v>21.068347633169989</v>
      </c>
      <c r="Y66" s="64"/>
      <c r="Z66" s="70">
        <v>42947</v>
      </c>
      <c r="AA66" s="68">
        <v>9455.4158000000007</v>
      </c>
      <c r="AB66" s="68"/>
      <c r="AC66" s="71">
        <v>39538</v>
      </c>
      <c r="AD66" s="15">
        <v>286708.7</v>
      </c>
      <c r="AG66" s="16"/>
      <c r="AH66" s="17"/>
      <c r="AI66" s="17"/>
      <c r="AJ66" s="17"/>
      <c r="AK66" s="17"/>
      <c r="AL66" s="17"/>
      <c r="AM66" s="17"/>
      <c r="AN66" s="17"/>
      <c r="AO66" s="17"/>
    </row>
    <row r="67" spans="1:41" x14ac:dyDescent="0.3">
      <c r="A67" s="8">
        <f t="shared" si="24"/>
        <v>44104</v>
      </c>
      <c r="B67" s="9">
        <f t="shared" si="17"/>
        <v>2.6766956521739131</v>
      </c>
      <c r="C67" s="9">
        <f t="shared" si="18"/>
        <v>34.158466167805663</v>
      </c>
      <c r="D67" s="7">
        <f t="shared" si="19"/>
        <v>1</v>
      </c>
      <c r="E67" s="7">
        <f t="shared" si="20"/>
        <v>0</v>
      </c>
      <c r="F67" s="7">
        <f t="shared" si="21"/>
        <v>1</v>
      </c>
      <c r="G67" s="7">
        <f t="shared" si="22"/>
        <v>0</v>
      </c>
      <c r="H67" s="1">
        <f t="shared" si="11"/>
        <v>0</v>
      </c>
      <c r="I67" s="1">
        <f t="shared" si="12"/>
        <v>0</v>
      </c>
      <c r="J67" s="1">
        <f t="shared" si="13"/>
        <v>0</v>
      </c>
      <c r="K67" s="1">
        <f t="shared" si="14"/>
        <v>1</v>
      </c>
      <c r="L67" s="1" t="str">
        <f t="shared" si="23"/>
        <v>紧货币宽信用</v>
      </c>
      <c r="O67" s="51">
        <v>44135</v>
      </c>
      <c r="P67" s="60">
        <v>2.834411764705882</v>
      </c>
      <c r="R67" s="14">
        <v>39172</v>
      </c>
      <c r="S67" s="15">
        <v>6311</v>
      </c>
      <c r="T67" s="55">
        <f t="shared" si="7"/>
        <v>105</v>
      </c>
      <c r="U67" s="63">
        <f t="shared" si="8"/>
        <v>6416</v>
      </c>
      <c r="V67" s="63">
        <f t="shared" si="15"/>
        <v>45398.570000000007</v>
      </c>
      <c r="W67" s="64">
        <f t="shared" si="9"/>
        <v>232827.2</v>
      </c>
      <c r="X67" s="65">
        <f t="shared" si="16"/>
        <v>19.498825738573501</v>
      </c>
      <c r="Y67" s="64"/>
      <c r="Z67" s="70">
        <v>42916</v>
      </c>
      <c r="AA67" s="68">
        <v>6580.5209999999997</v>
      </c>
      <c r="AB67" s="68"/>
      <c r="AC67" s="71">
        <v>39629</v>
      </c>
      <c r="AD67" s="15">
        <v>300922.7</v>
      </c>
      <c r="AG67" s="16"/>
      <c r="AH67" s="17"/>
      <c r="AI67" s="17"/>
      <c r="AJ67" s="17"/>
      <c r="AK67" s="17"/>
      <c r="AL67" s="17"/>
      <c r="AM67" s="17"/>
      <c r="AN67" s="17"/>
      <c r="AO67" s="17"/>
    </row>
    <row r="68" spans="1:41" x14ac:dyDescent="0.3">
      <c r="A68" s="8">
        <f t="shared" si="24"/>
        <v>44074</v>
      </c>
      <c r="B68" s="9">
        <f t="shared" ref="B68:B99" si="25">VLOOKUP(A68,O:P,2,0)</f>
        <v>2.6053809523809521</v>
      </c>
      <c r="C68" s="9">
        <f t="shared" ref="C68:C99" si="26">VLOOKUP(A68,R:X,7,0)</f>
        <v>33.678391869061805</v>
      </c>
      <c r="D68" s="7">
        <f t="shared" si="19"/>
        <v>1</v>
      </c>
      <c r="E68" s="7">
        <f t="shared" si="20"/>
        <v>0</v>
      </c>
      <c r="F68" s="7">
        <f t="shared" si="21"/>
        <v>1</v>
      </c>
      <c r="G68" s="7">
        <f t="shared" si="22"/>
        <v>0</v>
      </c>
      <c r="H68" s="1">
        <f t="shared" si="11"/>
        <v>0</v>
      </c>
      <c r="I68" s="1">
        <f t="shared" si="12"/>
        <v>0</v>
      </c>
      <c r="J68" s="1">
        <f t="shared" si="13"/>
        <v>0</v>
      </c>
      <c r="K68" s="1">
        <f t="shared" si="14"/>
        <v>1</v>
      </c>
      <c r="L68" s="1" t="str">
        <f t="shared" si="23"/>
        <v>紧货币宽信用</v>
      </c>
      <c r="O68" s="51">
        <v>44104</v>
      </c>
      <c r="P68" s="60">
        <v>2.6766956521739131</v>
      </c>
      <c r="R68" s="14">
        <v>39202</v>
      </c>
      <c r="S68" s="15">
        <v>6103</v>
      </c>
      <c r="T68" s="55">
        <f t="shared" si="7"/>
        <v>-291.60000000000002</v>
      </c>
      <c r="U68" s="63">
        <f t="shared" si="8"/>
        <v>5811.4</v>
      </c>
      <c r="V68" s="63">
        <f t="shared" si="15"/>
        <v>47625.37</v>
      </c>
      <c r="W68" s="64">
        <f t="shared" si="9"/>
        <v>232827.2</v>
      </c>
      <c r="X68" s="65">
        <f t="shared" si="16"/>
        <v>20.455243201825215</v>
      </c>
      <c r="Y68" s="64"/>
      <c r="Z68" s="70">
        <v>42886</v>
      </c>
      <c r="AA68" s="68">
        <v>6536.9443000000001</v>
      </c>
      <c r="AB68" s="68"/>
      <c r="AC68" s="71">
        <v>39721</v>
      </c>
      <c r="AD68" s="15">
        <v>314096.90000000002</v>
      </c>
      <c r="AG68" s="16"/>
      <c r="AH68" s="17"/>
      <c r="AI68" s="17"/>
      <c r="AJ68" s="17"/>
      <c r="AK68" s="17"/>
      <c r="AL68" s="17"/>
      <c r="AM68" s="17"/>
      <c r="AN68" s="17"/>
      <c r="AO68" s="17"/>
    </row>
    <row r="69" spans="1:41" x14ac:dyDescent="0.3">
      <c r="A69" s="8">
        <f t="shared" si="24"/>
        <v>44043</v>
      </c>
      <c r="B69" s="9">
        <f t="shared" si="25"/>
        <v>2.3283043478260872</v>
      </c>
      <c r="C69" s="9">
        <f t="shared" si="26"/>
        <v>32.290536007994049</v>
      </c>
      <c r="D69" s="7">
        <f t="shared" ref="D69:D100" si="27">IF(C69&gt;C70,1,0)</f>
        <v>1</v>
      </c>
      <c r="E69" s="7">
        <f t="shared" ref="E69:E100" si="28">1-D69</f>
        <v>0</v>
      </c>
      <c r="F69" s="7">
        <f t="shared" ref="F69:F100" si="29">IF(B69&gt;B70,1,0)</f>
        <v>1</v>
      </c>
      <c r="G69" s="7">
        <f t="shared" ref="G69:G100" si="30">1-F69</f>
        <v>0</v>
      </c>
      <c r="H69" s="1">
        <f t="shared" si="11"/>
        <v>0</v>
      </c>
      <c r="I69" s="1">
        <f t="shared" si="12"/>
        <v>0</v>
      </c>
      <c r="J69" s="1">
        <f t="shared" si="13"/>
        <v>0</v>
      </c>
      <c r="K69" s="1">
        <f t="shared" si="14"/>
        <v>1</v>
      </c>
      <c r="L69" s="1" t="str">
        <f t="shared" ref="L69:L100" si="31">INDEX($H$3:$K$3,1,MATCH(1,H69:K69,0))</f>
        <v>紧货币宽信用</v>
      </c>
      <c r="O69" s="51">
        <v>44074</v>
      </c>
      <c r="P69" s="60">
        <v>2.6053809523809521</v>
      </c>
      <c r="R69" s="14">
        <v>39233</v>
      </c>
      <c r="S69" s="15">
        <v>3824</v>
      </c>
      <c r="T69" s="55">
        <f t="shared" ref="T69:T132" si="32">VLOOKUP(R69,Z:AA,2,0)</f>
        <v>937.8</v>
      </c>
      <c r="U69" s="63">
        <f t="shared" ref="U69:U132" si="33">S69+T69</f>
        <v>4761.8</v>
      </c>
      <c r="V69" s="63">
        <f t="shared" si="15"/>
        <v>48138.570000000007</v>
      </c>
      <c r="W69" s="64">
        <f t="shared" ref="W69:W132" si="34">VLOOKUP(R69,AC:AD,2,1)</f>
        <v>232827.2</v>
      </c>
      <c r="X69" s="65">
        <f t="shared" si="16"/>
        <v>20.675664183566184</v>
      </c>
      <c r="Y69" s="64"/>
      <c r="Z69" s="70">
        <v>42855</v>
      </c>
      <c r="AA69" s="68">
        <v>5006.3154000000004</v>
      </c>
      <c r="AB69" s="68"/>
      <c r="AC69" s="71">
        <v>39813</v>
      </c>
      <c r="AD69" s="15">
        <v>324317.90000000002</v>
      </c>
      <c r="AG69" s="16"/>
      <c r="AH69" s="17"/>
      <c r="AI69" s="17"/>
      <c r="AJ69" s="17"/>
      <c r="AK69" s="17"/>
      <c r="AL69" s="17"/>
      <c r="AM69" s="17"/>
      <c r="AN69" s="17"/>
      <c r="AO69" s="17"/>
    </row>
    <row r="70" spans="1:41" x14ac:dyDescent="0.3">
      <c r="A70" s="8">
        <f t="shared" ref="A70:A101" si="35">EOMONTH(A69,-1)</f>
        <v>44012</v>
      </c>
      <c r="B70" s="9">
        <f t="shared" si="25"/>
        <v>1.8831904761904761</v>
      </c>
      <c r="C70" s="9">
        <f t="shared" si="26"/>
        <v>31.885492102877162</v>
      </c>
      <c r="D70" s="7">
        <f t="shared" si="27"/>
        <v>1</v>
      </c>
      <c r="E70" s="7">
        <f t="shared" si="28"/>
        <v>0</v>
      </c>
      <c r="F70" s="7">
        <f t="shared" si="29"/>
        <v>1</v>
      </c>
      <c r="G70" s="7">
        <f t="shared" si="30"/>
        <v>0</v>
      </c>
      <c r="H70" s="1">
        <f t="shared" ref="H70:H133" si="36">INT(AND(G70=1,E70=1))</f>
        <v>0</v>
      </c>
      <c r="I70" s="1">
        <f t="shared" ref="I70:I133" si="37">INT(AND(G70=1,D70=1))</f>
        <v>0</v>
      </c>
      <c r="J70" s="1">
        <f t="shared" ref="J70:J133" si="38">INT(AND(F70=1,E70=1))</f>
        <v>0</v>
      </c>
      <c r="K70" s="1">
        <f t="shared" ref="K70:K133" si="39">INT(AND(F70=1,D70=1))</f>
        <v>1</v>
      </c>
      <c r="L70" s="1" t="str">
        <f t="shared" si="31"/>
        <v>紧货币宽信用</v>
      </c>
      <c r="O70" s="51">
        <v>44043</v>
      </c>
      <c r="P70" s="60">
        <v>2.3283043478260872</v>
      </c>
      <c r="R70" s="14">
        <v>39263</v>
      </c>
      <c r="S70" s="15">
        <v>7042</v>
      </c>
      <c r="T70" s="55">
        <f t="shared" si="32"/>
        <v>660.46</v>
      </c>
      <c r="U70" s="63">
        <f t="shared" si="33"/>
        <v>7702.46</v>
      </c>
      <c r="V70" s="63">
        <f t="shared" si="15"/>
        <v>52889.83</v>
      </c>
      <c r="W70" s="64">
        <f t="shared" si="34"/>
        <v>245162.9</v>
      </c>
      <c r="X70" s="65">
        <f t="shared" si="16"/>
        <v>21.57334164345421</v>
      </c>
      <c r="Y70" s="64"/>
      <c r="Z70" s="70">
        <v>42825</v>
      </c>
      <c r="AA70" s="68">
        <v>4072.0340999999999</v>
      </c>
      <c r="AB70" s="68"/>
      <c r="AC70" s="71">
        <v>39903</v>
      </c>
      <c r="AD70" s="15">
        <v>329049.59999999998</v>
      </c>
      <c r="AG70" s="16"/>
      <c r="AH70" s="17"/>
      <c r="AI70" s="17"/>
      <c r="AJ70" s="17"/>
      <c r="AK70" s="17"/>
      <c r="AL70" s="17"/>
      <c r="AM70" s="17"/>
      <c r="AN70" s="17"/>
      <c r="AO70" s="17"/>
    </row>
    <row r="71" spans="1:41" x14ac:dyDescent="0.3">
      <c r="A71" s="8">
        <f t="shared" si="35"/>
        <v>43982</v>
      </c>
      <c r="B71" s="9">
        <f t="shared" si="25"/>
        <v>1.4047368421052631</v>
      </c>
      <c r="C71" s="9">
        <f t="shared" si="26"/>
        <v>31.269445541126274</v>
      </c>
      <c r="D71" s="7">
        <f t="shared" si="27"/>
        <v>1</v>
      </c>
      <c r="E71" s="7">
        <f t="shared" si="28"/>
        <v>0</v>
      </c>
      <c r="F71" s="7">
        <f t="shared" si="29"/>
        <v>0</v>
      </c>
      <c r="G71" s="7">
        <f t="shared" si="30"/>
        <v>1</v>
      </c>
      <c r="H71" s="1">
        <f t="shared" si="36"/>
        <v>0</v>
      </c>
      <c r="I71" s="1">
        <f t="shared" si="37"/>
        <v>1</v>
      </c>
      <c r="J71" s="1">
        <f t="shared" si="38"/>
        <v>0</v>
      </c>
      <c r="K71" s="1">
        <f t="shared" si="39"/>
        <v>0</v>
      </c>
      <c r="L71" s="1" t="str">
        <f t="shared" si="31"/>
        <v>宽货币宽信用</v>
      </c>
      <c r="O71" s="51">
        <v>44012</v>
      </c>
      <c r="P71" s="60">
        <v>1.8831904761904761</v>
      </c>
      <c r="R71" s="14">
        <v>39294</v>
      </c>
      <c r="S71" s="15">
        <v>3100</v>
      </c>
      <c r="T71" s="55">
        <f t="shared" si="32"/>
        <v>-187</v>
      </c>
      <c r="U71" s="63">
        <f t="shared" si="33"/>
        <v>2913</v>
      </c>
      <c r="V71" s="63">
        <f t="shared" si="15"/>
        <v>52979.03</v>
      </c>
      <c r="W71" s="64">
        <f t="shared" si="34"/>
        <v>245162.9</v>
      </c>
      <c r="X71" s="65">
        <f t="shared" si="16"/>
        <v>21.609725615091026</v>
      </c>
      <c r="Y71" s="64"/>
      <c r="Z71" s="70">
        <v>42794</v>
      </c>
      <c r="AA71" s="68">
        <v>-176.88</v>
      </c>
      <c r="AB71" s="68"/>
      <c r="AC71" s="71">
        <v>39994</v>
      </c>
      <c r="AD71" s="15">
        <v>334440.2</v>
      </c>
      <c r="AG71" s="16"/>
      <c r="AH71" s="17"/>
      <c r="AI71" s="17"/>
      <c r="AJ71" s="17"/>
      <c r="AK71" s="17"/>
      <c r="AL71" s="17"/>
      <c r="AM71" s="17"/>
      <c r="AN71" s="17"/>
      <c r="AO71" s="17"/>
    </row>
    <row r="72" spans="1:41" x14ac:dyDescent="0.3">
      <c r="A72" s="8">
        <f t="shared" si="35"/>
        <v>43951</v>
      </c>
      <c r="B72" s="9">
        <f t="shared" si="25"/>
        <v>1.5127272727272729</v>
      </c>
      <c r="C72" s="9">
        <f t="shared" si="26"/>
        <v>29.786453392128841</v>
      </c>
      <c r="D72" s="7">
        <f t="shared" si="27"/>
        <v>1</v>
      </c>
      <c r="E72" s="7">
        <f t="shared" si="28"/>
        <v>0</v>
      </c>
      <c r="F72" s="7">
        <f t="shared" si="29"/>
        <v>0</v>
      </c>
      <c r="G72" s="7">
        <f t="shared" si="30"/>
        <v>1</v>
      </c>
      <c r="H72" s="1">
        <f t="shared" si="36"/>
        <v>0</v>
      </c>
      <c r="I72" s="1">
        <f t="shared" si="37"/>
        <v>1</v>
      </c>
      <c r="J72" s="1">
        <f t="shared" si="38"/>
        <v>0</v>
      </c>
      <c r="K72" s="1">
        <f t="shared" si="39"/>
        <v>0</v>
      </c>
      <c r="L72" s="1" t="str">
        <f t="shared" si="31"/>
        <v>宽货币宽信用</v>
      </c>
      <c r="O72" s="51">
        <v>43982</v>
      </c>
      <c r="P72" s="60">
        <v>1.4047368421052631</v>
      </c>
      <c r="R72" s="14">
        <v>39325</v>
      </c>
      <c r="S72" s="15">
        <v>6961</v>
      </c>
      <c r="T72" s="55">
        <f t="shared" si="32"/>
        <v>6321.4</v>
      </c>
      <c r="U72" s="63">
        <f t="shared" si="33"/>
        <v>13282.4</v>
      </c>
      <c r="V72" s="63">
        <f t="shared" si="15"/>
        <v>62348.36</v>
      </c>
      <c r="W72" s="64">
        <f t="shared" si="34"/>
        <v>245162.9</v>
      </c>
      <c r="X72" s="65">
        <f t="shared" si="16"/>
        <v>25.431400917512399</v>
      </c>
      <c r="Y72" s="64"/>
      <c r="Z72" s="70">
        <v>42766</v>
      </c>
      <c r="AA72" s="68">
        <v>753.2</v>
      </c>
      <c r="AB72" s="68"/>
      <c r="AC72" s="71">
        <v>40086</v>
      </c>
      <c r="AD72" s="15">
        <v>342101.9</v>
      </c>
      <c r="AG72" s="16"/>
      <c r="AH72" s="17"/>
      <c r="AI72" s="17"/>
      <c r="AJ72" s="17"/>
      <c r="AK72" s="17"/>
      <c r="AL72" s="17"/>
      <c r="AM72" s="17"/>
      <c r="AN72" s="17"/>
      <c r="AO72" s="17"/>
    </row>
    <row r="73" spans="1:41" x14ac:dyDescent="0.3">
      <c r="A73" s="8">
        <f t="shared" si="35"/>
        <v>43921</v>
      </c>
      <c r="B73" s="9">
        <f t="shared" si="25"/>
        <v>2.1530909090909089</v>
      </c>
      <c r="C73" s="9">
        <f t="shared" si="26"/>
        <v>28.346194704078986</v>
      </c>
      <c r="D73" s="7">
        <f t="shared" si="27"/>
        <v>1</v>
      </c>
      <c r="E73" s="7">
        <f t="shared" si="28"/>
        <v>0</v>
      </c>
      <c r="F73" s="7">
        <f t="shared" si="29"/>
        <v>0</v>
      </c>
      <c r="G73" s="7">
        <f t="shared" si="30"/>
        <v>1</v>
      </c>
      <c r="H73" s="1">
        <f t="shared" si="36"/>
        <v>0</v>
      </c>
      <c r="I73" s="1">
        <f t="shared" si="37"/>
        <v>1</v>
      </c>
      <c r="J73" s="1">
        <f t="shared" si="38"/>
        <v>0</v>
      </c>
      <c r="K73" s="1">
        <f t="shared" si="39"/>
        <v>0</v>
      </c>
      <c r="L73" s="1" t="str">
        <f t="shared" si="31"/>
        <v>宽货币宽信用</v>
      </c>
      <c r="O73" s="51">
        <v>43951</v>
      </c>
      <c r="P73" s="60">
        <v>1.5127272727272729</v>
      </c>
      <c r="R73" s="14">
        <v>39355</v>
      </c>
      <c r="S73" s="15">
        <v>5290</v>
      </c>
      <c r="T73" s="55">
        <f t="shared" si="32"/>
        <v>857.7</v>
      </c>
      <c r="U73" s="63">
        <f t="shared" si="33"/>
        <v>6147.7</v>
      </c>
      <c r="V73" s="63">
        <f t="shared" si="15"/>
        <v>65344.66</v>
      </c>
      <c r="W73" s="64">
        <f t="shared" si="34"/>
        <v>258836.5</v>
      </c>
      <c r="X73" s="65">
        <f t="shared" si="16"/>
        <v>25.245535308969174</v>
      </c>
      <c r="Y73" s="64"/>
      <c r="Z73" s="70">
        <v>42735</v>
      </c>
      <c r="AA73" s="68">
        <v>1781.6063999999999</v>
      </c>
      <c r="AB73" s="68"/>
      <c r="AC73" s="71">
        <v>40178</v>
      </c>
      <c r="AD73" s="15">
        <v>354521.59999999998</v>
      </c>
      <c r="AG73" s="16"/>
      <c r="AH73" s="17"/>
      <c r="AI73" s="17"/>
      <c r="AJ73" s="17"/>
      <c r="AK73" s="17"/>
      <c r="AL73" s="17"/>
      <c r="AM73" s="17"/>
      <c r="AN73" s="17"/>
      <c r="AO73" s="17"/>
    </row>
    <row r="74" spans="1:41" x14ac:dyDescent="0.3">
      <c r="A74" s="8">
        <f t="shared" si="35"/>
        <v>43890</v>
      </c>
      <c r="B74" s="9">
        <f t="shared" si="25"/>
        <v>2.6011500000000001</v>
      </c>
      <c r="C74" s="9">
        <f t="shared" si="26"/>
        <v>25.803562169813983</v>
      </c>
      <c r="D74" s="7">
        <f t="shared" si="27"/>
        <v>0</v>
      </c>
      <c r="E74" s="7">
        <f t="shared" si="28"/>
        <v>1</v>
      </c>
      <c r="F74" s="7">
        <f t="shared" si="29"/>
        <v>0</v>
      </c>
      <c r="G74" s="7">
        <f t="shared" si="30"/>
        <v>1</v>
      </c>
      <c r="H74" s="1">
        <f t="shared" si="36"/>
        <v>1</v>
      </c>
      <c r="I74" s="1">
        <f t="shared" si="37"/>
        <v>0</v>
      </c>
      <c r="J74" s="1">
        <f t="shared" si="38"/>
        <v>0</v>
      </c>
      <c r="K74" s="1">
        <f t="shared" si="39"/>
        <v>0</v>
      </c>
      <c r="L74" s="1" t="str">
        <f t="shared" si="31"/>
        <v>宽货币紧信用</v>
      </c>
      <c r="O74" s="51">
        <v>43921</v>
      </c>
      <c r="P74" s="60">
        <v>2.1530909090909089</v>
      </c>
      <c r="R74" s="14">
        <v>39386</v>
      </c>
      <c r="S74" s="15">
        <v>3688</v>
      </c>
      <c r="T74" s="55">
        <f t="shared" si="32"/>
        <v>211.8</v>
      </c>
      <c r="U74" s="63">
        <f t="shared" si="33"/>
        <v>3899.8</v>
      </c>
      <c r="V74" s="63">
        <f t="shared" si="15"/>
        <v>67489.86</v>
      </c>
      <c r="W74" s="64">
        <f t="shared" si="34"/>
        <v>258836.5</v>
      </c>
      <c r="X74" s="65">
        <f t="shared" si="16"/>
        <v>26.074321048229287</v>
      </c>
      <c r="Y74" s="64"/>
      <c r="Z74" s="70">
        <v>42704</v>
      </c>
      <c r="AA74" s="68">
        <v>5163.2214999999997</v>
      </c>
      <c r="AB74" s="68"/>
      <c r="AC74" s="71">
        <v>40268</v>
      </c>
      <c r="AD74" s="15">
        <v>368305.3</v>
      </c>
      <c r="AG74" s="16"/>
      <c r="AH74" s="17"/>
      <c r="AI74" s="17"/>
      <c r="AJ74" s="17"/>
      <c r="AK74" s="17"/>
      <c r="AL74" s="17"/>
      <c r="AM74" s="17"/>
      <c r="AN74" s="17"/>
      <c r="AO74" s="17"/>
    </row>
    <row r="75" spans="1:41" x14ac:dyDescent="0.3">
      <c r="A75" s="8">
        <f t="shared" si="35"/>
        <v>43861</v>
      </c>
      <c r="B75" s="9">
        <f t="shared" si="25"/>
        <v>2.8825882352941181</v>
      </c>
      <c r="C75" s="9">
        <f t="shared" si="26"/>
        <v>25.895832987166163</v>
      </c>
      <c r="D75" s="7">
        <f t="shared" si="27"/>
        <v>1</v>
      </c>
      <c r="E75" s="7">
        <f t="shared" si="28"/>
        <v>0</v>
      </c>
      <c r="F75" s="7">
        <f t="shared" si="29"/>
        <v>0</v>
      </c>
      <c r="G75" s="7">
        <f t="shared" si="30"/>
        <v>1</v>
      </c>
      <c r="H75" s="1">
        <f t="shared" si="36"/>
        <v>0</v>
      </c>
      <c r="I75" s="1">
        <f t="shared" si="37"/>
        <v>1</v>
      </c>
      <c r="J75" s="1">
        <f t="shared" si="38"/>
        <v>0</v>
      </c>
      <c r="K75" s="1">
        <f t="shared" si="39"/>
        <v>0</v>
      </c>
      <c r="L75" s="1" t="str">
        <f t="shared" si="31"/>
        <v>宽货币宽信用</v>
      </c>
      <c r="O75" s="51">
        <v>43890</v>
      </c>
      <c r="P75" s="60">
        <v>2.6011500000000001</v>
      </c>
      <c r="R75" s="14">
        <v>39416</v>
      </c>
      <c r="S75" s="15">
        <v>3073</v>
      </c>
      <c r="T75" s="55">
        <f t="shared" si="32"/>
        <v>760</v>
      </c>
      <c r="U75" s="63">
        <f t="shared" si="33"/>
        <v>3833</v>
      </c>
      <c r="V75" s="63">
        <f t="shared" si="15"/>
        <v>68098.960000000006</v>
      </c>
      <c r="W75" s="64">
        <f t="shared" si="34"/>
        <v>258836.5</v>
      </c>
      <c r="X75" s="65">
        <f t="shared" si="16"/>
        <v>26.309643346282307</v>
      </c>
      <c r="Y75" s="64"/>
      <c r="Z75" s="70">
        <v>42674</v>
      </c>
      <c r="AA75" s="68">
        <v>5030.3035</v>
      </c>
      <c r="AB75" s="68"/>
      <c r="AC75" s="71">
        <v>40359</v>
      </c>
      <c r="AD75" s="15">
        <v>384024.7</v>
      </c>
      <c r="AG75" s="16"/>
      <c r="AH75" s="17"/>
      <c r="AI75" s="17"/>
      <c r="AJ75" s="17"/>
      <c r="AK75" s="17"/>
      <c r="AL75" s="17"/>
      <c r="AM75" s="17"/>
      <c r="AN75" s="17"/>
      <c r="AO75" s="17"/>
    </row>
    <row r="76" spans="1:41" x14ac:dyDescent="0.3">
      <c r="A76" s="8">
        <f t="shared" si="35"/>
        <v>43830</v>
      </c>
      <c r="B76" s="9">
        <f t="shared" si="25"/>
        <v>3.0289954545454552</v>
      </c>
      <c r="C76" s="9">
        <f t="shared" si="26"/>
        <v>25.523632623481863</v>
      </c>
      <c r="D76" s="7">
        <f t="shared" si="27"/>
        <v>0</v>
      </c>
      <c r="E76" s="7">
        <f t="shared" si="28"/>
        <v>1</v>
      </c>
      <c r="F76" s="7">
        <f t="shared" si="29"/>
        <v>1</v>
      </c>
      <c r="G76" s="7">
        <f t="shared" si="30"/>
        <v>0</v>
      </c>
      <c r="H76" s="1">
        <f t="shared" si="36"/>
        <v>0</v>
      </c>
      <c r="I76" s="1">
        <f t="shared" si="37"/>
        <v>0</v>
      </c>
      <c r="J76" s="1">
        <f t="shared" si="38"/>
        <v>1</v>
      </c>
      <c r="K76" s="1">
        <f t="shared" si="39"/>
        <v>0</v>
      </c>
      <c r="L76" s="1" t="str">
        <f t="shared" si="31"/>
        <v>紧货币紧信用</v>
      </c>
      <c r="O76" s="51">
        <v>43861</v>
      </c>
      <c r="P76" s="60">
        <v>2.8825882352941181</v>
      </c>
      <c r="R76" s="14">
        <v>39447</v>
      </c>
      <c r="S76" s="15">
        <v>4281</v>
      </c>
      <c r="T76" s="55">
        <f t="shared" si="32"/>
        <v>7757.28</v>
      </c>
      <c r="U76" s="63">
        <f t="shared" si="33"/>
        <v>12038.279999999999</v>
      </c>
      <c r="V76" s="63">
        <f t="shared" si="15"/>
        <v>76596.84</v>
      </c>
      <c r="W76" s="64">
        <f t="shared" si="34"/>
        <v>274179.7</v>
      </c>
      <c r="X76" s="65">
        <f t="shared" si="16"/>
        <v>27.936729086799637</v>
      </c>
      <c r="Y76" s="64"/>
      <c r="Z76" s="70">
        <v>42643</v>
      </c>
      <c r="AA76" s="68">
        <v>4548.1902</v>
      </c>
      <c r="AB76" s="68"/>
      <c r="AC76" s="71">
        <v>40451</v>
      </c>
      <c r="AD76" s="15">
        <v>400487.6</v>
      </c>
      <c r="AG76" s="16"/>
      <c r="AH76" s="17"/>
      <c r="AI76" s="17"/>
      <c r="AJ76" s="17"/>
      <c r="AK76" s="17"/>
      <c r="AL76" s="17"/>
      <c r="AM76" s="17"/>
      <c r="AN76" s="17"/>
      <c r="AO76" s="17"/>
    </row>
    <row r="77" spans="1:41" x14ac:dyDescent="0.3">
      <c r="A77" s="8">
        <f t="shared" si="35"/>
        <v>43799</v>
      </c>
      <c r="B77" s="9">
        <f t="shared" si="25"/>
        <v>2.9901428571428572</v>
      </c>
      <c r="C77" s="9">
        <f t="shared" si="26"/>
        <v>25.73514857665829</v>
      </c>
      <c r="D77" s="7">
        <f t="shared" si="27"/>
        <v>1</v>
      </c>
      <c r="E77" s="7">
        <f t="shared" si="28"/>
        <v>0</v>
      </c>
      <c r="F77" s="7">
        <f t="shared" si="29"/>
        <v>1</v>
      </c>
      <c r="G77" s="7">
        <f t="shared" si="30"/>
        <v>0</v>
      </c>
      <c r="H77" s="1">
        <f t="shared" si="36"/>
        <v>0</v>
      </c>
      <c r="I77" s="1">
        <f t="shared" si="37"/>
        <v>0</v>
      </c>
      <c r="J77" s="1">
        <f t="shared" si="38"/>
        <v>0</v>
      </c>
      <c r="K77" s="1">
        <f t="shared" si="39"/>
        <v>1</v>
      </c>
      <c r="L77" s="1" t="str">
        <f t="shared" si="31"/>
        <v>紧货币宽信用</v>
      </c>
      <c r="O77" s="51">
        <v>43830</v>
      </c>
      <c r="P77" s="60">
        <v>3.0289954545454552</v>
      </c>
      <c r="R77" s="14">
        <v>39478</v>
      </c>
      <c r="S77" s="15">
        <v>10859</v>
      </c>
      <c r="T77" s="55">
        <f t="shared" si="32"/>
        <v>-280</v>
      </c>
      <c r="U77" s="63">
        <f t="shared" si="33"/>
        <v>10579</v>
      </c>
      <c r="V77" s="63">
        <f t="shared" si="15"/>
        <v>80567.839999999997</v>
      </c>
      <c r="W77" s="64">
        <f t="shared" si="34"/>
        <v>274179.7</v>
      </c>
      <c r="X77" s="65">
        <f t="shared" si="16"/>
        <v>29.38504929431318</v>
      </c>
      <c r="Y77" s="64"/>
      <c r="Z77" s="70">
        <v>42613</v>
      </c>
      <c r="AA77" s="68">
        <v>8939.2855</v>
      </c>
      <c r="AB77" s="68"/>
      <c r="AC77" s="71">
        <v>40543</v>
      </c>
      <c r="AD77" s="15">
        <v>419253.3</v>
      </c>
      <c r="AG77" s="16"/>
      <c r="AH77" s="17"/>
      <c r="AI77" s="17"/>
      <c r="AJ77" s="17"/>
      <c r="AK77" s="17"/>
      <c r="AL77" s="17"/>
      <c r="AM77" s="17"/>
      <c r="AN77" s="17"/>
      <c r="AO77" s="17"/>
    </row>
    <row r="78" spans="1:41" x14ac:dyDescent="0.3">
      <c r="A78" s="8">
        <f t="shared" si="35"/>
        <v>43769</v>
      </c>
      <c r="B78" s="9">
        <f t="shared" si="25"/>
        <v>2.7748947368421049</v>
      </c>
      <c r="C78" s="9">
        <f t="shared" si="26"/>
        <v>25.349197254177007</v>
      </c>
      <c r="D78" s="7">
        <f t="shared" si="27"/>
        <v>0</v>
      </c>
      <c r="E78" s="7">
        <f t="shared" si="28"/>
        <v>1</v>
      </c>
      <c r="F78" s="7">
        <f t="shared" si="29"/>
        <v>1</v>
      </c>
      <c r="G78" s="7">
        <f t="shared" si="30"/>
        <v>0</v>
      </c>
      <c r="H78" s="1">
        <f t="shared" si="36"/>
        <v>0</v>
      </c>
      <c r="I78" s="1">
        <f t="shared" si="37"/>
        <v>0</v>
      </c>
      <c r="J78" s="1">
        <f t="shared" si="38"/>
        <v>1</v>
      </c>
      <c r="K78" s="1">
        <f t="shared" si="39"/>
        <v>0</v>
      </c>
      <c r="L78" s="1" t="str">
        <f t="shared" si="31"/>
        <v>紧货币紧信用</v>
      </c>
      <c r="O78" s="51">
        <v>43799</v>
      </c>
      <c r="P78" s="60">
        <v>2.9901428571428572</v>
      </c>
      <c r="R78" s="14">
        <v>39507</v>
      </c>
      <c r="S78" s="15">
        <v>4731</v>
      </c>
      <c r="T78" s="55">
        <f t="shared" si="32"/>
        <v>269.7</v>
      </c>
      <c r="U78" s="63">
        <f t="shared" si="33"/>
        <v>5000.7</v>
      </c>
      <c r="V78" s="63">
        <f t="shared" si="15"/>
        <v>82385.539999999994</v>
      </c>
      <c r="W78" s="64">
        <f t="shared" si="34"/>
        <v>274179.7</v>
      </c>
      <c r="X78" s="65">
        <f t="shared" si="16"/>
        <v>30.048008660013849</v>
      </c>
      <c r="Y78" s="64"/>
      <c r="Z78" s="70">
        <v>42582</v>
      </c>
      <c r="AA78" s="68">
        <v>5177.6318000000001</v>
      </c>
      <c r="AB78" s="68"/>
      <c r="AC78" s="71">
        <v>40633</v>
      </c>
      <c r="AD78" s="15">
        <v>436347.2</v>
      </c>
      <c r="AG78" s="16"/>
      <c r="AH78" s="17"/>
      <c r="AI78" s="17"/>
      <c r="AJ78" s="17"/>
      <c r="AK78" s="17"/>
      <c r="AL78" s="17"/>
      <c r="AM78" s="17"/>
      <c r="AN78" s="17"/>
      <c r="AO78" s="17"/>
    </row>
    <row r="79" spans="1:41" x14ac:dyDescent="0.3">
      <c r="A79" s="8">
        <f t="shared" si="35"/>
        <v>43738</v>
      </c>
      <c r="B79" s="9">
        <f t="shared" si="25"/>
        <v>2.713857142857143</v>
      </c>
      <c r="C79" s="9">
        <f t="shared" si="26"/>
        <v>25.43609778396781</v>
      </c>
      <c r="D79" s="7">
        <f t="shared" si="27"/>
        <v>0</v>
      </c>
      <c r="E79" s="7">
        <f t="shared" si="28"/>
        <v>1</v>
      </c>
      <c r="F79" s="7">
        <f t="shared" si="29"/>
        <v>1</v>
      </c>
      <c r="G79" s="7">
        <f t="shared" si="30"/>
        <v>0</v>
      </c>
      <c r="H79" s="1">
        <f t="shared" si="36"/>
        <v>0</v>
      </c>
      <c r="I79" s="1">
        <f t="shared" si="37"/>
        <v>0</v>
      </c>
      <c r="J79" s="1">
        <f t="shared" si="38"/>
        <v>1</v>
      </c>
      <c r="K79" s="1">
        <f t="shared" si="39"/>
        <v>0</v>
      </c>
      <c r="L79" s="1" t="str">
        <f t="shared" si="31"/>
        <v>紧货币紧信用</v>
      </c>
      <c r="O79" s="51">
        <v>43769</v>
      </c>
      <c r="P79" s="60">
        <v>2.7748947368421049</v>
      </c>
      <c r="R79" s="14">
        <v>39538</v>
      </c>
      <c r="S79" s="15">
        <v>6391</v>
      </c>
      <c r="T79" s="55">
        <f t="shared" si="32"/>
        <v>-225.6</v>
      </c>
      <c r="U79" s="63">
        <f t="shared" si="33"/>
        <v>6165.4</v>
      </c>
      <c r="V79" s="63">
        <f t="shared" si="15"/>
        <v>82134.939999999988</v>
      </c>
      <c r="W79" s="64">
        <f t="shared" si="34"/>
        <v>286708.7</v>
      </c>
      <c r="X79" s="65">
        <f t="shared" si="16"/>
        <v>28.647522729516051</v>
      </c>
      <c r="Y79" s="64"/>
      <c r="Z79" s="70">
        <v>42551</v>
      </c>
      <c r="AA79" s="68">
        <v>11467.079299999999</v>
      </c>
      <c r="AB79" s="68"/>
      <c r="AC79" s="71">
        <v>40724</v>
      </c>
      <c r="AD79" s="15">
        <v>456049</v>
      </c>
      <c r="AG79" s="16"/>
      <c r="AH79" s="17"/>
      <c r="AI79" s="17"/>
      <c r="AJ79" s="17"/>
      <c r="AK79" s="17"/>
      <c r="AL79" s="17"/>
      <c r="AM79" s="17"/>
      <c r="AN79" s="17"/>
      <c r="AO79" s="17"/>
    </row>
    <row r="80" spans="1:41" x14ac:dyDescent="0.3">
      <c r="A80" s="8">
        <f t="shared" si="35"/>
        <v>43708</v>
      </c>
      <c r="B80" s="9">
        <f t="shared" si="25"/>
        <v>2.662281818181818</v>
      </c>
      <c r="C80" s="9">
        <f t="shared" si="26"/>
        <v>25.673319206846372</v>
      </c>
      <c r="D80" s="7">
        <f t="shared" si="27"/>
        <v>0</v>
      </c>
      <c r="E80" s="7">
        <f t="shared" si="28"/>
        <v>1</v>
      </c>
      <c r="F80" s="7">
        <f t="shared" si="29"/>
        <v>1</v>
      </c>
      <c r="G80" s="7">
        <f t="shared" si="30"/>
        <v>0</v>
      </c>
      <c r="H80" s="1">
        <f t="shared" si="36"/>
        <v>0</v>
      </c>
      <c r="I80" s="1">
        <f t="shared" si="37"/>
        <v>0</v>
      </c>
      <c r="J80" s="1">
        <f t="shared" si="38"/>
        <v>1</v>
      </c>
      <c r="K80" s="1">
        <f t="shared" si="39"/>
        <v>0</v>
      </c>
      <c r="L80" s="1" t="str">
        <f t="shared" si="31"/>
        <v>紧货币紧信用</v>
      </c>
      <c r="O80" s="51">
        <v>43738</v>
      </c>
      <c r="P80" s="60">
        <v>2.713857142857143</v>
      </c>
      <c r="R80" s="14">
        <v>39568</v>
      </c>
      <c r="S80" s="15">
        <v>7076</v>
      </c>
      <c r="T80" s="55">
        <f t="shared" si="32"/>
        <v>-134.30000000000001</v>
      </c>
      <c r="U80" s="63">
        <f t="shared" si="33"/>
        <v>6941.7</v>
      </c>
      <c r="V80" s="63">
        <f t="shared" ref="V80:V143" si="40">SUM(U69:U80)</f>
        <v>83265.239999999991</v>
      </c>
      <c r="W80" s="64">
        <f t="shared" si="34"/>
        <v>286708.7</v>
      </c>
      <c r="X80" s="65">
        <f t="shared" ref="X80:X143" si="41">V80/W80*100</f>
        <v>29.041755621646637</v>
      </c>
      <c r="Y80" s="64"/>
      <c r="Z80" s="70">
        <v>42521</v>
      </c>
      <c r="AA80" s="68">
        <v>7373.4480999999996</v>
      </c>
      <c r="AB80" s="68"/>
      <c r="AC80" s="71">
        <v>40816</v>
      </c>
      <c r="AD80" s="15">
        <v>476817.6</v>
      </c>
      <c r="AG80" s="16"/>
      <c r="AH80" s="17"/>
      <c r="AI80" s="17"/>
      <c r="AJ80" s="17"/>
      <c r="AK80" s="17"/>
      <c r="AL80" s="17"/>
      <c r="AM80" s="17"/>
      <c r="AN80" s="17"/>
      <c r="AO80" s="17"/>
    </row>
    <row r="81" spans="1:41" x14ac:dyDescent="0.3">
      <c r="A81" s="8">
        <f t="shared" si="35"/>
        <v>43677</v>
      </c>
      <c r="B81" s="9">
        <f t="shared" si="25"/>
        <v>2.6233913043478259</v>
      </c>
      <c r="C81" s="9">
        <f t="shared" si="26"/>
        <v>25.892159005308081</v>
      </c>
      <c r="D81" s="7">
        <f t="shared" si="27"/>
        <v>0</v>
      </c>
      <c r="E81" s="7">
        <f t="shared" si="28"/>
        <v>1</v>
      </c>
      <c r="F81" s="7">
        <f t="shared" si="29"/>
        <v>0</v>
      </c>
      <c r="G81" s="7">
        <f t="shared" si="30"/>
        <v>1</v>
      </c>
      <c r="H81" s="1">
        <f t="shared" si="36"/>
        <v>1</v>
      </c>
      <c r="I81" s="1">
        <f t="shared" si="37"/>
        <v>0</v>
      </c>
      <c r="J81" s="1">
        <f t="shared" si="38"/>
        <v>0</v>
      </c>
      <c r="K81" s="1">
        <f t="shared" si="39"/>
        <v>0</v>
      </c>
      <c r="L81" s="1" t="str">
        <f t="shared" si="31"/>
        <v>宽货币紧信用</v>
      </c>
      <c r="O81" s="51">
        <v>43708</v>
      </c>
      <c r="P81" s="60">
        <v>2.662281818181818</v>
      </c>
      <c r="R81" s="14">
        <v>39599</v>
      </c>
      <c r="S81" s="15">
        <v>5678</v>
      </c>
      <c r="T81" s="55">
        <f t="shared" si="32"/>
        <v>724.71</v>
      </c>
      <c r="U81" s="63">
        <f t="shared" si="33"/>
        <v>6402.71</v>
      </c>
      <c r="V81" s="63">
        <f t="shared" si="40"/>
        <v>84906.15</v>
      </c>
      <c r="W81" s="64">
        <f t="shared" si="34"/>
        <v>286708.7</v>
      </c>
      <c r="X81" s="65">
        <f t="shared" si="41"/>
        <v>29.614082167719356</v>
      </c>
      <c r="Y81" s="64"/>
      <c r="Z81" s="70">
        <v>42490</v>
      </c>
      <c r="AA81" s="68">
        <v>12207.2652</v>
      </c>
      <c r="AB81" s="68"/>
      <c r="AC81" s="71">
        <v>40908</v>
      </c>
      <c r="AD81" s="15">
        <v>495707.5</v>
      </c>
      <c r="AG81" s="16"/>
      <c r="AH81" s="17"/>
      <c r="AI81" s="17"/>
      <c r="AJ81" s="17"/>
      <c r="AK81" s="17"/>
      <c r="AL81" s="17"/>
      <c r="AM81" s="17"/>
      <c r="AN81" s="17"/>
      <c r="AO81" s="17"/>
    </row>
    <row r="82" spans="1:41" x14ac:dyDescent="0.3">
      <c r="A82" s="8">
        <f t="shared" si="35"/>
        <v>43646</v>
      </c>
      <c r="B82" s="9">
        <f t="shared" si="25"/>
        <v>2.885947368421053</v>
      </c>
      <c r="C82" s="9">
        <f t="shared" si="26"/>
        <v>26.460253052799722</v>
      </c>
      <c r="D82" s="7">
        <f t="shared" si="27"/>
        <v>1</v>
      </c>
      <c r="E82" s="7">
        <f t="shared" si="28"/>
        <v>0</v>
      </c>
      <c r="F82" s="7">
        <f t="shared" si="29"/>
        <v>0</v>
      </c>
      <c r="G82" s="7">
        <f t="shared" si="30"/>
        <v>1</v>
      </c>
      <c r="H82" s="1">
        <f t="shared" si="36"/>
        <v>0</v>
      </c>
      <c r="I82" s="1">
        <f t="shared" si="37"/>
        <v>1</v>
      </c>
      <c r="J82" s="1">
        <f t="shared" si="38"/>
        <v>0</v>
      </c>
      <c r="K82" s="1">
        <f t="shared" si="39"/>
        <v>0</v>
      </c>
      <c r="L82" s="1" t="str">
        <f t="shared" si="31"/>
        <v>宽货币宽信用</v>
      </c>
      <c r="O82" s="51">
        <v>43677</v>
      </c>
      <c r="P82" s="60">
        <v>2.6233913043478259</v>
      </c>
      <c r="R82" s="14">
        <v>39629</v>
      </c>
      <c r="S82" s="15">
        <v>5976</v>
      </c>
      <c r="T82" s="55">
        <f t="shared" si="32"/>
        <v>-13.9</v>
      </c>
      <c r="U82" s="63">
        <f t="shared" si="33"/>
        <v>5962.1</v>
      </c>
      <c r="V82" s="63">
        <f t="shared" si="40"/>
        <v>83165.790000000008</v>
      </c>
      <c r="W82" s="64">
        <f t="shared" si="34"/>
        <v>300922.7</v>
      </c>
      <c r="X82" s="65">
        <f t="shared" si="41"/>
        <v>27.636928021714546</v>
      </c>
      <c r="Y82" s="64"/>
      <c r="Z82" s="70">
        <v>42460</v>
      </c>
      <c r="AA82" s="68">
        <v>8335.3223999999991</v>
      </c>
      <c r="AB82" s="68"/>
      <c r="AC82" s="71">
        <v>40999</v>
      </c>
      <c r="AD82" s="15">
        <v>508866.1</v>
      </c>
      <c r="AG82" s="16"/>
      <c r="AH82" s="17"/>
      <c r="AI82" s="17"/>
      <c r="AJ82" s="17"/>
      <c r="AK82" s="17"/>
      <c r="AL82" s="17"/>
      <c r="AM82" s="17"/>
      <c r="AN82" s="17"/>
      <c r="AO82" s="17"/>
    </row>
    <row r="83" spans="1:41" x14ac:dyDescent="0.3">
      <c r="A83" s="8">
        <f t="shared" si="35"/>
        <v>43616</v>
      </c>
      <c r="B83" s="9">
        <f t="shared" si="25"/>
        <v>2.906571428571429</v>
      </c>
      <c r="C83" s="9">
        <f t="shared" si="26"/>
        <v>26.348098763544698</v>
      </c>
      <c r="D83" s="7">
        <f t="shared" si="27"/>
        <v>1</v>
      </c>
      <c r="E83" s="7">
        <f t="shared" si="28"/>
        <v>0</v>
      </c>
      <c r="F83" s="7">
        <f t="shared" si="29"/>
        <v>1</v>
      </c>
      <c r="G83" s="7">
        <f t="shared" si="30"/>
        <v>0</v>
      </c>
      <c r="H83" s="1">
        <f t="shared" si="36"/>
        <v>0</v>
      </c>
      <c r="I83" s="1">
        <f t="shared" si="37"/>
        <v>0</v>
      </c>
      <c r="J83" s="1">
        <f t="shared" si="38"/>
        <v>0</v>
      </c>
      <c r="K83" s="1">
        <f t="shared" si="39"/>
        <v>1</v>
      </c>
      <c r="L83" s="1" t="str">
        <f t="shared" si="31"/>
        <v>紧货币宽信用</v>
      </c>
      <c r="O83" s="51">
        <v>43646</v>
      </c>
      <c r="P83" s="60">
        <v>2.885947368421053</v>
      </c>
      <c r="R83" s="14">
        <v>39660</v>
      </c>
      <c r="S83" s="15">
        <v>4890</v>
      </c>
      <c r="T83" s="55">
        <f t="shared" si="32"/>
        <v>245.9</v>
      </c>
      <c r="U83" s="63">
        <f t="shared" si="33"/>
        <v>5135.8999999999996</v>
      </c>
      <c r="V83" s="63">
        <f t="shared" si="40"/>
        <v>85388.69</v>
      </c>
      <c r="W83" s="64">
        <f t="shared" si="34"/>
        <v>300922.7</v>
      </c>
      <c r="X83" s="65">
        <f t="shared" si="41"/>
        <v>28.375622709752374</v>
      </c>
      <c r="Y83" s="64"/>
      <c r="Z83" s="70">
        <v>42429</v>
      </c>
      <c r="AA83" s="68">
        <v>298.51</v>
      </c>
      <c r="AB83" s="68"/>
      <c r="AC83" s="71">
        <v>41090</v>
      </c>
      <c r="AD83" s="15">
        <v>521580.5</v>
      </c>
      <c r="AG83" s="16"/>
      <c r="AH83" s="17"/>
      <c r="AI83" s="17"/>
      <c r="AJ83" s="17"/>
      <c r="AK83" s="17"/>
      <c r="AL83" s="17"/>
      <c r="AM83" s="17"/>
      <c r="AN83" s="17"/>
      <c r="AO83" s="17"/>
    </row>
    <row r="84" spans="1:41" x14ac:dyDescent="0.3">
      <c r="A84" s="8">
        <f t="shared" si="35"/>
        <v>43585</v>
      </c>
      <c r="B84" s="9">
        <f t="shared" si="25"/>
        <v>2.8130454545454548</v>
      </c>
      <c r="C84" s="9">
        <f t="shared" si="26"/>
        <v>25.729213904130454</v>
      </c>
      <c r="D84" s="7">
        <f t="shared" si="27"/>
        <v>0</v>
      </c>
      <c r="E84" s="7">
        <f t="shared" si="28"/>
        <v>1</v>
      </c>
      <c r="F84" s="7">
        <f t="shared" si="29"/>
        <v>1</v>
      </c>
      <c r="G84" s="7">
        <f t="shared" si="30"/>
        <v>0</v>
      </c>
      <c r="H84" s="1">
        <f t="shared" si="36"/>
        <v>0</v>
      </c>
      <c r="I84" s="1">
        <f t="shared" si="37"/>
        <v>0</v>
      </c>
      <c r="J84" s="1">
        <f t="shared" si="38"/>
        <v>1</v>
      </c>
      <c r="K84" s="1">
        <f t="shared" si="39"/>
        <v>0</v>
      </c>
      <c r="L84" s="1" t="str">
        <f t="shared" si="31"/>
        <v>紧货币紧信用</v>
      </c>
      <c r="O84" s="51">
        <v>43616</v>
      </c>
      <c r="P84" s="60">
        <v>2.906571428571429</v>
      </c>
      <c r="R84" s="14">
        <v>39691</v>
      </c>
      <c r="S84" s="15">
        <v>4575</v>
      </c>
      <c r="T84" s="55">
        <f t="shared" si="32"/>
        <v>91.5</v>
      </c>
      <c r="U84" s="63">
        <f t="shared" si="33"/>
        <v>4666.5</v>
      </c>
      <c r="V84" s="63">
        <f t="shared" si="40"/>
        <v>76772.789999999994</v>
      </c>
      <c r="W84" s="64">
        <f t="shared" si="34"/>
        <v>300922.7</v>
      </c>
      <c r="X84" s="65">
        <f t="shared" si="41"/>
        <v>25.512462170517541</v>
      </c>
      <c r="Y84" s="64"/>
      <c r="Z84" s="70">
        <v>42400</v>
      </c>
      <c r="AA84" s="68">
        <v>850</v>
      </c>
      <c r="AB84" s="68"/>
      <c r="AC84" s="71">
        <v>41182</v>
      </c>
      <c r="AD84" s="15">
        <v>533403</v>
      </c>
      <c r="AG84" s="16"/>
      <c r="AH84" s="17"/>
      <c r="AI84" s="17"/>
      <c r="AJ84" s="17"/>
      <c r="AK84" s="17"/>
      <c r="AL84" s="17"/>
      <c r="AM84" s="17"/>
      <c r="AN84" s="17"/>
      <c r="AO84" s="17"/>
    </row>
    <row r="85" spans="1:41" x14ac:dyDescent="0.3">
      <c r="A85" s="8">
        <f t="shared" si="35"/>
        <v>43555</v>
      </c>
      <c r="B85" s="9">
        <f t="shared" si="25"/>
        <v>2.7906428571428572</v>
      </c>
      <c r="C85" s="9">
        <f t="shared" si="26"/>
        <v>26.310619338263102</v>
      </c>
      <c r="D85" s="7">
        <f t="shared" si="27"/>
        <v>1</v>
      </c>
      <c r="E85" s="7">
        <f t="shared" si="28"/>
        <v>0</v>
      </c>
      <c r="F85" s="7">
        <f t="shared" si="29"/>
        <v>0</v>
      </c>
      <c r="G85" s="7">
        <f t="shared" si="30"/>
        <v>1</v>
      </c>
      <c r="H85" s="1">
        <f t="shared" si="36"/>
        <v>0</v>
      </c>
      <c r="I85" s="1">
        <f t="shared" si="37"/>
        <v>1</v>
      </c>
      <c r="J85" s="1">
        <f t="shared" si="38"/>
        <v>0</v>
      </c>
      <c r="K85" s="1">
        <f t="shared" si="39"/>
        <v>0</v>
      </c>
      <c r="L85" s="1" t="str">
        <f t="shared" si="31"/>
        <v>宽货币宽信用</v>
      </c>
      <c r="O85" s="51">
        <v>43585</v>
      </c>
      <c r="P85" s="60">
        <v>2.8130454545454548</v>
      </c>
      <c r="R85" s="14">
        <v>39721</v>
      </c>
      <c r="S85" s="15">
        <v>5659</v>
      </c>
      <c r="T85" s="55">
        <f t="shared" si="32"/>
        <v>-316.5</v>
      </c>
      <c r="U85" s="63">
        <f t="shared" si="33"/>
        <v>5342.5</v>
      </c>
      <c r="V85" s="63">
        <f t="shared" si="40"/>
        <v>75967.59</v>
      </c>
      <c r="W85" s="64">
        <f t="shared" si="34"/>
        <v>314096.90000000002</v>
      </c>
      <c r="X85" s="65">
        <f t="shared" si="41"/>
        <v>24.186036220032733</v>
      </c>
      <c r="Y85" s="64"/>
      <c r="Z85" s="70">
        <v>42369</v>
      </c>
      <c r="AA85" s="68">
        <v>1948.6978999999999</v>
      </c>
      <c r="AB85" s="68"/>
      <c r="AC85" s="71">
        <v>41274</v>
      </c>
      <c r="AD85" s="15">
        <v>547510.69999999995</v>
      </c>
      <c r="AG85" s="16"/>
      <c r="AH85" s="17"/>
      <c r="AI85" s="17"/>
      <c r="AJ85" s="17"/>
      <c r="AK85" s="17"/>
      <c r="AL85" s="17"/>
      <c r="AM85" s="17"/>
      <c r="AN85" s="17"/>
      <c r="AO85" s="17"/>
    </row>
    <row r="86" spans="1:41" x14ac:dyDescent="0.3">
      <c r="A86" s="8">
        <f t="shared" si="35"/>
        <v>43524</v>
      </c>
      <c r="B86" s="9">
        <f t="shared" si="25"/>
        <v>2.8118235294117651</v>
      </c>
      <c r="C86" s="9">
        <f t="shared" si="26"/>
        <v>25.415842794324551</v>
      </c>
      <c r="D86" s="7">
        <f t="shared" si="27"/>
        <v>0</v>
      </c>
      <c r="E86" s="7">
        <f t="shared" si="28"/>
        <v>1</v>
      </c>
      <c r="F86" s="7">
        <f t="shared" si="29"/>
        <v>0</v>
      </c>
      <c r="G86" s="7">
        <f t="shared" si="30"/>
        <v>1</v>
      </c>
      <c r="H86" s="1">
        <f t="shared" si="36"/>
        <v>1</v>
      </c>
      <c r="I86" s="1">
        <f t="shared" si="37"/>
        <v>0</v>
      </c>
      <c r="J86" s="1">
        <f t="shared" si="38"/>
        <v>0</v>
      </c>
      <c r="K86" s="1">
        <f t="shared" si="39"/>
        <v>0</v>
      </c>
      <c r="L86" s="1" t="str">
        <f t="shared" si="31"/>
        <v>宽货币紧信用</v>
      </c>
      <c r="O86" s="51">
        <v>43555</v>
      </c>
      <c r="P86" s="60">
        <v>2.7906428571428572</v>
      </c>
      <c r="R86" s="14">
        <v>39752</v>
      </c>
      <c r="S86" s="15">
        <v>1288</v>
      </c>
      <c r="T86" s="55">
        <f t="shared" si="32"/>
        <v>323.8</v>
      </c>
      <c r="U86" s="63">
        <f t="shared" si="33"/>
        <v>1611.8</v>
      </c>
      <c r="V86" s="63">
        <f t="shared" si="40"/>
        <v>73679.59</v>
      </c>
      <c r="W86" s="64">
        <f t="shared" si="34"/>
        <v>314096.90000000002</v>
      </c>
      <c r="X86" s="65">
        <f t="shared" si="41"/>
        <v>23.457598594573838</v>
      </c>
      <c r="Y86" s="64"/>
      <c r="Z86" s="70">
        <v>42338</v>
      </c>
      <c r="AA86" s="68">
        <v>9400.2369999999992</v>
      </c>
      <c r="AB86" s="68"/>
      <c r="AC86" s="71">
        <v>41364</v>
      </c>
      <c r="AD86" s="15">
        <v>560012.9</v>
      </c>
      <c r="AG86" s="16"/>
      <c r="AH86" s="17"/>
      <c r="AI86" s="17"/>
      <c r="AJ86" s="17"/>
      <c r="AK86" s="17"/>
      <c r="AL86" s="17"/>
      <c r="AM86" s="17"/>
      <c r="AN86" s="17"/>
      <c r="AO86" s="17"/>
    </row>
    <row r="87" spans="1:41" x14ac:dyDescent="0.3">
      <c r="A87" s="8">
        <f t="shared" si="35"/>
        <v>43496</v>
      </c>
      <c r="B87" s="9">
        <f t="shared" si="25"/>
        <v>2.998409090909091</v>
      </c>
      <c r="C87" s="9">
        <f t="shared" si="26"/>
        <v>25.672171357445823</v>
      </c>
      <c r="D87" s="7">
        <f t="shared" si="27"/>
        <v>1</v>
      </c>
      <c r="E87" s="7">
        <f t="shared" si="28"/>
        <v>0</v>
      </c>
      <c r="F87" s="7">
        <f t="shared" si="29"/>
        <v>0</v>
      </c>
      <c r="G87" s="7">
        <f t="shared" si="30"/>
        <v>1</v>
      </c>
      <c r="H87" s="1">
        <f t="shared" si="36"/>
        <v>0</v>
      </c>
      <c r="I87" s="1">
        <f t="shared" si="37"/>
        <v>1</v>
      </c>
      <c r="J87" s="1">
        <f t="shared" si="38"/>
        <v>0</v>
      </c>
      <c r="K87" s="1">
        <f t="shared" si="39"/>
        <v>0</v>
      </c>
      <c r="L87" s="1" t="str">
        <f t="shared" si="31"/>
        <v>宽货币宽信用</v>
      </c>
      <c r="O87" s="51">
        <v>43524</v>
      </c>
      <c r="P87" s="60">
        <v>2.8118235294117651</v>
      </c>
      <c r="R87" s="14">
        <v>39782</v>
      </c>
      <c r="S87" s="15">
        <v>4517</v>
      </c>
      <c r="T87" s="55">
        <f t="shared" si="32"/>
        <v>705</v>
      </c>
      <c r="U87" s="63">
        <f t="shared" si="33"/>
        <v>5222</v>
      </c>
      <c r="V87" s="63">
        <f t="shared" si="40"/>
        <v>75068.59</v>
      </c>
      <c r="W87" s="64">
        <f t="shared" si="34"/>
        <v>314096.90000000002</v>
      </c>
      <c r="X87" s="65">
        <f t="shared" si="41"/>
        <v>23.899818813875587</v>
      </c>
      <c r="Y87" s="64"/>
      <c r="Z87" s="70">
        <v>42308</v>
      </c>
      <c r="AA87" s="68">
        <v>5917.9063999999998</v>
      </c>
      <c r="AB87" s="68"/>
      <c r="AC87" s="71">
        <v>41455</v>
      </c>
      <c r="AD87" s="15">
        <v>572635.6</v>
      </c>
      <c r="AG87" s="16"/>
      <c r="AH87" s="17"/>
      <c r="AI87" s="17"/>
      <c r="AJ87" s="17"/>
      <c r="AK87" s="17"/>
      <c r="AL87" s="17"/>
      <c r="AM87" s="17"/>
      <c r="AN87" s="17"/>
      <c r="AO87" s="17"/>
    </row>
    <row r="88" spans="1:41" x14ac:dyDescent="0.3">
      <c r="A88" s="8">
        <f t="shared" si="35"/>
        <v>43465</v>
      </c>
      <c r="B88" s="9">
        <f t="shared" si="25"/>
        <v>3.1983333333333328</v>
      </c>
      <c r="C88" s="9">
        <f t="shared" si="26"/>
        <v>24.029676397722628</v>
      </c>
      <c r="D88" s="7">
        <f t="shared" si="27"/>
        <v>0</v>
      </c>
      <c r="E88" s="7">
        <f t="shared" si="28"/>
        <v>1</v>
      </c>
      <c r="F88" s="7">
        <f t="shared" si="29"/>
        <v>1</v>
      </c>
      <c r="G88" s="7">
        <f t="shared" si="30"/>
        <v>0</v>
      </c>
      <c r="H88" s="1">
        <f t="shared" si="36"/>
        <v>0</v>
      </c>
      <c r="I88" s="1">
        <f t="shared" si="37"/>
        <v>0</v>
      </c>
      <c r="J88" s="1">
        <f t="shared" si="38"/>
        <v>1</v>
      </c>
      <c r="K88" s="1">
        <f t="shared" si="39"/>
        <v>0</v>
      </c>
      <c r="L88" s="1" t="str">
        <f t="shared" si="31"/>
        <v>紧货币紧信用</v>
      </c>
      <c r="O88" s="51">
        <v>43496</v>
      </c>
      <c r="P88" s="60">
        <v>2.998409090909091</v>
      </c>
      <c r="R88" s="14">
        <v>39813</v>
      </c>
      <c r="S88" s="15">
        <v>8164</v>
      </c>
      <c r="T88" s="55">
        <f t="shared" si="32"/>
        <v>-208.1</v>
      </c>
      <c r="U88" s="63">
        <f t="shared" si="33"/>
        <v>7955.9</v>
      </c>
      <c r="V88" s="63">
        <f t="shared" si="40"/>
        <v>70986.210000000006</v>
      </c>
      <c r="W88" s="64">
        <f t="shared" si="34"/>
        <v>324317.90000000002</v>
      </c>
      <c r="X88" s="65">
        <f t="shared" si="41"/>
        <v>21.88784831179531</v>
      </c>
      <c r="Y88" s="64"/>
      <c r="Z88" s="70">
        <v>42277</v>
      </c>
      <c r="AA88" s="68">
        <v>6576.4242999999997</v>
      </c>
      <c r="AB88" s="68"/>
      <c r="AC88" s="71">
        <v>41547</v>
      </c>
      <c r="AD88" s="15">
        <v>587223.69999999995</v>
      </c>
      <c r="AG88" s="16"/>
      <c r="AH88" s="17"/>
      <c r="AI88" s="17"/>
      <c r="AJ88" s="17"/>
      <c r="AK88" s="17"/>
      <c r="AL88" s="17"/>
      <c r="AM88" s="17"/>
      <c r="AN88" s="17"/>
      <c r="AO88" s="17"/>
    </row>
    <row r="89" spans="1:41" x14ac:dyDescent="0.3">
      <c r="A89" s="8">
        <f t="shared" si="35"/>
        <v>43434</v>
      </c>
      <c r="B89" s="9">
        <f t="shared" si="25"/>
        <v>3.0350181818181818</v>
      </c>
      <c r="C89" s="9">
        <f t="shared" si="26"/>
        <v>24.522766707835391</v>
      </c>
      <c r="D89" s="7">
        <f t="shared" si="27"/>
        <v>0</v>
      </c>
      <c r="E89" s="7">
        <f t="shared" si="28"/>
        <v>1</v>
      </c>
      <c r="F89" s="7">
        <f t="shared" si="29"/>
        <v>1</v>
      </c>
      <c r="G89" s="7">
        <f t="shared" si="30"/>
        <v>0</v>
      </c>
      <c r="H89" s="1">
        <f t="shared" si="36"/>
        <v>0</v>
      </c>
      <c r="I89" s="1">
        <f t="shared" si="37"/>
        <v>0</v>
      </c>
      <c r="J89" s="1">
        <f t="shared" si="38"/>
        <v>1</v>
      </c>
      <c r="K89" s="1">
        <f t="shared" si="39"/>
        <v>0</v>
      </c>
      <c r="L89" s="1" t="str">
        <f t="shared" si="31"/>
        <v>紧货币紧信用</v>
      </c>
      <c r="O89" s="51">
        <v>43465</v>
      </c>
      <c r="P89" s="60">
        <v>3.1983333333333328</v>
      </c>
      <c r="R89" s="14">
        <v>39844</v>
      </c>
      <c r="S89" s="15">
        <v>13990</v>
      </c>
      <c r="T89" s="55">
        <f t="shared" si="32"/>
        <v>0</v>
      </c>
      <c r="U89" s="63">
        <f t="shared" si="33"/>
        <v>13990</v>
      </c>
      <c r="V89" s="63">
        <f t="shared" si="40"/>
        <v>74397.210000000006</v>
      </c>
      <c r="W89" s="64">
        <f t="shared" si="34"/>
        <v>324317.90000000002</v>
      </c>
      <c r="X89" s="65">
        <f t="shared" si="41"/>
        <v>22.939594145127359</v>
      </c>
      <c r="Y89" s="64"/>
      <c r="Z89" s="70">
        <v>42247</v>
      </c>
      <c r="AA89" s="68">
        <v>5368.0960999999998</v>
      </c>
      <c r="AB89" s="68"/>
      <c r="AC89" s="71">
        <v>41639</v>
      </c>
      <c r="AD89" s="15">
        <v>603660.4</v>
      </c>
      <c r="AG89" s="16"/>
      <c r="AH89" s="17"/>
      <c r="AI89" s="17"/>
      <c r="AJ89" s="17"/>
      <c r="AK89" s="17"/>
      <c r="AL89" s="17"/>
      <c r="AM89" s="17"/>
      <c r="AN89" s="17"/>
      <c r="AO89" s="17"/>
    </row>
    <row r="90" spans="1:41" x14ac:dyDescent="0.3">
      <c r="A90" s="8">
        <f t="shared" si="35"/>
        <v>43404</v>
      </c>
      <c r="B90" s="9">
        <f t="shared" si="25"/>
        <v>2.8684444444444441</v>
      </c>
      <c r="C90" s="9">
        <f t="shared" si="26"/>
        <v>25.27132526343032</v>
      </c>
      <c r="D90" s="7">
        <f t="shared" si="27"/>
        <v>0</v>
      </c>
      <c r="E90" s="7">
        <f t="shared" si="28"/>
        <v>1</v>
      </c>
      <c r="F90" s="7">
        <f t="shared" si="29"/>
        <v>1</v>
      </c>
      <c r="G90" s="7">
        <f t="shared" si="30"/>
        <v>0</v>
      </c>
      <c r="H90" s="1">
        <f t="shared" si="36"/>
        <v>0</v>
      </c>
      <c r="I90" s="1">
        <f t="shared" si="37"/>
        <v>0</v>
      </c>
      <c r="J90" s="1">
        <f t="shared" si="38"/>
        <v>1</v>
      </c>
      <c r="K90" s="1">
        <f t="shared" si="39"/>
        <v>0</v>
      </c>
      <c r="L90" s="1" t="str">
        <f t="shared" si="31"/>
        <v>紧货币紧信用</v>
      </c>
      <c r="O90" s="51">
        <v>43434</v>
      </c>
      <c r="P90" s="60">
        <v>3.0350181818181818</v>
      </c>
      <c r="R90" s="14">
        <v>39872</v>
      </c>
      <c r="S90" s="15">
        <v>11131</v>
      </c>
      <c r="T90" s="55">
        <f t="shared" si="32"/>
        <v>-10.7</v>
      </c>
      <c r="U90" s="63">
        <f t="shared" si="33"/>
        <v>11120.3</v>
      </c>
      <c r="V90" s="63">
        <f t="shared" si="40"/>
        <v>80516.810000000012</v>
      </c>
      <c r="W90" s="64">
        <f t="shared" si="34"/>
        <v>324317.90000000002</v>
      </c>
      <c r="X90" s="65">
        <f t="shared" si="41"/>
        <v>24.826508188416369</v>
      </c>
      <c r="Y90" s="64"/>
      <c r="Z90" s="70">
        <v>42216</v>
      </c>
      <c r="AA90" s="68">
        <v>6643.5136000000002</v>
      </c>
      <c r="AB90" s="68"/>
      <c r="AC90" s="71">
        <v>41729</v>
      </c>
      <c r="AD90" s="15">
        <v>615320.1</v>
      </c>
      <c r="AG90" s="16"/>
      <c r="AH90" s="17"/>
      <c r="AI90" s="17"/>
      <c r="AJ90" s="17"/>
      <c r="AK90" s="17"/>
      <c r="AL90" s="17"/>
      <c r="AM90" s="17"/>
      <c r="AN90" s="17"/>
      <c r="AO90" s="17"/>
    </row>
    <row r="91" spans="1:41" x14ac:dyDescent="0.3">
      <c r="A91" s="8">
        <f t="shared" si="35"/>
        <v>43373</v>
      </c>
      <c r="B91" s="9">
        <f t="shared" si="25"/>
        <v>2.8399047619047622</v>
      </c>
      <c r="C91" s="9">
        <f t="shared" si="26"/>
        <v>25.964475669766397</v>
      </c>
      <c r="D91" s="7">
        <f t="shared" si="27"/>
        <v>0</v>
      </c>
      <c r="E91" s="7">
        <f t="shared" si="28"/>
        <v>1</v>
      </c>
      <c r="F91" s="7">
        <f t="shared" si="29"/>
        <v>0</v>
      </c>
      <c r="G91" s="7">
        <f t="shared" si="30"/>
        <v>1</v>
      </c>
      <c r="H91" s="1">
        <f t="shared" si="36"/>
        <v>1</v>
      </c>
      <c r="I91" s="1">
        <f t="shared" si="37"/>
        <v>0</v>
      </c>
      <c r="J91" s="1">
        <f t="shared" si="38"/>
        <v>0</v>
      </c>
      <c r="K91" s="1">
        <f t="shared" si="39"/>
        <v>0</v>
      </c>
      <c r="L91" s="1" t="str">
        <f t="shared" si="31"/>
        <v>宽货币紧信用</v>
      </c>
      <c r="O91" s="51">
        <v>43404</v>
      </c>
      <c r="P91" s="60">
        <v>2.8684444444444441</v>
      </c>
      <c r="R91" s="14">
        <v>39903</v>
      </c>
      <c r="S91" s="15">
        <v>22011</v>
      </c>
      <c r="T91" s="55">
        <f t="shared" si="32"/>
        <v>75</v>
      </c>
      <c r="U91" s="63">
        <f t="shared" si="33"/>
        <v>22086</v>
      </c>
      <c r="V91" s="63">
        <f t="shared" si="40"/>
        <v>96437.41</v>
      </c>
      <c r="W91" s="64">
        <f t="shared" si="34"/>
        <v>329049.59999999998</v>
      </c>
      <c r="X91" s="65">
        <f t="shared" si="41"/>
        <v>29.307864224724788</v>
      </c>
      <c r="Y91" s="64"/>
      <c r="Z91" s="70">
        <v>42185</v>
      </c>
      <c r="AA91" s="68">
        <v>8221.1597999999994</v>
      </c>
      <c r="AB91" s="68"/>
      <c r="AC91" s="71">
        <v>41820</v>
      </c>
      <c r="AD91" s="15">
        <v>628668.6</v>
      </c>
      <c r="AG91" s="16"/>
      <c r="AH91" s="17"/>
      <c r="AI91" s="17"/>
      <c r="AJ91" s="17"/>
      <c r="AK91" s="17"/>
      <c r="AL91" s="17"/>
      <c r="AM91" s="17"/>
      <c r="AN91" s="17"/>
      <c r="AO91" s="17"/>
    </row>
    <row r="92" spans="1:41" x14ac:dyDescent="0.3">
      <c r="A92" s="8">
        <f t="shared" si="35"/>
        <v>43343</v>
      </c>
      <c r="B92" s="9">
        <f t="shared" si="25"/>
        <v>2.8839999999999999</v>
      </c>
      <c r="C92" s="9">
        <f t="shared" si="26"/>
        <v>26.874398078296551</v>
      </c>
      <c r="D92" s="7">
        <f t="shared" si="27"/>
        <v>1</v>
      </c>
      <c r="E92" s="7">
        <f t="shared" si="28"/>
        <v>0</v>
      </c>
      <c r="F92" s="7">
        <f t="shared" si="29"/>
        <v>0</v>
      </c>
      <c r="G92" s="7">
        <f t="shared" si="30"/>
        <v>1</v>
      </c>
      <c r="H92" s="1">
        <f t="shared" si="36"/>
        <v>0</v>
      </c>
      <c r="I92" s="1">
        <f t="shared" si="37"/>
        <v>1</v>
      </c>
      <c r="J92" s="1">
        <f t="shared" si="38"/>
        <v>0</v>
      </c>
      <c r="K92" s="1">
        <f t="shared" si="39"/>
        <v>0</v>
      </c>
      <c r="L92" s="1" t="str">
        <f t="shared" si="31"/>
        <v>宽货币宽信用</v>
      </c>
      <c r="O92" s="51">
        <v>43373</v>
      </c>
      <c r="P92" s="60">
        <v>2.8399047619047622</v>
      </c>
      <c r="R92" s="14">
        <v>39933</v>
      </c>
      <c r="S92" s="15">
        <v>5452</v>
      </c>
      <c r="T92" s="55">
        <f t="shared" si="32"/>
        <v>579.11</v>
      </c>
      <c r="U92" s="63">
        <f t="shared" si="33"/>
        <v>6031.11</v>
      </c>
      <c r="V92" s="63">
        <f t="shared" si="40"/>
        <v>95526.819999999992</v>
      </c>
      <c r="W92" s="64">
        <f t="shared" si="34"/>
        <v>329049.59999999998</v>
      </c>
      <c r="X92" s="65">
        <f t="shared" si="41"/>
        <v>29.031130869024004</v>
      </c>
      <c r="Y92" s="64"/>
      <c r="Z92" s="70">
        <v>42155</v>
      </c>
      <c r="AA92" s="68">
        <v>2574.5</v>
      </c>
      <c r="AB92" s="68"/>
      <c r="AC92" s="71">
        <v>41912</v>
      </c>
      <c r="AD92" s="15">
        <v>642298.19999999995</v>
      </c>
      <c r="AG92" s="16"/>
      <c r="AH92" s="17"/>
      <c r="AI92" s="17"/>
      <c r="AJ92" s="17"/>
      <c r="AK92" s="17"/>
      <c r="AL92" s="17"/>
      <c r="AM92" s="17"/>
      <c r="AN92" s="17"/>
      <c r="AO92" s="17"/>
    </row>
    <row r="93" spans="1:41" x14ac:dyDescent="0.3">
      <c r="A93" s="8">
        <f t="shared" si="35"/>
        <v>43312</v>
      </c>
      <c r="B93" s="9">
        <f t="shared" si="25"/>
        <v>3.597336363636364</v>
      </c>
      <c r="C93" s="9">
        <f t="shared" si="26"/>
        <v>26.470819327366719</v>
      </c>
      <c r="D93" s="7">
        <f t="shared" si="27"/>
        <v>0</v>
      </c>
      <c r="E93" s="7">
        <f t="shared" si="28"/>
        <v>1</v>
      </c>
      <c r="F93" s="7">
        <f t="shared" si="29"/>
        <v>0</v>
      </c>
      <c r="G93" s="7">
        <f t="shared" si="30"/>
        <v>1</v>
      </c>
      <c r="H93" s="1">
        <f t="shared" si="36"/>
        <v>1</v>
      </c>
      <c r="I93" s="1">
        <f t="shared" si="37"/>
        <v>0</v>
      </c>
      <c r="J93" s="1">
        <f t="shared" si="38"/>
        <v>0</v>
      </c>
      <c r="K93" s="1">
        <f t="shared" si="39"/>
        <v>0</v>
      </c>
      <c r="L93" s="1" t="str">
        <f t="shared" si="31"/>
        <v>宽货币紧信用</v>
      </c>
      <c r="O93" s="51">
        <v>43343</v>
      </c>
      <c r="P93" s="60">
        <v>2.8839999999999999</v>
      </c>
      <c r="R93" s="14">
        <v>39964</v>
      </c>
      <c r="S93" s="15">
        <v>14959</v>
      </c>
      <c r="T93" s="55">
        <f t="shared" si="32"/>
        <v>2240.5</v>
      </c>
      <c r="U93" s="63">
        <f t="shared" si="33"/>
        <v>17199.5</v>
      </c>
      <c r="V93" s="63">
        <f t="shared" si="40"/>
        <v>106323.61</v>
      </c>
      <c r="W93" s="64">
        <f t="shared" si="34"/>
        <v>329049.59999999998</v>
      </c>
      <c r="X93" s="65">
        <f t="shared" si="41"/>
        <v>32.312335283191352</v>
      </c>
      <c r="Y93" s="64"/>
      <c r="Z93" s="70">
        <v>42124</v>
      </c>
      <c r="AA93" s="68">
        <v>825.5</v>
      </c>
      <c r="AB93" s="68"/>
      <c r="AC93" s="71">
        <v>42004</v>
      </c>
      <c r="AD93" s="15">
        <v>655782.9</v>
      </c>
      <c r="AG93" s="16"/>
      <c r="AH93" s="17"/>
      <c r="AI93" s="17"/>
      <c r="AJ93" s="17"/>
      <c r="AK93" s="17"/>
      <c r="AL93" s="17"/>
      <c r="AM93" s="17"/>
      <c r="AN93" s="17"/>
      <c r="AO93" s="17"/>
    </row>
    <row r="94" spans="1:41" x14ac:dyDescent="0.3">
      <c r="A94" s="8">
        <f t="shared" si="35"/>
        <v>43281</v>
      </c>
      <c r="B94" s="9">
        <f t="shared" si="25"/>
        <v>4.3137999999999996</v>
      </c>
      <c r="C94" s="9">
        <f t="shared" si="26"/>
        <v>26.78604058948984</v>
      </c>
      <c r="D94" s="7">
        <f t="shared" si="27"/>
        <v>0</v>
      </c>
      <c r="E94" s="7">
        <f t="shared" si="28"/>
        <v>1</v>
      </c>
      <c r="F94" s="7">
        <f t="shared" si="29"/>
        <v>1</v>
      </c>
      <c r="G94" s="7">
        <f t="shared" si="30"/>
        <v>0</v>
      </c>
      <c r="H94" s="1">
        <f t="shared" si="36"/>
        <v>0</v>
      </c>
      <c r="I94" s="1">
        <f t="shared" si="37"/>
        <v>0</v>
      </c>
      <c r="J94" s="1">
        <f t="shared" si="38"/>
        <v>1</v>
      </c>
      <c r="K94" s="1">
        <f t="shared" si="39"/>
        <v>0</v>
      </c>
      <c r="L94" s="1" t="str">
        <f t="shared" si="31"/>
        <v>紧货币紧信用</v>
      </c>
      <c r="O94" s="51">
        <v>43312</v>
      </c>
      <c r="P94" s="60">
        <v>3.597336363636364</v>
      </c>
      <c r="R94" s="14">
        <v>39994</v>
      </c>
      <c r="S94" s="15">
        <v>21067</v>
      </c>
      <c r="T94" s="55">
        <f t="shared" si="32"/>
        <v>1783.64</v>
      </c>
      <c r="U94" s="63">
        <f t="shared" si="33"/>
        <v>22850.639999999999</v>
      </c>
      <c r="V94" s="63">
        <f t="shared" si="40"/>
        <v>123212.15</v>
      </c>
      <c r="W94" s="64">
        <f t="shared" si="34"/>
        <v>334440.2</v>
      </c>
      <c r="X94" s="65">
        <f t="shared" si="41"/>
        <v>36.841309746854591</v>
      </c>
      <c r="Y94" s="64"/>
      <c r="Z94" s="70">
        <v>42094</v>
      </c>
      <c r="AA94" s="68">
        <v>450</v>
      </c>
      <c r="AB94" s="68"/>
      <c r="AC94" s="71">
        <v>42094</v>
      </c>
      <c r="AD94" s="15">
        <v>666414.9</v>
      </c>
      <c r="AG94" s="16"/>
      <c r="AH94" s="17"/>
      <c r="AI94" s="17"/>
      <c r="AJ94" s="17"/>
      <c r="AK94" s="17"/>
      <c r="AL94" s="17"/>
      <c r="AM94" s="17"/>
      <c r="AN94" s="17"/>
      <c r="AO94" s="17"/>
    </row>
    <row r="95" spans="1:41" x14ac:dyDescent="0.3">
      <c r="A95" s="8">
        <f t="shared" si="35"/>
        <v>43251</v>
      </c>
      <c r="B95" s="9">
        <f t="shared" si="25"/>
        <v>4.118122727272727</v>
      </c>
      <c r="C95" s="9">
        <f t="shared" si="26"/>
        <v>28.111947978541764</v>
      </c>
      <c r="D95" s="7">
        <f t="shared" si="27"/>
        <v>0</v>
      </c>
      <c r="E95" s="7">
        <f t="shared" si="28"/>
        <v>1</v>
      </c>
      <c r="F95" s="7">
        <f t="shared" si="29"/>
        <v>0</v>
      </c>
      <c r="G95" s="7">
        <f t="shared" si="30"/>
        <v>1</v>
      </c>
      <c r="H95" s="1">
        <f t="shared" si="36"/>
        <v>1</v>
      </c>
      <c r="I95" s="1">
        <f t="shared" si="37"/>
        <v>0</v>
      </c>
      <c r="J95" s="1">
        <f t="shared" si="38"/>
        <v>0</v>
      </c>
      <c r="K95" s="1">
        <f t="shared" si="39"/>
        <v>0</v>
      </c>
      <c r="L95" s="1" t="str">
        <f t="shared" si="31"/>
        <v>宽货币紧信用</v>
      </c>
      <c r="O95" s="51">
        <v>43281</v>
      </c>
      <c r="P95" s="60">
        <v>4.3137999999999996</v>
      </c>
      <c r="R95" s="14">
        <v>40025</v>
      </c>
      <c r="S95" s="15">
        <v>7388</v>
      </c>
      <c r="T95" s="55">
        <f t="shared" si="32"/>
        <v>1525</v>
      </c>
      <c r="U95" s="63">
        <f t="shared" si="33"/>
        <v>8913</v>
      </c>
      <c r="V95" s="63">
        <f t="shared" si="40"/>
        <v>126989.25</v>
      </c>
      <c r="W95" s="64">
        <f t="shared" si="34"/>
        <v>334440.2</v>
      </c>
      <c r="X95" s="65">
        <f t="shared" si="41"/>
        <v>37.970689528352153</v>
      </c>
      <c r="Y95" s="64"/>
      <c r="Z95" s="70">
        <v>42063</v>
      </c>
      <c r="AA95" s="68">
        <v>-489.7</v>
      </c>
      <c r="AB95" s="68"/>
      <c r="AC95" s="71">
        <v>42185</v>
      </c>
      <c r="AD95" s="15">
        <v>678839.5</v>
      </c>
      <c r="AG95" s="16"/>
      <c r="AH95" s="17"/>
      <c r="AI95" s="17"/>
      <c r="AJ95" s="17"/>
      <c r="AK95" s="17"/>
      <c r="AL95" s="17"/>
      <c r="AM95" s="17"/>
      <c r="AN95" s="17"/>
      <c r="AO95" s="17"/>
    </row>
    <row r="96" spans="1:41" x14ac:dyDescent="0.3">
      <c r="A96" s="8">
        <f t="shared" si="35"/>
        <v>43220</v>
      </c>
      <c r="B96" s="9">
        <f t="shared" si="25"/>
        <v>4.1458950000000003</v>
      </c>
      <c r="C96" s="9">
        <f t="shared" si="26"/>
        <v>28.869930980321573</v>
      </c>
      <c r="D96" s="7">
        <f t="shared" si="27"/>
        <v>1</v>
      </c>
      <c r="E96" s="7">
        <f t="shared" si="28"/>
        <v>0</v>
      </c>
      <c r="F96" s="7">
        <f t="shared" si="29"/>
        <v>0</v>
      </c>
      <c r="G96" s="7">
        <f t="shared" si="30"/>
        <v>1</v>
      </c>
      <c r="H96" s="1">
        <f t="shared" si="36"/>
        <v>0</v>
      </c>
      <c r="I96" s="1">
        <f t="shared" si="37"/>
        <v>1</v>
      </c>
      <c r="J96" s="1">
        <f t="shared" si="38"/>
        <v>0</v>
      </c>
      <c r="K96" s="1">
        <f t="shared" si="39"/>
        <v>0</v>
      </c>
      <c r="L96" s="1" t="str">
        <f t="shared" si="31"/>
        <v>宽货币宽信用</v>
      </c>
      <c r="O96" s="51">
        <v>43251</v>
      </c>
      <c r="P96" s="60">
        <v>4.118122727272727</v>
      </c>
      <c r="R96" s="14">
        <v>40056</v>
      </c>
      <c r="S96" s="15">
        <v>7650</v>
      </c>
      <c r="T96" s="55">
        <f t="shared" si="32"/>
        <v>1015.1</v>
      </c>
      <c r="U96" s="63">
        <f t="shared" si="33"/>
        <v>8665.1</v>
      </c>
      <c r="V96" s="63">
        <f t="shared" si="40"/>
        <v>130987.85</v>
      </c>
      <c r="W96" s="64">
        <f t="shared" si="34"/>
        <v>334440.2</v>
      </c>
      <c r="X96" s="65">
        <f t="shared" si="41"/>
        <v>39.16629938625799</v>
      </c>
      <c r="Y96" s="64"/>
      <c r="Z96" s="70">
        <v>42035</v>
      </c>
      <c r="AA96" s="68">
        <v>-100</v>
      </c>
      <c r="AB96" s="68"/>
      <c r="AC96" s="71">
        <v>42277</v>
      </c>
      <c r="AD96" s="15">
        <v>690356.5</v>
      </c>
      <c r="AG96" s="16"/>
      <c r="AH96" s="17"/>
      <c r="AI96" s="17"/>
      <c r="AJ96" s="17"/>
      <c r="AK96" s="17"/>
      <c r="AL96" s="17"/>
      <c r="AM96" s="17"/>
      <c r="AN96" s="17"/>
      <c r="AO96" s="17"/>
    </row>
    <row r="97" spans="1:41" x14ac:dyDescent="0.3">
      <c r="A97" s="8">
        <f t="shared" si="35"/>
        <v>43190</v>
      </c>
      <c r="B97" s="9">
        <f t="shared" si="25"/>
        <v>4.6795636363636364</v>
      </c>
      <c r="C97" s="9">
        <f t="shared" si="26"/>
        <v>28.560656802295526</v>
      </c>
      <c r="D97" s="7">
        <f t="shared" si="27"/>
        <v>0</v>
      </c>
      <c r="E97" s="7">
        <f t="shared" si="28"/>
        <v>1</v>
      </c>
      <c r="F97" s="7">
        <f t="shared" si="29"/>
        <v>0</v>
      </c>
      <c r="G97" s="7">
        <f t="shared" si="30"/>
        <v>1</v>
      </c>
      <c r="H97" s="1">
        <f t="shared" si="36"/>
        <v>1</v>
      </c>
      <c r="I97" s="1">
        <f t="shared" si="37"/>
        <v>0</v>
      </c>
      <c r="J97" s="1">
        <f t="shared" si="38"/>
        <v>0</v>
      </c>
      <c r="K97" s="1">
        <f t="shared" si="39"/>
        <v>0</v>
      </c>
      <c r="L97" s="1" t="str">
        <f t="shared" si="31"/>
        <v>宽货币紧信用</v>
      </c>
      <c r="O97" s="51">
        <v>43220</v>
      </c>
      <c r="P97" s="60">
        <v>4.1458950000000003</v>
      </c>
      <c r="R97" s="14">
        <v>40086</v>
      </c>
      <c r="S97" s="15">
        <v>11871</v>
      </c>
      <c r="T97" s="55">
        <f t="shared" si="32"/>
        <v>358.5</v>
      </c>
      <c r="U97" s="63">
        <f t="shared" si="33"/>
        <v>12229.5</v>
      </c>
      <c r="V97" s="63">
        <f t="shared" si="40"/>
        <v>137874.85</v>
      </c>
      <c r="W97" s="64">
        <f t="shared" si="34"/>
        <v>342101.9</v>
      </c>
      <c r="X97" s="65">
        <f t="shared" si="41"/>
        <v>40.30227543313849</v>
      </c>
      <c r="Y97" s="64"/>
      <c r="Z97" s="70">
        <v>42004</v>
      </c>
      <c r="AA97" s="68">
        <v>630.29999999999995</v>
      </c>
      <c r="AB97" s="68"/>
      <c r="AC97" s="71">
        <v>42369</v>
      </c>
      <c r="AD97" s="15">
        <v>702511.5</v>
      </c>
      <c r="AG97" s="16"/>
      <c r="AH97" s="17"/>
      <c r="AI97" s="17"/>
      <c r="AJ97" s="17"/>
      <c r="AK97" s="17"/>
      <c r="AL97" s="17"/>
      <c r="AM97" s="17"/>
      <c r="AN97" s="17"/>
      <c r="AO97" s="17"/>
    </row>
    <row r="98" spans="1:41" x14ac:dyDescent="0.3">
      <c r="A98" s="8">
        <f t="shared" si="35"/>
        <v>43159</v>
      </c>
      <c r="B98" s="9">
        <f t="shared" si="25"/>
        <v>4.7089705882352941</v>
      </c>
      <c r="C98" s="9">
        <f t="shared" si="26"/>
        <v>30.239228589224538</v>
      </c>
      <c r="D98" s="7">
        <f t="shared" si="27"/>
        <v>1</v>
      </c>
      <c r="E98" s="7">
        <f t="shared" si="28"/>
        <v>0</v>
      </c>
      <c r="F98" s="7">
        <f t="shared" si="29"/>
        <v>1</v>
      </c>
      <c r="G98" s="7">
        <f t="shared" si="30"/>
        <v>0</v>
      </c>
      <c r="H98" s="1">
        <f t="shared" si="36"/>
        <v>0</v>
      </c>
      <c r="I98" s="1">
        <f t="shared" si="37"/>
        <v>0</v>
      </c>
      <c r="J98" s="1">
        <f t="shared" si="38"/>
        <v>0</v>
      </c>
      <c r="K98" s="1">
        <f t="shared" si="39"/>
        <v>1</v>
      </c>
      <c r="L98" s="1" t="str">
        <f t="shared" si="31"/>
        <v>紧货币宽信用</v>
      </c>
      <c r="O98" s="51">
        <v>43190</v>
      </c>
      <c r="P98" s="60">
        <v>4.6795636363636364</v>
      </c>
      <c r="R98" s="14">
        <v>40117</v>
      </c>
      <c r="S98" s="15">
        <v>5985</v>
      </c>
      <c r="T98" s="55">
        <f t="shared" si="32"/>
        <v>-116.6</v>
      </c>
      <c r="U98" s="63">
        <f t="shared" si="33"/>
        <v>5868.4</v>
      </c>
      <c r="V98" s="63">
        <f t="shared" si="40"/>
        <v>142131.44999999998</v>
      </c>
      <c r="W98" s="64">
        <f t="shared" si="34"/>
        <v>342101.9</v>
      </c>
      <c r="X98" s="65">
        <f t="shared" si="41"/>
        <v>41.546524588141715</v>
      </c>
      <c r="Y98" s="64"/>
      <c r="Z98" s="70">
        <v>41973</v>
      </c>
      <c r="AA98" s="68">
        <v>1141.8</v>
      </c>
      <c r="AB98" s="68"/>
      <c r="AC98" s="71">
        <v>42460</v>
      </c>
      <c r="AD98" s="15">
        <v>714075.4</v>
      </c>
      <c r="AG98" s="16"/>
      <c r="AH98" s="17"/>
      <c r="AI98" s="17"/>
      <c r="AJ98" s="17"/>
      <c r="AK98" s="17"/>
      <c r="AL98" s="17"/>
      <c r="AM98" s="17"/>
      <c r="AN98" s="17"/>
      <c r="AO98" s="17"/>
    </row>
    <row r="99" spans="1:41" x14ac:dyDescent="0.3">
      <c r="A99" s="8">
        <f t="shared" si="35"/>
        <v>43131</v>
      </c>
      <c r="B99" s="9">
        <f t="shared" si="25"/>
        <v>4.7037818181818176</v>
      </c>
      <c r="C99" s="9">
        <f t="shared" si="26"/>
        <v>30.120148322676794</v>
      </c>
      <c r="D99" s="7">
        <f t="shared" si="27"/>
        <v>0</v>
      </c>
      <c r="E99" s="7">
        <f t="shared" si="28"/>
        <v>1</v>
      </c>
      <c r="F99" s="7">
        <f t="shared" si="29"/>
        <v>0</v>
      </c>
      <c r="G99" s="7">
        <f t="shared" si="30"/>
        <v>1</v>
      </c>
      <c r="H99" s="1">
        <f t="shared" si="36"/>
        <v>1</v>
      </c>
      <c r="I99" s="1">
        <f t="shared" si="37"/>
        <v>0</v>
      </c>
      <c r="J99" s="1">
        <f t="shared" si="38"/>
        <v>0</v>
      </c>
      <c r="K99" s="1">
        <f t="shared" si="39"/>
        <v>0</v>
      </c>
      <c r="L99" s="1" t="str">
        <f t="shared" si="31"/>
        <v>宽货币紧信用</v>
      </c>
      <c r="O99" s="51">
        <v>43159</v>
      </c>
      <c r="P99" s="60">
        <v>4.7089705882352941</v>
      </c>
      <c r="R99" s="14">
        <v>40147</v>
      </c>
      <c r="S99" s="15">
        <v>9501</v>
      </c>
      <c r="T99" s="55">
        <f t="shared" si="32"/>
        <v>1267.0999999999999</v>
      </c>
      <c r="U99" s="63">
        <f t="shared" si="33"/>
        <v>10768.1</v>
      </c>
      <c r="V99" s="63">
        <f t="shared" si="40"/>
        <v>147677.55000000002</v>
      </c>
      <c r="W99" s="64">
        <f t="shared" si="34"/>
        <v>342101.9</v>
      </c>
      <c r="X99" s="65">
        <f t="shared" si="41"/>
        <v>43.167708217931562</v>
      </c>
      <c r="Y99" s="64"/>
      <c r="Z99" s="70">
        <v>41943</v>
      </c>
      <c r="AA99" s="68">
        <v>1388.4</v>
      </c>
      <c r="AB99" s="68"/>
      <c r="AC99" s="71">
        <v>42551</v>
      </c>
      <c r="AD99" s="15">
        <v>727190.6</v>
      </c>
      <c r="AG99" s="16"/>
      <c r="AH99" s="17"/>
      <c r="AI99" s="17"/>
      <c r="AJ99" s="17"/>
      <c r="AK99" s="17"/>
      <c r="AL99" s="17"/>
      <c r="AM99" s="17"/>
      <c r="AN99" s="17"/>
      <c r="AO99" s="17"/>
    </row>
    <row r="100" spans="1:41" x14ac:dyDescent="0.3">
      <c r="A100" s="8">
        <f t="shared" si="35"/>
        <v>43100</v>
      </c>
      <c r="B100" s="9">
        <f t="shared" ref="B100:B131" si="42">VLOOKUP(A100,O:P,2,0)</f>
        <v>4.8368952380952379</v>
      </c>
      <c r="C100" s="9">
        <f t="shared" ref="C100:C131" si="43">VLOOKUP(A100,R:X,7,0)</f>
        <v>30.863950967856439</v>
      </c>
      <c r="D100" s="7">
        <f t="shared" si="27"/>
        <v>0</v>
      </c>
      <c r="E100" s="7">
        <f t="shared" si="28"/>
        <v>1</v>
      </c>
      <c r="F100" s="7">
        <f t="shared" si="29"/>
        <v>1</v>
      </c>
      <c r="G100" s="7">
        <f t="shared" si="30"/>
        <v>0</v>
      </c>
      <c r="H100" s="1">
        <f t="shared" si="36"/>
        <v>0</v>
      </c>
      <c r="I100" s="1">
        <f t="shared" si="37"/>
        <v>0</v>
      </c>
      <c r="J100" s="1">
        <f t="shared" si="38"/>
        <v>1</v>
      </c>
      <c r="K100" s="1">
        <f t="shared" si="39"/>
        <v>0</v>
      </c>
      <c r="L100" s="1" t="str">
        <f t="shared" si="31"/>
        <v>紧货币紧信用</v>
      </c>
      <c r="O100" s="51">
        <v>43131</v>
      </c>
      <c r="P100" s="60">
        <v>4.7037818181818176</v>
      </c>
      <c r="R100" s="14">
        <v>40178</v>
      </c>
      <c r="S100" s="15">
        <v>8100</v>
      </c>
      <c r="T100" s="55">
        <f t="shared" si="32"/>
        <v>16.899999999999899</v>
      </c>
      <c r="U100" s="63">
        <f t="shared" si="33"/>
        <v>8116.9</v>
      </c>
      <c r="V100" s="63">
        <f t="shared" si="40"/>
        <v>147838.54999999999</v>
      </c>
      <c r="W100" s="64">
        <f t="shared" si="34"/>
        <v>354521.59999999998</v>
      </c>
      <c r="X100" s="65">
        <f t="shared" si="41"/>
        <v>41.700858283388094</v>
      </c>
      <c r="Y100" s="64"/>
      <c r="Z100" s="70">
        <v>41912</v>
      </c>
      <c r="AA100" s="68">
        <v>1856.52</v>
      </c>
      <c r="AB100" s="68"/>
      <c r="AC100" s="71">
        <v>42643</v>
      </c>
      <c r="AD100" s="15">
        <v>741909.4</v>
      </c>
      <c r="AG100" s="16"/>
      <c r="AH100" s="17"/>
      <c r="AI100" s="17"/>
      <c r="AJ100" s="17"/>
      <c r="AK100" s="17"/>
      <c r="AL100" s="17"/>
      <c r="AM100" s="17"/>
      <c r="AN100" s="17"/>
      <c r="AO100" s="17"/>
    </row>
    <row r="101" spans="1:41" x14ac:dyDescent="0.3">
      <c r="A101" s="8">
        <f t="shared" si="35"/>
        <v>43069</v>
      </c>
      <c r="B101" s="9">
        <f t="shared" si="42"/>
        <v>4.5628136363636358</v>
      </c>
      <c r="C101" s="9">
        <f t="shared" si="43"/>
        <v>31.775461223748142</v>
      </c>
      <c r="D101" s="7">
        <f t="shared" ref="D101:D132" si="44">IF(C101&gt;C102,1,0)</f>
        <v>0</v>
      </c>
      <c r="E101" s="7">
        <f t="shared" ref="E101:E132" si="45">1-D101</f>
        <v>1</v>
      </c>
      <c r="F101" s="7">
        <f t="shared" ref="F101:F132" si="46">IF(B101&gt;B102,1,0)</f>
        <v>1</v>
      </c>
      <c r="G101" s="7">
        <f t="shared" ref="G101:G132" si="47">1-F101</f>
        <v>0</v>
      </c>
      <c r="H101" s="1">
        <f t="shared" si="36"/>
        <v>0</v>
      </c>
      <c r="I101" s="1">
        <f t="shared" si="37"/>
        <v>0</v>
      </c>
      <c r="J101" s="1">
        <f t="shared" si="38"/>
        <v>1</v>
      </c>
      <c r="K101" s="1">
        <f t="shared" si="39"/>
        <v>0</v>
      </c>
      <c r="L101" s="1" t="str">
        <f t="shared" ref="L101:L132" si="48">INDEX($H$3:$K$3,1,MATCH(1,H101:K101,0))</f>
        <v>紧货币紧信用</v>
      </c>
      <c r="O101" s="51">
        <v>43100</v>
      </c>
      <c r="P101" s="60">
        <v>4.8368952380952379</v>
      </c>
      <c r="R101" s="14">
        <v>40209</v>
      </c>
      <c r="S101" s="15">
        <v>20550</v>
      </c>
      <c r="T101" s="55">
        <f t="shared" si="32"/>
        <v>-275.10000000000002</v>
      </c>
      <c r="U101" s="63">
        <f t="shared" si="33"/>
        <v>20274.900000000001</v>
      </c>
      <c r="V101" s="63">
        <f t="shared" si="40"/>
        <v>154123.45000000001</v>
      </c>
      <c r="W101" s="64">
        <f t="shared" si="34"/>
        <v>354521.59999999998</v>
      </c>
      <c r="X101" s="65">
        <f t="shared" si="41"/>
        <v>43.473641662454419</v>
      </c>
      <c r="Y101" s="64"/>
      <c r="Z101" s="70">
        <v>41882</v>
      </c>
      <c r="AA101" s="68">
        <v>1346.5</v>
      </c>
      <c r="AB101" s="68"/>
      <c r="AC101" s="71">
        <v>42735</v>
      </c>
      <c r="AD101" s="15">
        <v>761192.9</v>
      </c>
      <c r="AG101" s="16"/>
      <c r="AH101" s="17"/>
      <c r="AI101" s="17"/>
      <c r="AJ101" s="17"/>
      <c r="AK101" s="17"/>
      <c r="AL101" s="17"/>
      <c r="AM101" s="17"/>
      <c r="AN101" s="17"/>
      <c r="AO101" s="17"/>
    </row>
    <row r="102" spans="1:41" x14ac:dyDescent="0.3">
      <c r="A102" s="8">
        <f t="shared" ref="A102:A133" si="49">EOMONTH(A101,-1)</f>
        <v>43039</v>
      </c>
      <c r="B102" s="9">
        <f t="shared" si="42"/>
        <v>4.3731352941176471</v>
      </c>
      <c r="C102" s="9">
        <f t="shared" si="43"/>
        <v>31.840471750240372</v>
      </c>
      <c r="D102" s="7">
        <f t="shared" si="44"/>
        <v>1</v>
      </c>
      <c r="E102" s="7">
        <f t="shared" si="45"/>
        <v>0</v>
      </c>
      <c r="F102" s="7">
        <f t="shared" si="46"/>
        <v>0</v>
      </c>
      <c r="G102" s="7">
        <f t="shared" si="47"/>
        <v>1</v>
      </c>
      <c r="H102" s="1">
        <f t="shared" si="36"/>
        <v>0</v>
      </c>
      <c r="I102" s="1">
        <f t="shared" si="37"/>
        <v>1</v>
      </c>
      <c r="J102" s="1">
        <f t="shared" si="38"/>
        <v>0</v>
      </c>
      <c r="K102" s="1">
        <f t="shared" si="39"/>
        <v>0</v>
      </c>
      <c r="L102" s="1" t="str">
        <f t="shared" si="48"/>
        <v>宽货币宽信用</v>
      </c>
      <c r="O102" s="51">
        <v>43069</v>
      </c>
      <c r="P102" s="60">
        <v>4.5628136363636358</v>
      </c>
      <c r="R102" s="14">
        <v>40237</v>
      </c>
      <c r="S102" s="15">
        <v>10877</v>
      </c>
      <c r="T102" s="55">
        <f t="shared" si="32"/>
        <v>-500</v>
      </c>
      <c r="U102" s="63">
        <f t="shared" si="33"/>
        <v>10377</v>
      </c>
      <c r="V102" s="63">
        <f t="shared" si="40"/>
        <v>153380.15</v>
      </c>
      <c r="W102" s="64">
        <f t="shared" si="34"/>
        <v>354521.59999999998</v>
      </c>
      <c r="X102" s="65">
        <f t="shared" si="41"/>
        <v>43.263978837960792</v>
      </c>
      <c r="Y102" s="64"/>
      <c r="Z102" s="70">
        <v>41851</v>
      </c>
      <c r="AA102" s="68">
        <v>2087.6765999999998</v>
      </c>
      <c r="AB102" s="68"/>
      <c r="AC102" s="71">
        <v>42825</v>
      </c>
      <c r="AD102" s="15">
        <v>780732</v>
      </c>
      <c r="AG102" s="16"/>
      <c r="AH102" s="17"/>
      <c r="AI102" s="17"/>
      <c r="AJ102" s="17"/>
      <c r="AK102" s="17"/>
      <c r="AL102" s="17"/>
      <c r="AM102" s="17"/>
      <c r="AN102" s="17"/>
      <c r="AO102" s="17"/>
    </row>
    <row r="103" spans="1:41" x14ac:dyDescent="0.3">
      <c r="A103" s="8">
        <f t="shared" si="49"/>
        <v>43008</v>
      </c>
      <c r="B103" s="9">
        <f t="shared" si="42"/>
        <v>4.3786181818181822</v>
      </c>
      <c r="C103" s="9">
        <f t="shared" si="43"/>
        <v>31.601698955148539</v>
      </c>
      <c r="D103" s="7">
        <f t="shared" si="44"/>
        <v>0</v>
      </c>
      <c r="E103" s="7">
        <f t="shared" si="45"/>
        <v>1</v>
      </c>
      <c r="F103" s="7">
        <f t="shared" si="46"/>
        <v>1</v>
      </c>
      <c r="G103" s="7">
        <f t="shared" si="47"/>
        <v>0</v>
      </c>
      <c r="H103" s="1">
        <f t="shared" si="36"/>
        <v>0</v>
      </c>
      <c r="I103" s="1">
        <f t="shared" si="37"/>
        <v>0</v>
      </c>
      <c r="J103" s="1">
        <f t="shared" si="38"/>
        <v>1</v>
      </c>
      <c r="K103" s="1">
        <f t="shared" si="39"/>
        <v>0</v>
      </c>
      <c r="L103" s="1" t="str">
        <f t="shared" si="48"/>
        <v>紧货币紧信用</v>
      </c>
      <c r="O103" s="51">
        <v>43039</v>
      </c>
      <c r="P103" s="60">
        <v>4.3731352941176471</v>
      </c>
      <c r="R103" s="14">
        <v>40268</v>
      </c>
      <c r="S103" s="15">
        <v>13830</v>
      </c>
      <c r="T103" s="55">
        <f t="shared" si="32"/>
        <v>725</v>
      </c>
      <c r="U103" s="63">
        <f t="shared" si="33"/>
        <v>14555</v>
      </c>
      <c r="V103" s="63">
        <f t="shared" si="40"/>
        <v>145849.15</v>
      </c>
      <c r="W103" s="64">
        <f t="shared" si="34"/>
        <v>368305.3</v>
      </c>
      <c r="X103" s="65">
        <f t="shared" si="41"/>
        <v>39.600068204285954</v>
      </c>
      <c r="Y103" s="64"/>
      <c r="Z103" s="70">
        <v>41820</v>
      </c>
      <c r="AA103" s="68">
        <v>1441.9</v>
      </c>
      <c r="AB103" s="68"/>
      <c r="AC103" s="71">
        <v>42916</v>
      </c>
      <c r="AD103" s="15">
        <v>801395.4</v>
      </c>
      <c r="AG103" s="16"/>
      <c r="AH103" s="17"/>
      <c r="AI103" s="17"/>
      <c r="AJ103" s="17"/>
      <c r="AK103" s="17"/>
      <c r="AL103" s="17"/>
      <c r="AM103" s="17"/>
      <c r="AN103" s="17"/>
      <c r="AO103" s="17"/>
    </row>
    <row r="104" spans="1:41" x14ac:dyDescent="0.3">
      <c r="A104" s="8">
        <f t="shared" si="49"/>
        <v>42978</v>
      </c>
      <c r="B104" s="9">
        <f t="shared" si="42"/>
        <v>4.323721739130435</v>
      </c>
      <c r="C104" s="9">
        <f t="shared" si="43"/>
        <v>31.994885693628888</v>
      </c>
      <c r="D104" s="7">
        <f t="shared" si="44"/>
        <v>0</v>
      </c>
      <c r="E104" s="7">
        <f t="shared" si="45"/>
        <v>1</v>
      </c>
      <c r="F104" s="7">
        <f t="shared" si="46"/>
        <v>1</v>
      </c>
      <c r="G104" s="7">
        <f t="shared" si="47"/>
        <v>0</v>
      </c>
      <c r="H104" s="1">
        <f t="shared" si="36"/>
        <v>0</v>
      </c>
      <c r="I104" s="1">
        <f t="shared" si="37"/>
        <v>0</v>
      </c>
      <c r="J104" s="1">
        <f t="shared" si="38"/>
        <v>1</v>
      </c>
      <c r="K104" s="1">
        <f t="shared" si="39"/>
        <v>0</v>
      </c>
      <c r="L104" s="1" t="str">
        <f t="shared" si="48"/>
        <v>紧货币紧信用</v>
      </c>
      <c r="O104" s="51">
        <v>43008</v>
      </c>
      <c r="P104" s="60">
        <v>4.3786181818181822</v>
      </c>
      <c r="R104" s="14">
        <v>40298</v>
      </c>
      <c r="S104" s="15">
        <v>14919</v>
      </c>
      <c r="T104" s="55">
        <f t="shared" si="32"/>
        <v>331.5</v>
      </c>
      <c r="U104" s="63">
        <f t="shared" si="33"/>
        <v>15250.5</v>
      </c>
      <c r="V104" s="63">
        <f t="shared" si="40"/>
        <v>155068.53999999998</v>
      </c>
      <c r="W104" s="64">
        <f t="shared" si="34"/>
        <v>368305.3</v>
      </c>
      <c r="X104" s="65">
        <f t="shared" si="41"/>
        <v>42.103260528697248</v>
      </c>
      <c r="Y104" s="64"/>
      <c r="Z104" s="70">
        <v>41790</v>
      </c>
      <c r="AA104" s="68">
        <v>1249.29</v>
      </c>
      <c r="AB104" s="68"/>
      <c r="AC104" s="71">
        <v>43008</v>
      </c>
      <c r="AD104" s="15">
        <v>823313.2</v>
      </c>
      <c r="AG104" s="16"/>
      <c r="AH104" s="17"/>
      <c r="AI104" s="17"/>
      <c r="AJ104" s="17"/>
      <c r="AK104" s="17"/>
      <c r="AL104" s="17"/>
      <c r="AM104" s="17"/>
      <c r="AN104" s="17"/>
      <c r="AO104" s="17"/>
    </row>
    <row r="105" spans="1:41" x14ac:dyDescent="0.3">
      <c r="A105" s="8">
        <f t="shared" si="49"/>
        <v>42947</v>
      </c>
      <c r="B105" s="9">
        <f t="shared" si="42"/>
        <v>4.3090952380952379</v>
      </c>
      <c r="C105" s="9">
        <f t="shared" si="43"/>
        <v>32.376567169464657</v>
      </c>
      <c r="D105" s="7">
        <f t="shared" si="44"/>
        <v>1</v>
      </c>
      <c r="E105" s="7">
        <f t="shared" si="45"/>
        <v>0</v>
      </c>
      <c r="F105" s="7">
        <f t="shared" si="46"/>
        <v>0</v>
      </c>
      <c r="G105" s="7">
        <f t="shared" si="47"/>
        <v>1</v>
      </c>
      <c r="H105" s="1">
        <f t="shared" si="36"/>
        <v>0</v>
      </c>
      <c r="I105" s="1">
        <f t="shared" si="37"/>
        <v>1</v>
      </c>
      <c r="J105" s="1">
        <f t="shared" si="38"/>
        <v>0</v>
      </c>
      <c r="K105" s="1">
        <f t="shared" si="39"/>
        <v>0</v>
      </c>
      <c r="L105" s="1" t="str">
        <f t="shared" si="48"/>
        <v>宽货币宽信用</v>
      </c>
      <c r="O105" s="51">
        <v>42978</v>
      </c>
      <c r="P105" s="60">
        <v>4.323721739130435</v>
      </c>
      <c r="R105" s="14">
        <v>40329</v>
      </c>
      <c r="S105" s="15">
        <v>10805</v>
      </c>
      <c r="T105" s="55">
        <f t="shared" si="32"/>
        <v>926.9</v>
      </c>
      <c r="U105" s="63">
        <f t="shared" si="33"/>
        <v>11731.9</v>
      </c>
      <c r="V105" s="63">
        <f t="shared" si="40"/>
        <v>149600.94</v>
      </c>
      <c r="W105" s="64">
        <f t="shared" si="34"/>
        <v>368305.3</v>
      </c>
      <c r="X105" s="65">
        <f t="shared" si="41"/>
        <v>40.618731253663739</v>
      </c>
      <c r="Y105" s="64"/>
      <c r="Z105" s="70">
        <v>41759</v>
      </c>
      <c r="AA105" s="68">
        <v>1008.29</v>
      </c>
      <c r="AB105" s="68"/>
      <c r="AC105" s="71">
        <v>43100</v>
      </c>
      <c r="AD105" s="15">
        <v>847382.9</v>
      </c>
      <c r="AG105" s="16"/>
      <c r="AH105" s="17"/>
      <c r="AI105" s="17"/>
      <c r="AJ105" s="17"/>
      <c r="AK105" s="17"/>
      <c r="AL105" s="17"/>
      <c r="AM105" s="17"/>
      <c r="AN105" s="17"/>
      <c r="AO105" s="17"/>
    </row>
    <row r="106" spans="1:41" x14ac:dyDescent="0.3">
      <c r="A106" s="8">
        <f t="shared" si="49"/>
        <v>42916</v>
      </c>
      <c r="B106" s="9">
        <f t="shared" si="42"/>
        <v>4.6691227272727271</v>
      </c>
      <c r="C106" s="9">
        <f t="shared" si="43"/>
        <v>30.976574760224473</v>
      </c>
      <c r="D106" s="7">
        <f t="shared" si="44"/>
        <v>0</v>
      </c>
      <c r="E106" s="7">
        <f t="shared" si="45"/>
        <v>1</v>
      </c>
      <c r="F106" s="7">
        <f t="shared" si="46"/>
        <v>1</v>
      </c>
      <c r="G106" s="7">
        <f t="shared" si="47"/>
        <v>0</v>
      </c>
      <c r="H106" s="1">
        <f t="shared" si="36"/>
        <v>0</v>
      </c>
      <c r="I106" s="1">
        <f t="shared" si="37"/>
        <v>0</v>
      </c>
      <c r="J106" s="1">
        <f t="shared" si="38"/>
        <v>1</v>
      </c>
      <c r="K106" s="1">
        <f t="shared" si="39"/>
        <v>0</v>
      </c>
      <c r="L106" s="1" t="str">
        <f t="shared" si="48"/>
        <v>紧货币紧信用</v>
      </c>
      <c r="O106" s="51">
        <v>42947</v>
      </c>
      <c r="P106" s="60">
        <v>4.3090952380952379</v>
      </c>
      <c r="R106" s="14">
        <v>40359</v>
      </c>
      <c r="S106" s="15">
        <v>10196</v>
      </c>
      <c r="T106" s="55">
        <f t="shared" si="32"/>
        <v>1850.1</v>
      </c>
      <c r="U106" s="63">
        <f t="shared" si="33"/>
        <v>12046.1</v>
      </c>
      <c r="V106" s="63">
        <f t="shared" si="40"/>
        <v>138796.4</v>
      </c>
      <c r="W106" s="64">
        <f t="shared" si="34"/>
        <v>384024.7</v>
      </c>
      <c r="X106" s="65">
        <f t="shared" si="41"/>
        <v>36.142571037748347</v>
      </c>
      <c r="Y106" s="64"/>
      <c r="Z106" s="70">
        <v>41729</v>
      </c>
      <c r="AA106" s="68">
        <v>-25.3</v>
      </c>
      <c r="AB106" s="68"/>
      <c r="AC106" s="71">
        <v>43190</v>
      </c>
      <c r="AD106" s="15">
        <v>867843.8</v>
      </c>
      <c r="AG106" s="16"/>
      <c r="AH106" s="17"/>
      <c r="AI106" s="17"/>
      <c r="AJ106" s="17"/>
      <c r="AK106" s="17"/>
      <c r="AL106" s="17"/>
      <c r="AM106" s="17"/>
      <c r="AN106" s="17"/>
      <c r="AO106" s="17"/>
    </row>
    <row r="107" spans="1:41" x14ac:dyDescent="0.3">
      <c r="A107" s="8">
        <f t="shared" si="49"/>
        <v>42886</v>
      </c>
      <c r="B107" s="9">
        <f t="shared" si="42"/>
        <v>4.4370333333333329</v>
      </c>
      <c r="C107" s="9">
        <f t="shared" si="43"/>
        <v>32.060298995429925</v>
      </c>
      <c r="D107" s="7">
        <f t="shared" si="44"/>
        <v>1</v>
      </c>
      <c r="E107" s="7">
        <f t="shared" si="45"/>
        <v>0</v>
      </c>
      <c r="F107" s="7">
        <f t="shared" si="46"/>
        <v>1</v>
      </c>
      <c r="G107" s="7">
        <f t="shared" si="47"/>
        <v>0</v>
      </c>
      <c r="H107" s="1">
        <f t="shared" si="36"/>
        <v>0</v>
      </c>
      <c r="I107" s="1">
        <f t="shared" si="37"/>
        <v>0</v>
      </c>
      <c r="J107" s="1">
        <f t="shared" si="38"/>
        <v>0</v>
      </c>
      <c r="K107" s="1">
        <f t="shared" si="39"/>
        <v>1</v>
      </c>
      <c r="L107" s="1" t="str">
        <f t="shared" si="48"/>
        <v>紧货币宽信用</v>
      </c>
      <c r="O107" s="51">
        <v>42916</v>
      </c>
      <c r="P107" s="60">
        <v>4.6691227272727271</v>
      </c>
      <c r="R107" s="14">
        <v>40390</v>
      </c>
      <c r="S107" s="15">
        <v>7202</v>
      </c>
      <c r="T107" s="55">
        <f t="shared" si="32"/>
        <v>1096.4000000000001</v>
      </c>
      <c r="U107" s="63">
        <f t="shared" si="33"/>
        <v>8298.4</v>
      </c>
      <c r="V107" s="63">
        <f t="shared" si="40"/>
        <v>138181.79999999999</v>
      </c>
      <c r="W107" s="64">
        <f t="shared" si="34"/>
        <v>384024.7</v>
      </c>
      <c r="X107" s="65">
        <f t="shared" si="41"/>
        <v>35.982529248769673</v>
      </c>
      <c r="Y107" s="64"/>
      <c r="Z107" s="70">
        <v>41698</v>
      </c>
      <c r="AA107" s="68">
        <v>-40</v>
      </c>
      <c r="AB107" s="68"/>
      <c r="AC107" s="71">
        <v>43281</v>
      </c>
      <c r="AD107" s="15">
        <v>890220.6</v>
      </c>
      <c r="AG107" s="16"/>
      <c r="AH107" s="17"/>
      <c r="AI107" s="17"/>
      <c r="AJ107" s="17"/>
      <c r="AK107" s="17"/>
      <c r="AL107" s="17"/>
      <c r="AM107" s="17"/>
      <c r="AN107" s="17"/>
      <c r="AO107" s="17"/>
    </row>
    <row r="108" spans="1:41" x14ac:dyDescent="0.3">
      <c r="A108" s="8">
        <f t="shared" si="49"/>
        <v>42855</v>
      </c>
      <c r="B108" s="9">
        <f t="shared" si="42"/>
        <v>4.2873052631578954</v>
      </c>
      <c r="C108" s="9">
        <f t="shared" si="43"/>
        <v>31.590447005630608</v>
      </c>
      <c r="D108" s="7">
        <f t="shared" si="44"/>
        <v>0</v>
      </c>
      <c r="E108" s="7">
        <f t="shared" si="45"/>
        <v>1</v>
      </c>
      <c r="F108" s="7">
        <f t="shared" si="46"/>
        <v>0</v>
      </c>
      <c r="G108" s="7">
        <f t="shared" si="47"/>
        <v>1</v>
      </c>
      <c r="H108" s="1">
        <f t="shared" si="36"/>
        <v>1</v>
      </c>
      <c r="I108" s="1">
        <f t="shared" si="37"/>
        <v>0</v>
      </c>
      <c r="J108" s="1">
        <f t="shared" si="38"/>
        <v>0</v>
      </c>
      <c r="K108" s="1">
        <f t="shared" si="39"/>
        <v>0</v>
      </c>
      <c r="L108" s="1" t="str">
        <f t="shared" si="48"/>
        <v>宽货币紧信用</v>
      </c>
      <c r="O108" s="51">
        <v>42886</v>
      </c>
      <c r="P108" s="60">
        <v>4.4370333333333329</v>
      </c>
      <c r="R108" s="14">
        <v>40421</v>
      </c>
      <c r="S108" s="15">
        <v>10646</v>
      </c>
      <c r="T108" s="55">
        <f t="shared" si="32"/>
        <v>1691.6</v>
      </c>
      <c r="U108" s="63">
        <f t="shared" si="33"/>
        <v>12337.6</v>
      </c>
      <c r="V108" s="63">
        <f t="shared" si="40"/>
        <v>141854.29999999999</v>
      </c>
      <c r="W108" s="64">
        <f t="shared" si="34"/>
        <v>384024.7</v>
      </c>
      <c r="X108" s="65">
        <f t="shared" si="41"/>
        <v>36.938847943895269</v>
      </c>
      <c r="Y108" s="64"/>
      <c r="Z108" s="70">
        <v>41670</v>
      </c>
      <c r="AA108" s="68">
        <v>-210</v>
      </c>
      <c r="AB108" s="68"/>
      <c r="AC108" s="71">
        <v>43373</v>
      </c>
      <c r="AD108" s="15">
        <v>912262.1</v>
      </c>
      <c r="AG108" s="16"/>
      <c r="AH108" s="17"/>
      <c r="AI108" s="17"/>
      <c r="AJ108" s="17"/>
      <c r="AK108" s="17"/>
      <c r="AL108" s="17"/>
      <c r="AM108" s="17"/>
      <c r="AN108" s="17"/>
      <c r="AO108" s="17"/>
    </row>
    <row r="109" spans="1:41" x14ac:dyDescent="0.3">
      <c r="A109" s="8">
        <f t="shared" si="49"/>
        <v>42825</v>
      </c>
      <c r="B109" s="9">
        <f t="shared" si="42"/>
        <v>4.3482913043478257</v>
      </c>
      <c r="C109" s="9">
        <f t="shared" si="43"/>
        <v>31.649025548587733</v>
      </c>
      <c r="D109" s="7">
        <f t="shared" si="44"/>
        <v>0</v>
      </c>
      <c r="E109" s="7">
        <f t="shared" si="45"/>
        <v>1</v>
      </c>
      <c r="F109" s="7">
        <f t="shared" si="46"/>
        <v>1</v>
      </c>
      <c r="G109" s="7">
        <f t="shared" si="47"/>
        <v>0</v>
      </c>
      <c r="H109" s="1">
        <f t="shared" si="36"/>
        <v>0</v>
      </c>
      <c r="I109" s="1">
        <f t="shared" si="37"/>
        <v>0</v>
      </c>
      <c r="J109" s="1">
        <f t="shared" si="38"/>
        <v>1</v>
      </c>
      <c r="K109" s="1">
        <f t="shared" si="39"/>
        <v>0</v>
      </c>
      <c r="L109" s="1" t="str">
        <f t="shared" si="48"/>
        <v>紧货币紧信用</v>
      </c>
      <c r="O109" s="51">
        <v>42855</v>
      </c>
      <c r="P109" s="60">
        <v>4.2873052631578954</v>
      </c>
      <c r="R109" s="14">
        <v>40451</v>
      </c>
      <c r="S109" s="15">
        <v>11224</v>
      </c>
      <c r="T109" s="55">
        <f t="shared" si="32"/>
        <v>866.1</v>
      </c>
      <c r="U109" s="63">
        <f t="shared" si="33"/>
        <v>12090.1</v>
      </c>
      <c r="V109" s="63">
        <f t="shared" si="40"/>
        <v>141714.9</v>
      </c>
      <c r="W109" s="64">
        <f t="shared" si="34"/>
        <v>400487.6</v>
      </c>
      <c r="X109" s="65">
        <f t="shared" si="41"/>
        <v>35.385589965831656</v>
      </c>
      <c r="Y109" s="64"/>
      <c r="Z109" s="70">
        <v>41639</v>
      </c>
      <c r="AA109" s="68">
        <v>604.9</v>
      </c>
      <c r="AB109" s="68"/>
      <c r="AC109" s="71">
        <v>43465</v>
      </c>
      <c r="AD109" s="15">
        <v>936010.1</v>
      </c>
      <c r="AG109" s="16"/>
      <c r="AH109" s="17"/>
      <c r="AI109" s="17"/>
      <c r="AJ109" s="17"/>
      <c r="AK109" s="17"/>
      <c r="AL109" s="17"/>
      <c r="AM109" s="17"/>
      <c r="AN109" s="17"/>
      <c r="AO109" s="17"/>
    </row>
    <row r="110" spans="1:41" x14ac:dyDescent="0.3">
      <c r="A110" s="8">
        <f t="shared" si="49"/>
        <v>42794</v>
      </c>
      <c r="B110" s="9">
        <f t="shared" si="42"/>
        <v>4.1763947368421048</v>
      </c>
      <c r="C110" s="9">
        <f t="shared" si="43"/>
        <v>33.354062155335399</v>
      </c>
      <c r="D110" s="7">
        <f t="shared" si="44"/>
        <v>1</v>
      </c>
      <c r="E110" s="7">
        <f t="shared" si="45"/>
        <v>0</v>
      </c>
      <c r="F110" s="7">
        <f t="shared" si="46"/>
        <v>1</v>
      </c>
      <c r="G110" s="7">
        <f t="shared" si="47"/>
        <v>0</v>
      </c>
      <c r="H110" s="1">
        <f t="shared" si="36"/>
        <v>0</v>
      </c>
      <c r="I110" s="1">
        <f t="shared" si="37"/>
        <v>0</v>
      </c>
      <c r="J110" s="1">
        <f t="shared" si="38"/>
        <v>0</v>
      </c>
      <c r="K110" s="1">
        <f t="shared" si="39"/>
        <v>1</v>
      </c>
      <c r="L110" s="1" t="str">
        <f t="shared" si="48"/>
        <v>紧货币宽信用</v>
      </c>
      <c r="O110" s="51">
        <v>42825</v>
      </c>
      <c r="P110" s="60">
        <v>4.3482913043478257</v>
      </c>
      <c r="R110" s="14">
        <v>40482</v>
      </c>
      <c r="S110" s="15">
        <v>8608</v>
      </c>
      <c r="T110" s="55">
        <f t="shared" si="32"/>
        <v>739.77</v>
      </c>
      <c r="U110" s="63">
        <f t="shared" si="33"/>
        <v>9347.77</v>
      </c>
      <c r="V110" s="63">
        <f t="shared" si="40"/>
        <v>145194.26999999999</v>
      </c>
      <c r="W110" s="64">
        <f t="shared" si="34"/>
        <v>400487.6</v>
      </c>
      <c r="X110" s="65">
        <f t="shared" si="41"/>
        <v>36.25437341880248</v>
      </c>
      <c r="Y110" s="64"/>
      <c r="Z110" s="70">
        <v>41608</v>
      </c>
      <c r="AA110" s="68">
        <v>331.2</v>
      </c>
      <c r="AB110" s="68"/>
      <c r="AC110" s="71">
        <v>43555</v>
      </c>
      <c r="AD110" s="15">
        <v>951728.7</v>
      </c>
      <c r="AG110" s="16"/>
      <c r="AH110" s="17"/>
      <c r="AI110" s="17"/>
      <c r="AJ110" s="17"/>
      <c r="AK110" s="17"/>
      <c r="AL110" s="17"/>
      <c r="AM110" s="17"/>
      <c r="AN110" s="17"/>
      <c r="AO110" s="17"/>
    </row>
    <row r="111" spans="1:41" x14ac:dyDescent="0.3">
      <c r="A111" s="8">
        <f t="shared" si="49"/>
        <v>42766</v>
      </c>
      <c r="B111" s="9">
        <f t="shared" si="42"/>
        <v>3.6514315789473679</v>
      </c>
      <c r="C111" s="9">
        <f t="shared" si="43"/>
        <v>33.032880479967694</v>
      </c>
      <c r="D111" s="7">
        <f t="shared" si="44"/>
        <v>1</v>
      </c>
      <c r="E111" s="7">
        <f t="shared" si="45"/>
        <v>0</v>
      </c>
      <c r="F111" s="7">
        <f t="shared" si="46"/>
        <v>1</v>
      </c>
      <c r="G111" s="7">
        <f t="shared" si="47"/>
        <v>0</v>
      </c>
      <c r="H111" s="1">
        <f t="shared" si="36"/>
        <v>0</v>
      </c>
      <c r="I111" s="1">
        <f t="shared" si="37"/>
        <v>0</v>
      </c>
      <c r="J111" s="1">
        <f t="shared" si="38"/>
        <v>0</v>
      </c>
      <c r="K111" s="1">
        <f t="shared" si="39"/>
        <v>1</v>
      </c>
      <c r="L111" s="1" t="str">
        <f t="shared" si="48"/>
        <v>紧货币宽信用</v>
      </c>
      <c r="O111" s="51">
        <v>42794</v>
      </c>
      <c r="P111" s="60">
        <v>4.1763947368421048</v>
      </c>
      <c r="R111" s="14">
        <v>40512</v>
      </c>
      <c r="S111" s="15">
        <v>10554</v>
      </c>
      <c r="T111" s="55">
        <f t="shared" si="32"/>
        <v>537.6</v>
      </c>
      <c r="U111" s="63">
        <f t="shared" si="33"/>
        <v>11091.6</v>
      </c>
      <c r="V111" s="63">
        <f t="shared" si="40"/>
        <v>145517.77000000002</v>
      </c>
      <c r="W111" s="64">
        <f t="shared" si="34"/>
        <v>400487.6</v>
      </c>
      <c r="X111" s="65">
        <f t="shared" si="41"/>
        <v>36.335149952208262</v>
      </c>
      <c r="Y111" s="64"/>
      <c r="Z111" s="70">
        <v>41578</v>
      </c>
      <c r="AA111" s="68">
        <v>1973.06</v>
      </c>
      <c r="AB111" s="68"/>
      <c r="AC111" s="71">
        <v>43646</v>
      </c>
      <c r="AD111" s="15">
        <v>969880.2</v>
      </c>
      <c r="AG111" s="16"/>
      <c r="AH111" s="17"/>
      <c r="AI111" s="17"/>
      <c r="AJ111" s="17"/>
      <c r="AK111" s="17"/>
      <c r="AL111" s="17"/>
      <c r="AM111" s="17"/>
      <c r="AN111" s="17"/>
      <c r="AO111" s="17"/>
    </row>
    <row r="112" spans="1:41" x14ac:dyDescent="0.3">
      <c r="A112" s="8">
        <f t="shared" si="49"/>
        <v>42735</v>
      </c>
      <c r="B112" s="9">
        <f t="shared" si="42"/>
        <v>3.1734818181818181</v>
      </c>
      <c r="C112" s="9">
        <f t="shared" si="43"/>
        <v>32.755411131659265</v>
      </c>
      <c r="D112" s="7">
        <f t="shared" si="44"/>
        <v>0</v>
      </c>
      <c r="E112" s="7">
        <f t="shared" si="45"/>
        <v>1</v>
      </c>
      <c r="F112" s="7">
        <f t="shared" si="46"/>
        <v>1</v>
      </c>
      <c r="G112" s="7">
        <f t="shared" si="47"/>
        <v>0</v>
      </c>
      <c r="H112" s="1">
        <f t="shared" si="36"/>
        <v>0</v>
      </c>
      <c r="I112" s="1">
        <f t="shared" si="37"/>
        <v>0</v>
      </c>
      <c r="J112" s="1">
        <f t="shared" si="38"/>
        <v>1</v>
      </c>
      <c r="K112" s="1">
        <f t="shared" si="39"/>
        <v>0</v>
      </c>
      <c r="L112" s="1" t="str">
        <f t="shared" si="48"/>
        <v>紧货币紧信用</v>
      </c>
      <c r="O112" s="51">
        <v>42766</v>
      </c>
      <c r="P112" s="60">
        <v>3.6514315789473679</v>
      </c>
      <c r="R112" s="14">
        <v>40543</v>
      </c>
      <c r="S112" s="15">
        <v>10780</v>
      </c>
      <c r="T112" s="55">
        <f t="shared" si="32"/>
        <v>1036.8</v>
      </c>
      <c r="U112" s="63">
        <f t="shared" si="33"/>
        <v>11816.8</v>
      </c>
      <c r="V112" s="63">
        <f t="shared" si="40"/>
        <v>149217.67000000001</v>
      </c>
      <c r="W112" s="64">
        <f t="shared" si="34"/>
        <v>419253.3</v>
      </c>
      <c r="X112" s="65">
        <f t="shared" si="41"/>
        <v>35.591292900974189</v>
      </c>
      <c r="Y112" s="64"/>
      <c r="Z112" s="70">
        <v>41547</v>
      </c>
      <c r="AA112" s="68">
        <v>1005.8</v>
      </c>
      <c r="AB112" s="68"/>
      <c r="AC112" s="71">
        <v>43738</v>
      </c>
      <c r="AD112" s="15">
        <v>987106.6</v>
      </c>
      <c r="AG112" s="16"/>
      <c r="AH112" s="17"/>
      <c r="AI112" s="17"/>
      <c r="AJ112" s="17"/>
      <c r="AK112" s="17"/>
      <c r="AL112" s="17"/>
      <c r="AM112" s="17"/>
      <c r="AN112" s="17"/>
      <c r="AO112" s="17"/>
    </row>
    <row r="113" spans="1:41" x14ac:dyDescent="0.3">
      <c r="A113" s="8">
        <f t="shared" si="49"/>
        <v>42704</v>
      </c>
      <c r="B113" s="9">
        <f t="shared" si="42"/>
        <v>2.9201045454545449</v>
      </c>
      <c r="C113" s="9">
        <f t="shared" si="43"/>
        <v>33.860732240351723</v>
      </c>
      <c r="D113" s="7">
        <f t="shared" si="44"/>
        <v>1</v>
      </c>
      <c r="E113" s="7">
        <f t="shared" si="45"/>
        <v>0</v>
      </c>
      <c r="F113" s="7">
        <f t="shared" si="46"/>
        <v>1</v>
      </c>
      <c r="G113" s="7">
        <f t="shared" si="47"/>
        <v>0</v>
      </c>
      <c r="H113" s="1">
        <f t="shared" si="36"/>
        <v>0</v>
      </c>
      <c r="I113" s="1">
        <f t="shared" si="37"/>
        <v>0</v>
      </c>
      <c r="J113" s="1">
        <f t="shared" si="38"/>
        <v>0</v>
      </c>
      <c r="K113" s="1">
        <f t="shared" si="39"/>
        <v>1</v>
      </c>
      <c r="L113" s="1" t="str">
        <f t="shared" si="48"/>
        <v>紧货币宽信用</v>
      </c>
      <c r="O113" s="51">
        <v>42735</v>
      </c>
      <c r="P113" s="60">
        <v>3.1734818181818181</v>
      </c>
      <c r="R113" s="14">
        <v>40574</v>
      </c>
      <c r="S113" s="15">
        <v>17560</v>
      </c>
      <c r="T113" s="55">
        <f t="shared" si="32"/>
        <v>-218.1</v>
      </c>
      <c r="U113" s="63">
        <f t="shared" si="33"/>
        <v>17341.900000000001</v>
      </c>
      <c r="V113" s="63">
        <f t="shared" si="40"/>
        <v>146284.67000000001</v>
      </c>
      <c r="W113" s="64">
        <f t="shared" si="34"/>
        <v>419253.3</v>
      </c>
      <c r="X113" s="65">
        <f t="shared" si="41"/>
        <v>34.89171581952963</v>
      </c>
      <c r="Y113" s="64"/>
      <c r="Z113" s="70">
        <v>41517</v>
      </c>
      <c r="AA113" s="68">
        <v>1686.3</v>
      </c>
      <c r="AB113" s="68"/>
      <c r="AC113" s="71">
        <v>43830</v>
      </c>
      <c r="AD113" s="15">
        <v>1005872.4</v>
      </c>
      <c r="AG113" s="16"/>
      <c r="AH113" s="17"/>
      <c r="AI113" s="17"/>
      <c r="AJ113" s="17"/>
      <c r="AK113" s="17"/>
      <c r="AL113" s="17"/>
      <c r="AM113" s="17"/>
      <c r="AN113" s="17"/>
      <c r="AO113" s="17"/>
    </row>
    <row r="114" spans="1:41" x14ac:dyDescent="0.3">
      <c r="A114" s="8">
        <f t="shared" si="49"/>
        <v>42674</v>
      </c>
      <c r="B114" s="9">
        <f t="shared" si="42"/>
        <v>2.8082777777777781</v>
      </c>
      <c r="C114" s="9">
        <f t="shared" si="43"/>
        <v>33.343690065121159</v>
      </c>
      <c r="D114" s="7">
        <f t="shared" si="44"/>
        <v>1</v>
      </c>
      <c r="E114" s="7">
        <f t="shared" si="45"/>
        <v>0</v>
      </c>
      <c r="F114" s="7">
        <f t="shared" si="46"/>
        <v>1</v>
      </c>
      <c r="G114" s="7">
        <f t="shared" si="47"/>
        <v>0</v>
      </c>
      <c r="H114" s="1">
        <f t="shared" si="36"/>
        <v>0</v>
      </c>
      <c r="I114" s="1">
        <f t="shared" si="37"/>
        <v>0</v>
      </c>
      <c r="J114" s="1">
        <f t="shared" si="38"/>
        <v>0</v>
      </c>
      <c r="K114" s="1">
        <f t="shared" si="39"/>
        <v>1</v>
      </c>
      <c r="L114" s="1" t="str">
        <f t="shared" si="48"/>
        <v>紧货币宽信用</v>
      </c>
      <c r="O114" s="51">
        <v>42704</v>
      </c>
      <c r="P114" s="60">
        <v>2.9201045454545449</v>
      </c>
      <c r="R114" s="14">
        <v>40602</v>
      </c>
      <c r="S114" s="15">
        <v>6468</v>
      </c>
      <c r="T114" s="55">
        <f t="shared" si="32"/>
        <v>90.8</v>
      </c>
      <c r="U114" s="63">
        <f t="shared" si="33"/>
        <v>6558.8</v>
      </c>
      <c r="V114" s="63">
        <f t="shared" si="40"/>
        <v>142466.47</v>
      </c>
      <c r="W114" s="64">
        <f t="shared" si="34"/>
        <v>419253.3</v>
      </c>
      <c r="X114" s="65">
        <f t="shared" si="41"/>
        <v>33.981001461407701</v>
      </c>
      <c r="Y114" s="64"/>
      <c r="Z114" s="70">
        <v>41486</v>
      </c>
      <c r="AA114" s="68">
        <v>1607</v>
      </c>
      <c r="AB114" s="68"/>
      <c r="AC114" s="71">
        <v>43921</v>
      </c>
      <c r="AD114" s="15">
        <v>994089.6</v>
      </c>
      <c r="AG114" s="16"/>
      <c r="AH114" s="17"/>
      <c r="AI114" s="17"/>
      <c r="AJ114" s="17"/>
      <c r="AK114" s="17"/>
      <c r="AL114" s="17"/>
      <c r="AM114" s="17"/>
      <c r="AN114" s="17"/>
      <c r="AO114" s="17"/>
    </row>
    <row r="115" spans="1:41" x14ac:dyDescent="0.3">
      <c r="A115" s="8">
        <f t="shared" si="49"/>
        <v>42643</v>
      </c>
      <c r="B115" s="9">
        <f t="shared" si="42"/>
        <v>2.79327619047619</v>
      </c>
      <c r="C115" s="9">
        <f t="shared" si="43"/>
        <v>33.022303504983221</v>
      </c>
      <c r="D115" s="7">
        <f t="shared" si="44"/>
        <v>0</v>
      </c>
      <c r="E115" s="7">
        <f t="shared" si="45"/>
        <v>1</v>
      </c>
      <c r="F115" s="7">
        <f t="shared" si="46"/>
        <v>0</v>
      </c>
      <c r="G115" s="7">
        <f t="shared" si="47"/>
        <v>1</v>
      </c>
      <c r="H115" s="1">
        <f t="shared" si="36"/>
        <v>1</v>
      </c>
      <c r="I115" s="1">
        <f t="shared" si="37"/>
        <v>0</v>
      </c>
      <c r="J115" s="1">
        <f t="shared" si="38"/>
        <v>0</v>
      </c>
      <c r="K115" s="1">
        <f t="shared" si="39"/>
        <v>0</v>
      </c>
      <c r="L115" s="1" t="str">
        <f t="shared" si="48"/>
        <v>宽货币紧信用</v>
      </c>
      <c r="O115" s="51">
        <v>42674</v>
      </c>
      <c r="P115" s="60">
        <v>2.8082777777777781</v>
      </c>
      <c r="R115" s="14">
        <v>40633</v>
      </c>
      <c r="S115" s="15">
        <v>18212</v>
      </c>
      <c r="T115" s="55">
        <f t="shared" si="32"/>
        <v>104.9</v>
      </c>
      <c r="U115" s="63">
        <f t="shared" si="33"/>
        <v>18316.900000000001</v>
      </c>
      <c r="V115" s="63">
        <f t="shared" si="40"/>
        <v>146228.37000000002</v>
      </c>
      <c r="W115" s="64">
        <f t="shared" si="34"/>
        <v>436347.2</v>
      </c>
      <c r="X115" s="65">
        <f t="shared" si="41"/>
        <v>33.511930407712029</v>
      </c>
      <c r="Y115" s="64"/>
      <c r="Z115" s="70">
        <v>41455</v>
      </c>
      <c r="AA115" s="68">
        <v>877.9</v>
      </c>
      <c r="AB115" s="68"/>
      <c r="AC115" s="71">
        <v>44012</v>
      </c>
      <c r="AD115" s="15">
        <v>1001345.7</v>
      </c>
      <c r="AG115" s="16"/>
      <c r="AH115" s="17"/>
      <c r="AI115" s="17"/>
      <c r="AJ115" s="17"/>
      <c r="AK115" s="17"/>
      <c r="AL115" s="17"/>
      <c r="AM115" s="17"/>
      <c r="AN115" s="17"/>
      <c r="AO115" s="17"/>
    </row>
    <row r="116" spans="1:41" x14ac:dyDescent="0.3">
      <c r="A116" s="8">
        <f t="shared" si="49"/>
        <v>42613</v>
      </c>
      <c r="B116" s="9">
        <f t="shared" si="42"/>
        <v>2.8061826086956518</v>
      </c>
      <c r="C116" s="9">
        <f t="shared" si="43"/>
        <v>33.482254569847299</v>
      </c>
      <c r="D116" s="7">
        <f t="shared" si="44"/>
        <v>1</v>
      </c>
      <c r="E116" s="7">
        <f t="shared" si="45"/>
        <v>0</v>
      </c>
      <c r="F116" s="7">
        <f t="shared" si="46"/>
        <v>0</v>
      </c>
      <c r="G116" s="7">
        <f t="shared" si="47"/>
        <v>1</v>
      </c>
      <c r="H116" s="1">
        <f t="shared" si="36"/>
        <v>0</v>
      </c>
      <c r="I116" s="1">
        <f t="shared" si="37"/>
        <v>1</v>
      </c>
      <c r="J116" s="1">
        <f t="shared" si="38"/>
        <v>0</v>
      </c>
      <c r="K116" s="1">
        <f t="shared" si="39"/>
        <v>0</v>
      </c>
      <c r="L116" s="1" t="str">
        <f t="shared" si="48"/>
        <v>宽货币宽信用</v>
      </c>
      <c r="O116" s="51">
        <v>42643</v>
      </c>
      <c r="P116" s="60">
        <v>2.79327619047619</v>
      </c>
      <c r="R116" s="14">
        <v>40663</v>
      </c>
      <c r="S116" s="15">
        <v>13673</v>
      </c>
      <c r="T116" s="55">
        <f t="shared" si="32"/>
        <v>545</v>
      </c>
      <c r="U116" s="63">
        <f t="shared" si="33"/>
        <v>14218</v>
      </c>
      <c r="V116" s="63">
        <f t="shared" si="40"/>
        <v>145195.87000000002</v>
      </c>
      <c r="W116" s="64">
        <f t="shared" si="34"/>
        <v>436347.2</v>
      </c>
      <c r="X116" s="65">
        <f t="shared" si="41"/>
        <v>33.275306911560342</v>
      </c>
      <c r="Y116" s="64"/>
      <c r="Z116" s="70">
        <v>41425</v>
      </c>
      <c r="AA116" s="68">
        <v>1804.24</v>
      </c>
      <c r="AB116" s="68"/>
      <c r="AC116" s="71">
        <v>44104</v>
      </c>
      <c r="AD116" s="15">
        <v>1015232.7</v>
      </c>
      <c r="AG116" s="16"/>
      <c r="AH116" s="17"/>
      <c r="AI116" s="17"/>
      <c r="AJ116" s="17"/>
      <c r="AK116" s="17"/>
      <c r="AL116" s="17"/>
      <c r="AM116" s="17"/>
      <c r="AN116" s="17"/>
      <c r="AO116" s="17"/>
    </row>
    <row r="117" spans="1:41" x14ac:dyDescent="0.3">
      <c r="A117" s="8">
        <f t="shared" si="49"/>
        <v>42582</v>
      </c>
      <c r="B117" s="9">
        <f t="shared" si="42"/>
        <v>2.8957999999999999</v>
      </c>
      <c r="C117" s="9">
        <f t="shared" si="43"/>
        <v>32.508756095032034</v>
      </c>
      <c r="D117" s="7">
        <f t="shared" si="44"/>
        <v>0</v>
      </c>
      <c r="E117" s="7">
        <f t="shared" si="45"/>
        <v>1</v>
      </c>
      <c r="F117" s="7">
        <f t="shared" si="46"/>
        <v>0</v>
      </c>
      <c r="G117" s="7">
        <f t="shared" si="47"/>
        <v>1</v>
      </c>
      <c r="H117" s="1">
        <f t="shared" si="36"/>
        <v>1</v>
      </c>
      <c r="I117" s="1">
        <f t="shared" si="37"/>
        <v>0</v>
      </c>
      <c r="J117" s="1">
        <f t="shared" si="38"/>
        <v>0</v>
      </c>
      <c r="K117" s="1">
        <f t="shared" si="39"/>
        <v>0</v>
      </c>
      <c r="L117" s="1" t="str">
        <f t="shared" si="48"/>
        <v>宽货币紧信用</v>
      </c>
      <c r="O117" s="51">
        <v>42613</v>
      </c>
      <c r="P117" s="60">
        <v>2.8061826086956518</v>
      </c>
      <c r="R117" s="14">
        <v>40694</v>
      </c>
      <c r="S117" s="15">
        <v>10854</v>
      </c>
      <c r="T117" s="55">
        <f t="shared" si="32"/>
        <v>440.71</v>
      </c>
      <c r="U117" s="63">
        <f t="shared" si="33"/>
        <v>11294.71</v>
      </c>
      <c r="V117" s="63">
        <f t="shared" si="40"/>
        <v>144758.68</v>
      </c>
      <c r="W117" s="64">
        <f t="shared" si="34"/>
        <v>436347.2</v>
      </c>
      <c r="X117" s="65">
        <f t="shared" si="41"/>
        <v>33.175113762618395</v>
      </c>
      <c r="Y117" s="64"/>
      <c r="Z117" s="70">
        <v>41394</v>
      </c>
      <c r="AA117" s="68">
        <v>1411.1</v>
      </c>
      <c r="AB117" s="68"/>
      <c r="AC117" s="71">
        <v>44196</v>
      </c>
      <c r="AD117" s="15">
        <v>1034867.5</v>
      </c>
      <c r="AG117" s="16"/>
      <c r="AH117" s="17"/>
      <c r="AI117" s="17"/>
      <c r="AJ117" s="17"/>
      <c r="AK117" s="17"/>
      <c r="AL117" s="17"/>
      <c r="AM117" s="17"/>
      <c r="AN117" s="17"/>
      <c r="AO117" s="17"/>
    </row>
    <row r="118" spans="1:41" x14ac:dyDescent="0.3">
      <c r="A118" s="8">
        <f t="shared" si="49"/>
        <v>42551</v>
      </c>
      <c r="B118" s="9">
        <f t="shared" si="42"/>
        <v>2.954042857142857</v>
      </c>
      <c r="C118" s="9">
        <f t="shared" si="43"/>
        <v>33.08437984484398</v>
      </c>
      <c r="D118" s="7">
        <f t="shared" si="44"/>
        <v>0</v>
      </c>
      <c r="E118" s="7">
        <f t="shared" si="45"/>
        <v>1</v>
      </c>
      <c r="F118" s="7">
        <f t="shared" si="46"/>
        <v>1</v>
      </c>
      <c r="G118" s="7">
        <f t="shared" si="47"/>
        <v>0</v>
      </c>
      <c r="H118" s="1">
        <f t="shared" si="36"/>
        <v>0</v>
      </c>
      <c r="I118" s="1">
        <f t="shared" si="37"/>
        <v>0</v>
      </c>
      <c r="J118" s="1">
        <f t="shared" si="38"/>
        <v>1</v>
      </c>
      <c r="K118" s="1">
        <f t="shared" si="39"/>
        <v>0</v>
      </c>
      <c r="L118" s="1" t="str">
        <f t="shared" si="48"/>
        <v>紧货币紧信用</v>
      </c>
      <c r="O118" s="51">
        <v>42582</v>
      </c>
      <c r="P118" s="60">
        <v>2.8957999999999999</v>
      </c>
      <c r="R118" s="14">
        <v>40724</v>
      </c>
      <c r="S118" s="15">
        <v>10873</v>
      </c>
      <c r="T118" s="55">
        <f t="shared" si="32"/>
        <v>1182.5</v>
      </c>
      <c r="U118" s="63">
        <f t="shared" si="33"/>
        <v>12055.5</v>
      </c>
      <c r="V118" s="63">
        <f t="shared" si="40"/>
        <v>144768.07999999999</v>
      </c>
      <c r="W118" s="64">
        <f t="shared" si="34"/>
        <v>456049</v>
      </c>
      <c r="X118" s="65">
        <f t="shared" si="41"/>
        <v>31.743974879892288</v>
      </c>
      <c r="Y118" s="64"/>
      <c r="Z118" s="70">
        <v>41364</v>
      </c>
      <c r="AA118" s="68">
        <v>20</v>
      </c>
      <c r="AB118" s="68"/>
      <c r="AC118" s="71">
        <v>44286</v>
      </c>
      <c r="AD118" s="15">
        <v>1080251.6000000001</v>
      </c>
      <c r="AG118" s="16"/>
      <c r="AH118" s="17"/>
      <c r="AI118" s="17"/>
      <c r="AJ118" s="17"/>
      <c r="AK118" s="17"/>
      <c r="AL118" s="17"/>
      <c r="AM118" s="17"/>
      <c r="AN118" s="17"/>
      <c r="AO118" s="17"/>
    </row>
    <row r="119" spans="1:41" x14ac:dyDescent="0.3">
      <c r="A119" s="8">
        <f t="shared" si="49"/>
        <v>42521</v>
      </c>
      <c r="B119" s="9">
        <f t="shared" si="42"/>
        <v>2.9165952380952378</v>
      </c>
      <c r="C119" s="9">
        <f t="shared" si="43"/>
        <v>33.504246302281246</v>
      </c>
      <c r="D119" s="7">
        <f t="shared" si="44"/>
        <v>0</v>
      </c>
      <c r="E119" s="7">
        <f t="shared" si="45"/>
        <v>1</v>
      </c>
      <c r="F119" s="7">
        <f t="shared" si="46"/>
        <v>1</v>
      </c>
      <c r="G119" s="7">
        <f t="shared" si="47"/>
        <v>0</v>
      </c>
      <c r="H119" s="1">
        <f t="shared" si="36"/>
        <v>0</v>
      </c>
      <c r="I119" s="1">
        <f t="shared" si="37"/>
        <v>0</v>
      </c>
      <c r="J119" s="1">
        <f t="shared" si="38"/>
        <v>1</v>
      </c>
      <c r="K119" s="1">
        <f t="shared" si="39"/>
        <v>0</v>
      </c>
      <c r="L119" s="1" t="str">
        <f t="shared" si="48"/>
        <v>紧货币紧信用</v>
      </c>
      <c r="O119" s="51">
        <v>42551</v>
      </c>
      <c r="P119" s="60">
        <v>2.954042857142857</v>
      </c>
      <c r="R119" s="14">
        <v>40755</v>
      </c>
      <c r="S119" s="15">
        <v>5393</v>
      </c>
      <c r="T119" s="55">
        <f t="shared" si="32"/>
        <v>1153.93</v>
      </c>
      <c r="U119" s="63">
        <f t="shared" si="33"/>
        <v>6546.93</v>
      </c>
      <c r="V119" s="63">
        <f t="shared" si="40"/>
        <v>143016.60999999999</v>
      </c>
      <c r="W119" s="64">
        <f t="shared" si="34"/>
        <v>456049</v>
      </c>
      <c r="X119" s="65">
        <f t="shared" si="41"/>
        <v>31.359921850502904</v>
      </c>
      <c r="Y119" s="64"/>
      <c r="Z119" s="70">
        <v>41333</v>
      </c>
      <c r="AA119" s="68">
        <v>-280</v>
      </c>
      <c r="AB119" s="68"/>
      <c r="AC119" s="71">
        <v>44377</v>
      </c>
      <c r="AD119" s="15">
        <v>1114780.8</v>
      </c>
      <c r="AG119" s="16"/>
      <c r="AH119" s="17"/>
      <c r="AI119" s="17"/>
      <c r="AJ119" s="17"/>
      <c r="AK119" s="17"/>
      <c r="AL119" s="17"/>
      <c r="AM119" s="17"/>
      <c r="AN119" s="17"/>
      <c r="AO119" s="17"/>
    </row>
    <row r="120" spans="1:41" x14ac:dyDescent="0.3">
      <c r="A120" s="8">
        <f t="shared" si="49"/>
        <v>42490</v>
      </c>
      <c r="B120" s="9">
        <f t="shared" si="42"/>
        <v>2.8587600000000002</v>
      </c>
      <c r="C120" s="9">
        <f t="shared" si="43"/>
        <v>33.620207711958706</v>
      </c>
      <c r="D120" s="7">
        <f t="shared" si="44"/>
        <v>1</v>
      </c>
      <c r="E120" s="7">
        <f t="shared" si="45"/>
        <v>0</v>
      </c>
      <c r="F120" s="7">
        <f t="shared" si="46"/>
        <v>1</v>
      </c>
      <c r="G120" s="7">
        <f t="shared" si="47"/>
        <v>0</v>
      </c>
      <c r="H120" s="1">
        <f t="shared" si="36"/>
        <v>0</v>
      </c>
      <c r="I120" s="1">
        <f t="shared" si="37"/>
        <v>0</v>
      </c>
      <c r="J120" s="1">
        <f t="shared" si="38"/>
        <v>0</v>
      </c>
      <c r="K120" s="1">
        <f t="shared" si="39"/>
        <v>1</v>
      </c>
      <c r="L120" s="1" t="str">
        <f t="shared" si="48"/>
        <v>紧货币宽信用</v>
      </c>
      <c r="O120" s="51">
        <v>42521</v>
      </c>
      <c r="P120" s="60">
        <v>2.9165952380952378</v>
      </c>
      <c r="R120" s="14">
        <v>40786</v>
      </c>
      <c r="S120" s="15">
        <v>10741</v>
      </c>
      <c r="T120" s="55">
        <f t="shared" si="32"/>
        <v>1419.7</v>
      </c>
      <c r="U120" s="63">
        <f t="shared" si="33"/>
        <v>12160.7</v>
      </c>
      <c r="V120" s="63">
        <f t="shared" si="40"/>
        <v>142839.71</v>
      </c>
      <c r="W120" s="64">
        <f t="shared" si="34"/>
        <v>456049</v>
      </c>
      <c r="X120" s="65">
        <f t="shared" si="41"/>
        <v>31.321132159044314</v>
      </c>
      <c r="Y120" s="64"/>
      <c r="Z120" s="70">
        <v>41305</v>
      </c>
      <c r="AA120" s="68">
        <v>240</v>
      </c>
      <c r="AB120" s="68"/>
      <c r="AC120" s="71">
        <v>44469</v>
      </c>
      <c r="AD120" s="15">
        <v>1142832.5</v>
      </c>
      <c r="AG120" s="16"/>
      <c r="AH120" s="17"/>
      <c r="AI120" s="17"/>
      <c r="AJ120" s="17"/>
      <c r="AK120" s="17"/>
      <c r="AL120" s="17"/>
      <c r="AM120" s="17"/>
      <c r="AN120" s="17"/>
      <c r="AO120" s="17"/>
    </row>
    <row r="121" spans="1:41" x14ac:dyDescent="0.3">
      <c r="A121" s="8">
        <f t="shared" si="49"/>
        <v>42460</v>
      </c>
      <c r="B121" s="9">
        <f t="shared" si="42"/>
        <v>2.8105217391304351</v>
      </c>
      <c r="C121" s="9">
        <f t="shared" si="43"/>
        <v>32.414625612365306</v>
      </c>
      <c r="D121" s="7">
        <f t="shared" si="44"/>
        <v>1</v>
      </c>
      <c r="E121" s="7">
        <f t="shared" si="45"/>
        <v>0</v>
      </c>
      <c r="F121" s="7">
        <f t="shared" si="46"/>
        <v>0</v>
      </c>
      <c r="G121" s="7">
        <f t="shared" si="47"/>
        <v>1</v>
      </c>
      <c r="H121" s="1">
        <f t="shared" si="36"/>
        <v>0</v>
      </c>
      <c r="I121" s="1">
        <f t="shared" si="37"/>
        <v>1</v>
      </c>
      <c r="J121" s="1">
        <f t="shared" si="38"/>
        <v>0</v>
      </c>
      <c r="K121" s="1">
        <f t="shared" si="39"/>
        <v>0</v>
      </c>
      <c r="L121" s="1" t="str">
        <f t="shared" si="48"/>
        <v>宽货币宽信用</v>
      </c>
      <c r="O121" s="51">
        <v>42490</v>
      </c>
      <c r="P121" s="60">
        <v>2.8587600000000002</v>
      </c>
      <c r="R121" s="14">
        <v>40816</v>
      </c>
      <c r="S121" s="15">
        <v>4279</v>
      </c>
      <c r="T121" s="55">
        <f t="shared" si="32"/>
        <v>411.85</v>
      </c>
      <c r="U121" s="63">
        <f t="shared" si="33"/>
        <v>4690.8500000000004</v>
      </c>
      <c r="V121" s="63">
        <f t="shared" si="40"/>
        <v>135440.46</v>
      </c>
      <c r="W121" s="64">
        <f t="shared" si="34"/>
        <v>476817.6</v>
      </c>
      <c r="X121" s="65">
        <f t="shared" si="41"/>
        <v>28.40508823499804</v>
      </c>
      <c r="Y121" s="64"/>
      <c r="Z121" s="70">
        <v>41274</v>
      </c>
      <c r="AA121" s="68">
        <v>510.1</v>
      </c>
      <c r="AB121" s="68"/>
      <c r="AC121" s="71">
        <v>44561</v>
      </c>
      <c r="AD121" s="15">
        <v>1173823</v>
      </c>
      <c r="AG121" s="16"/>
      <c r="AH121" s="17"/>
      <c r="AI121" s="17"/>
      <c r="AJ121" s="17"/>
      <c r="AK121" s="17"/>
      <c r="AL121" s="17"/>
      <c r="AM121" s="17"/>
      <c r="AN121" s="17"/>
      <c r="AO121" s="17"/>
    </row>
    <row r="122" spans="1:41" x14ac:dyDescent="0.3">
      <c r="A122" s="8">
        <f t="shared" si="49"/>
        <v>42429</v>
      </c>
      <c r="B122" s="9">
        <f t="shared" si="42"/>
        <v>2.9994166666666668</v>
      </c>
      <c r="C122" s="9">
        <f t="shared" si="43"/>
        <v>30.189049588512074</v>
      </c>
      <c r="D122" s="7">
        <f t="shared" si="44"/>
        <v>0</v>
      </c>
      <c r="E122" s="7">
        <f t="shared" si="45"/>
        <v>1</v>
      </c>
      <c r="F122" s="7">
        <f t="shared" si="46"/>
        <v>0</v>
      </c>
      <c r="G122" s="7">
        <f t="shared" si="47"/>
        <v>1</v>
      </c>
      <c r="H122" s="1">
        <f t="shared" si="36"/>
        <v>1</v>
      </c>
      <c r="I122" s="1">
        <f t="shared" si="37"/>
        <v>0</v>
      </c>
      <c r="J122" s="1">
        <f t="shared" si="38"/>
        <v>0</v>
      </c>
      <c r="K122" s="1">
        <f t="shared" si="39"/>
        <v>0</v>
      </c>
      <c r="L122" s="1" t="str">
        <f t="shared" si="48"/>
        <v>宽货币紧信用</v>
      </c>
      <c r="O122" s="51">
        <v>42460</v>
      </c>
      <c r="P122" s="60">
        <v>2.8105217391304351</v>
      </c>
      <c r="R122" s="14">
        <v>40847</v>
      </c>
      <c r="S122" s="15">
        <v>7908</v>
      </c>
      <c r="T122" s="55">
        <f t="shared" si="32"/>
        <v>335.74</v>
      </c>
      <c r="U122" s="63">
        <f t="shared" si="33"/>
        <v>8243.74</v>
      </c>
      <c r="V122" s="63">
        <f t="shared" si="40"/>
        <v>134336.43</v>
      </c>
      <c r="W122" s="64">
        <f t="shared" si="34"/>
        <v>476817.6</v>
      </c>
      <c r="X122" s="65">
        <f t="shared" si="41"/>
        <v>28.173546865719722</v>
      </c>
      <c r="Y122" s="64"/>
      <c r="Z122" s="70">
        <v>41243</v>
      </c>
      <c r="AA122" s="68">
        <v>355.56</v>
      </c>
      <c r="AB122" s="68"/>
      <c r="AC122" s="71">
        <v>44651</v>
      </c>
      <c r="AD122" s="15">
        <v>1195943.6000000001</v>
      </c>
      <c r="AG122" s="16"/>
      <c r="AH122" s="17"/>
      <c r="AI122" s="17"/>
      <c r="AJ122" s="17"/>
      <c r="AK122" s="17"/>
      <c r="AL122" s="17"/>
      <c r="AM122" s="17"/>
      <c r="AN122" s="17"/>
      <c r="AO122" s="17"/>
    </row>
    <row r="123" spans="1:41" x14ac:dyDescent="0.3">
      <c r="A123" s="8">
        <f t="shared" si="49"/>
        <v>42400</v>
      </c>
      <c r="B123" s="9">
        <f t="shared" si="42"/>
        <v>3.0480049999999999</v>
      </c>
      <c r="C123" s="9">
        <f t="shared" si="43"/>
        <v>30.830859722581057</v>
      </c>
      <c r="D123" s="7">
        <f t="shared" si="44"/>
        <v>1</v>
      </c>
      <c r="E123" s="7">
        <f t="shared" si="45"/>
        <v>0</v>
      </c>
      <c r="F123" s="7">
        <f t="shared" si="46"/>
        <v>0</v>
      </c>
      <c r="G123" s="7">
        <f t="shared" si="47"/>
        <v>1</v>
      </c>
      <c r="H123" s="1">
        <f t="shared" si="36"/>
        <v>0</v>
      </c>
      <c r="I123" s="1">
        <f t="shared" si="37"/>
        <v>1</v>
      </c>
      <c r="J123" s="1">
        <f t="shared" si="38"/>
        <v>0</v>
      </c>
      <c r="K123" s="1">
        <f t="shared" si="39"/>
        <v>0</v>
      </c>
      <c r="L123" s="1" t="str">
        <f t="shared" si="48"/>
        <v>宽货币宽信用</v>
      </c>
      <c r="O123" s="51">
        <v>42429</v>
      </c>
      <c r="P123" s="60">
        <v>2.9994166666666668</v>
      </c>
      <c r="R123" s="14">
        <v>40877</v>
      </c>
      <c r="S123" s="15">
        <v>9581</v>
      </c>
      <c r="T123" s="55">
        <f t="shared" si="32"/>
        <v>198.1</v>
      </c>
      <c r="U123" s="63">
        <f t="shared" si="33"/>
        <v>9779.1</v>
      </c>
      <c r="V123" s="63">
        <f t="shared" si="40"/>
        <v>133023.93</v>
      </c>
      <c r="W123" s="64">
        <f t="shared" si="34"/>
        <v>476817.6</v>
      </c>
      <c r="X123" s="65">
        <f t="shared" si="41"/>
        <v>27.898284375408959</v>
      </c>
      <c r="Y123" s="64"/>
      <c r="Z123" s="70">
        <v>41213</v>
      </c>
      <c r="AA123" s="68">
        <v>705.2</v>
      </c>
      <c r="AB123" s="68"/>
      <c r="AC123" s="71">
        <v>44742</v>
      </c>
      <c r="AD123" s="15">
        <v>1207075.8999999999</v>
      </c>
      <c r="AG123" s="16"/>
      <c r="AH123" s="17"/>
      <c r="AI123" s="17"/>
      <c r="AJ123" s="17"/>
      <c r="AK123" s="17"/>
      <c r="AL123" s="17"/>
      <c r="AM123" s="17"/>
      <c r="AN123" s="17"/>
      <c r="AO123" s="17"/>
    </row>
    <row r="124" spans="1:41" x14ac:dyDescent="0.3">
      <c r="A124" s="8">
        <f t="shared" si="49"/>
        <v>42369</v>
      </c>
      <c r="B124" s="9">
        <f t="shared" si="42"/>
        <v>3.0591217391304348</v>
      </c>
      <c r="C124" s="9">
        <f t="shared" si="43"/>
        <v>28.668332845796829</v>
      </c>
      <c r="D124" s="7">
        <f t="shared" si="44"/>
        <v>0</v>
      </c>
      <c r="E124" s="7">
        <f t="shared" si="45"/>
        <v>1</v>
      </c>
      <c r="F124" s="7">
        <f t="shared" si="46"/>
        <v>1</v>
      </c>
      <c r="G124" s="7">
        <f t="shared" si="47"/>
        <v>0</v>
      </c>
      <c r="H124" s="1">
        <f t="shared" si="36"/>
        <v>0</v>
      </c>
      <c r="I124" s="1">
        <f t="shared" si="37"/>
        <v>0</v>
      </c>
      <c r="J124" s="1">
        <f t="shared" si="38"/>
        <v>1</v>
      </c>
      <c r="K124" s="1">
        <f t="shared" si="39"/>
        <v>0</v>
      </c>
      <c r="L124" s="1" t="str">
        <f t="shared" si="48"/>
        <v>紧货币紧信用</v>
      </c>
      <c r="O124" s="51">
        <v>42400</v>
      </c>
      <c r="P124" s="60">
        <v>3.0480049999999999</v>
      </c>
      <c r="R124" s="14">
        <v>40908</v>
      </c>
      <c r="S124" s="15">
        <v>12744</v>
      </c>
      <c r="T124" s="55">
        <f t="shared" si="32"/>
        <v>520</v>
      </c>
      <c r="U124" s="63">
        <f t="shared" si="33"/>
        <v>13264</v>
      </c>
      <c r="V124" s="63">
        <f t="shared" si="40"/>
        <v>134471.13</v>
      </c>
      <c r="W124" s="64">
        <f t="shared" si="34"/>
        <v>495707.5</v>
      </c>
      <c r="X124" s="65">
        <f t="shared" si="41"/>
        <v>27.127112258741292</v>
      </c>
      <c r="Y124" s="64"/>
      <c r="Z124" s="70">
        <v>41182</v>
      </c>
      <c r="AA124" s="68">
        <v>1005.72</v>
      </c>
      <c r="AB124" s="68"/>
      <c r="AC124" s="71">
        <v>44834</v>
      </c>
      <c r="AD124" s="15">
        <v>1224513.6000000001</v>
      </c>
      <c r="AG124" s="16"/>
      <c r="AH124" s="17"/>
      <c r="AI124" s="17"/>
      <c r="AJ124" s="17"/>
      <c r="AK124" s="17"/>
      <c r="AL124" s="17"/>
      <c r="AM124" s="17"/>
      <c r="AN124" s="17"/>
      <c r="AO124" s="17"/>
    </row>
    <row r="125" spans="1:41" x14ac:dyDescent="0.3">
      <c r="A125" s="8">
        <f t="shared" si="49"/>
        <v>42338</v>
      </c>
      <c r="B125" s="9">
        <f t="shared" si="42"/>
        <v>3.0417666666666672</v>
      </c>
      <c r="C125" s="9">
        <f t="shared" si="43"/>
        <v>28.812785452154067</v>
      </c>
      <c r="D125" s="7">
        <f t="shared" si="44"/>
        <v>1</v>
      </c>
      <c r="E125" s="7">
        <f t="shared" si="45"/>
        <v>0</v>
      </c>
      <c r="F125" s="7">
        <f t="shared" si="46"/>
        <v>0</v>
      </c>
      <c r="G125" s="7">
        <f t="shared" si="47"/>
        <v>1</v>
      </c>
      <c r="H125" s="1">
        <f t="shared" si="36"/>
        <v>0</v>
      </c>
      <c r="I125" s="1">
        <f t="shared" si="37"/>
        <v>1</v>
      </c>
      <c r="J125" s="1">
        <f t="shared" si="38"/>
        <v>0</v>
      </c>
      <c r="K125" s="1">
        <f t="shared" si="39"/>
        <v>0</v>
      </c>
      <c r="L125" s="1" t="str">
        <f t="shared" si="48"/>
        <v>宽货币宽信用</v>
      </c>
      <c r="O125" s="51">
        <v>42369</v>
      </c>
      <c r="P125" s="60">
        <v>3.0591217391304348</v>
      </c>
      <c r="R125" s="14">
        <v>40939</v>
      </c>
      <c r="S125" s="15">
        <v>9754</v>
      </c>
      <c r="T125" s="55">
        <f t="shared" si="32"/>
        <v>-714.7</v>
      </c>
      <c r="U125" s="63">
        <f t="shared" si="33"/>
        <v>9039.2999999999993</v>
      </c>
      <c r="V125" s="63">
        <f t="shared" si="40"/>
        <v>126168.53000000001</v>
      </c>
      <c r="W125" s="64">
        <f t="shared" si="34"/>
        <v>495707.5</v>
      </c>
      <c r="X125" s="65">
        <f t="shared" si="41"/>
        <v>25.452213250757762</v>
      </c>
      <c r="Y125" s="64"/>
      <c r="Z125" s="70">
        <v>41152</v>
      </c>
      <c r="AA125" s="68">
        <v>1465.2</v>
      </c>
      <c r="AB125" s="68"/>
      <c r="AC125" s="71">
        <v>44926</v>
      </c>
      <c r="AD125" s="15">
        <v>1234029.3</v>
      </c>
      <c r="AG125" s="16"/>
      <c r="AH125" s="17"/>
      <c r="AI125" s="17"/>
      <c r="AJ125" s="17"/>
      <c r="AK125" s="17"/>
      <c r="AL125" s="17"/>
      <c r="AM125" s="17"/>
      <c r="AN125" s="17"/>
      <c r="AO125" s="17"/>
    </row>
    <row r="126" spans="1:41" x14ac:dyDescent="0.3">
      <c r="A126" s="8">
        <f t="shared" si="49"/>
        <v>42308</v>
      </c>
      <c r="B126" s="9">
        <f t="shared" si="42"/>
        <v>3.1360333333333328</v>
      </c>
      <c r="C126" s="9">
        <f t="shared" si="43"/>
        <v>27.790931236252568</v>
      </c>
      <c r="D126" s="7">
        <f t="shared" si="44"/>
        <v>1</v>
      </c>
      <c r="E126" s="7">
        <f t="shared" si="45"/>
        <v>0</v>
      </c>
      <c r="F126" s="7">
        <f t="shared" si="46"/>
        <v>1</v>
      </c>
      <c r="G126" s="7">
        <f t="shared" si="47"/>
        <v>0</v>
      </c>
      <c r="H126" s="1">
        <f t="shared" si="36"/>
        <v>0</v>
      </c>
      <c r="I126" s="1">
        <f t="shared" si="37"/>
        <v>0</v>
      </c>
      <c r="J126" s="1">
        <f t="shared" si="38"/>
        <v>0</v>
      </c>
      <c r="K126" s="1">
        <f t="shared" si="39"/>
        <v>1</v>
      </c>
      <c r="L126" s="1" t="str">
        <f t="shared" si="48"/>
        <v>紧货币宽信用</v>
      </c>
      <c r="O126" s="51">
        <v>42338</v>
      </c>
      <c r="P126" s="60">
        <v>3.0417666666666672</v>
      </c>
      <c r="R126" s="14">
        <v>40968</v>
      </c>
      <c r="S126" s="15">
        <v>10431</v>
      </c>
      <c r="T126" s="55">
        <f t="shared" si="32"/>
        <v>840</v>
      </c>
      <c r="U126" s="63">
        <f t="shared" si="33"/>
        <v>11271</v>
      </c>
      <c r="V126" s="63">
        <f t="shared" si="40"/>
        <v>130880.73000000003</v>
      </c>
      <c r="W126" s="64">
        <f t="shared" si="34"/>
        <v>495707.5</v>
      </c>
      <c r="X126" s="65">
        <f t="shared" si="41"/>
        <v>26.402814159559828</v>
      </c>
      <c r="Y126" s="64"/>
      <c r="Z126" s="70">
        <v>41121</v>
      </c>
      <c r="AA126" s="68">
        <v>1192.3900000000001</v>
      </c>
      <c r="AB126" s="68"/>
      <c r="AC126" s="71">
        <v>45016</v>
      </c>
      <c r="AD126" s="15">
        <v>1249222.3</v>
      </c>
      <c r="AG126" s="16"/>
      <c r="AH126" s="17"/>
      <c r="AI126" s="17"/>
      <c r="AJ126" s="17"/>
      <c r="AK126" s="17"/>
      <c r="AL126" s="17"/>
      <c r="AM126" s="17"/>
      <c r="AN126" s="17"/>
      <c r="AO126" s="17"/>
    </row>
    <row r="127" spans="1:41" x14ac:dyDescent="0.3">
      <c r="A127" s="8">
        <f t="shared" si="49"/>
        <v>42277</v>
      </c>
      <c r="B127" s="9">
        <f t="shared" si="42"/>
        <v>3.122757142857143</v>
      </c>
      <c r="C127" s="9">
        <f t="shared" si="43"/>
        <v>27.310671196693303</v>
      </c>
      <c r="D127" s="7">
        <f t="shared" si="44"/>
        <v>1</v>
      </c>
      <c r="E127" s="7">
        <f t="shared" si="45"/>
        <v>0</v>
      </c>
      <c r="F127" s="7">
        <f t="shared" si="46"/>
        <v>1</v>
      </c>
      <c r="G127" s="7">
        <f t="shared" si="47"/>
        <v>0</v>
      </c>
      <c r="H127" s="1">
        <f t="shared" si="36"/>
        <v>0</v>
      </c>
      <c r="I127" s="1">
        <f t="shared" si="37"/>
        <v>0</v>
      </c>
      <c r="J127" s="1">
        <f t="shared" si="38"/>
        <v>0</v>
      </c>
      <c r="K127" s="1">
        <f t="shared" si="39"/>
        <v>1</v>
      </c>
      <c r="L127" s="1" t="str">
        <f t="shared" si="48"/>
        <v>紧货币宽信用</v>
      </c>
      <c r="O127" s="51">
        <v>42308</v>
      </c>
      <c r="P127" s="60">
        <v>3.1360333333333328</v>
      </c>
      <c r="R127" s="14">
        <v>40999</v>
      </c>
      <c r="S127" s="15">
        <v>18704</v>
      </c>
      <c r="T127" s="55">
        <f t="shared" si="32"/>
        <v>-173.5</v>
      </c>
      <c r="U127" s="63">
        <f t="shared" si="33"/>
        <v>18530.5</v>
      </c>
      <c r="V127" s="63">
        <f t="shared" si="40"/>
        <v>131094.33000000002</v>
      </c>
      <c r="W127" s="64">
        <f t="shared" si="34"/>
        <v>508866.1</v>
      </c>
      <c r="X127" s="65">
        <f t="shared" si="41"/>
        <v>25.762048208752759</v>
      </c>
      <c r="Y127" s="64"/>
      <c r="Z127" s="70">
        <v>41090</v>
      </c>
      <c r="AA127" s="68">
        <v>766.9</v>
      </c>
      <c r="AB127" s="68"/>
      <c r="AC127" s="71">
        <v>45107</v>
      </c>
      <c r="AD127" s="15">
        <v>1266348.3</v>
      </c>
      <c r="AG127" s="16"/>
      <c r="AH127" s="17"/>
      <c r="AI127" s="17"/>
      <c r="AJ127" s="17"/>
      <c r="AK127" s="17"/>
      <c r="AL127" s="17"/>
      <c r="AM127" s="17"/>
      <c r="AN127" s="17"/>
      <c r="AO127" s="17"/>
    </row>
    <row r="128" spans="1:41" x14ac:dyDescent="0.3">
      <c r="A128" s="8">
        <f t="shared" si="49"/>
        <v>42247</v>
      </c>
      <c r="B128" s="9">
        <f t="shared" si="42"/>
        <v>3.1092523809523809</v>
      </c>
      <c r="C128" s="9">
        <f t="shared" si="43"/>
        <v>26.752286733462032</v>
      </c>
      <c r="D128" s="7">
        <f t="shared" si="44"/>
        <v>1</v>
      </c>
      <c r="E128" s="7">
        <f t="shared" si="45"/>
        <v>0</v>
      </c>
      <c r="F128" s="7">
        <f t="shared" si="46"/>
        <v>0</v>
      </c>
      <c r="G128" s="7">
        <f t="shared" si="47"/>
        <v>1</v>
      </c>
      <c r="H128" s="1">
        <f t="shared" si="36"/>
        <v>0</v>
      </c>
      <c r="I128" s="1">
        <f t="shared" si="37"/>
        <v>1</v>
      </c>
      <c r="J128" s="1">
        <f t="shared" si="38"/>
        <v>0</v>
      </c>
      <c r="K128" s="1">
        <f t="shared" si="39"/>
        <v>0</v>
      </c>
      <c r="L128" s="1" t="str">
        <f t="shared" si="48"/>
        <v>宽货币宽信用</v>
      </c>
      <c r="O128" s="51">
        <v>42277</v>
      </c>
      <c r="P128" s="60">
        <v>3.122757142857143</v>
      </c>
      <c r="R128" s="14">
        <v>41029</v>
      </c>
      <c r="S128" s="15">
        <v>9637</v>
      </c>
      <c r="T128" s="55">
        <f t="shared" si="32"/>
        <v>154.19</v>
      </c>
      <c r="U128" s="63">
        <f t="shared" si="33"/>
        <v>9791.19</v>
      </c>
      <c r="V128" s="63">
        <f t="shared" si="40"/>
        <v>126667.52</v>
      </c>
      <c r="W128" s="64">
        <f t="shared" si="34"/>
        <v>508866.1</v>
      </c>
      <c r="X128" s="65">
        <f t="shared" si="41"/>
        <v>24.892112089997745</v>
      </c>
      <c r="Y128" s="64"/>
      <c r="Z128" s="70">
        <v>41060</v>
      </c>
      <c r="AA128" s="68">
        <v>-457.77</v>
      </c>
      <c r="AB128" s="68"/>
      <c r="AC128" s="71">
        <v>45199</v>
      </c>
      <c r="AD128" s="15">
        <v>1279389.3999999999</v>
      </c>
      <c r="AG128" s="16"/>
      <c r="AH128" s="17"/>
      <c r="AI128" s="17"/>
      <c r="AJ128" s="17"/>
      <c r="AK128" s="17"/>
      <c r="AL128" s="17"/>
      <c r="AM128" s="17"/>
      <c r="AN128" s="17"/>
      <c r="AO128" s="17"/>
    </row>
    <row r="129" spans="1:41" x14ac:dyDescent="0.3">
      <c r="A129" s="8">
        <f t="shared" si="49"/>
        <v>42216</v>
      </c>
      <c r="B129" s="9">
        <f t="shared" si="42"/>
        <v>3.1721826086956519</v>
      </c>
      <c r="C129" s="9">
        <f t="shared" si="43"/>
        <v>25.93595296089871</v>
      </c>
      <c r="D129" s="7">
        <f t="shared" si="44"/>
        <v>1</v>
      </c>
      <c r="E129" s="7">
        <f t="shared" si="45"/>
        <v>0</v>
      </c>
      <c r="F129" s="7">
        <f t="shared" si="46"/>
        <v>1</v>
      </c>
      <c r="G129" s="7">
        <f t="shared" si="47"/>
        <v>0</v>
      </c>
      <c r="H129" s="1">
        <f t="shared" si="36"/>
        <v>0</v>
      </c>
      <c r="I129" s="1">
        <f t="shared" si="37"/>
        <v>0</v>
      </c>
      <c r="J129" s="1">
        <f t="shared" si="38"/>
        <v>0</v>
      </c>
      <c r="K129" s="1">
        <f t="shared" si="39"/>
        <v>1</v>
      </c>
      <c r="L129" s="1" t="str">
        <f t="shared" si="48"/>
        <v>紧货币宽信用</v>
      </c>
      <c r="O129" s="51">
        <v>42247</v>
      </c>
      <c r="P129" s="60">
        <v>3.1092523809523809</v>
      </c>
      <c r="R129" s="14">
        <v>41060</v>
      </c>
      <c r="S129" s="15">
        <v>11432</v>
      </c>
      <c r="T129" s="55">
        <f t="shared" si="32"/>
        <v>-457.77</v>
      </c>
      <c r="U129" s="63">
        <f t="shared" si="33"/>
        <v>10974.23</v>
      </c>
      <c r="V129" s="63">
        <f t="shared" si="40"/>
        <v>126347.04000000001</v>
      </c>
      <c r="W129" s="64">
        <f t="shared" si="34"/>
        <v>508866.1</v>
      </c>
      <c r="X129" s="65">
        <f t="shared" si="41"/>
        <v>24.82913285046892</v>
      </c>
      <c r="Y129" s="64"/>
      <c r="Z129" s="70">
        <v>41029</v>
      </c>
      <c r="AA129" s="68">
        <v>154.19</v>
      </c>
      <c r="AB129" s="68"/>
      <c r="AC129" s="71">
        <v>45291</v>
      </c>
      <c r="AD129" s="15">
        <v>1294271.8</v>
      </c>
      <c r="AG129" s="16"/>
      <c r="AH129" s="17"/>
      <c r="AI129" s="17"/>
      <c r="AJ129" s="17"/>
      <c r="AK129" s="17"/>
      <c r="AL129" s="17"/>
      <c r="AM129" s="17"/>
      <c r="AN129" s="17"/>
      <c r="AO129" s="17"/>
    </row>
    <row r="130" spans="1:41" x14ac:dyDescent="0.3">
      <c r="A130" s="8">
        <f t="shared" si="49"/>
        <v>42185</v>
      </c>
      <c r="B130" s="9">
        <f t="shared" si="42"/>
        <v>3.0175714285714288</v>
      </c>
      <c r="C130" s="9">
        <f t="shared" si="43"/>
        <v>24.561572566122038</v>
      </c>
      <c r="D130" s="7">
        <f t="shared" si="44"/>
        <v>1</v>
      </c>
      <c r="E130" s="7">
        <f t="shared" si="45"/>
        <v>0</v>
      </c>
      <c r="F130" s="7">
        <f t="shared" si="46"/>
        <v>0</v>
      </c>
      <c r="G130" s="7">
        <f t="shared" si="47"/>
        <v>1</v>
      </c>
      <c r="H130" s="1">
        <f t="shared" si="36"/>
        <v>0</v>
      </c>
      <c r="I130" s="1">
        <f t="shared" si="37"/>
        <v>1</v>
      </c>
      <c r="J130" s="1">
        <f t="shared" si="38"/>
        <v>0</v>
      </c>
      <c r="K130" s="1">
        <f t="shared" si="39"/>
        <v>0</v>
      </c>
      <c r="L130" s="1" t="str">
        <f t="shared" si="48"/>
        <v>宽货币宽信用</v>
      </c>
      <c r="O130" s="51">
        <v>42216</v>
      </c>
      <c r="P130" s="60">
        <v>3.1721826086956519</v>
      </c>
      <c r="R130" s="14">
        <v>41090</v>
      </c>
      <c r="S130" s="15">
        <v>17802</v>
      </c>
      <c r="T130" s="55">
        <f t="shared" si="32"/>
        <v>766.9</v>
      </c>
      <c r="U130" s="63">
        <f t="shared" si="33"/>
        <v>18568.900000000001</v>
      </c>
      <c r="V130" s="63">
        <f t="shared" si="40"/>
        <v>132860.44</v>
      </c>
      <c r="W130" s="64">
        <f t="shared" si="34"/>
        <v>521580.5</v>
      </c>
      <c r="X130" s="65">
        <f t="shared" si="41"/>
        <v>25.472662417402493</v>
      </c>
      <c r="Y130" s="64"/>
      <c r="Z130" s="70">
        <v>40999</v>
      </c>
      <c r="AA130" s="68">
        <v>-173.5</v>
      </c>
      <c r="AB130" s="68"/>
      <c r="AC130" s="71">
        <v>45382</v>
      </c>
      <c r="AD130" s="15">
        <v>1306428.2</v>
      </c>
      <c r="AG130" s="16"/>
      <c r="AH130" s="17"/>
      <c r="AI130" s="17"/>
      <c r="AJ130" s="17"/>
      <c r="AK130" s="17"/>
      <c r="AL130" s="17"/>
      <c r="AM130" s="17"/>
      <c r="AN130" s="17"/>
      <c r="AO130" s="17"/>
    </row>
    <row r="131" spans="1:41" x14ac:dyDescent="0.3">
      <c r="A131" s="8">
        <f t="shared" si="49"/>
        <v>42155</v>
      </c>
      <c r="B131" s="9">
        <f t="shared" si="42"/>
        <v>3.34545</v>
      </c>
      <c r="C131" s="9">
        <f t="shared" si="43"/>
        <v>24.195646976080518</v>
      </c>
      <c r="D131" s="7">
        <f t="shared" si="44"/>
        <v>0</v>
      </c>
      <c r="E131" s="7">
        <f t="shared" si="45"/>
        <v>1</v>
      </c>
      <c r="F131" s="7">
        <f t="shared" si="46"/>
        <v>0</v>
      </c>
      <c r="G131" s="7">
        <f t="shared" si="47"/>
        <v>1</v>
      </c>
      <c r="H131" s="1">
        <f t="shared" si="36"/>
        <v>1</v>
      </c>
      <c r="I131" s="1">
        <f t="shared" si="37"/>
        <v>0</v>
      </c>
      <c r="J131" s="1">
        <f t="shared" si="38"/>
        <v>0</v>
      </c>
      <c r="K131" s="1">
        <f t="shared" si="39"/>
        <v>0</v>
      </c>
      <c r="L131" s="1" t="str">
        <f t="shared" si="48"/>
        <v>宽货币紧信用</v>
      </c>
      <c r="O131" s="51">
        <v>42185</v>
      </c>
      <c r="P131" s="60">
        <v>3.0175714285714288</v>
      </c>
      <c r="R131" s="14">
        <v>41121</v>
      </c>
      <c r="S131" s="15">
        <v>10522</v>
      </c>
      <c r="T131" s="55">
        <f t="shared" si="32"/>
        <v>1192.3900000000001</v>
      </c>
      <c r="U131" s="63">
        <f t="shared" si="33"/>
        <v>11714.39</v>
      </c>
      <c r="V131" s="63">
        <f t="shared" si="40"/>
        <v>138027.90000000002</v>
      </c>
      <c r="W131" s="64">
        <f t="shared" si="34"/>
        <v>521580.5</v>
      </c>
      <c r="X131" s="65">
        <f t="shared" si="41"/>
        <v>26.463393474257575</v>
      </c>
      <c r="Y131" s="64"/>
      <c r="Z131" s="70">
        <v>40968</v>
      </c>
      <c r="AA131" s="68">
        <v>840</v>
      </c>
      <c r="AB131" s="68"/>
      <c r="AC131" s="71">
        <v>45473</v>
      </c>
      <c r="AD131" s="15">
        <v>1318776.1000000001</v>
      </c>
      <c r="AG131" s="16"/>
      <c r="AH131" s="17"/>
      <c r="AI131" s="17"/>
      <c r="AJ131" s="17"/>
      <c r="AK131" s="17"/>
      <c r="AL131" s="17"/>
      <c r="AM131" s="17"/>
      <c r="AN131" s="17"/>
      <c r="AO131" s="17"/>
    </row>
    <row r="132" spans="1:41" x14ac:dyDescent="0.3">
      <c r="A132" s="8">
        <f t="shared" si="49"/>
        <v>42124</v>
      </c>
      <c r="B132" s="9">
        <f t="shared" ref="B132:B163" si="50">VLOOKUP(A132,O:P,2,0)</f>
        <v>4.5715095238095236</v>
      </c>
      <c r="C132" s="9">
        <f t="shared" ref="C132:C163" si="51">VLOOKUP(A132,R:X,7,0)</f>
        <v>24.23928195483024</v>
      </c>
      <c r="D132" s="7">
        <f t="shared" si="44"/>
        <v>0</v>
      </c>
      <c r="E132" s="7">
        <f t="shared" si="45"/>
        <v>1</v>
      </c>
      <c r="F132" s="7">
        <f t="shared" si="46"/>
        <v>0</v>
      </c>
      <c r="G132" s="7">
        <f t="shared" si="47"/>
        <v>1</v>
      </c>
      <c r="H132" s="1">
        <f t="shared" si="36"/>
        <v>1</v>
      </c>
      <c r="I132" s="1">
        <f t="shared" si="37"/>
        <v>0</v>
      </c>
      <c r="J132" s="1">
        <f t="shared" si="38"/>
        <v>0</v>
      </c>
      <c r="K132" s="1">
        <f t="shared" si="39"/>
        <v>0</v>
      </c>
      <c r="L132" s="1" t="str">
        <f t="shared" si="48"/>
        <v>宽货币紧信用</v>
      </c>
      <c r="O132" s="51">
        <v>42155</v>
      </c>
      <c r="P132" s="60">
        <v>3.34545</v>
      </c>
      <c r="R132" s="14">
        <v>41152</v>
      </c>
      <c r="S132" s="15">
        <v>12475</v>
      </c>
      <c r="T132" s="55">
        <f t="shared" si="32"/>
        <v>1465.2</v>
      </c>
      <c r="U132" s="63">
        <f t="shared" si="33"/>
        <v>13940.2</v>
      </c>
      <c r="V132" s="63">
        <f t="shared" si="40"/>
        <v>139807.4</v>
      </c>
      <c r="W132" s="64">
        <f t="shared" si="34"/>
        <v>521580.5</v>
      </c>
      <c r="X132" s="65">
        <f t="shared" si="41"/>
        <v>26.804568038874148</v>
      </c>
      <c r="Y132" s="64"/>
      <c r="Z132" s="70">
        <v>40939</v>
      </c>
      <c r="AA132" s="68">
        <v>-714.7</v>
      </c>
      <c r="AB132" s="68"/>
      <c r="AC132" s="71">
        <v>45565</v>
      </c>
      <c r="AD132" s="15">
        <v>1331778.6000000001</v>
      </c>
      <c r="AG132" s="16"/>
      <c r="AH132" s="17"/>
      <c r="AI132" s="17"/>
      <c r="AJ132" s="17"/>
      <c r="AK132" s="17"/>
      <c r="AL132" s="17"/>
      <c r="AM132" s="17"/>
      <c r="AN132" s="17"/>
      <c r="AO132" s="17"/>
    </row>
    <row r="133" spans="1:41" x14ac:dyDescent="0.3">
      <c r="A133" s="8">
        <f t="shared" si="49"/>
        <v>42094</v>
      </c>
      <c r="B133" s="9">
        <f t="shared" si="50"/>
        <v>4.8994909090909093</v>
      </c>
      <c r="C133" s="9">
        <f t="shared" si="51"/>
        <v>24.96852585378868</v>
      </c>
      <c r="D133" s="7">
        <f t="shared" ref="D133:D177" si="52">IF(C133&gt;C134,1,0)</f>
        <v>0</v>
      </c>
      <c r="E133" s="7">
        <f t="shared" ref="E133:E177" si="53">1-D133</f>
        <v>1</v>
      </c>
      <c r="F133" s="7">
        <f t="shared" ref="F133:F177" si="54">IF(B133&gt;B134,1,0)</f>
        <v>0</v>
      </c>
      <c r="G133" s="7">
        <f t="shared" ref="G133:G177" si="55">1-F133</f>
        <v>1</v>
      </c>
      <c r="H133" s="1">
        <f t="shared" si="36"/>
        <v>1</v>
      </c>
      <c r="I133" s="1">
        <f t="shared" si="37"/>
        <v>0</v>
      </c>
      <c r="J133" s="1">
        <f t="shared" si="38"/>
        <v>0</v>
      </c>
      <c r="K133" s="1">
        <f t="shared" si="39"/>
        <v>0</v>
      </c>
      <c r="L133" s="1" t="str">
        <f t="shared" ref="L133:L164" si="56">INDEX($H$3:$K$3,1,MATCH(1,H133:K133,0))</f>
        <v>宽货币紧信用</v>
      </c>
      <c r="O133" s="51">
        <v>42124</v>
      </c>
      <c r="P133" s="60">
        <v>4.5715095238095236</v>
      </c>
      <c r="R133" s="14">
        <v>41182</v>
      </c>
      <c r="S133" s="15">
        <v>16462</v>
      </c>
      <c r="T133" s="55">
        <f t="shared" ref="T133:T196" si="57">VLOOKUP(R133,Z:AA,2,0)</f>
        <v>1005.72</v>
      </c>
      <c r="U133" s="63">
        <f t="shared" ref="U133:U184" si="58">S133+T133</f>
        <v>17467.72</v>
      </c>
      <c r="V133" s="63">
        <f t="shared" si="40"/>
        <v>152584.26999999999</v>
      </c>
      <c r="W133" s="64">
        <f t="shared" ref="W133:W196" si="59">VLOOKUP(R133,AC:AD,2,1)</f>
        <v>533403</v>
      </c>
      <c r="X133" s="65">
        <f t="shared" si="41"/>
        <v>28.605813990547485</v>
      </c>
      <c r="Y133" s="64"/>
      <c r="Z133" s="70">
        <v>40908</v>
      </c>
      <c r="AA133" s="68">
        <v>520</v>
      </c>
      <c r="AB133" s="68"/>
      <c r="AC133" s="71">
        <v>45657</v>
      </c>
      <c r="AD133" s="15">
        <v>1348066.2</v>
      </c>
      <c r="AG133" s="16"/>
      <c r="AH133" s="17"/>
      <c r="AI133" s="17"/>
      <c r="AJ133" s="17"/>
      <c r="AK133" s="17"/>
      <c r="AL133" s="17"/>
      <c r="AM133" s="17"/>
      <c r="AN133" s="17"/>
      <c r="AO133" s="17"/>
    </row>
    <row r="134" spans="1:41" x14ac:dyDescent="0.3">
      <c r="A134" s="8">
        <f t="shared" ref="A134:A177" si="60">EOMONTH(A133,-1)</f>
        <v>42063</v>
      </c>
      <c r="B134" s="9">
        <f t="shared" si="50"/>
        <v>4.9052411764705877</v>
      </c>
      <c r="C134" s="9">
        <f t="shared" si="51"/>
        <v>26.597167538220347</v>
      </c>
      <c r="D134" s="7">
        <f t="shared" si="52"/>
        <v>1</v>
      </c>
      <c r="E134" s="7">
        <f t="shared" si="53"/>
        <v>0</v>
      </c>
      <c r="F134" s="7">
        <f t="shared" si="54"/>
        <v>0</v>
      </c>
      <c r="G134" s="7">
        <f t="shared" si="55"/>
        <v>1</v>
      </c>
      <c r="H134" s="1">
        <f t="shared" ref="H134:H177" si="61">INT(AND(G134=1,E134=1))</f>
        <v>0</v>
      </c>
      <c r="I134" s="1">
        <f t="shared" ref="I134:I177" si="62">INT(AND(G134=1,D134=1))</f>
        <v>1</v>
      </c>
      <c r="J134" s="1">
        <f t="shared" ref="J134:J177" si="63">INT(AND(F134=1,E134=1))</f>
        <v>0</v>
      </c>
      <c r="K134" s="1">
        <f t="shared" ref="K134:K177" si="64">INT(AND(F134=1,D134=1))</f>
        <v>0</v>
      </c>
      <c r="L134" s="1" t="str">
        <f t="shared" si="56"/>
        <v>宽货币宽信用</v>
      </c>
      <c r="O134" s="51">
        <v>42094</v>
      </c>
      <c r="P134" s="60">
        <v>4.8994909090909093</v>
      </c>
      <c r="R134" s="14">
        <v>41213</v>
      </c>
      <c r="S134" s="15">
        <v>12906</v>
      </c>
      <c r="T134" s="55">
        <f t="shared" si="57"/>
        <v>705.2</v>
      </c>
      <c r="U134" s="63">
        <f t="shared" si="58"/>
        <v>13611.2</v>
      </c>
      <c r="V134" s="63">
        <f t="shared" si="40"/>
        <v>157951.73000000001</v>
      </c>
      <c r="W134" s="64">
        <f t="shared" si="59"/>
        <v>533403</v>
      </c>
      <c r="X134" s="65">
        <f t="shared" si="41"/>
        <v>29.6120812968806</v>
      </c>
      <c r="Y134" s="64"/>
      <c r="Z134" s="70">
        <v>40877</v>
      </c>
      <c r="AA134" s="68">
        <v>198.1</v>
      </c>
      <c r="AB134" s="68"/>
      <c r="AC134" s="71">
        <v>45747</v>
      </c>
      <c r="AD134" s="15">
        <v>1362007.4</v>
      </c>
      <c r="AG134" s="16"/>
      <c r="AH134" s="17"/>
      <c r="AI134" s="17"/>
      <c r="AJ134" s="17"/>
      <c r="AK134" s="17"/>
      <c r="AL134" s="17"/>
      <c r="AM134" s="17"/>
      <c r="AN134" s="17"/>
      <c r="AO134" s="17"/>
    </row>
    <row r="135" spans="1:41" x14ac:dyDescent="0.3">
      <c r="A135" s="8">
        <f t="shared" si="60"/>
        <v>42035</v>
      </c>
      <c r="B135" s="9">
        <f t="shared" si="50"/>
        <v>4.9401714285714293</v>
      </c>
      <c r="C135" s="9">
        <f t="shared" si="51"/>
        <v>26.019339113599944</v>
      </c>
      <c r="D135" s="7">
        <f t="shared" si="52"/>
        <v>0</v>
      </c>
      <c r="E135" s="7">
        <f t="shared" si="53"/>
        <v>1</v>
      </c>
      <c r="F135" s="7">
        <f t="shared" si="54"/>
        <v>1</v>
      </c>
      <c r="G135" s="7">
        <f t="shared" si="55"/>
        <v>0</v>
      </c>
      <c r="H135" s="1">
        <f t="shared" si="61"/>
        <v>0</v>
      </c>
      <c r="I135" s="1">
        <f t="shared" si="62"/>
        <v>0</v>
      </c>
      <c r="J135" s="1">
        <f t="shared" si="63"/>
        <v>1</v>
      </c>
      <c r="K135" s="1">
        <f t="shared" si="64"/>
        <v>0</v>
      </c>
      <c r="L135" s="1" t="str">
        <f t="shared" si="56"/>
        <v>紧货币紧信用</v>
      </c>
      <c r="O135" s="51">
        <v>42063</v>
      </c>
      <c r="P135" s="60">
        <v>4.9052411764705877</v>
      </c>
      <c r="R135" s="14">
        <v>41243</v>
      </c>
      <c r="S135" s="15">
        <v>11225</v>
      </c>
      <c r="T135" s="55">
        <f t="shared" si="57"/>
        <v>355.56</v>
      </c>
      <c r="U135" s="63">
        <f t="shared" si="58"/>
        <v>11580.56</v>
      </c>
      <c r="V135" s="63">
        <f t="shared" si="40"/>
        <v>159753.19</v>
      </c>
      <c r="W135" s="64">
        <f t="shared" si="59"/>
        <v>533403</v>
      </c>
      <c r="X135" s="65">
        <f t="shared" si="41"/>
        <v>29.949810930947145</v>
      </c>
      <c r="Y135" s="64"/>
      <c r="Z135" s="70">
        <v>40847</v>
      </c>
      <c r="AA135" s="68">
        <v>335.74</v>
      </c>
      <c r="AB135" s="68"/>
      <c r="AC135" s="71">
        <v>45838</v>
      </c>
      <c r="AD135" s="15">
        <v>1374817.3</v>
      </c>
      <c r="AG135" s="16"/>
      <c r="AH135" s="17"/>
      <c r="AI135" s="17"/>
      <c r="AJ135" s="17"/>
      <c r="AK135" s="17"/>
      <c r="AL135" s="17"/>
      <c r="AM135" s="17"/>
      <c r="AN135" s="17"/>
      <c r="AO135" s="17"/>
    </row>
    <row r="136" spans="1:41" x14ac:dyDescent="0.3">
      <c r="A136" s="8">
        <f t="shared" si="60"/>
        <v>42004</v>
      </c>
      <c r="B136" s="9">
        <f t="shared" si="50"/>
        <v>4.655347826086957</v>
      </c>
      <c r="C136" s="9">
        <f t="shared" si="51"/>
        <v>26.839427591051852</v>
      </c>
      <c r="D136" s="7">
        <f t="shared" si="52"/>
        <v>1</v>
      </c>
      <c r="E136" s="7">
        <f t="shared" si="53"/>
        <v>0</v>
      </c>
      <c r="F136" s="7">
        <f t="shared" si="54"/>
        <v>1</v>
      </c>
      <c r="G136" s="7">
        <f t="shared" si="55"/>
        <v>0</v>
      </c>
      <c r="H136" s="1">
        <f t="shared" si="61"/>
        <v>0</v>
      </c>
      <c r="I136" s="1">
        <f t="shared" si="62"/>
        <v>0</v>
      </c>
      <c r="J136" s="1">
        <f t="shared" si="63"/>
        <v>0</v>
      </c>
      <c r="K136" s="1">
        <f t="shared" si="64"/>
        <v>1</v>
      </c>
      <c r="L136" s="1" t="str">
        <f t="shared" si="56"/>
        <v>紧货币宽信用</v>
      </c>
      <c r="O136" s="51">
        <v>42035</v>
      </c>
      <c r="P136" s="60">
        <v>4.9401714285714293</v>
      </c>
      <c r="R136" s="14">
        <v>41274</v>
      </c>
      <c r="S136" s="15">
        <v>16282</v>
      </c>
      <c r="T136" s="55">
        <f t="shared" si="57"/>
        <v>510.1</v>
      </c>
      <c r="U136" s="63">
        <f t="shared" si="58"/>
        <v>16792.099999999999</v>
      </c>
      <c r="V136" s="63">
        <f t="shared" si="40"/>
        <v>163281.29</v>
      </c>
      <c r="W136" s="64">
        <f t="shared" si="59"/>
        <v>547510.69999999995</v>
      </c>
      <c r="X136" s="65">
        <f t="shared" si="41"/>
        <v>29.822483834562508</v>
      </c>
      <c r="Y136" s="64"/>
      <c r="Z136" s="70">
        <v>40816</v>
      </c>
      <c r="AA136" s="68">
        <v>411.85</v>
      </c>
      <c r="AB136" s="68"/>
      <c r="AC136" s="71">
        <v>45930</v>
      </c>
      <c r="AD136" s="15">
        <v>1387480.3</v>
      </c>
      <c r="AG136" s="16"/>
      <c r="AH136" s="17"/>
      <c r="AI136" s="17"/>
      <c r="AJ136" s="17"/>
      <c r="AK136" s="17"/>
      <c r="AL136" s="17"/>
      <c r="AM136" s="17"/>
      <c r="AN136" s="17"/>
      <c r="AO136" s="17"/>
    </row>
    <row r="137" spans="1:41" x14ac:dyDescent="0.3">
      <c r="A137" s="8">
        <f t="shared" si="60"/>
        <v>41973</v>
      </c>
      <c r="B137" s="9">
        <f t="shared" si="50"/>
        <v>4.2655200000000004</v>
      </c>
      <c r="C137" s="9">
        <f t="shared" si="51"/>
        <v>26.711888122993336</v>
      </c>
      <c r="D137" s="7">
        <f t="shared" si="52"/>
        <v>0</v>
      </c>
      <c r="E137" s="7">
        <f t="shared" si="53"/>
        <v>1</v>
      </c>
      <c r="F137" s="7">
        <f t="shared" si="54"/>
        <v>0</v>
      </c>
      <c r="G137" s="7">
        <f t="shared" si="55"/>
        <v>1</v>
      </c>
      <c r="H137" s="1">
        <f t="shared" si="61"/>
        <v>1</v>
      </c>
      <c r="I137" s="1">
        <f t="shared" si="62"/>
        <v>0</v>
      </c>
      <c r="J137" s="1">
        <f t="shared" si="63"/>
        <v>0</v>
      </c>
      <c r="K137" s="1">
        <f t="shared" si="64"/>
        <v>0</v>
      </c>
      <c r="L137" s="1" t="str">
        <f t="shared" si="56"/>
        <v>宽货币紧信用</v>
      </c>
      <c r="O137" s="51">
        <v>42004</v>
      </c>
      <c r="P137" s="60">
        <v>4.655347826086957</v>
      </c>
      <c r="R137" s="14">
        <v>41305</v>
      </c>
      <c r="S137" s="15">
        <v>25446</v>
      </c>
      <c r="T137" s="55">
        <f t="shared" si="57"/>
        <v>240</v>
      </c>
      <c r="U137" s="63">
        <f t="shared" si="58"/>
        <v>25686</v>
      </c>
      <c r="V137" s="63">
        <f t="shared" si="40"/>
        <v>179927.99000000002</v>
      </c>
      <c r="W137" s="64">
        <f t="shared" si="59"/>
        <v>547510.69999999995</v>
      </c>
      <c r="X137" s="65">
        <f t="shared" si="41"/>
        <v>32.862917564898737</v>
      </c>
      <c r="Y137" s="64"/>
      <c r="Z137" s="70">
        <v>40786</v>
      </c>
      <c r="AA137" s="68">
        <v>1419.7</v>
      </c>
      <c r="AB137" s="68"/>
      <c r="AC137" s="71">
        <v>46022</v>
      </c>
      <c r="AD137" s="15">
        <v>1401879.2</v>
      </c>
      <c r="AG137" s="16"/>
      <c r="AH137" s="17"/>
      <c r="AI137" s="17"/>
      <c r="AJ137" s="17"/>
      <c r="AK137" s="17"/>
      <c r="AL137" s="17"/>
      <c r="AM137" s="17"/>
      <c r="AN137" s="17"/>
      <c r="AO137" s="17"/>
    </row>
    <row r="138" spans="1:41" x14ac:dyDescent="0.3">
      <c r="A138" s="8">
        <f t="shared" si="60"/>
        <v>41943</v>
      </c>
      <c r="B138" s="9">
        <f t="shared" si="50"/>
        <v>4.4996789473684213</v>
      </c>
      <c r="C138" s="9">
        <f t="shared" si="51"/>
        <v>26.718178036307744</v>
      </c>
      <c r="D138" s="7">
        <f t="shared" si="52"/>
        <v>0</v>
      </c>
      <c r="E138" s="7">
        <f t="shared" si="53"/>
        <v>1</v>
      </c>
      <c r="F138" s="7">
        <f t="shared" si="54"/>
        <v>0</v>
      </c>
      <c r="G138" s="7">
        <f t="shared" si="55"/>
        <v>1</v>
      </c>
      <c r="H138" s="1">
        <f t="shared" si="61"/>
        <v>1</v>
      </c>
      <c r="I138" s="1">
        <f t="shared" si="62"/>
        <v>0</v>
      </c>
      <c r="J138" s="1">
        <f t="shared" si="63"/>
        <v>0</v>
      </c>
      <c r="K138" s="1">
        <f t="shared" si="64"/>
        <v>0</v>
      </c>
      <c r="L138" s="1" t="str">
        <f t="shared" si="56"/>
        <v>宽货币紧信用</v>
      </c>
      <c r="O138" s="51">
        <v>41973</v>
      </c>
      <c r="P138" s="60">
        <v>4.2655200000000004</v>
      </c>
      <c r="R138" s="14">
        <v>41333</v>
      </c>
      <c r="S138" s="15">
        <v>10705</v>
      </c>
      <c r="T138" s="55">
        <f t="shared" si="57"/>
        <v>-280</v>
      </c>
      <c r="U138" s="63">
        <f t="shared" si="58"/>
        <v>10425</v>
      </c>
      <c r="V138" s="63">
        <f t="shared" si="40"/>
        <v>179081.99</v>
      </c>
      <c r="W138" s="64">
        <f t="shared" si="59"/>
        <v>547510.69999999995</v>
      </c>
      <c r="X138" s="65">
        <f t="shared" si="41"/>
        <v>32.708400036748145</v>
      </c>
      <c r="Y138" s="64"/>
      <c r="Z138" s="70">
        <v>40755</v>
      </c>
      <c r="AA138" s="68">
        <v>1153.93</v>
      </c>
      <c r="AB138" s="68"/>
      <c r="AC138" s="68"/>
      <c r="AD138" s="55"/>
      <c r="AG138" s="16"/>
      <c r="AH138" s="17"/>
      <c r="AI138" s="17"/>
      <c r="AJ138" s="17"/>
      <c r="AK138" s="17"/>
      <c r="AL138" s="17"/>
      <c r="AM138" s="17"/>
      <c r="AN138" s="17"/>
      <c r="AO138" s="17"/>
    </row>
    <row r="139" spans="1:41" x14ac:dyDescent="0.3">
      <c r="A139" s="8">
        <f t="shared" si="60"/>
        <v>41912</v>
      </c>
      <c r="B139" s="9">
        <f t="shared" si="50"/>
        <v>4.616222727272727</v>
      </c>
      <c r="C139" s="9">
        <f t="shared" si="51"/>
        <v>27.095364209334544</v>
      </c>
      <c r="D139" s="7">
        <f t="shared" si="52"/>
        <v>0</v>
      </c>
      <c r="E139" s="7">
        <f t="shared" si="53"/>
        <v>1</v>
      </c>
      <c r="F139" s="7">
        <f t="shared" si="54"/>
        <v>0</v>
      </c>
      <c r="G139" s="7">
        <f t="shared" si="55"/>
        <v>1</v>
      </c>
      <c r="H139" s="1">
        <f t="shared" si="61"/>
        <v>1</v>
      </c>
      <c r="I139" s="1">
        <f t="shared" si="62"/>
        <v>0</v>
      </c>
      <c r="J139" s="1">
        <f t="shared" si="63"/>
        <v>0</v>
      </c>
      <c r="K139" s="1">
        <f t="shared" si="64"/>
        <v>0</v>
      </c>
      <c r="L139" s="1" t="str">
        <f t="shared" si="56"/>
        <v>宽货币紧信用</v>
      </c>
      <c r="O139" s="51">
        <v>41943</v>
      </c>
      <c r="P139" s="60">
        <v>4.4996789473684213</v>
      </c>
      <c r="R139" s="14">
        <v>41364</v>
      </c>
      <c r="S139" s="15">
        <v>25503</v>
      </c>
      <c r="T139" s="55">
        <f t="shared" si="57"/>
        <v>20</v>
      </c>
      <c r="U139" s="63">
        <f t="shared" si="58"/>
        <v>25523</v>
      </c>
      <c r="V139" s="63">
        <f t="shared" si="40"/>
        <v>186074.49</v>
      </c>
      <c r="W139" s="64">
        <f t="shared" si="59"/>
        <v>560012.9</v>
      </c>
      <c r="X139" s="65">
        <f t="shared" si="41"/>
        <v>33.226822096419561</v>
      </c>
      <c r="Y139" s="64"/>
      <c r="Z139" s="70">
        <v>40724</v>
      </c>
      <c r="AA139" s="68">
        <v>1182.5</v>
      </c>
      <c r="AB139" s="68"/>
      <c r="AC139" s="68"/>
      <c r="AD139" s="55"/>
      <c r="AG139" s="16"/>
      <c r="AH139" s="17"/>
      <c r="AI139" s="17"/>
      <c r="AJ139" s="17"/>
      <c r="AK139" s="17"/>
      <c r="AL139" s="17"/>
      <c r="AM139" s="17"/>
      <c r="AN139" s="17"/>
      <c r="AO139" s="17"/>
    </row>
    <row r="140" spans="1:41" x14ac:dyDescent="0.3">
      <c r="A140" s="8">
        <f t="shared" si="60"/>
        <v>41882</v>
      </c>
      <c r="B140" s="9">
        <f t="shared" si="50"/>
        <v>4.6852476190476189</v>
      </c>
      <c r="C140" s="9">
        <f t="shared" si="51"/>
        <v>27.987291969091505</v>
      </c>
      <c r="D140" s="7">
        <f t="shared" si="52"/>
        <v>0</v>
      </c>
      <c r="E140" s="7">
        <f t="shared" si="53"/>
        <v>1</v>
      </c>
      <c r="F140" s="7">
        <f t="shared" si="54"/>
        <v>0</v>
      </c>
      <c r="G140" s="7">
        <f t="shared" si="55"/>
        <v>1</v>
      </c>
      <c r="H140" s="1">
        <f t="shared" si="61"/>
        <v>1</v>
      </c>
      <c r="I140" s="1">
        <f t="shared" si="62"/>
        <v>0</v>
      </c>
      <c r="J140" s="1">
        <f t="shared" si="63"/>
        <v>0</v>
      </c>
      <c r="K140" s="1">
        <f t="shared" si="64"/>
        <v>0</v>
      </c>
      <c r="L140" s="1" t="str">
        <f t="shared" si="56"/>
        <v>宽货币紧信用</v>
      </c>
      <c r="O140" s="51">
        <v>41912</v>
      </c>
      <c r="P140" s="60">
        <v>4.616222727272727</v>
      </c>
      <c r="R140" s="14">
        <v>41394</v>
      </c>
      <c r="S140" s="15">
        <v>17629</v>
      </c>
      <c r="T140" s="55">
        <f t="shared" si="57"/>
        <v>1411.1</v>
      </c>
      <c r="U140" s="63">
        <f t="shared" si="58"/>
        <v>19040.099999999999</v>
      </c>
      <c r="V140" s="63">
        <f t="shared" si="40"/>
        <v>195323.4</v>
      </c>
      <c r="W140" s="64">
        <f t="shared" si="59"/>
        <v>560012.9</v>
      </c>
      <c r="X140" s="65">
        <f t="shared" si="41"/>
        <v>34.878375123144487</v>
      </c>
      <c r="Y140" s="64"/>
      <c r="Z140" s="70">
        <v>40694</v>
      </c>
      <c r="AA140" s="68">
        <v>440.71</v>
      </c>
      <c r="AB140" s="68"/>
      <c r="AC140" s="68"/>
      <c r="AD140" s="55"/>
      <c r="AG140" s="16"/>
      <c r="AH140" s="17"/>
      <c r="AI140" s="17"/>
      <c r="AJ140" s="17"/>
      <c r="AK140" s="17"/>
      <c r="AL140" s="17"/>
      <c r="AM140" s="17"/>
      <c r="AN140" s="17"/>
      <c r="AO140" s="17"/>
    </row>
    <row r="141" spans="1:41" x14ac:dyDescent="0.3">
      <c r="A141" s="8">
        <f t="shared" si="60"/>
        <v>41851</v>
      </c>
      <c r="B141" s="9">
        <f t="shared" si="50"/>
        <v>4.7455043478260874</v>
      </c>
      <c r="C141" s="9">
        <f t="shared" si="51"/>
        <v>29.037734125738108</v>
      </c>
      <c r="D141" s="7">
        <f t="shared" si="52"/>
        <v>0</v>
      </c>
      <c r="E141" s="7">
        <f t="shared" si="53"/>
        <v>1</v>
      </c>
      <c r="F141" s="7">
        <f t="shared" si="54"/>
        <v>0</v>
      </c>
      <c r="G141" s="7">
        <f t="shared" si="55"/>
        <v>1</v>
      </c>
      <c r="H141" s="1">
        <f t="shared" si="61"/>
        <v>1</v>
      </c>
      <c r="I141" s="1">
        <f t="shared" si="62"/>
        <v>0</v>
      </c>
      <c r="J141" s="1">
        <f t="shared" si="63"/>
        <v>0</v>
      </c>
      <c r="K141" s="1">
        <f t="shared" si="64"/>
        <v>0</v>
      </c>
      <c r="L141" s="1" t="str">
        <f t="shared" si="56"/>
        <v>宽货币紧信用</v>
      </c>
      <c r="O141" s="51">
        <v>41882</v>
      </c>
      <c r="P141" s="60">
        <v>4.6852476190476189</v>
      </c>
      <c r="R141" s="14">
        <v>41425</v>
      </c>
      <c r="S141" s="15">
        <v>11871</v>
      </c>
      <c r="T141" s="55">
        <f t="shared" si="57"/>
        <v>1804.24</v>
      </c>
      <c r="U141" s="63">
        <f t="shared" si="58"/>
        <v>13675.24</v>
      </c>
      <c r="V141" s="63">
        <f t="shared" si="40"/>
        <v>198024.41</v>
      </c>
      <c r="W141" s="64">
        <f t="shared" si="59"/>
        <v>560012.9</v>
      </c>
      <c r="X141" s="65">
        <f t="shared" si="41"/>
        <v>35.360687227026375</v>
      </c>
      <c r="Y141" s="64"/>
      <c r="Z141" s="70">
        <v>40663</v>
      </c>
      <c r="AA141" s="68">
        <v>545</v>
      </c>
      <c r="AB141" s="68"/>
      <c r="AC141" s="68"/>
      <c r="AD141" s="55"/>
      <c r="AG141" s="16"/>
      <c r="AH141" s="17"/>
      <c r="AI141" s="17"/>
      <c r="AJ141" s="17"/>
      <c r="AK141" s="17"/>
      <c r="AL141" s="17"/>
      <c r="AM141" s="17"/>
      <c r="AN141" s="17"/>
      <c r="AO141" s="17"/>
    </row>
    <row r="142" spans="1:41" x14ac:dyDescent="0.3">
      <c r="A142" s="8">
        <f t="shared" si="60"/>
        <v>41820</v>
      </c>
      <c r="B142" s="9">
        <f t="shared" si="50"/>
        <v>4.7909899999999999</v>
      </c>
      <c r="C142" s="9">
        <f t="shared" si="51"/>
        <v>29.828822371596104</v>
      </c>
      <c r="D142" s="7">
        <f t="shared" si="52"/>
        <v>1</v>
      </c>
      <c r="E142" s="7">
        <f t="shared" si="53"/>
        <v>0</v>
      </c>
      <c r="F142" s="7">
        <f t="shared" si="54"/>
        <v>0</v>
      </c>
      <c r="G142" s="7">
        <f t="shared" si="55"/>
        <v>1</v>
      </c>
      <c r="H142" s="1">
        <f t="shared" si="61"/>
        <v>0</v>
      </c>
      <c r="I142" s="1">
        <f t="shared" si="62"/>
        <v>1</v>
      </c>
      <c r="J142" s="1">
        <f t="shared" si="63"/>
        <v>0</v>
      </c>
      <c r="K142" s="1">
        <f t="shared" si="64"/>
        <v>0</v>
      </c>
      <c r="L142" s="1" t="str">
        <f t="shared" si="56"/>
        <v>宽货币宽信用</v>
      </c>
      <c r="O142" s="51">
        <v>41851</v>
      </c>
      <c r="P142" s="60">
        <v>4.7455043478260874</v>
      </c>
      <c r="R142" s="14">
        <v>41455</v>
      </c>
      <c r="S142" s="15">
        <v>10375</v>
      </c>
      <c r="T142" s="55">
        <f t="shared" si="57"/>
        <v>877.9</v>
      </c>
      <c r="U142" s="63">
        <f t="shared" si="58"/>
        <v>11252.9</v>
      </c>
      <c r="V142" s="63">
        <f t="shared" si="40"/>
        <v>190708.40999999997</v>
      </c>
      <c r="W142" s="64">
        <f t="shared" si="59"/>
        <v>572635.6</v>
      </c>
      <c r="X142" s="65">
        <f t="shared" si="41"/>
        <v>33.303624503960286</v>
      </c>
      <c r="Y142" s="64"/>
      <c r="Z142" s="70">
        <v>40633</v>
      </c>
      <c r="AA142" s="68">
        <v>104.9</v>
      </c>
      <c r="AB142" s="68"/>
      <c r="AC142" s="68"/>
      <c r="AD142" s="55"/>
      <c r="AG142" s="16"/>
      <c r="AH142" s="17"/>
      <c r="AI142" s="17"/>
      <c r="AJ142" s="17"/>
      <c r="AK142" s="17"/>
      <c r="AL142" s="17"/>
      <c r="AM142" s="17"/>
      <c r="AN142" s="17"/>
      <c r="AO142" s="17"/>
    </row>
    <row r="143" spans="1:41" x14ac:dyDescent="0.3">
      <c r="A143" s="8">
        <f t="shared" si="60"/>
        <v>41790</v>
      </c>
      <c r="B143" s="9">
        <f t="shared" si="50"/>
        <v>5.2250523809523806</v>
      </c>
      <c r="C143" s="9">
        <f t="shared" si="51"/>
        <v>28.8731734913259</v>
      </c>
      <c r="D143" s="7">
        <f t="shared" si="52"/>
        <v>1</v>
      </c>
      <c r="E143" s="7">
        <f t="shared" si="53"/>
        <v>0</v>
      </c>
      <c r="F143" s="7">
        <f t="shared" si="54"/>
        <v>0</v>
      </c>
      <c r="G143" s="7">
        <f t="shared" si="55"/>
        <v>1</v>
      </c>
      <c r="H143" s="1">
        <f t="shared" si="61"/>
        <v>0</v>
      </c>
      <c r="I143" s="1">
        <f t="shared" si="62"/>
        <v>1</v>
      </c>
      <c r="J143" s="1">
        <f t="shared" si="63"/>
        <v>0</v>
      </c>
      <c r="K143" s="1">
        <f t="shared" si="64"/>
        <v>0</v>
      </c>
      <c r="L143" s="1" t="str">
        <f t="shared" si="56"/>
        <v>宽货币宽信用</v>
      </c>
      <c r="O143" s="51">
        <v>41820</v>
      </c>
      <c r="P143" s="60">
        <v>4.7909899999999999</v>
      </c>
      <c r="R143" s="14">
        <v>41486</v>
      </c>
      <c r="S143" s="15">
        <v>8191</v>
      </c>
      <c r="T143" s="55">
        <f t="shared" si="57"/>
        <v>1607</v>
      </c>
      <c r="U143" s="63">
        <f t="shared" si="58"/>
        <v>9798</v>
      </c>
      <c r="V143" s="63">
        <f t="shared" si="40"/>
        <v>188792.02</v>
      </c>
      <c r="W143" s="64">
        <f t="shared" si="59"/>
        <v>572635.6</v>
      </c>
      <c r="X143" s="65">
        <f t="shared" si="41"/>
        <v>32.968963159118992</v>
      </c>
      <c r="Y143" s="64"/>
      <c r="Z143" s="70">
        <v>40602</v>
      </c>
      <c r="AA143" s="68">
        <v>90.8</v>
      </c>
      <c r="AB143" s="68"/>
      <c r="AC143" s="68"/>
      <c r="AD143" s="55"/>
      <c r="AG143" s="16"/>
      <c r="AH143" s="17"/>
      <c r="AI143" s="17"/>
      <c r="AJ143" s="17"/>
      <c r="AK143" s="17"/>
      <c r="AL143" s="17"/>
      <c r="AM143" s="17"/>
      <c r="AN143" s="17"/>
      <c r="AO143" s="17"/>
    </row>
    <row r="144" spans="1:41" x14ac:dyDescent="0.3">
      <c r="A144" s="8">
        <f t="shared" si="60"/>
        <v>41759</v>
      </c>
      <c r="B144" s="9">
        <f t="shared" si="50"/>
        <v>5.4992000000000001</v>
      </c>
      <c r="C144" s="9">
        <f t="shared" si="51"/>
        <v>28.615250826358512</v>
      </c>
      <c r="D144" s="7">
        <f t="shared" si="52"/>
        <v>0</v>
      </c>
      <c r="E144" s="7">
        <f t="shared" si="53"/>
        <v>1</v>
      </c>
      <c r="F144" s="7">
        <f t="shared" si="54"/>
        <v>0</v>
      </c>
      <c r="G144" s="7">
        <f t="shared" si="55"/>
        <v>1</v>
      </c>
      <c r="H144" s="1">
        <f t="shared" si="61"/>
        <v>1</v>
      </c>
      <c r="I144" s="1">
        <f t="shared" si="62"/>
        <v>0</v>
      </c>
      <c r="J144" s="1">
        <f t="shared" si="63"/>
        <v>0</v>
      </c>
      <c r="K144" s="1">
        <f t="shared" si="64"/>
        <v>0</v>
      </c>
      <c r="L144" s="1" t="str">
        <f t="shared" si="56"/>
        <v>宽货币紧信用</v>
      </c>
      <c r="O144" s="51">
        <v>41790</v>
      </c>
      <c r="P144" s="60">
        <v>5.2250523809523806</v>
      </c>
      <c r="R144" s="14">
        <v>41517</v>
      </c>
      <c r="S144" s="15">
        <v>15841</v>
      </c>
      <c r="T144" s="55">
        <f t="shared" si="57"/>
        <v>1686.3</v>
      </c>
      <c r="U144" s="63">
        <f t="shared" si="58"/>
        <v>17527.3</v>
      </c>
      <c r="V144" s="63">
        <f t="shared" ref="V144:V207" si="65">SUM(U133:U144)</f>
        <v>192379.11999999997</v>
      </c>
      <c r="W144" s="64">
        <f t="shared" si="59"/>
        <v>572635.6</v>
      </c>
      <c r="X144" s="65">
        <f t="shared" ref="X144:X207" si="66">V144/W144*100</f>
        <v>33.595382473601006</v>
      </c>
      <c r="Y144" s="64"/>
      <c r="Z144" s="70">
        <v>40574</v>
      </c>
      <c r="AA144" s="68">
        <v>-218.1</v>
      </c>
      <c r="AB144" s="68"/>
      <c r="AC144" s="68"/>
      <c r="AD144" s="55"/>
      <c r="AG144" s="16"/>
      <c r="AH144" s="17"/>
      <c r="AI144" s="17"/>
      <c r="AJ144" s="17"/>
      <c r="AK144" s="17"/>
      <c r="AL144" s="17"/>
      <c r="AM144" s="17"/>
      <c r="AN144" s="17"/>
      <c r="AO144" s="17"/>
    </row>
    <row r="145" spans="1:41" x14ac:dyDescent="0.3">
      <c r="A145" s="8">
        <f t="shared" si="60"/>
        <v>41729</v>
      </c>
      <c r="B145" s="9">
        <f t="shared" si="50"/>
        <v>5.5027333333333326</v>
      </c>
      <c r="C145" s="9">
        <f t="shared" si="51"/>
        <v>29.06587969416244</v>
      </c>
      <c r="D145" s="7">
        <f t="shared" si="52"/>
        <v>0</v>
      </c>
      <c r="E145" s="7">
        <f t="shared" si="53"/>
        <v>1</v>
      </c>
      <c r="F145" s="7">
        <f t="shared" si="54"/>
        <v>0</v>
      </c>
      <c r="G145" s="7">
        <f t="shared" si="55"/>
        <v>1</v>
      </c>
      <c r="H145" s="1">
        <f t="shared" si="61"/>
        <v>1</v>
      </c>
      <c r="I145" s="1">
        <f t="shared" si="62"/>
        <v>0</v>
      </c>
      <c r="J145" s="1">
        <f t="shared" si="63"/>
        <v>0</v>
      </c>
      <c r="K145" s="1">
        <f t="shared" si="64"/>
        <v>0</v>
      </c>
      <c r="L145" s="1" t="str">
        <f t="shared" si="56"/>
        <v>宽货币紧信用</v>
      </c>
      <c r="O145" s="51">
        <v>41759</v>
      </c>
      <c r="P145" s="60">
        <v>5.4992000000000001</v>
      </c>
      <c r="R145" s="14">
        <v>41547</v>
      </c>
      <c r="S145" s="15">
        <v>14120</v>
      </c>
      <c r="T145" s="55">
        <f t="shared" si="57"/>
        <v>1005.8</v>
      </c>
      <c r="U145" s="63">
        <f t="shared" si="58"/>
        <v>15125.8</v>
      </c>
      <c r="V145" s="63">
        <f t="shared" si="65"/>
        <v>190037.19999999995</v>
      </c>
      <c r="W145" s="64">
        <f t="shared" si="59"/>
        <v>587223.69999999995</v>
      </c>
      <c r="X145" s="65">
        <f t="shared" si="66"/>
        <v>32.361977215837847</v>
      </c>
      <c r="Y145" s="64"/>
      <c r="Z145" s="70">
        <v>40543</v>
      </c>
      <c r="AA145" s="68">
        <v>1036.8</v>
      </c>
      <c r="AB145" s="68"/>
      <c r="AC145" s="68"/>
      <c r="AD145" s="55"/>
      <c r="AG145" s="16"/>
      <c r="AH145" s="17"/>
      <c r="AI145" s="17"/>
      <c r="AJ145" s="17"/>
      <c r="AK145" s="17"/>
      <c r="AL145" s="17"/>
      <c r="AM145" s="17"/>
      <c r="AN145" s="17"/>
      <c r="AO145" s="17"/>
    </row>
    <row r="146" spans="1:41" x14ac:dyDescent="0.3">
      <c r="A146" s="8">
        <f t="shared" si="60"/>
        <v>41698</v>
      </c>
      <c r="B146" s="9">
        <f t="shared" si="50"/>
        <v>5.5834705882352944</v>
      </c>
      <c r="C146" s="9">
        <f t="shared" si="51"/>
        <v>30.391673861661289</v>
      </c>
      <c r="D146" s="7">
        <f t="shared" si="52"/>
        <v>0</v>
      </c>
      <c r="E146" s="7">
        <f t="shared" si="53"/>
        <v>1</v>
      </c>
      <c r="F146" s="7">
        <f t="shared" si="54"/>
        <v>0</v>
      </c>
      <c r="G146" s="7">
        <f t="shared" si="55"/>
        <v>1</v>
      </c>
      <c r="H146" s="1">
        <f t="shared" si="61"/>
        <v>1</v>
      </c>
      <c r="I146" s="1">
        <f t="shared" si="62"/>
        <v>0</v>
      </c>
      <c r="J146" s="1">
        <f t="shared" si="63"/>
        <v>0</v>
      </c>
      <c r="K146" s="1">
        <f t="shared" si="64"/>
        <v>0</v>
      </c>
      <c r="L146" s="1" t="str">
        <f t="shared" si="56"/>
        <v>宽货币紧信用</v>
      </c>
      <c r="O146" s="51">
        <v>41729</v>
      </c>
      <c r="P146" s="60">
        <v>5.5027333333333326</v>
      </c>
      <c r="R146" s="14">
        <v>41578</v>
      </c>
      <c r="S146" s="15">
        <v>8645</v>
      </c>
      <c r="T146" s="55">
        <f t="shared" si="57"/>
        <v>1973.06</v>
      </c>
      <c r="U146" s="63">
        <f t="shared" si="58"/>
        <v>10618.06</v>
      </c>
      <c r="V146" s="63">
        <f t="shared" si="65"/>
        <v>187044.06</v>
      </c>
      <c r="W146" s="64">
        <f t="shared" si="59"/>
        <v>587223.69999999995</v>
      </c>
      <c r="X146" s="65">
        <f t="shared" si="66"/>
        <v>31.852266861844985</v>
      </c>
      <c r="Y146" s="64"/>
      <c r="Z146" s="70">
        <v>40512</v>
      </c>
      <c r="AA146" s="68">
        <v>537.6</v>
      </c>
      <c r="AB146" s="68"/>
      <c r="AC146" s="68"/>
      <c r="AD146" s="55"/>
      <c r="AG146" s="16"/>
      <c r="AH146" s="17"/>
      <c r="AI146" s="17"/>
      <c r="AJ146" s="17"/>
      <c r="AK146" s="17"/>
      <c r="AL146" s="17"/>
      <c r="AM146" s="17"/>
      <c r="AN146" s="17"/>
      <c r="AO146" s="17"/>
    </row>
    <row r="147" spans="1:41" x14ac:dyDescent="0.3">
      <c r="A147" s="8">
        <f t="shared" si="60"/>
        <v>41670</v>
      </c>
      <c r="B147" s="9">
        <f t="shared" si="50"/>
        <v>5.5868045454545454</v>
      </c>
      <c r="C147" s="9">
        <f t="shared" si="51"/>
        <v>30.573067241117684</v>
      </c>
      <c r="D147" s="7">
        <f t="shared" si="52"/>
        <v>1</v>
      </c>
      <c r="E147" s="7">
        <f t="shared" si="53"/>
        <v>0</v>
      </c>
      <c r="F147" s="7">
        <f t="shared" si="54"/>
        <v>1</v>
      </c>
      <c r="G147" s="7">
        <f t="shared" si="55"/>
        <v>0</v>
      </c>
      <c r="H147" s="1">
        <f t="shared" si="61"/>
        <v>0</v>
      </c>
      <c r="I147" s="1">
        <f t="shared" si="62"/>
        <v>0</v>
      </c>
      <c r="J147" s="1">
        <f t="shared" si="63"/>
        <v>0</v>
      </c>
      <c r="K147" s="1">
        <f t="shared" si="64"/>
        <v>1</v>
      </c>
      <c r="L147" s="1" t="str">
        <f t="shared" si="56"/>
        <v>紧货币宽信用</v>
      </c>
      <c r="O147" s="51">
        <v>41698</v>
      </c>
      <c r="P147" s="60">
        <v>5.5834705882352944</v>
      </c>
      <c r="R147" s="14">
        <v>41608</v>
      </c>
      <c r="S147" s="15">
        <v>12310</v>
      </c>
      <c r="T147" s="55">
        <f t="shared" si="57"/>
        <v>331.2</v>
      </c>
      <c r="U147" s="63">
        <f t="shared" si="58"/>
        <v>12641.2</v>
      </c>
      <c r="V147" s="63">
        <f t="shared" si="65"/>
        <v>188104.7</v>
      </c>
      <c r="W147" s="64">
        <f t="shared" si="59"/>
        <v>587223.69999999995</v>
      </c>
      <c r="X147" s="65">
        <f t="shared" si="66"/>
        <v>32.032886274855734</v>
      </c>
      <c r="Y147" s="64"/>
      <c r="Z147" s="70">
        <v>40482</v>
      </c>
      <c r="AA147" s="68">
        <v>739.77</v>
      </c>
      <c r="AB147" s="68"/>
      <c r="AC147" s="68"/>
      <c r="AD147" s="55"/>
      <c r="AG147" s="16"/>
      <c r="AH147" s="17"/>
      <c r="AI147" s="17"/>
      <c r="AJ147" s="17"/>
      <c r="AK147" s="17"/>
      <c r="AL147" s="17"/>
      <c r="AM147" s="17"/>
      <c r="AN147" s="17"/>
      <c r="AO147" s="17"/>
    </row>
    <row r="148" spans="1:41" x14ac:dyDescent="0.3">
      <c r="A148" s="8">
        <f t="shared" si="60"/>
        <v>41639</v>
      </c>
      <c r="B148" s="9">
        <f t="shared" si="50"/>
        <v>5.2987409090909088</v>
      </c>
      <c r="C148" s="9">
        <f t="shared" si="51"/>
        <v>30.555176387253496</v>
      </c>
      <c r="D148" s="7">
        <f t="shared" si="52"/>
        <v>0</v>
      </c>
      <c r="E148" s="7">
        <f t="shared" si="53"/>
        <v>1</v>
      </c>
      <c r="F148" s="7">
        <f t="shared" si="54"/>
        <v>1</v>
      </c>
      <c r="G148" s="7">
        <f t="shared" si="55"/>
        <v>0</v>
      </c>
      <c r="H148" s="1">
        <f t="shared" si="61"/>
        <v>0</v>
      </c>
      <c r="I148" s="1">
        <f t="shared" si="62"/>
        <v>0</v>
      </c>
      <c r="J148" s="1">
        <f t="shared" si="63"/>
        <v>1</v>
      </c>
      <c r="K148" s="1">
        <f t="shared" si="64"/>
        <v>0</v>
      </c>
      <c r="L148" s="1" t="str">
        <f t="shared" si="56"/>
        <v>紧货币紧信用</v>
      </c>
      <c r="O148" s="51">
        <v>41670</v>
      </c>
      <c r="P148" s="60">
        <v>5.5868045454545454</v>
      </c>
      <c r="R148" s="14">
        <v>41639</v>
      </c>
      <c r="S148" s="15">
        <v>12532</v>
      </c>
      <c r="T148" s="55">
        <f t="shared" si="57"/>
        <v>604.9</v>
      </c>
      <c r="U148" s="63">
        <f t="shared" si="58"/>
        <v>13136.9</v>
      </c>
      <c r="V148" s="63">
        <f t="shared" si="65"/>
        <v>184449.5</v>
      </c>
      <c r="W148" s="64">
        <f t="shared" si="59"/>
        <v>603660.4</v>
      </c>
      <c r="X148" s="65">
        <f t="shared" si="66"/>
        <v>30.555176387253496</v>
      </c>
      <c r="Y148" s="64"/>
      <c r="Z148" s="70">
        <v>40451</v>
      </c>
      <c r="AA148" s="68">
        <v>866.1</v>
      </c>
      <c r="AB148" s="68"/>
      <c r="AC148" s="68"/>
      <c r="AD148" s="55"/>
      <c r="AG148" s="16"/>
      <c r="AH148" s="17"/>
      <c r="AI148" s="17"/>
      <c r="AJ148" s="17"/>
      <c r="AK148" s="17"/>
      <c r="AL148" s="17"/>
      <c r="AM148" s="17"/>
      <c r="AN148" s="17"/>
      <c r="AO148" s="17"/>
    </row>
    <row r="149" spans="1:41" x14ac:dyDescent="0.3">
      <c r="A149" s="8">
        <f t="shared" si="60"/>
        <v>41608</v>
      </c>
      <c r="B149" s="9">
        <f t="shared" si="50"/>
        <v>4.7047142857142861</v>
      </c>
      <c r="C149" s="9">
        <f t="shared" si="51"/>
        <v>32.032886274855734</v>
      </c>
      <c r="D149" s="7">
        <f t="shared" si="52"/>
        <v>1</v>
      </c>
      <c r="E149" s="7">
        <f t="shared" si="53"/>
        <v>0</v>
      </c>
      <c r="F149" s="7">
        <f t="shared" si="54"/>
        <v>1</v>
      </c>
      <c r="G149" s="7">
        <f t="shared" si="55"/>
        <v>0</v>
      </c>
      <c r="H149" s="1">
        <f t="shared" si="61"/>
        <v>0</v>
      </c>
      <c r="I149" s="1">
        <f t="shared" si="62"/>
        <v>0</v>
      </c>
      <c r="J149" s="1">
        <f t="shared" si="63"/>
        <v>0</v>
      </c>
      <c r="K149" s="1">
        <f t="shared" si="64"/>
        <v>1</v>
      </c>
      <c r="L149" s="1" t="str">
        <f t="shared" si="56"/>
        <v>紧货币宽信用</v>
      </c>
      <c r="O149" s="51">
        <v>41639</v>
      </c>
      <c r="P149" s="60">
        <v>5.2987409090909088</v>
      </c>
      <c r="R149" s="14">
        <v>41670</v>
      </c>
      <c r="S149" s="15">
        <v>26004</v>
      </c>
      <c r="T149" s="55">
        <f t="shared" si="57"/>
        <v>-210</v>
      </c>
      <c r="U149" s="63">
        <f t="shared" si="58"/>
        <v>25794</v>
      </c>
      <c r="V149" s="63">
        <f t="shared" si="65"/>
        <v>184557.5</v>
      </c>
      <c r="W149" s="64">
        <f t="shared" si="59"/>
        <v>603660.4</v>
      </c>
      <c r="X149" s="65">
        <f t="shared" si="66"/>
        <v>30.573067241117684</v>
      </c>
      <c r="Y149" s="64"/>
      <c r="Z149" s="70">
        <v>40421</v>
      </c>
      <c r="AA149" s="68">
        <v>1691.6</v>
      </c>
      <c r="AB149" s="68"/>
      <c r="AC149" s="68"/>
      <c r="AD149" s="55"/>
      <c r="AG149" s="16"/>
      <c r="AH149" s="17"/>
      <c r="AI149" s="17"/>
      <c r="AJ149" s="17"/>
      <c r="AK149" s="17"/>
      <c r="AL149" s="17"/>
      <c r="AM149" s="17"/>
      <c r="AN149" s="17"/>
      <c r="AO149" s="17"/>
    </row>
    <row r="150" spans="1:41" x14ac:dyDescent="0.3">
      <c r="A150" s="8">
        <f t="shared" si="60"/>
        <v>41578</v>
      </c>
      <c r="B150" s="9">
        <f t="shared" si="50"/>
        <v>4.6779842105263159</v>
      </c>
      <c r="C150" s="9">
        <f t="shared" si="51"/>
        <v>31.852266861844985</v>
      </c>
      <c r="D150" s="7">
        <f t="shared" si="52"/>
        <v>0</v>
      </c>
      <c r="E150" s="7">
        <f t="shared" si="53"/>
        <v>1</v>
      </c>
      <c r="F150" s="7">
        <f t="shared" si="54"/>
        <v>1</v>
      </c>
      <c r="G150" s="7">
        <f t="shared" si="55"/>
        <v>0</v>
      </c>
      <c r="H150" s="1">
        <f t="shared" si="61"/>
        <v>0</v>
      </c>
      <c r="I150" s="1">
        <f t="shared" si="62"/>
        <v>0</v>
      </c>
      <c r="J150" s="1">
        <f t="shared" si="63"/>
        <v>1</v>
      </c>
      <c r="K150" s="1">
        <f t="shared" si="64"/>
        <v>0</v>
      </c>
      <c r="L150" s="1" t="str">
        <f t="shared" si="56"/>
        <v>紧货币紧信用</v>
      </c>
      <c r="O150" s="51">
        <v>41608</v>
      </c>
      <c r="P150" s="60">
        <v>4.7047142857142861</v>
      </c>
      <c r="R150" s="14">
        <v>41698</v>
      </c>
      <c r="S150" s="15">
        <v>9370</v>
      </c>
      <c r="T150" s="55">
        <f t="shared" si="57"/>
        <v>-40</v>
      </c>
      <c r="U150" s="63">
        <f t="shared" si="58"/>
        <v>9330</v>
      </c>
      <c r="V150" s="63">
        <f t="shared" si="65"/>
        <v>183462.5</v>
      </c>
      <c r="W150" s="64">
        <f t="shared" si="59"/>
        <v>603660.4</v>
      </c>
      <c r="X150" s="65">
        <f t="shared" si="66"/>
        <v>30.391673861661289</v>
      </c>
      <c r="Y150" s="64"/>
      <c r="Z150" s="70">
        <v>40390</v>
      </c>
      <c r="AA150" s="68">
        <v>1096.4000000000001</v>
      </c>
      <c r="AB150" s="68"/>
      <c r="AC150" s="68"/>
      <c r="AD150" s="55"/>
      <c r="AG150" s="16"/>
      <c r="AH150" s="17"/>
      <c r="AI150" s="17"/>
      <c r="AJ150" s="17"/>
      <c r="AK150" s="17"/>
      <c r="AL150" s="17"/>
      <c r="AM150" s="17"/>
      <c r="AN150" s="17"/>
      <c r="AO150" s="17"/>
    </row>
    <row r="151" spans="1:41" x14ac:dyDescent="0.3">
      <c r="A151" s="8">
        <f t="shared" si="60"/>
        <v>41547</v>
      </c>
      <c r="B151" s="9">
        <f t="shared" si="50"/>
        <v>4.6620571428571429</v>
      </c>
      <c r="C151" s="9">
        <f t="shared" si="51"/>
        <v>32.361977215837847</v>
      </c>
      <c r="D151" s="7">
        <f t="shared" si="52"/>
        <v>0</v>
      </c>
      <c r="E151" s="7">
        <f t="shared" si="53"/>
        <v>1</v>
      </c>
      <c r="F151" s="7">
        <f t="shared" si="54"/>
        <v>1</v>
      </c>
      <c r="G151" s="7">
        <f t="shared" si="55"/>
        <v>0</v>
      </c>
      <c r="H151" s="1">
        <f t="shared" si="61"/>
        <v>0</v>
      </c>
      <c r="I151" s="1">
        <f t="shared" si="62"/>
        <v>0</v>
      </c>
      <c r="J151" s="1">
        <f t="shared" si="63"/>
        <v>1</v>
      </c>
      <c r="K151" s="1">
        <f t="shared" si="64"/>
        <v>0</v>
      </c>
      <c r="L151" s="1" t="str">
        <f t="shared" si="56"/>
        <v>紧货币紧信用</v>
      </c>
      <c r="O151" s="51">
        <v>41578</v>
      </c>
      <c r="P151" s="60">
        <v>4.6779842105263159</v>
      </c>
      <c r="R151" s="14">
        <v>41729</v>
      </c>
      <c r="S151" s="15">
        <v>20934</v>
      </c>
      <c r="T151" s="55">
        <f t="shared" si="57"/>
        <v>-25.3</v>
      </c>
      <c r="U151" s="63">
        <f t="shared" si="58"/>
        <v>20908.7</v>
      </c>
      <c r="V151" s="63">
        <f t="shared" si="65"/>
        <v>178848.2</v>
      </c>
      <c r="W151" s="64">
        <f t="shared" si="59"/>
        <v>615320.1</v>
      </c>
      <c r="X151" s="65">
        <f t="shared" si="66"/>
        <v>29.06587969416244</v>
      </c>
      <c r="Y151" s="64"/>
      <c r="Z151" s="70">
        <v>40359</v>
      </c>
      <c r="AA151" s="68">
        <v>1850.1</v>
      </c>
      <c r="AB151" s="68"/>
      <c r="AC151" s="68"/>
      <c r="AD151" s="55"/>
      <c r="AG151" s="16"/>
      <c r="AH151" s="17"/>
      <c r="AI151" s="17"/>
      <c r="AJ151" s="17"/>
      <c r="AK151" s="17"/>
      <c r="AL151" s="17"/>
      <c r="AM151" s="17"/>
      <c r="AN151" s="17"/>
      <c r="AO151" s="17"/>
    </row>
    <row r="152" spans="1:41" x14ac:dyDescent="0.3">
      <c r="A152" s="8">
        <f t="shared" si="60"/>
        <v>41517</v>
      </c>
      <c r="B152" s="9">
        <f t="shared" si="50"/>
        <v>4.6560818181818178</v>
      </c>
      <c r="C152" s="9">
        <f t="shared" si="51"/>
        <v>33.595382473601006</v>
      </c>
      <c r="D152" s="7">
        <f t="shared" si="52"/>
        <v>1</v>
      </c>
      <c r="E152" s="7">
        <f t="shared" si="53"/>
        <v>0</v>
      </c>
      <c r="F152" s="7">
        <f t="shared" si="54"/>
        <v>0</v>
      </c>
      <c r="G152" s="7">
        <f t="shared" si="55"/>
        <v>1</v>
      </c>
      <c r="H152" s="1">
        <f t="shared" si="61"/>
        <v>0</v>
      </c>
      <c r="I152" s="1">
        <f t="shared" si="62"/>
        <v>1</v>
      </c>
      <c r="J152" s="1">
        <f t="shared" si="63"/>
        <v>0</v>
      </c>
      <c r="K152" s="1">
        <f t="shared" si="64"/>
        <v>0</v>
      </c>
      <c r="L152" s="1" t="str">
        <f t="shared" si="56"/>
        <v>宽货币宽信用</v>
      </c>
      <c r="O152" s="51">
        <v>41547</v>
      </c>
      <c r="P152" s="60">
        <v>4.6620571428571429</v>
      </c>
      <c r="R152" s="14">
        <v>41759</v>
      </c>
      <c r="S152" s="15">
        <v>15259</v>
      </c>
      <c r="T152" s="55">
        <f t="shared" si="57"/>
        <v>1008.29</v>
      </c>
      <c r="U152" s="63">
        <f t="shared" si="58"/>
        <v>16267.29</v>
      </c>
      <c r="V152" s="63">
        <f t="shared" si="65"/>
        <v>176075.39</v>
      </c>
      <c r="W152" s="64">
        <f t="shared" si="59"/>
        <v>615320.1</v>
      </c>
      <c r="X152" s="65">
        <f t="shared" si="66"/>
        <v>28.615250826358512</v>
      </c>
      <c r="Y152" s="64"/>
      <c r="Z152" s="70">
        <v>40329</v>
      </c>
      <c r="AA152" s="68">
        <v>926.9</v>
      </c>
      <c r="AB152" s="68"/>
      <c r="AC152" s="68"/>
      <c r="AD152" s="55"/>
      <c r="AG152" s="16"/>
      <c r="AH152" s="17"/>
      <c r="AI152" s="17"/>
      <c r="AJ152" s="17"/>
      <c r="AK152" s="17"/>
      <c r="AL152" s="17"/>
      <c r="AM152" s="17"/>
      <c r="AN152" s="17"/>
      <c r="AO152" s="17"/>
    </row>
    <row r="153" spans="1:41" x14ac:dyDescent="0.3">
      <c r="A153" s="8">
        <f t="shared" si="60"/>
        <v>41486</v>
      </c>
      <c r="B153" s="9">
        <f t="shared" si="50"/>
        <v>4.7758434782608701</v>
      </c>
      <c r="C153" s="9">
        <f t="shared" si="51"/>
        <v>32.968963159118992</v>
      </c>
      <c r="D153" s="7">
        <f t="shared" si="52"/>
        <v>0</v>
      </c>
      <c r="E153" s="7">
        <f t="shared" si="53"/>
        <v>1</v>
      </c>
      <c r="F153" s="7">
        <f t="shared" si="54"/>
        <v>0</v>
      </c>
      <c r="G153" s="7">
        <f t="shared" si="55"/>
        <v>1</v>
      </c>
      <c r="H153" s="1">
        <f t="shared" si="61"/>
        <v>1</v>
      </c>
      <c r="I153" s="1">
        <f t="shared" si="62"/>
        <v>0</v>
      </c>
      <c r="J153" s="1">
        <f t="shared" si="63"/>
        <v>0</v>
      </c>
      <c r="K153" s="1">
        <f t="shared" si="64"/>
        <v>0</v>
      </c>
      <c r="L153" s="1" t="str">
        <f t="shared" si="56"/>
        <v>宽货币紧信用</v>
      </c>
      <c r="O153" s="51">
        <v>41517</v>
      </c>
      <c r="P153" s="60">
        <v>4.6560818181818178</v>
      </c>
      <c r="R153" s="14">
        <v>41790</v>
      </c>
      <c r="S153" s="15">
        <v>14013</v>
      </c>
      <c r="T153" s="55">
        <f t="shared" si="57"/>
        <v>1249.29</v>
      </c>
      <c r="U153" s="63">
        <f t="shared" si="58"/>
        <v>15262.29</v>
      </c>
      <c r="V153" s="63">
        <f t="shared" si="65"/>
        <v>177662.44</v>
      </c>
      <c r="W153" s="64">
        <f t="shared" si="59"/>
        <v>615320.1</v>
      </c>
      <c r="X153" s="65">
        <f t="shared" si="66"/>
        <v>28.8731734913259</v>
      </c>
      <c r="Y153" s="64"/>
      <c r="Z153" s="70">
        <v>40298</v>
      </c>
      <c r="AA153" s="68">
        <v>331.5</v>
      </c>
      <c r="AB153" s="68"/>
      <c r="AC153" s="68"/>
      <c r="AD153" s="55"/>
      <c r="AG153" s="16"/>
      <c r="AH153" s="17"/>
      <c r="AI153" s="17"/>
      <c r="AJ153" s="17"/>
      <c r="AK153" s="17"/>
      <c r="AL153" s="17"/>
      <c r="AM153" s="17"/>
      <c r="AN153" s="17"/>
      <c r="AO153" s="17"/>
    </row>
    <row r="154" spans="1:41" x14ac:dyDescent="0.3">
      <c r="A154" s="8">
        <f t="shared" si="60"/>
        <v>41455</v>
      </c>
      <c r="B154" s="9">
        <f t="shared" si="50"/>
        <v>5.0758157894736842</v>
      </c>
      <c r="C154" s="9">
        <f t="shared" si="51"/>
        <v>33.303624503960286</v>
      </c>
      <c r="D154" s="7">
        <f t="shared" si="52"/>
        <v>0</v>
      </c>
      <c r="E154" s="7">
        <f t="shared" si="53"/>
        <v>1</v>
      </c>
      <c r="F154" s="7">
        <f t="shared" si="54"/>
        <v>1</v>
      </c>
      <c r="G154" s="7">
        <f t="shared" si="55"/>
        <v>0</v>
      </c>
      <c r="H154" s="1">
        <f t="shared" si="61"/>
        <v>0</v>
      </c>
      <c r="I154" s="1">
        <f t="shared" si="62"/>
        <v>0</v>
      </c>
      <c r="J154" s="1">
        <f t="shared" si="63"/>
        <v>1</v>
      </c>
      <c r="K154" s="1">
        <f t="shared" si="64"/>
        <v>0</v>
      </c>
      <c r="L154" s="1" t="str">
        <f t="shared" si="56"/>
        <v>紧货币紧信用</v>
      </c>
      <c r="O154" s="51">
        <v>41486</v>
      </c>
      <c r="P154" s="60">
        <v>4.7758434782608701</v>
      </c>
      <c r="R154" s="14">
        <v>41820</v>
      </c>
      <c r="S154" s="15">
        <v>19673</v>
      </c>
      <c r="T154" s="55">
        <f t="shared" si="57"/>
        <v>1441.9</v>
      </c>
      <c r="U154" s="63">
        <f t="shared" si="58"/>
        <v>21114.9</v>
      </c>
      <c r="V154" s="63">
        <f t="shared" si="65"/>
        <v>187524.44</v>
      </c>
      <c r="W154" s="64">
        <f t="shared" si="59"/>
        <v>628668.6</v>
      </c>
      <c r="X154" s="65">
        <f t="shared" si="66"/>
        <v>29.828822371596104</v>
      </c>
      <c r="Y154" s="64"/>
      <c r="Z154" s="70">
        <v>40268</v>
      </c>
      <c r="AA154" s="68">
        <v>725</v>
      </c>
      <c r="AB154" s="68"/>
      <c r="AC154" s="68"/>
      <c r="AD154" s="55"/>
      <c r="AG154" s="16"/>
      <c r="AH154" s="17"/>
      <c r="AI154" s="17"/>
      <c r="AJ154" s="17"/>
      <c r="AK154" s="17"/>
      <c r="AL154" s="17"/>
      <c r="AM154" s="17"/>
      <c r="AN154" s="17"/>
      <c r="AO154" s="17"/>
    </row>
    <row r="155" spans="1:41" x14ac:dyDescent="0.3">
      <c r="A155" s="8">
        <f t="shared" si="60"/>
        <v>41425</v>
      </c>
      <c r="B155" s="9">
        <f t="shared" si="50"/>
        <v>3.8820409090909092</v>
      </c>
      <c r="C155" s="9">
        <f t="shared" si="51"/>
        <v>35.360687227026375</v>
      </c>
      <c r="D155" s="7">
        <f t="shared" si="52"/>
        <v>1</v>
      </c>
      <c r="E155" s="7">
        <f t="shared" si="53"/>
        <v>0</v>
      </c>
      <c r="F155" s="7">
        <f t="shared" si="54"/>
        <v>1</v>
      </c>
      <c r="G155" s="7">
        <f t="shared" si="55"/>
        <v>0</v>
      </c>
      <c r="H155" s="1">
        <f t="shared" si="61"/>
        <v>0</v>
      </c>
      <c r="I155" s="1">
        <f t="shared" si="62"/>
        <v>0</v>
      </c>
      <c r="J155" s="1">
        <f t="shared" si="63"/>
        <v>0</v>
      </c>
      <c r="K155" s="1">
        <f t="shared" si="64"/>
        <v>1</v>
      </c>
      <c r="L155" s="1" t="str">
        <f t="shared" si="56"/>
        <v>紧货币宽信用</v>
      </c>
      <c r="O155" s="51">
        <v>41455</v>
      </c>
      <c r="P155" s="60">
        <v>5.0758157894736842</v>
      </c>
      <c r="R155" s="14">
        <v>41851</v>
      </c>
      <c r="S155" s="15">
        <v>2737</v>
      </c>
      <c r="T155" s="55">
        <f t="shared" si="57"/>
        <v>2087.6765999999998</v>
      </c>
      <c r="U155" s="63">
        <f t="shared" si="58"/>
        <v>4824.6765999999998</v>
      </c>
      <c r="V155" s="63">
        <f t="shared" si="65"/>
        <v>182551.11660000001</v>
      </c>
      <c r="W155" s="64">
        <f t="shared" si="59"/>
        <v>628668.6</v>
      </c>
      <c r="X155" s="65">
        <f t="shared" si="66"/>
        <v>29.037734125738108</v>
      </c>
      <c r="Y155" s="64"/>
      <c r="Z155" s="70">
        <v>40237</v>
      </c>
      <c r="AA155" s="68">
        <v>-500</v>
      </c>
      <c r="AB155" s="68"/>
      <c r="AC155" s="68"/>
      <c r="AD155" s="55"/>
      <c r="AG155" s="16"/>
      <c r="AH155" s="17"/>
      <c r="AI155" s="17"/>
      <c r="AJ155" s="17"/>
      <c r="AK155" s="17"/>
      <c r="AL155" s="17"/>
      <c r="AM155" s="17"/>
      <c r="AN155" s="17"/>
      <c r="AO155" s="17"/>
    </row>
    <row r="156" spans="1:41" x14ac:dyDescent="0.3">
      <c r="A156" s="8">
        <f t="shared" si="60"/>
        <v>41394</v>
      </c>
      <c r="B156" s="9">
        <f t="shared" si="50"/>
        <v>3.8816904761904758</v>
      </c>
      <c r="C156" s="9">
        <f t="shared" si="51"/>
        <v>34.878375123144487</v>
      </c>
      <c r="D156" s="7">
        <f t="shared" si="52"/>
        <v>1</v>
      </c>
      <c r="E156" s="7">
        <f t="shared" si="53"/>
        <v>0</v>
      </c>
      <c r="F156" s="7">
        <f t="shared" si="54"/>
        <v>0</v>
      </c>
      <c r="G156" s="7">
        <f t="shared" si="55"/>
        <v>1</v>
      </c>
      <c r="H156" s="1">
        <f t="shared" si="61"/>
        <v>0</v>
      </c>
      <c r="I156" s="1">
        <f t="shared" si="62"/>
        <v>1</v>
      </c>
      <c r="J156" s="1">
        <f t="shared" si="63"/>
        <v>0</v>
      </c>
      <c r="K156" s="1">
        <f t="shared" si="64"/>
        <v>0</v>
      </c>
      <c r="L156" s="1" t="str">
        <f t="shared" si="56"/>
        <v>宽货币宽信用</v>
      </c>
      <c r="O156" s="51">
        <v>41425</v>
      </c>
      <c r="P156" s="60">
        <v>3.8820409090909092</v>
      </c>
      <c r="R156" s="14">
        <v>41882</v>
      </c>
      <c r="S156" s="15">
        <v>9577</v>
      </c>
      <c r="T156" s="55">
        <f t="shared" si="57"/>
        <v>1346.5</v>
      </c>
      <c r="U156" s="63">
        <f t="shared" si="58"/>
        <v>10923.5</v>
      </c>
      <c r="V156" s="63">
        <f t="shared" si="65"/>
        <v>175947.31659999999</v>
      </c>
      <c r="W156" s="64">
        <f t="shared" si="59"/>
        <v>628668.6</v>
      </c>
      <c r="X156" s="65">
        <f t="shared" si="66"/>
        <v>27.987291969091505</v>
      </c>
      <c r="Y156" s="64"/>
      <c r="Z156" s="70">
        <v>40209</v>
      </c>
      <c r="AA156" s="68">
        <v>-275.10000000000002</v>
      </c>
      <c r="AB156" s="68"/>
      <c r="AC156" s="68"/>
      <c r="AD156" s="55"/>
      <c r="AG156" s="16"/>
      <c r="AH156" s="17"/>
      <c r="AI156" s="17"/>
      <c r="AJ156" s="17"/>
      <c r="AK156" s="17"/>
      <c r="AL156" s="17"/>
      <c r="AM156" s="17"/>
      <c r="AN156" s="17"/>
      <c r="AO156" s="17"/>
    </row>
    <row r="157" spans="1:41" x14ac:dyDescent="0.3">
      <c r="A157" s="8">
        <f t="shared" si="60"/>
        <v>41364</v>
      </c>
      <c r="B157" s="9">
        <f t="shared" si="50"/>
        <v>3.8831523809523811</v>
      </c>
      <c r="C157" s="9">
        <f t="shared" si="51"/>
        <v>33.226822096419561</v>
      </c>
      <c r="D157" s="7">
        <f t="shared" si="52"/>
        <v>1</v>
      </c>
      <c r="E157" s="7">
        <f t="shared" si="53"/>
        <v>0</v>
      </c>
      <c r="F157" s="7">
        <f t="shared" si="54"/>
        <v>0</v>
      </c>
      <c r="G157" s="7">
        <f t="shared" si="55"/>
        <v>1</v>
      </c>
      <c r="H157" s="1">
        <f t="shared" si="61"/>
        <v>0</v>
      </c>
      <c r="I157" s="1">
        <f t="shared" si="62"/>
        <v>1</v>
      </c>
      <c r="J157" s="1">
        <f t="shared" si="63"/>
        <v>0</v>
      </c>
      <c r="K157" s="1">
        <f t="shared" si="64"/>
        <v>0</v>
      </c>
      <c r="L157" s="1" t="str">
        <f t="shared" si="56"/>
        <v>宽货币宽信用</v>
      </c>
      <c r="O157" s="51">
        <v>41394</v>
      </c>
      <c r="P157" s="60">
        <v>3.8816904761904758</v>
      </c>
      <c r="R157" s="14">
        <v>41912</v>
      </c>
      <c r="S157" s="15">
        <v>11355</v>
      </c>
      <c r="T157" s="55">
        <f t="shared" si="57"/>
        <v>1856.52</v>
      </c>
      <c r="U157" s="63">
        <f t="shared" si="58"/>
        <v>13211.52</v>
      </c>
      <c r="V157" s="63">
        <f t="shared" si="65"/>
        <v>174033.03659999999</v>
      </c>
      <c r="W157" s="64">
        <f t="shared" si="59"/>
        <v>642298.19999999995</v>
      </c>
      <c r="X157" s="65">
        <f t="shared" si="66"/>
        <v>27.095364209334544</v>
      </c>
      <c r="Y157" s="64"/>
      <c r="Z157" s="70">
        <v>40178</v>
      </c>
      <c r="AA157" s="68">
        <v>16.899999999999899</v>
      </c>
      <c r="AB157" s="68"/>
      <c r="AC157" s="68"/>
      <c r="AD157" s="55"/>
      <c r="AG157" s="16"/>
      <c r="AH157" s="17"/>
      <c r="AI157" s="17"/>
      <c r="AJ157" s="17"/>
      <c r="AK157" s="17"/>
      <c r="AL157" s="17"/>
      <c r="AM157" s="17"/>
      <c r="AN157" s="17"/>
      <c r="AO157" s="17"/>
    </row>
    <row r="158" spans="1:41" x14ac:dyDescent="0.3">
      <c r="A158" s="8">
        <f t="shared" si="60"/>
        <v>41333</v>
      </c>
      <c r="B158" s="9">
        <f t="shared" si="50"/>
        <v>3.8871882352941181</v>
      </c>
      <c r="C158" s="9">
        <f t="shared" si="51"/>
        <v>32.708400036748145</v>
      </c>
      <c r="D158" s="7">
        <f t="shared" si="52"/>
        <v>0</v>
      </c>
      <c r="E158" s="7">
        <f t="shared" si="53"/>
        <v>1</v>
      </c>
      <c r="F158" s="7">
        <f t="shared" si="54"/>
        <v>0</v>
      </c>
      <c r="G158" s="7">
        <f t="shared" si="55"/>
        <v>1</v>
      </c>
      <c r="H158" s="1">
        <f t="shared" si="61"/>
        <v>1</v>
      </c>
      <c r="I158" s="1">
        <f t="shared" si="62"/>
        <v>0</v>
      </c>
      <c r="J158" s="1">
        <f t="shared" si="63"/>
        <v>0</v>
      </c>
      <c r="K158" s="1">
        <f t="shared" si="64"/>
        <v>0</v>
      </c>
      <c r="L158" s="1" t="str">
        <f t="shared" si="56"/>
        <v>宽货币紧信用</v>
      </c>
      <c r="O158" s="51">
        <v>41364</v>
      </c>
      <c r="P158" s="60">
        <v>3.8831523809523811</v>
      </c>
      <c r="R158" s="14">
        <v>41943</v>
      </c>
      <c r="S158" s="15">
        <v>6807</v>
      </c>
      <c r="T158" s="55">
        <f t="shared" si="57"/>
        <v>1388.4</v>
      </c>
      <c r="U158" s="63">
        <f t="shared" si="58"/>
        <v>8195.4</v>
      </c>
      <c r="V158" s="63">
        <f t="shared" si="65"/>
        <v>171610.37659999999</v>
      </c>
      <c r="W158" s="64">
        <f t="shared" si="59"/>
        <v>642298.19999999995</v>
      </c>
      <c r="X158" s="65">
        <f t="shared" si="66"/>
        <v>26.718178036307744</v>
      </c>
      <c r="Y158" s="64"/>
      <c r="Z158" s="70">
        <v>40147</v>
      </c>
      <c r="AA158" s="68">
        <v>1267.0999999999999</v>
      </c>
      <c r="AB158" s="68"/>
      <c r="AC158" s="68"/>
      <c r="AD158" s="55"/>
      <c r="AG158" s="16"/>
      <c r="AH158" s="17"/>
      <c r="AI158" s="17"/>
      <c r="AJ158" s="17"/>
      <c r="AK158" s="17"/>
      <c r="AL158" s="17"/>
      <c r="AM158" s="17"/>
      <c r="AN158" s="17"/>
      <c r="AO158" s="17"/>
    </row>
    <row r="159" spans="1:41" x14ac:dyDescent="0.3">
      <c r="A159" s="8">
        <f t="shared" si="60"/>
        <v>41305</v>
      </c>
      <c r="B159" s="9">
        <f t="shared" si="50"/>
        <v>3.895104545454545</v>
      </c>
      <c r="C159" s="9">
        <f t="shared" si="51"/>
        <v>32.862917564898737</v>
      </c>
      <c r="D159" s="7">
        <f t="shared" si="52"/>
        <v>1</v>
      </c>
      <c r="E159" s="7">
        <f t="shared" si="53"/>
        <v>0</v>
      </c>
      <c r="F159" s="7">
        <f t="shared" si="54"/>
        <v>1</v>
      </c>
      <c r="G159" s="7">
        <f t="shared" si="55"/>
        <v>0</v>
      </c>
      <c r="H159" s="1">
        <f t="shared" si="61"/>
        <v>0</v>
      </c>
      <c r="I159" s="1">
        <f t="shared" si="62"/>
        <v>0</v>
      </c>
      <c r="J159" s="1">
        <f t="shared" si="63"/>
        <v>0</v>
      </c>
      <c r="K159" s="1">
        <f t="shared" si="64"/>
        <v>1</v>
      </c>
      <c r="L159" s="1" t="str">
        <f t="shared" si="56"/>
        <v>紧货币宽信用</v>
      </c>
      <c r="O159" s="51">
        <v>41333</v>
      </c>
      <c r="P159" s="60">
        <v>3.8871882352941181</v>
      </c>
      <c r="R159" s="14">
        <v>41973</v>
      </c>
      <c r="S159" s="15">
        <v>11459</v>
      </c>
      <c r="T159" s="55">
        <f t="shared" si="57"/>
        <v>1141.8</v>
      </c>
      <c r="U159" s="63">
        <f t="shared" si="58"/>
        <v>12600.8</v>
      </c>
      <c r="V159" s="63">
        <f t="shared" si="65"/>
        <v>171569.97659999999</v>
      </c>
      <c r="W159" s="64">
        <f t="shared" si="59"/>
        <v>642298.19999999995</v>
      </c>
      <c r="X159" s="65">
        <f t="shared" si="66"/>
        <v>26.711888122993336</v>
      </c>
      <c r="Y159" s="64"/>
      <c r="Z159" s="70">
        <v>40117</v>
      </c>
      <c r="AA159" s="68">
        <v>-116.6</v>
      </c>
      <c r="AB159" s="68"/>
      <c r="AC159" s="68"/>
      <c r="AD159" s="55"/>
      <c r="AG159" s="16"/>
      <c r="AH159" s="17"/>
      <c r="AI159" s="17"/>
      <c r="AJ159" s="17"/>
      <c r="AK159" s="17"/>
      <c r="AL159" s="17"/>
      <c r="AM159" s="17"/>
      <c r="AN159" s="17"/>
      <c r="AO159" s="17"/>
    </row>
    <row r="160" spans="1:41" x14ac:dyDescent="0.3">
      <c r="A160" s="8">
        <f t="shared" si="60"/>
        <v>41274</v>
      </c>
      <c r="B160" s="9">
        <f t="shared" si="50"/>
        <v>3.8654809523809521</v>
      </c>
      <c r="C160" s="9">
        <f t="shared" si="51"/>
        <v>29.822483834562508</v>
      </c>
      <c r="D160" s="7">
        <f t="shared" si="52"/>
        <v>0</v>
      </c>
      <c r="E160" s="7">
        <f t="shared" si="53"/>
        <v>1</v>
      </c>
      <c r="F160" s="7">
        <f t="shared" si="54"/>
        <v>1</v>
      </c>
      <c r="G160" s="7">
        <f t="shared" si="55"/>
        <v>0</v>
      </c>
      <c r="H160" s="1">
        <f t="shared" si="61"/>
        <v>0</v>
      </c>
      <c r="I160" s="1">
        <f t="shared" si="62"/>
        <v>0</v>
      </c>
      <c r="J160" s="1">
        <f t="shared" si="63"/>
        <v>1</v>
      </c>
      <c r="K160" s="1">
        <f t="shared" si="64"/>
        <v>0</v>
      </c>
      <c r="L160" s="1" t="str">
        <f t="shared" si="56"/>
        <v>紧货币紧信用</v>
      </c>
      <c r="O160" s="51">
        <v>41305</v>
      </c>
      <c r="P160" s="60">
        <v>3.895104545454545</v>
      </c>
      <c r="R160" s="14">
        <v>42004</v>
      </c>
      <c r="S160" s="15">
        <v>16945</v>
      </c>
      <c r="T160" s="55">
        <f t="shared" si="57"/>
        <v>630.29999999999995</v>
      </c>
      <c r="U160" s="63">
        <f t="shared" si="58"/>
        <v>17575.3</v>
      </c>
      <c r="V160" s="63">
        <f t="shared" si="65"/>
        <v>176008.37659999996</v>
      </c>
      <c r="W160" s="64">
        <f t="shared" si="59"/>
        <v>655782.9</v>
      </c>
      <c r="X160" s="65">
        <f t="shared" si="66"/>
        <v>26.839427591051852</v>
      </c>
      <c r="Y160" s="64"/>
      <c r="Z160" s="70">
        <v>40086</v>
      </c>
      <c r="AA160" s="68">
        <v>358.5</v>
      </c>
      <c r="AB160" s="68"/>
      <c r="AC160" s="68"/>
      <c r="AD160" s="55"/>
      <c r="AG160" s="16"/>
      <c r="AH160" s="17"/>
      <c r="AI160" s="17"/>
      <c r="AJ160" s="17"/>
      <c r="AK160" s="17"/>
      <c r="AL160" s="17"/>
      <c r="AM160" s="17"/>
      <c r="AN160" s="17"/>
      <c r="AO160" s="17"/>
    </row>
    <row r="161" spans="1:41" x14ac:dyDescent="0.3">
      <c r="A161" s="8">
        <f t="shared" si="60"/>
        <v>41243</v>
      </c>
      <c r="B161" s="9">
        <f t="shared" si="50"/>
        <v>3.7712772727272732</v>
      </c>
      <c r="C161" s="9">
        <f t="shared" si="51"/>
        <v>29.949810930947145</v>
      </c>
      <c r="D161" s="7">
        <f t="shared" si="52"/>
        <v>1</v>
      </c>
      <c r="E161" s="7">
        <f t="shared" si="53"/>
        <v>0</v>
      </c>
      <c r="F161" s="7">
        <f t="shared" si="54"/>
        <v>1</v>
      </c>
      <c r="G161" s="7">
        <f t="shared" si="55"/>
        <v>0</v>
      </c>
      <c r="H161" s="1">
        <f t="shared" si="61"/>
        <v>0</v>
      </c>
      <c r="I161" s="1">
        <f t="shared" si="62"/>
        <v>0</v>
      </c>
      <c r="J161" s="1">
        <f t="shared" si="63"/>
        <v>0</v>
      </c>
      <c r="K161" s="1">
        <f t="shared" si="64"/>
        <v>1</v>
      </c>
      <c r="L161" s="1" t="str">
        <f t="shared" si="56"/>
        <v>紧货币宽信用</v>
      </c>
      <c r="O161" s="51">
        <v>41274</v>
      </c>
      <c r="P161" s="60">
        <v>3.8654809523809521</v>
      </c>
      <c r="R161" s="14">
        <v>42035</v>
      </c>
      <c r="S161" s="15">
        <v>20516</v>
      </c>
      <c r="T161" s="55">
        <f t="shared" si="57"/>
        <v>-100</v>
      </c>
      <c r="U161" s="63">
        <f t="shared" si="58"/>
        <v>20416</v>
      </c>
      <c r="V161" s="63">
        <f t="shared" si="65"/>
        <v>170630.37659999999</v>
      </c>
      <c r="W161" s="64">
        <f t="shared" si="59"/>
        <v>655782.9</v>
      </c>
      <c r="X161" s="65">
        <f t="shared" si="66"/>
        <v>26.019339113599944</v>
      </c>
      <c r="Y161" s="64"/>
      <c r="Z161" s="70">
        <v>40056</v>
      </c>
      <c r="AA161" s="68">
        <v>1015.1</v>
      </c>
      <c r="AB161" s="68"/>
      <c r="AC161" s="68"/>
      <c r="AD161" s="55"/>
      <c r="AG161" s="16"/>
      <c r="AH161" s="17"/>
      <c r="AI161" s="17"/>
      <c r="AJ161" s="17"/>
      <c r="AK161" s="17"/>
      <c r="AL161" s="17"/>
      <c r="AM161" s="17"/>
      <c r="AN161" s="17"/>
      <c r="AO161" s="17"/>
    </row>
    <row r="162" spans="1:41" x14ac:dyDescent="0.3">
      <c r="A162" s="8">
        <f t="shared" si="60"/>
        <v>41213</v>
      </c>
      <c r="B162" s="9">
        <f t="shared" si="50"/>
        <v>3.7028833333333329</v>
      </c>
      <c r="C162" s="9">
        <f t="shared" si="51"/>
        <v>29.6120812968806</v>
      </c>
      <c r="D162" s="7">
        <f t="shared" si="52"/>
        <v>1</v>
      </c>
      <c r="E162" s="7">
        <f t="shared" si="53"/>
        <v>0</v>
      </c>
      <c r="F162" s="7">
        <f t="shared" si="54"/>
        <v>1</v>
      </c>
      <c r="G162" s="7">
        <f t="shared" si="55"/>
        <v>0</v>
      </c>
      <c r="H162" s="1">
        <f t="shared" si="61"/>
        <v>0</v>
      </c>
      <c r="I162" s="1">
        <f t="shared" si="62"/>
        <v>0</v>
      </c>
      <c r="J162" s="1">
        <f t="shared" si="63"/>
        <v>0</v>
      </c>
      <c r="K162" s="1">
        <f t="shared" si="64"/>
        <v>1</v>
      </c>
      <c r="L162" s="1" t="str">
        <f t="shared" si="56"/>
        <v>紧货币宽信用</v>
      </c>
      <c r="O162" s="51">
        <v>41243</v>
      </c>
      <c r="P162" s="60">
        <v>3.7712772727272732</v>
      </c>
      <c r="R162" s="14">
        <v>42063</v>
      </c>
      <c r="S162" s="15">
        <v>13609</v>
      </c>
      <c r="T162" s="55">
        <f t="shared" si="57"/>
        <v>-489.7</v>
      </c>
      <c r="U162" s="63">
        <f t="shared" si="58"/>
        <v>13119.3</v>
      </c>
      <c r="V162" s="63">
        <f t="shared" si="65"/>
        <v>174419.67660000001</v>
      </c>
      <c r="W162" s="64">
        <f t="shared" si="59"/>
        <v>655782.9</v>
      </c>
      <c r="X162" s="65">
        <f t="shared" si="66"/>
        <v>26.597167538220347</v>
      </c>
      <c r="Y162" s="64"/>
      <c r="Z162" s="70">
        <v>40025</v>
      </c>
      <c r="AA162" s="68">
        <v>1525</v>
      </c>
      <c r="AB162" s="68"/>
      <c r="AC162" s="68"/>
      <c r="AD162" s="55"/>
      <c r="AG162" s="16"/>
      <c r="AH162" s="17"/>
      <c r="AI162" s="17"/>
      <c r="AJ162" s="17"/>
      <c r="AK162" s="17"/>
      <c r="AL162" s="17"/>
      <c r="AM162" s="17"/>
      <c r="AN162" s="17"/>
      <c r="AO162" s="17"/>
    </row>
    <row r="163" spans="1:41" x14ac:dyDescent="0.3">
      <c r="A163" s="8">
        <f t="shared" si="60"/>
        <v>41182</v>
      </c>
      <c r="B163" s="9">
        <f t="shared" si="50"/>
        <v>3.6579380952380949</v>
      </c>
      <c r="C163" s="9">
        <f t="shared" si="51"/>
        <v>28.605813990547485</v>
      </c>
      <c r="D163" s="7">
        <f t="shared" si="52"/>
        <v>1</v>
      </c>
      <c r="E163" s="7">
        <f t="shared" si="53"/>
        <v>0</v>
      </c>
      <c r="F163" s="7">
        <f t="shared" si="54"/>
        <v>1</v>
      </c>
      <c r="G163" s="7">
        <f t="shared" si="55"/>
        <v>0</v>
      </c>
      <c r="H163" s="1">
        <f t="shared" si="61"/>
        <v>0</v>
      </c>
      <c r="I163" s="1">
        <f t="shared" si="62"/>
        <v>0</v>
      </c>
      <c r="J163" s="1">
        <f t="shared" si="63"/>
        <v>0</v>
      </c>
      <c r="K163" s="1">
        <f t="shared" si="64"/>
        <v>1</v>
      </c>
      <c r="L163" s="1" t="str">
        <f t="shared" si="56"/>
        <v>紧货币宽信用</v>
      </c>
      <c r="O163" s="51">
        <v>41213</v>
      </c>
      <c r="P163" s="60">
        <v>3.7028833333333329</v>
      </c>
      <c r="R163" s="14">
        <v>42094</v>
      </c>
      <c r="S163" s="15">
        <v>12433</v>
      </c>
      <c r="T163" s="55">
        <f t="shared" si="57"/>
        <v>450</v>
      </c>
      <c r="U163" s="63">
        <f t="shared" si="58"/>
        <v>12883</v>
      </c>
      <c r="V163" s="63">
        <f t="shared" si="65"/>
        <v>166393.97659999999</v>
      </c>
      <c r="W163" s="64">
        <f t="shared" si="59"/>
        <v>666414.9</v>
      </c>
      <c r="X163" s="65">
        <f t="shared" si="66"/>
        <v>24.96852585378868</v>
      </c>
      <c r="Y163" s="64"/>
      <c r="Z163" s="70">
        <v>39994</v>
      </c>
      <c r="AA163" s="68">
        <v>1783.64</v>
      </c>
      <c r="AB163" s="68"/>
      <c r="AC163" s="68"/>
      <c r="AD163" s="55"/>
      <c r="AG163" s="16"/>
      <c r="AH163" s="17"/>
      <c r="AI163" s="17"/>
      <c r="AJ163" s="17"/>
      <c r="AK163" s="17"/>
      <c r="AL163" s="17"/>
      <c r="AM163" s="17"/>
      <c r="AN163" s="17"/>
      <c r="AO163" s="17"/>
    </row>
    <row r="164" spans="1:41" x14ac:dyDescent="0.3">
      <c r="A164" s="8">
        <f t="shared" si="60"/>
        <v>41152</v>
      </c>
      <c r="B164" s="9">
        <f t="shared" ref="B164:B177" si="67">VLOOKUP(A164,O:P,2,0)</f>
        <v>3.6378652173913042</v>
      </c>
      <c r="C164" s="9">
        <f t="shared" ref="C164:C177" si="68">VLOOKUP(A164,R:X,7,0)</f>
        <v>26.804568038874148</v>
      </c>
      <c r="D164" s="7">
        <f t="shared" si="52"/>
        <v>1</v>
      </c>
      <c r="E164" s="7">
        <f t="shared" si="53"/>
        <v>0</v>
      </c>
      <c r="F164" s="7">
        <f t="shared" si="54"/>
        <v>0</v>
      </c>
      <c r="G164" s="7">
        <f t="shared" si="55"/>
        <v>1</v>
      </c>
      <c r="H164" s="1">
        <f t="shared" si="61"/>
        <v>0</v>
      </c>
      <c r="I164" s="1">
        <f t="shared" si="62"/>
        <v>1</v>
      </c>
      <c r="J164" s="1">
        <f t="shared" si="63"/>
        <v>0</v>
      </c>
      <c r="K164" s="1">
        <f t="shared" si="64"/>
        <v>0</v>
      </c>
      <c r="L164" s="1" t="str">
        <f t="shared" si="56"/>
        <v>宽货币宽信用</v>
      </c>
      <c r="O164" s="51">
        <v>41182</v>
      </c>
      <c r="P164" s="60">
        <v>3.6579380952380949</v>
      </c>
      <c r="R164" s="14">
        <v>42124</v>
      </c>
      <c r="S164" s="15">
        <v>10582</v>
      </c>
      <c r="T164" s="55">
        <f t="shared" si="57"/>
        <v>825.5</v>
      </c>
      <c r="U164" s="63">
        <f t="shared" si="58"/>
        <v>11407.5</v>
      </c>
      <c r="V164" s="63">
        <f t="shared" si="65"/>
        <v>161534.18659999999</v>
      </c>
      <c r="W164" s="64">
        <f t="shared" si="59"/>
        <v>666414.9</v>
      </c>
      <c r="X164" s="65">
        <f t="shared" si="66"/>
        <v>24.23928195483024</v>
      </c>
      <c r="Y164" s="64"/>
      <c r="Z164" s="70">
        <v>39964</v>
      </c>
      <c r="AA164" s="68">
        <v>2240.5</v>
      </c>
      <c r="AB164" s="68"/>
      <c r="AC164" s="68"/>
      <c r="AD164" s="55"/>
      <c r="AG164" s="16"/>
      <c r="AH164" s="17"/>
      <c r="AI164" s="17"/>
      <c r="AJ164" s="17"/>
      <c r="AK164" s="17"/>
      <c r="AL164" s="17"/>
      <c r="AM164" s="17"/>
      <c r="AN164" s="17"/>
      <c r="AO164" s="17"/>
    </row>
    <row r="165" spans="1:41" x14ac:dyDescent="0.3">
      <c r="A165" s="8">
        <f t="shared" si="60"/>
        <v>41121</v>
      </c>
      <c r="B165" s="9">
        <f t="shared" si="67"/>
        <v>3.8686409090909089</v>
      </c>
      <c r="C165" s="9">
        <f t="shared" si="68"/>
        <v>26.463393474257575</v>
      </c>
      <c r="D165" s="7">
        <f t="shared" si="52"/>
        <v>1</v>
      </c>
      <c r="E165" s="7">
        <f t="shared" si="53"/>
        <v>0</v>
      </c>
      <c r="F165" s="7">
        <f t="shared" si="54"/>
        <v>0</v>
      </c>
      <c r="G165" s="7">
        <f t="shared" si="55"/>
        <v>1</v>
      </c>
      <c r="H165" s="1">
        <f t="shared" si="61"/>
        <v>0</v>
      </c>
      <c r="I165" s="1">
        <f t="shared" si="62"/>
        <v>1</v>
      </c>
      <c r="J165" s="1">
        <f t="shared" si="63"/>
        <v>0</v>
      </c>
      <c r="K165" s="1">
        <f t="shared" si="64"/>
        <v>0</v>
      </c>
      <c r="L165" s="1" t="str">
        <f t="shared" ref="L165:L177" si="69">INDEX($H$3:$K$3,1,MATCH(1,H165:K165,0))</f>
        <v>宽货币宽信用</v>
      </c>
      <c r="O165" s="51">
        <v>41152</v>
      </c>
      <c r="P165" s="60">
        <v>3.6378652173913042</v>
      </c>
      <c r="R165" s="14">
        <v>42155</v>
      </c>
      <c r="S165" s="15">
        <v>12397</v>
      </c>
      <c r="T165" s="55">
        <f t="shared" si="57"/>
        <v>2574.5</v>
      </c>
      <c r="U165" s="63">
        <f t="shared" si="58"/>
        <v>14971.5</v>
      </c>
      <c r="V165" s="63">
        <f t="shared" si="65"/>
        <v>161243.39660000001</v>
      </c>
      <c r="W165" s="64">
        <f t="shared" si="59"/>
        <v>666414.9</v>
      </c>
      <c r="X165" s="65">
        <f t="shared" si="66"/>
        <v>24.195646976080518</v>
      </c>
      <c r="Y165" s="64"/>
      <c r="Z165" s="70">
        <v>39933</v>
      </c>
      <c r="AA165" s="68">
        <v>579.11</v>
      </c>
      <c r="AB165" s="68"/>
      <c r="AC165" s="68"/>
      <c r="AD165" s="55"/>
      <c r="AG165" s="16"/>
      <c r="AH165" s="17"/>
      <c r="AI165" s="17"/>
      <c r="AJ165" s="17"/>
      <c r="AK165" s="17"/>
      <c r="AL165" s="17"/>
      <c r="AM165" s="17"/>
      <c r="AN165" s="17"/>
      <c r="AO165" s="17"/>
    </row>
    <row r="166" spans="1:41" x14ac:dyDescent="0.3">
      <c r="A166" s="8">
        <f t="shared" si="60"/>
        <v>41090</v>
      </c>
      <c r="B166" s="9">
        <f t="shared" si="67"/>
        <v>4.1006349999999996</v>
      </c>
      <c r="C166" s="9">
        <f t="shared" si="68"/>
        <v>25.472662417402493</v>
      </c>
      <c r="D166" s="7">
        <f t="shared" si="52"/>
        <v>1</v>
      </c>
      <c r="E166" s="7">
        <f t="shared" si="53"/>
        <v>0</v>
      </c>
      <c r="F166" s="7">
        <f t="shared" si="54"/>
        <v>0</v>
      </c>
      <c r="G166" s="7">
        <f t="shared" si="55"/>
        <v>1</v>
      </c>
      <c r="H166" s="1">
        <f t="shared" si="61"/>
        <v>0</v>
      </c>
      <c r="I166" s="1">
        <f t="shared" si="62"/>
        <v>1</v>
      </c>
      <c r="J166" s="1">
        <f t="shared" si="63"/>
        <v>0</v>
      </c>
      <c r="K166" s="1">
        <f t="shared" si="64"/>
        <v>0</v>
      </c>
      <c r="L166" s="1" t="str">
        <f t="shared" si="69"/>
        <v>宽货币宽信用</v>
      </c>
      <c r="O166" s="51">
        <v>41121</v>
      </c>
      <c r="P166" s="60">
        <v>3.8686409090909089</v>
      </c>
      <c r="R166" s="14">
        <v>42185</v>
      </c>
      <c r="S166" s="15">
        <v>18384</v>
      </c>
      <c r="T166" s="55">
        <f t="shared" si="57"/>
        <v>8221.1597999999994</v>
      </c>
      <c r="U166" s="63">
        <f t="shared" si="58"/>
        <v>26605.159800000001</v>
      </c>
      <c r="V166" s="63">
        <f t="shared" si="65"/>
        <v>166733.65640000001</v>
      </c>
      <c r="W166" s="64">
        <f t="shared" si="59"/>
        <v>678839.5</v>
      </c>
      <c r="X166" s="65">
        <f t="shared" si="66"/>
        <v>24.561572566122038</v>
      </c>
      <c r="Y166" s="64"/>
      <c r="Z166" s="70">
        <v>39903</v>
      </c>
      <c r="AA166" s="68">
        <v>75</v>
      </c>
      <c r="AB166" s="68"/>
      <c r="AC166" s="68"/>
      <c r="AD166" s="55"/>
      <c r="AG166" s="16"/>
      <c r="AH166" s="17"/>
      <c r="AI166" s="17"/>
      <c r="AJ166" s="17"/>
      <c r="AK166" s="17"/>
      <c r="AL166" s="17"/>
      <c r="AM166" s="17"/>
      <c r="AN166" s="17"/>
      <c r="AO166" s="17"/>
    </row>
    <row r="167" spans="1:41" x14ac:dyDescent="0.3">
      <c r="A167" s="8">
        <f t="shared" si="60"/>
        <v>41060</v>
      </c>
      <c r="B167" s="9">
        <f t="shared" si="67"/>
        <v>4.4712318181818178</v>
      </c>
      <c r="C167" s="9">
        <f t="shared" si="68"/>
        <v>24.82913285046892</v>
      </c>
      <c r="D167" s="7">
        <f t="shared" si="52"/>
        <v>0</v>
      </c>
      <c r="E167" s="7">
        <f t="shared" si="53"/>
        <v>1</v>
      </c>
      <c r="F167" s="7">
        <f t="shared" si="54"/>
        <v>0</v>
      </c>
      <c r="G167" s="7">
        <f t="shared" si="55"/>
        <v>1</v>
      </c>
      <c r="H167" s="1">
        <f t="shared" si="61"/>
        <v>1</v>
      </c>
      <c r="I167" s="1">
        <f t="shared" si="62"/>
        <v>0</v>
      </c>
      <c r="J167" s="1">
        <f t="shared" si="63"/>
        <v>0</v>
      </c>
      <c r="K167" s="1">
        <f t="shared" si="64"/>
        <v>0</v>
      </c>
      <c r="L167" s="1" t="str">
        <f t="shared" si="69"/>
        <v>宽货币紧信用</v>
      </c>
      <c r="O167" s="51">
        <v>41090</v>
      </c>
      <c r="P167" s="60">
        <v>4.1006349999999996</v>
      </c>
      <c r="R167" s="14">
        <v>42216</v>
      </c>
      <c r="S167" s="15">
        <v>7511</v>
      </c>
      <c r="T167" s="55">
        <f t="shared" si="57"/>
        <v>6643.5136000000002</v>
      </c>
      <c r="U167" s="63">
        <f t="shared" si="58"/>
        <v>14154.5136</v>
      </c>
      <c r="V167" s="63">
        <f t="shared" si="65"/>
        <v>176063.49340000001</v>
      </c>
      <c r="W167" s="64">
        <f t="shared" si="59"/>
        <v>678839.5</v>
      </c>
      <c r="X167" s="65">
        <f t="shared" si="66"/>
        <v>25.93595296089871</v>
      </c>
      <c r="Y167" s="64"/>
      <c r="Z167" s="70">
        <v>39872</v>
      </c>
      <c r="AA167" s="68">
        <v>-10.7</v>
      </c>
      <c r="AB167" s="68"/>
      <c r="AC167" s="68"/>
      <c r="AD167" s="55"/>
      <c r="AG167" s="16"/>
      <c r="AH167" s="17"/>
      <c r="AI167" s="17"/>
      <c r="AJ167" s="17"/>
      <c r="AK167" s="17"/>
      <c r="AL167" s="17"/>
      <c r="AM167" s="17"/>
      <c r="AN167" s="17"/>
      <c r="AO167" s="17"/>
    </row>
    <row r="168" spans="1:41" x14ac:dyDescent="0.3">
      <c r="A168" s="8">
        <f t="shared" si="60"/>
        <v>41029</v>
      </c>
      <c r="B168" s="9">
        <f t="shared" si="67"/>
        <v>4.8003</v>
      </c>
      <c r="C168" s="9">
        <f t="shared" si="68"/>
        <v>24.892112089997745</v>
      </c>
      <c r="D168" s="7">
        <f t="shared" si="52"/>
        <v>0</v>
      </c>
      <c r="E168" s="7">
        <f t="shared" si="53"/>
        <v>1</v>
      </c>
      <c r="F168" s="7">
        <f t="shared" si="54"/>
        <v>0</v>
      </c>
      <c r="G168" s="7">
        <f t="shared" si="55"/>
        <v>1</v>
      </c>
      <c r="H168" s="1">
        <f t="shared" si="61"/>
        <v>1</v>
      </c>
      <c r="I168" s="1">
        <f t="shared" si="62"/>
        <v>0</v>
      </c>
      <c r="J168" s="1">
        <f t="shared" si="63"/>
        <v>0</v>
      </c>
      <c r="K168" s="1">
        <f t="shared" si="64"/>
        <v>0</v>
      </c>
      <c r="L168" s="1" t="str">
        <f t="shared" si="69"/>
        <v>宽货币紧信用</v>
      </c>
      <c r="O168" s="51">
        <v>41060</v>
      </c>
      <c r="P168" s="60">
        <v>4.4712318181818178</v>
      </c>
      <c r="R168" s="14">
        <v>42247</v>
      </c>
      <c r="S168" s="15">
        <v>11097</v>
      </c>
      <c r="T168" s="55">
        <f t="shared" si="57"/>
        <v>5368.0960999999998</v>
      </c>
      <c r="U168" s="63">
        <f t="shared" si="58"/>
        <v>16465.096099999999</v>
      </c>
      <c r="V168" s="63">
        <f t="shared" si="65"/>
        <v>181605.0895</v>
      </c>
      <c r="W168" s="64">
        <f t="shared" si="59"/>
        <v>678839.5</v>
      </c>
      <c r="X168" s="65">
        <f t="shared" si="66"/>
        <v>26.752286733462032</v>
      </c>
      <c r="Y168" s="64"/>
      <c r="Z168" s="70">
        <v>39844</v>
      </c>
      <c r="AA168" s="68">
        <v>0</v>
      </c>
      <c r="AB168" s="68"/>
      <c r="AC168" s="68"/>
      <c r="AD168" s="55"/>
      <c r="AG168" s="16"/>
      <c r="AH168" s="17"/>
      <c r="AI168" s="17"/>
      <c r="AJ168" s="17"/>
      <c r="AK168" s="17"/>
      <c r="AL168" s="17"/>
      <c r="AM168" s="17"/>
      <c r="AN168" s="17"/>
      <c r="AO168" s="17"/>
    </row>
    <row r="169" spans="1:41" x14ac:dyDescent="0.3">
      <c r="A169" s="8">
        <f t="shared" si="60"/>
        <v>40999</v>
      </c>
      <c r="B169" s="9">
        <f t="shared" si="67"/>
        <v>5.0405043478260874</v>
      </c>
      <c r="C169" s="9">
        <f t="shared" si="68"/>
        <v>25.762048208752759</v>
      </c>
      <c r="D169" s="7">
        <f t="shared" si="52"/>
        <v>0</v>
      </c>
      <c r="E169" s="7">
        <f t="shared" si="53"/>
        <v>1</v>
      </c>
      <c r="F169" s="7">
        <f t="shared" si="54"/>
        <v>0</v>
      </c>
      <c r="G169" s="7">
        <f t="shared" si="55"/>
        <v>1</v>
      </c>
      <c r="H169" s="1">
        <f t="shared" si="61"/>
        <v>1</v>
      </c>
      <c r="I169" s="1">
        <f t="shared" si="62"/>
        <v>0</v>
      </c>
      <c r="J169" s="1">
        <f t="shared" si="63"/>
        <v>0</v>
      </c>
      <c r="K169" s="1">
        <f t="shared" si="64"/>
        <v>0</v>
      </c>
      <c r="L169" s="1" t="str">
        <f t="shared" si="69"/>
        <v>宽货币紧信用</v>
      </c>
      <c r="O169" s="51">
        <v>41029</v>
      </c>
      <c r="P169" s="60">
        <v>4.8003</v>
      </c>
      <c r="R169" s="14">
        <v>42277</v>
      </c>
      <c r="S169" s="15">
        <v>13571</v>
      </c>
      <c r="T169" s="55">
        <f t="shared" si="57"/>
        <v>6576.4242999999997</v>
      </c>
      <c r="U169" s="63">
        <f t="shared" si="58"/>
        <v>20147.424299999999</v>
      </c>
      <c r="V169" s="63">
        <f t="shared" si="65"/>
        <v>188540.9938</v>
      </c>
      <c r="W169" s="64">
        <f t="shared" si="59"/>
        <v>690356.5</v>
      </c>
      <c r="X169" s="65">
        <f t="shared" si="66"/>
        <v>27.310671196693303</v>
      </c>
      <c r="Y169" s="64"/>
      <c r="Z169" s="70">
        <v>39813</v>
      </c>
      <c r="AA169" s="68">
        <v>-208.1</v>
      </c>
      <c r="AB169" s="68"/>
      <c r="AC169" s="68"/>
      <c r="AD169" s="55"/>
      <c r="AG169" s="16"/>
      <c r="AH169" s="17"/>
      <c r="AI169" s="17"/>
      <c r="AJ169" s="17"/>
      <c r="AK169" s="17"/>
      <c r="AL169" s="17"/>
      <c r="AM169" s="17"/>
      <c r="AN169" s="17"/>
      <c r="AO169" s="17"/>
    </row>
    <row r="170" spans="1:41" x14ac:dyDescent="0.3">
      <c r="A170" s="8">
        <f t="shared" si="60"/>
        <v>40968</v>
      </c>
      <c r="B170" s="9">
        <f t="shared" si="67"/>
        <v>5.3338238095238104</v>
      </c>
      <c r="C170" s="9">
        <f t="shared" si="68"/>
        <v>26.402814159559828</v>
      </c>
      <c r="D170" s="7">
        <f t="shared" si="52"/>
        <v>1</v>
      </c>
      <c r="E170" s="7">
        <f t="shared" si="53"/>
        <v>0</v>
      </c>
      <c r="F170" s="7">
        <f t="shared" si="54"/>
        <v>0</v>
      </c>
      <c r="G170" s="7">
        <f t="shared" si="55"/>
        <v>1</v>
      </c>
      <c r="H170" s="1">
        <f t="shared" si="61"/>
        <v>0</v>
      </c>
      <c r="I170" s="1">
        <f t="shared" si="62"/>
        <v>1</v>
      </c>
      <c r="J170" s="1">
        <f t="shared" si="63"/>
        <v>0</v>
      </c>
      <c r="K170" s="1">
        <f t="shared" si="64"/>
        <v>0</v>
      </c>
      <c r="L170" s="1" t="str">
        <f t="shared" si="69"/>
        <v>宽货币宽信用</v>
      </c>
      <c r="O170" s="51">
        <v>40999</v>
      </c>
      <c r="P170" s="60">
        <v>5.0405043478260874</v>
      </c>
      <c r="R170" s="14">
        <v>42308</v>
      </c>
      <c r="S170" s="15">
        <v>5593</v>
      </c>
      <c r="T170" s="55">
        <f t="shared" si="57"/>
        <v>5917.9063999999998</v>
      </c>
      <c r="U170" s="63">
        <f t="shared" si="58"/>
        <v>11510.9064</v>
      </c>
      <c r="V170" s="63">
        <f t="shared" si="65"/>
        <v>191856.50019999998</v>
      </c>
      <c r="W170" s="64">
        <f t="shared" si="59"/>
        <v>690356.5</v>
      </c>
      <c r="X170" s="65">
        <f t="shared" si="66"/>
        <v>27.790931236252568</v>
      </c>
      <c r="Y170" s="64"/>
      <c r="Z170" s="70">
        <v>39782</v>
      </c>
      <c r="AA170" s="68">
        <v>705</v>
      </c>
      <c r="AB170" s="68"/>
      <c r="AC170" s="68"/>
      <c r="AD170" s="55"/>
      <c r="AG170" s="16"/>
      <c r="AH170" s="17"/>
      <c r="AI170" s="17"/>
      <c r="AJ170" s="17"/>
      <c r="AK170" s="17"/>
      <c r="AL170" s="17"/>
      <c r="AM170" s="17"/>
      <c r="AN170" s="17"/>
      <c r="AO170" s="17"/>
    </row>
    <row r="171" spans="1:41" x14ac:dyDescent="0.3">
      <c r="A171" s="8">
        <f t="shared" si="60"/>
        <v>40939</v>
      </c>
      <c r="B171" s="9">
        <f t="shared" si="67"/>
        <v>5.4820529411764714</v>
      </c>
      <c r="C171" s="9">
        <f t="shared" si="68"/>
        <v>25.452213250757762</v>
      </c>
      <c r="D171" s="7">
        <f t="shared" si="52"/>
        <v>0</v>
      </c>
      <c r="E171" s="7">
        <f t="shared" si="53"/>
        <v>1</v>
      </c>
      <c r="F171" s="7">
        <f t="shared" si="54"/>
        <v>1</v>
      </c>
      <c r="G171" s="7">
        <f t="shared" si="55"/>
        <v>0</v>
      </c>
      <c r="H171" s="1">
        <f t="shared" si="61"/>
        <v>0</v>
      </c>
      <c r="I171" s="1">
        <f t="shared" si="62"/>
        <v>0</v>
      </c>
      <c r="J171" s="1">
        <f t="shared" si="63"/>
        <v>1</v>
      </c>
      <c r="K171" s="1">
        <f t="shared" si="64"/>
        <v>0</v>
      </c>
      <c r="L171" s="1" t="str">
        <f t="shared" si="69"/>
        <v>紧货币紧信用</v>
      </c>
      <c r="O171" s="51">
        <v>40968</v>
      </c>
      <c r="P171" s="60">
        <v>5.3338238095238104</v>
      </c>
      <c r="R171" s="14">
        <v>42338</v>
      </c>
      <c r="S171" s="15">
        <v>10255</v>
      </c>
      <c r="T171" s="55">
        <f t="shared" si="57"/>
        <v>9400.2369999999992</v>
      </c>
      <c r="U171" s="63">
        <f t="shared" si="58"/>
        <v>19655.237000000001</v>
      </c>
      <c r="V171" s="63">
        <f t="shared" si="65"/>
        <v>198910.93719999999</v>
      </c>
      <c r="W171" s="64">
        <f t="shared" si="59"/>
        <v>690356.5</v>
      </c>
      <c r="X171" s="65">
        <f t="shared" si="66"/>
        <v>28.812785452154067</v>
      </c>
      <c r="Y171" s="64"/>
      <c r="Z171" s="70">
        <v>39752</v>
      </c>
      <c r="AA171" s="68">
        <v>323.8</v>
      </c>
      <c r="AB171" s="68"/>
      <c r="AC171" s="68"/>
      <c r="AD171" s="55"/>
      <c r="AG171" s="16"/>
      <c r="AH171" s="17"/>
      <c r="AI171" s="17"/>
      <c r="AJ171" s="17"/>
      <c r="AK171" s="17"/>
      <c r="AL171" s="17"/>
      <c r="AM171" s="17"/>
      <c r="AN171" s="17"/>
      <c r="AO171" s="17"/>
    </row>
    <row r="172" spans="1:41" x14ac:dyDescent="0.3">
      <c r="A172" s="8">
        <f t="shared" si="60"/>
        <v>40908</v>
      </c>
      <c r="B172" s="9">
        <f t="shared" si="67"/>
        <v>5.4768695652173909</v>
      </c>
      <c r="C172" s="9">
        <f t="shared" si="68"/>
        <v>27.127112258741292</v>
      </c>
      <c r="D172" s="7">
        <f t="shared" si="52"/>
        <v>0</v>
      </c>
      <c r="E172" s="7">
        <f t="shared" si="53"/>
        <v>1</v>
      </c>
      <c r="F172" s="7">
        <f t="shared" si="54"/>
        <v>0</v>
      </c>
      <c r="G172" s="7">
        <f t="shared" si="55"/>
        <v>1</v>
      </c>
      <c r="H172" s="1">
        <f t="shared" si="61"/>
        <v>1</v>
      </c>
      <c r="I172" s="1">
        <f t="shared" si="62"/>
        <v>0</v>
      </c>
      <c r="J172" s="1">
        <f t="shared" si="63"/>
        <v>0</v>
      </c>
      <c r="K172" s="1">
        <f t="shared" si="64"/>
        <v>0</v>
      </c>
      <c r="L172" s="1" t="str">
        <f t="shared" si="69"/>
        <v>宽货币紧信用</v>
      </c>
      <c r="O172" s="51">
        <v>40939</v>
      </c>
      <c r="P172" s="60">
        <v>5.4820529411764714</v>
      </c>
      <c r="R172" s="14">
        <v>42369</v>
      </c>
      <c r="S172" s="15">
        <v>18114</v>
      </c>
      <c r="T172" s="55">
        <f t="shared" si="57"/>
        <v>1948.6978999999999</v>
      </c>
      <c r="U172" s="63">
        <f t="shared" si="58"/>
        <v>20062.697899999999</v>
      </c>
      <c r="V172" s="63">
        <f t="shared" si="65"/>
        <v>201398.3351</v>
      </c>
      <c r="W172" s="64">
        <f t="shared" si="59"/>
        <v>702511.5</v>
      </c>
      <c r="X172" s="65">
        <f t="shared" si="66"/>
        <v>28.668332845796829</v>
      </c>
      <c r="Y172" s="64"/>
      <c r="Z172" s="70">
        <v>39721</v>
      </c>
      <c r="AA172" s="68">
        <v>-316.5</v>
      </c>
      <c r="AB172" s="68"/>
      <c r="AC172" s="68"/>
      <c r="AD172" s="55"/>
      <c r="AG172" s="16"/>
      <c r="AH172" s="17"/>
      <c r="AI172" s="17"/>
      <c r="AJ172" s="17"/>
      <c r="AK172" s="17"/>
      <c r="AL172" s="17"/>
      <c r="AM172" s="17"/>
      <c r="AN172" s="17"/>
      <c r="AO172" s="17"/>
    </row>
    <row r="173" spans="1:41" x14ac:dyDescent="0.3">
      <c r="A173" s="8">
        <f t="shared" si="60"/>
        <v>40877</v>
      </c>
      <c r="B173" s="9">
        <f t="shared" si="67"/>
        <v>5.6804727272727273</v>
      </c>
      <c r="C173" s="9">
        <f t="shared" si="68"/>
        <v>27.898284375408959</v>
      </c>
      <c r="D173" s="7">
        <f t="shared" si="52"/>
        <v>0</v>
      </c>
      <c r="E173" s="7">
        <f t="shared" si="53"/>
        <v>1</v>
      </c>
      <c r="F173" s="7">
        <f t="shared" si="54"/>
        <v>1</v>
      </c>
      <c r="G173" s="7">
        <f t="shared" si="55"/>
        <v>0</v>
      </c>
      <c r="H173" s="1">
        <f t="shared" si="61"/>
        <v>0</v>
      </c>
      <c r="I173" s="1">
        <f t="shared" si="62"/>
        <v>0</v>
      </c>
      <c r="J173" s="1">
        <f t="shared" si="63"/>
        <v>1</v>
      </c>
      <c r="K173" s="1">
        <f t="shared" si="64"/>
        <v>0</v>
      </c>
      <c r="L173" s="1" t="str">
        <f t="shared" si="69"/>
        <v>紧货币紧信用</v>
      </c>
      <c r="O173" s="51">
        <v>40908</v>
      </c>
      <c r="P173" s="60">
        <v>5.4768695652173909</v>
      </c>
      <c r="R173" s="14">
        <v>42400</v>
      </c>
      <c r="S173" s="15">
        <v>34758</v>
      </c>
      <c r="T173" s="55">
        <f t="shared" si="57"/>
        <v>850</v>
      </c>
      <c r="U173" s="63">
        <f t="shared" si="58"/>
        <v>35608</v>
      </c>
      <c r="V173" s="63">
        <f t="shared" si="65"/>
        <v>216590.3351</v>
      </c>
      <c r="W173" s="64">
        <f t="shared" si="59"/>
        <v>702511.5</v>
      </c>
      <c r="X173" s="65">
        <f t="shared" si="66"/>
        <v>30.830859722581057</v>
      </c>
      <c r="Y173" s="64"/>
      <c r="Z173" s="70">
        <v>39691</v>
      </c>
      <c r="AA173" s="68">
        <v>91.5</v>
      </c>
      <c r="AB173" s="68"/>
      <c r="AC173" s="68"/>
      <c r="AD173" s="55"/>
      <c r="AG173" s="16"/>
      <c r="AH173" s="17"/>
      <c r="AI173" s="17"/>
      <c r="AJ173" s="17"/>
      <c r="AK173" s="17"/>
      <c r="AL173" s="17"/>
      <c r="AM173" s="17"/>
      <c r="AN173" s="17"/>
      <c r="AO173" s="17"/>
    </row>
    <row r="174" spans="1:41" x14ac:dyDescent="0.3">
      <c r="A174" s="8">
        <f t="shared" si="60"/>
        <v>40847</v>
      </c>
      <c r="B174" s="9">
        <f t="shared" si="67"/>
        <v>5.6384222222222222</v>
      </c>
      <c r="C174" s="9">
        <f t="shared" si="68"/>
        <v>28.173546865719722</v>
      </c>
      <c r="D174" s="7">
        <f t="shared" si="52"/>
        <v>0</v>
      </c>
      <c r="E174" s="7">
        <f t="shared" si="53"/>
        <v>1</v>
      </c>
      <c r="F174" s="7">
        <f t="shared" si="54"/>
        <v>1</v>
      </c>
      <c r="G174" s="7">
        <f t="shared" si="55"/>
        <v>0</v>
      </c>
      <c r="H174" s="1">
        <f t="shared" si="61"/>
        <v>0</v>
      </c>
      <c r="I174" s="1">
        <f t="shared" si="62"/>
        <v>0</v>
      </c>
      <c r="J174" s="1">
        <f t="shared" si="63"/>
        <v>1</v>
      </c>
      <c r="K174" s="1">
        <f t="shared" si="64"/>
        <v>0</v>
      </c>
      <c r="L174" s="1" t="str">
        <f t="shared" si="69"/>
        <v>紧货币紧信用</v>
      </c>
      <c r="O174" s="51">
        <v>40877</v>
      </c>
      <c r="P174" s="60">
        <v>5.6804727272727273</v>
      </c>
      <c r="R174" s="14">
        <v>42429</v>
      </c>
      <c r="S174" s="15">
        <v>8312</v>
      </c>
      <c r="T174" s="55">
        <f t="shared" si="57"/>
        <v>298.51</v>
      </c>
      <c r="U174" s="63">
        <f t="shared" si="58"/>
        <v>8610.51</v>
      </c>
      <c r="V174" s="63">
        <f t="shared" si="65"/>
        <v>212081.54509999999</v>
      </c>
      <c r="W174" s="64">
        <f t="shared" si="59"/>
        <v>702511.5</v>
      </c>
      <c r="X174" s="65">
        <f t="shared" si="66"/>
        <v>30.189049588512074</v>
      </c>
      <c r="Y174" s="64"/>
      <c r="Z174" s="70">
        <v>39660</v>
      </c>
      <c r="AA174" s="68">
        <v>245.9</v>
      </c>
      <c r="AB174" s="68"/>
      <c r="AC174" s="68"/>
      <c r="AD174" s="55"/>
      <c r="AG174" s="16"/>
      <c r="AH174" s="17"/>
      <c r="AI174" s="17"/>
      <c r="AJ174" s="17"/>
      <c r="AK174" s="17"/>
      <c r="AL174" s="17"/>
      <c r="AM174" s="17"/>
      <c r="AN174" s="17"/>
      <c r="AO174" s="17"/>
    </row>
    <row r="175" spans="1:41" x14ac:dyDescent="0.3">
      <c r="A175" s="8">
        <f t="shared" si="60"/>
        <v>40816</v>
      </c>
      <c r="B175" s="9">
        <f t="shared" si="67"/>
        <v>5.6253714285714294</v>
      </c>
      <c r="C175" s="9">
        <f t="shared" si="68"/>
        <v>28.40508823499804</v>
      </c>
      <c r="D175" s="7">
        <f t="shared" si="52"/>
        <v>0</v>
      </c>
      <c r="E175" s="7">
        <f t="shared" si="53"/>
        <v>1</v>
      </c>
      <c r="F175" s="7">
        <f t="shared" si="54"/>
        <v>1</v>
      </c>
      <c r="G175" s="7">
        <f t="shared" si="55"/>
        <v>0</v>
      </c>
      <c r="H175" s="1">
        <f t="shared" si="61"/>
        <v>0</v>
      </c>
      <c r="I175" s="1">
        <f t="shared" si="62"/>
        <v>0</v>
      </c>
      <c r="J175" s="1">
        <f t="shared" si="63"/>
        <v>1</v>
      </c>
      <c r="K175" s="1">
        <f t="shared" si="64"/>
        <v>0</v>
      </c>
      <c r="L175" s="1" t="str">
        <f t="shared" si="69"/>
        <v>紧货币紧信用</v>
      </c>
      <c r="O175" s="51">
        <v>40847</v>
      </c>
      <c r="P175" s="60">
        <v>5.6384222222222222</v>
      </c>
      <c r="R175" s="14">
        <v>42460</v>
      </c>
      <c r="S175" s="15">
        <v>23931</v>
      </c>
      <c r="T175" s="55">
        <f t="shared" si="57"/>
        <v>8335.3223999999991</v>
      </c>
      <c r="U175" s="63">
        <f t="shared" si="58"/>
        <v>32266.322399999997</v>
      </c>
      <c r="V175" s="63">
        <f t="shared" si="65"/>
        <v>231464.86749999999</v>
      </c>
      <c r="W175" s="64">
        <f t="shared" si="59"/>
        <v>714075.4</v>
      </c>
      <c r="X175" s="65">
        <f t="shared" si="66"/>
        <v>32.414625612365306</v>
      </c>
      <c r="Y175" s="64"/>
      <c r="Z175" s="70">
        <v>39629</v>
      </c>
      <c r="AA175" s="68">
        <v>-13.9</v>
      </c>
      <c r="AB175" s="68"/>
      <c r="AC175" s="68"/>
      <c r="AD175" s="55"/>
      <c r="AG175" s="16"/>
      <c r="AH175" s="17"/>
      <c r="AI175" s="17"/>
      <c r="AJ175" s="17"/>
      <c r="AK175" s="17"/>
      <c r="AL175" s="17"/>
      <c r="AM175" s="17"/>
      <c r="AN175" s="17"/>
      <c r="AO175" s="17"/>
    </row>
    <row r="176" spans="1:41" x14ac:dyDescent="0.3">
      <c r="A176" s="8">
        <f t="shared" si="60"/>
        <v>40786</v>
      </c>
      <c r="B176" s="9">
        <f t="shared" si="67"/>
        <v>5.5837826086956523</v>
      </c>
      <c r="C176" s="9">
        <f t="shared" si="68"/>
        <v>31.321132159044314</v>
      </c>
      <c r="D176" s="7">
        <f t="shared" si="52"/>
        <v>0</v>
      </c>
      <c r="E176" s="7">
        <f t="shared" si="53"/>
        <v>1</v>
      </c>
      <c r="F176" s="7">
        <f t="shared" si="54"/>
        <v>0</v>
      </c>
      <c r="G176" s="7">
        <f t="shared" si="55"/>
        <v>1</v>
      </c>
      <c r="H176" s="1">
        <f t="shared" si="61"/>
        <v>1</v>
      </c>
      <c r="I176" s="1">
        <f t="shared" si="62"/>
        <v>0</v>
      </c>
      <c r="J176" s="1">
        <f t="shared" si="63"/>
        <v>0</v>
      </c>
      <c r="K176" s="1">
        <f t="shared" si="64"/>
        <v>0</v>
      </c>
      <c r="L176" s="1" t="str">
        <f t="shared" si="69"/>
        <v>宽货币紧信用</v>
      </c>
      <c r="O176" s="51">
        <v>40816</v>
      </c>
      <c r="P176" s="60">
        <v>5.6253714285714294</v>
      </c>
      <c r="R176" s="14">
        <v>42490</v>
      </c>
      <c r="S176" s="15">
        <v>7809</v>
      </c>
      <c r="T176" s="55">
        <f t="shared" si="57"/>
        <v>12207.2652</v>
      </c>
      <c r="U176" s="63">
        <f t="shared" si="58"/>
        <v>20016.265200000002</v>
      </c>
      <c r="V176" s="63">
        <f t="shared" si="65"/>
        <v>240073.63269999999</v>
      </c>
      <c r="W176" s="64">
        <f t="shared" si="59"/>
        <v>714075.4</v>
      </c>
      <c r="X176" s="65">
        <f t="shared" si="66"/>
        <v>33.620207711958706</v>
      </c>
      <c r="Y176" s="64"/>
      <c r="Z176" s="70">
        <v>39599</v>
      </c>
      <c r="AA176" s="68">
        <v>724.71</v>
      </c>
      <c r="AB176" s="68"/>
      <c r="AC176" s="68"/>
      <c r="AD176" s="55"/>
      <c r="AG176" s="16"/>
      <c r="AH176" s="17"/>
      <c r="AI176" s="17"/>
      <c r="AJ176" s="17"/>
      <c r="AK176" s="17"/>
      <c r="AL176" s="17"/>
      <c r="AM176" s="17"/>
      <c r="AN176" s="17"/>
      <c r="AO176" s="17"/>
    </row>
    <row r="177" spans="1:41" x14ac:dyDescent="0.3">
      <c r="A177" s="8">
        <f t="shared" si="60"/>
        <v>40755</v>
      </c>
      <c r="B177" s="9">
        <f t="shared" si="67"/>
        <v>6.1268476190476209</v>
      </c>
      <c r="C177" s="9">
        <f t="shared" si="68"/>
        <v>31.359921850502904</v>
      </c>
      <c r="D177" s="7">
        <f t="shared" si="52"/>
        <v>1</v>
      </c>
      <c r="E177" s="7">
        <f t="shared" si="53"/>
        <v>0</v>
      </c>
      <c r="F177" s="7">
        <f t="shared" si="54"/>
        <v>1</v>
      </c>
      <c r="G177" s="7">
        <f t="shared" si="55"/>
        <v>0</v>
      </c>
      <c r="H177" s="1">
        <f t="shared" si="61"/>
        <v>0</v>
      </c>
      <c r="I177" s="1">
        <f t="shared" si="62"/>
        <v>0</v>
      </c>
      <c r="J177" s="1">
        <f t="shared" si="63"/>
        <v>0</v>
      </c>
      <c r="K177" s="1">
        <f t="shared" si="64"/>
        <v>1</v>
      </c>
      <c r="L177" s="1" t="str">
        <f t="shared" si="69"/>
        <v>紧货币宽信用</v>
      </c>
      <c r="O177" s="51">
        <v>40786</v>
      </c>
      <c r="P177" s="60">
        <v>5.5837826086956523</v>
      </c>
      <c r="R177" s="14">
        <v>42521</v>
      </c>
      <c r="S177" s="15">
        <v>6770</v>
      </c>
      <c r="T177" s="55">
        <f t="shared" si="57"/>
        <v>7373.4480999999996</v>
      </c>
      <c r="U177" s="63">
        <f t="shared" si="58"/>
        <v>14143.4481</v>
      </c>
      <c r="V177" s="63">
        <f t="shared" si="65"/>
        <v>239245.5808</v>
      </c>
      <c r="W177" s="64">
        <f t="shared" si="59"/>
        <v>714075.4</v>
      </c>
      <c r="X177" s="65">
        <f t="shared" si="66"/>
        <v>33.504246302281246</v>
      </c>
      <c r="Y177" s="64"/>
      <c r="Z177" s="70">
        <v>39568</v>
      </c>
      <c r="AA177" s="68">
        <v>-134.30000000000001</v>
      </c>
      <c r="AB177" s="68"/>
      <c r="AC177" s="68"/>
      <c r="AD177" s="55"/>
      <c r="AG177" s="16"/>
      <c r="AH177" s="17"/>
      <c r="AI177" s="17"/>
      <c r="AJ177" s="17"/>
      <c r="AK177" s="17"/>
      <c r="AL177" s="17"/>
      <c r="AM177" s="17"/>
      <c r="AN177" s="17"/>
      <c r="AO177" s="17"/>
    </row>
    <row r="178" spans="1:41" x14ac:dyDescent="0.3">
      <c r="A178" s="8"/>
      <c r="B178" s="9"/>
      <c r="C178" s="9"/>
      <c r="O178" s="51">
        <v>40755</v>
      </c>
      <c r="P178" s="60">
        <v>6.1268476190476209</v>
      </c>
      <c r="R178" s="14">
        <v>42551</v>
      </c>
      <c r="S178" s="15">
        <v>16479</v>
      </c>
      <c r="T178" s="55">
        <f t="shared" si="57"/>
        <v>11467.079299999999</v>
      </c>
      <c r="U178" s="63">
        <f t="shared" si="58"/>
        <v>27946.079299999998</v>
      </c>
      <c r="V178" s="63">
        <f t="shared" si="65"/>
        <v>240586.50030000001</v>
      </c>
      <c r="W178" s="64">
        <f t="shared" si="59"/>
        <v>727190.6</v>
      </c>
      <c r="X178" s="65">
        <f t="shared" si="66"/>
        <v>33.08437984484398</v>
      </c>
      <c r="Y178" s="64"/>
      <c r="Z178" s="70">
        <v>39538</v>
      </c>
      <c r="AA178" s="68">
        <v>-225.6</v>
      </c>
      <c r="AB178" s="68"/>
      <c r="AC178" s="68"/>
      <c r="AD178" s="55"/>
      <c r="AG178" s="16"/>
      <c r="AH178" s="17"/>
      <c r="AI178" s="17"/>
      <c r="AJ178" s="17"/>
      <c r="AK178" s="17"/>
      <c r="AL178" s="17"/>
      <c r="AM178" s="17"/>
      <c r="AN178" s="17"/>
      <c r="AO178" s="17"/>
    </row>
    <row r="179" spans="1:41" x14ac:dyDescent="0.3">
      <c r="A179" s="8"/>
      <c r="B179" s="9"/>
      <c r="C179" s="9"/>
      <c r="O179" s="51">
        <v>40724</v>
      </c>
      <c r="P179" s="60">
        <v>5.4796714285714287</v>
      </c>
      <c r="R179" s="14">
        <v>42582</v>
      </c>
      <c r="S179" s="15">
        <v>4791</v>
      </c>
      <c r="T179" s="55">
        <f t="shared" si="57"/>
        <v>5177.6318000000001</v>
      </c>
      <c r="U179" s="63">
        <f t="shared" si="58"/>
        <v>9968.6317999999992</v>
      </c>
      <c r="V179" s="63">
        <f t="shared" si="65"/>
        <v>236400.61850000001</v>
      </c>
      <c r="W179" s="64">
        <f t="shared" si="59"/>
        <v>727190.6</v>
      </c>
      <c r="X179" s="65">
        <f t="shared" si="66"/>
        <v>32.508756095032034</v>
      </c>
      <c r="Y179" s="64"/>
      <c r="Z179" s="70">
        <v>39507</v>
      </c>
      <c r="AA179" s="68">
        <v>269.7</v>
      </c>
      <c r="AB179" s="68"/>
      <c r="AC179" s="68"/>
      <c r="AD179" s="55"/>
      <c r="AG179" s="16"/>
      <c r="AH179" s="17"/>
      <c r="AI179" s="17"/>
      <c r="AJ179" s="17"/>
      <c r="AK179" s="17"/>
      <c r="AL179" s="17"/>
      <c r="AM179" s="17"/>
      <c r="AN179" s="17"/>
      <c r="AO179" s="17"/>
    </row>
    <row r="180" spans="1:41" x14ac:dyDescent="0.3">
      <c r="A180" s="8"/>
      <c r="B180" s="9"/>
      <c r="C180" s="9"/>
      <c r="O180" s="51">
        <v>40694</v>
      </c>
      <c r="P180" s="60">
        <v>4.5537476190476189</v>
      </c>
      <c r="R180" s="14">
        <v>42613</v>
      </c>
      <c r="S180" s="15">
        <v>14605</v>
      </c>
      <c r="T180" s="55">
        <f t="shared" si="57"/>
        <v>8939.2855</v>
      </c>
      <c r="U180" s="63">
        <f t="shared" si="58"/>
        <v>23544.285499999998</v>
      </c>
      <c r="V180" s="63">
        <f t="shared" si="65"/>
        <v>243479.80789999999</v>
      </c>
      <c r="W180" s="64">
        <f t="shared" si="59"/>
        <v>727190.6</v>
      </c>
      <c r="X180" s="65">
        <f t="shared" si="66"/>
        <v>33.482254569847299</v>
      </c>
      <c r="Y180" s="64"/>
      <c r="Z180" s="70">
        <v>39478</v>
      </c>
      <c r="AA180" s="68">
        <v>-280</v>
      </c>
      <c r="AB180" s="68"/>
      <c r="AC180" s="68"/>
      <c r="AD180" s="55"/>
      <c r="AG180" s="16"/>
      <c r="AH180" s="17"/>
      <c r="AI180" s="17"/>
      <c r="AJ180" s="17"/>
      <c r="AK180" s="17"/>
      <c r="AL180" s="17"/>
      <c r="AM180" s="17"/>
      <c r="AN180" s="17"/>
      <c r="AO180" s="17"/>
    </row>
    <row r="181" spans="1:41" x14ac:dyDescent="0.3">
      <c r="A181" s="8"/>
      <c r="B181" s="9"/>
      <c r="C181" s="9"/>
      <c r="O181" s="51">
        <v>40663</v>
      </c>
      <c r="P181" s="60">
        <v>4.3248899999999999</v>
      </c>
      <c r="R181" s="14">
        <v>42643</v>
      </c>
      <c r="S181" s="15">
        <v>17115</v>
      </c>
      <c r="T181" s="55">
        <f t="shared" si="57"/>
        <v>4548.1902</v>
      </c>
      <c r="U181" s="63">
        <f t="shared" si="58"/>
        <v>21663.190200000001</v>
      </c>
      <c r="V181" s="63">
        <f t="shared" si="65"/>
        <v>244995.57379999998</v>
      </c>
      <c r="W181" s="64">
        <f t="shared" si="59"/>
        <v>741909.4</v>
      </c>
      <c r="X181" s="65">
        <f t="shared" si="66"/>
        <v>33.022303504983221</v>
      </c>
      <c r="Y181" s="64"/>
      <c r="Z181" s="70">
        <v>39447</v>
      </c>
      <c r="AA181" s="68">
        <v>7757.28</v>
      </c>
      <c r="AB181" s="68"/>
      <c r="AC181" s="68"/>
      <c r="AD181" s="55"/>
      <c r="AG181" s="16"/>
      <c r="AH181" s="17"/>
      <c r="AI181" s="17"/>
      <c r="AJ181" s="17"/>
      <c r="AK181" s="17"/>
      <c r="AL181" s="17"/>
      <c r="AM181" s="17"/>
      <c r="AN181" s="17"/>
      <c r="AO181" s="17"/>
    </row>
    <row r="182" spans="1:41" x14ac:dyDescent="0.3">
      <c r="A182" s="8"/>
      <c r="B182" s="9"/>
      <c r="C182" s="9"/>
      <c r="O182" s="51">
        <v>40633</v>
      </c>
      <c r="P182" s="60">
        <v>4.3012695652173907</v>
      </c>
      <c r="R182" s="14">
        <v>42674</v>
      </c>
      <c r="S182" s="15">
        <v>8865</v>
      </c>
      <c r="T182" s="55">
        <f t="shared" si="57"/>
        <v>5030.3035</v>
      </c>
      <c r="U182" s="63">
        <f t="shared" si="58"/>
        <v>13895.3035</v>
      </c>
      <c r="V182" s="63">
        <f t="shared" si="65"/>
        <v>247379.97090000001</v>
      </c>
      <c r="W182" s="64">
        <f t="shared" si="59"/>
        <v>741909.4</v>
      </c>
      <c r="X182" s="65">
        <f t="shared" si="66"/>
        <v>33.343690065121159</v>
      </c>
      <c r="Y182" s="64"/>
      <c r="Z182" s="70">
        <v>39416</v>
      </c>
      <c r="AA182" s="68">
        <v>760</v>
      </c>
      <c r="AB182" s="68"/>
      <c r="AC182" s="68"/>
      <c r="AD182" s="55"/>
      <c r="AG182" s="16"/>
      <c r="AH182" s="17"/>
      <c r="AI182" s="17"/>
      <c r="AJ182" s="17"/>
      <c r="AK182" s="17"/>
      <c r="AL182" s="17"/>
      <c r="AM182" s="17"/>
      <c r="AN182" s="17"/>
      <c r="AO182" s="17"/>
    </row>
    <row r="183" spans="1:41" x14ac:dyDescent="0.3">
      <c r="A183" s="8"/>
      <c r="B183" s="9"/>
      <c r="C183" s="9"/>
      <c r="O183" s="51">
        <v>40602</v>
      </c>
      <c r="P183" s="60">
        <v>5.07309375</v>
      </c>
      <c r="R183" s="14">
        <v>42704</v>
      </c>
      <c r="S183" s="15">
        <v>18328</v>
      </c>
      <c r="T183" s="55">
        <f t="shared" si="57"/>
        <v>5163.2214999999997</v>
      </c>
      <c r="U183" s="63">
        <f t="shared" si="58"/>
        <v>23491.2215</v>
      </c>
      <c r="V183" s="63">
        <f t="shared" si="65"/>
        <v>251215.95540000004</v>
      </c>
      <c r="W183" s="64">
        <f t="shared" si="59"/>
        <v>741909.4</v>
      </c>
      <c r="X183" s="65">
        <f t="shared" si="66"/>
        <v>33.860732240351723</v>
      </c>
      <c r="Y183" s="64"/>
      <c r="Z183" s="70">
        <v>39386</v>
      </c>
      <c r="AA183" s="68">
        <v>211.8</v>
      </c>
      <c r="AB183" s="68"/>
      <c r="AC183" s="68"/>
      <c r="AD183" s="55"/>
      <c r="AG183" s="16"/>
      <c r="AH183" s="17"/>
      <c r="AI183" s="17"/>
      <c r="AJ183" s="17"/>
      <c r="AK183" s="17"/>
      <c r="AL183" s="17"/>
      <c r="AM183" s="17"/>
      <c r="AN183" s="17"/>
      <c r="AO183" s="17"/>
    </row>
    <row r="184" spans="1:41" x14ac:dyDescent="0.3">
      <c r="A184" s="8"/>
      <c r="B184" s="9"/>
      <c r="C184" s="9"/>
      <c r="O184" s="51">
        <v>40574</v>
      </c>
      <c r="P184" s="60">
        <v>4.748966666666667</v>
      </c>
      <c r="R184" s="14">
        <v>42735</v>
      </c>
      <c r="S184" s="15">
        <v>16397</v>
      </c>
      <c r="T184" s="55">
        <f t="shared" si="57"/>
        <v>1781.6063999999999</v>
      </c>
      <c r="U184" s="63">
        <f t="shared" si="58"/>
        <v>18178.606400000001</v>
      </c>
      <c r="V184" s="63">
        <f t="shared" si="65"/>
        <v>249331.8639</v>
      </c>
      <c r="W184" s="64">
        <f t="shared" si="59"/>
        <v>761192.9</v>
      </c>
      <c r="X184" s="65">
        <f t="shared" si="66"/>
        <v>32.755411131659265</v>
      </c>
      <c r="Y184" s="64"/>
      <c r="Z184" s="70">
        <v>39355</v>
      </c>
      <c r="AA184" s="68">
        <v>857.7</v>
      </c>
      <c r="AB184" s="68"/>
      <c r="AC184" s="68"/>
      <c r="AD184" s="55"/>
      <c r="AG184" s="16"/>
      <c r="AH184" s="17"/>
      <c r="AI184" s="17"/>
      <c r="AJ184" s="17"/>
      <c r="AK184" s="17"/>
      <c r="AL184" s="17"/>
      <c r="AM184" s="17"/>
      <c r="AN184" s="17"/>
      <c r="AO184" s="17"/>
    </row>
    <row r="185" spans="1:41" x14ac:dyDescent="0.3">
      <c r="A185" s="8"/>
      <c r="B185" s="9"/>
      <c r="C185" s="9"/>
      <c r="O185" s="51">
        <v>40543</v>
      </c>
      <c r="P185" s="60">
        <v>3.903069565217391</v>
      </c>
      <c r="R185" s="14">
        <v>42766</v>
      </c>
      <c r="S185" s="15">
        <v>37720.076978999998</v>
      </c>
      <c r="T185" s="55">
        <f t="shared" si="57"/>
        <v>753.2</v>
      </c>
      <c r="U185" s="63">
        <f t="shared" ref="U185:U248" si="70">S185</f>
        <v>37720.076978999998</v>
      </c>
      <c r="V185" s="63">
        <f t="shared" si="65"/>
        <v>251443.940879</v>
      </c>
      <c r="W185" s="64">
        <f t="shared" si="59"/>
        <v>761192.9</v>
      </c>
      <c r="X185" s="65">
        <f t="shared" si="66"/>
        <v>33.032880479967694</v>
      </c>
      <c r="Y185" s="64"/>
      <c r="Z185" s="70">
        <v>39325</v>
      </c>
      <c r="AA185" s="68">
        <v>6321.4</v>
      </c>
      <c r="AB185" s="68"/>
      <c r="AC185" s="68"/>
      <c r="AD185" s="55"/>
      <c r="AG185" s="16"/>
      <c r="AH185" s="17"/>
      <c r="AI185" s="17"/>
      <c r="AJ185" s="17"/>
      <c r="AK185" s="17"/>
      <c r="AL185" s="17"/>
      <c r="AM185" s="17"/>
      <c r="AN185" s="17"/>
      <c r="AO185" s="17"/>
    </row>
    <row r="186" spans="1:41" x14ac:dyDescent="0.3">
      <c r="A186" s="8"/>
      <c r="B186" s="9"/>
      <c r="C186" s="9"/>
      <c r="O186" s="51">
        <v>40512</v>
      </c>
      <c r="P186" s="60">
        <v>2.933740909090909</v>
      </c>
      <c r="R186" s="14">
        <v>42794</v>
      </c>
      <c r="S186" s="15">
        <v>11055.322109000001</v>
      </c>
      <c r="T186" s="55">
        <f t="shared" si="57"/>
        <v>-176.88</v>
      </c>
      <c r="U186" s="63">
        <f t="shared" si="70"/>
        <v>11055.322109000001</v>
      </c>
      <c r="V186" s="63">
        <f t="shared" si="65"/>
        <v>253888.75298799999</v>
      </c>
      <c r="W186" s="64">
        <f t="shared" si="59"/>
        <v>761192.9</v>
      </c>
      <c r="X186" s="65">
        <f t="shared" si="66"/>
        <v>33.354062155335399</v>
      </c>
      <c r="Y186" s="64"/>
      <c r="Z186" s="70">
        <v>39294</v>
      </c>
      <c r="AA186" s="68">
        <v>-187</v>
      </c>
      <c r="AB186" s="68"/>
      <c r="AC186" s="68"/>
      <c r="AD186" s="55"/>
      <c r="AG186" s="16"/>
      <c r="AH186" s="17"/>
      <c r="AI186" s="17"/>
      <c r="AJ186" s="17"/>
      <c r="AK186" s="17"/>
      <c r="AL186" s="17"/>
      <c r="AM186" s="17"/>
      <c r="AN186" s="17"/>
      <c r="AO186" s="17"/>
    </row>
    <row r="187" spans="1:41" x14ac:dyDescent="0.3">
      <c r="A187" s="8"/>
      <c r="B187" s="9"/>
      <c r="C187" s="9"/>
      <c r="O187" s="51">
        <v>40482</v>
      </c>
      <c r="P187" s="60">
        <v>2.712194117647059</v>
      </c>
      <c r="R187" s="14">
        <v>42825</v>
      </c>
      <c r="S187" s="15">
        <v>25471.639557999999</v>
      </c>
      <c r="T187" s="55">
        <f t="shared" si="57"/>
        <v>4072.0340999999999</v>
      </c>
      <c r="U187" s="63">
        <f t="shared" si="70"/>
        <v>25471.639557999999</v>
      </c>
      <c r="V187" s="63">
        <f t="shared" si="65"/>
        <v>247094.07014599998</v>
      </c>
      <c r="W187" s="64">
        <f t="shared" si="59"/>
        <v>780732</v>
      </c>
      <c r="X187" s="65">
        <f t="shared" si="66"/>
        <v>31.649025548587733</v>
      </c>
      <c r="Y187" s="64"/>
      <c r="Z187" s="70">
        <v>39263</v>
      </c>
      <c r="AA187" s="68">
        <v>660.46</v>
      </c>
      <c r="AB187" s="68"/>
      <c r="AC187" s="68"/>
      <c r="AD187" s="55"/>
      <c r="AG187" s="16"/>
      <c r="AH187" s="17"/>
      <c r="AI187" s="17"/>
      <c r="AJ187" s="17"/>
      <c r="AK187" s="17"/>
      <c r="AL187" s="17"/>
      <c r="AM187" s="17"/>
      <c r="AN187" s="17"/>
      <c r="AO187" s="17"/>
    </row>
    <row r="188" spans="1:41" x14ac:dyDescent="0.3">
      <c r="A188" s="8"/>
      <c r="B188" s="9"/>
      <c r="C188" s="9"/>
      <c r="O188" s="51">
        <v>40451</v>
      </c>
      <c r="P188" s="60">
        <v>2.5587499999999999</v>
      </c>
      <c r="R188" s="14">
        <v>42855</v>
      </c>
      <c r="S188" s="15">
        <v>19558.923770000001</v>
      </c>
      <c r="T188" s="55">
        <f t="shared" si="57"/>
        <v>5006.3154000000004</v>
      </c>
      <c r="U188" s="63">
        <f t="shared" si="70"/>
        <v>19558.923770000001</v>
      </c>
      <c r="V188" s="63">
        <f t="shared" si="65"/>
        <v>246636.72871599995</v>
      </c>
      <c r="W188" s="64">
        <f t="shared" si="59"/>
        <v>780732</v>
      </c>
      <c r="X188" s="65">
        <f t="shared" si="66"/>
        <v>31.590447005630608</v>
      </c>
      <c r="Y188" s="64"/>
      <c r="Z188" s="70">
        <v>39233</v>
      </c>
      <c r="AA188" s="68">
        <v>937.8</v>
      </c>
      <c r="AB188" s="68"/>
      <c r="AC188" s="68"/>
      <c r="AD188" s="55"/>
      <c r="AG188" s="16"/>
      <c r="AH188" s="17"/>
      <c r="AI188" s="17"/>
      <c r="AJ188" s="17"/>
      <c r="AK188" s="17"/>
      <c r="AL188" s="17"/>
      <c r="AM188" s="17"/>
      <c r="AN188" s="17"/>
      <c r="AO188" s="17"/>
    </row>
    <row r="189" spans="1:41" x14ac:dyDescent="0.3">
      <c r="A189" s="8"/>
      <c r="B189" s="9"/>
      <c r="C189" s="9"/>
      <c r="O189" s="51">
        <v>40421</v>
      </c>
      <c r="P189" s="60">
        <v>2.4666681818181821</v>
      </c>
      <c r="R189" s="14">
        <v>42886</v>
      </c>
      <c r="S189" s="15">
        <v>17811.732937000001</v>
      </c>
      <c r="T189" s="55">
        <f t="shared" si="57"/>
        <v>6536.9443000000001</v>
      </c>
      <c r="U189" s="63">
        <f t="shared" si="70"/>
        <v>17811.732937000001</v>
      </c>
      <c r="V189" s="63">
        <f t="shared" si="65"/>
        <v>250305.01355299997</v>
      </c>
      <c r="W189" s="64">
        <f t="shared" si="59"/>
        <v>780732</v>
      </c>
      <c r="X189" s="65">
        <f t="shared" si="66"/>
        <v>32.060298995429925</v>
      </c>
      <c r="Y189" s="64"/>
      <c r="Z189" s="70">
        <v>39202</v>
      </c>
      <c r="AA189" s="68">
        <v>-291.60000000000002</v>
      </c>
      <c r="AB189" s="68"/>
      <c r="AC189" s="68"/>
      <c r="AD189" s="55"/>
      <c r="AG189" s="16"/>
      <c r="AH189" s="17"/>
      <c r="AI189" s="17"/>
      <c r="AJ189" s="17"/>
      <c r="AK189" s="17"/>
      <c r="AL189" s="17"/>
      <c r="AM189" s="17"/>
      <c r="AN189" s="17"/>
      <c r="AO189" s="17"/>
    </row>
    <row r="190" spans="1:41" x14ac:dyDescent="0.3">
      <c r="A190" s="8"/>
      <c r="B190" s="9"/>
      <c r="C190" s="9"/>
      <c r="O190" s="51">
        <v>40390</v>
      </c>
      <c r="P190" s="60">
        <v>2.5596409090909091</v>
      </c>
      <c r="R190" s="14">
        <v>42916</v>
      </c>
      <c r="S190" s="15">
        <v>25885.910952999999</v>
      </c>
      <c r="T190" s="55">
        <f t="shared" si="57"/>
        <v>6580.5209999999997</v>
      </c>
      <c r="U190" s="63">
        <f t="shared" si="70"/>
        <v>25885.910952999999</v>
      </c>
      <c r="V190" s="63">
        <f t="shared" si="65"/>
        <v>248244.84520599997</v>
      </c>
      <c r="W190" s="64">
        <f t="shared" si="59"/>
        <v>801395.4</v>
      </c>
      <c r="X190" s="65">
        <f t="shared" si="66"/>
        <v>30.976574760224473</v>
      </c>
      <c r="Y190" s="64"/>
      <c r="Z190" s="70">
        <v>39172</v>
      </c>
      <c r="AA190" s="68">
        <v>105</v>
      </c>
      <c r="AB190" s="68"/>
      <c r="AC190" s="68"/>
      <c r="AD190" s="55"/>
      <c r="AG190" s="16"/>
      <c r="AH190" s="17"/>
      <c r="AI190" s="17"/>
      <c r="AJ190" s="17"/>
      <c r="AK190" s="17"/>
      <c r="AL190" s="17"/>
      <c r="AM190" s="17"/>
      <c r="AN190" s="17"/>
      <c r="AO190" s="17"/>
    </row>
    <row r="191" spans="1:41" x14ac:dyDescent="0.3">
      <c r="A191" s="8"/>
      <c r="B191" s="9"/>
      <c r="C191" s="9"/>
      <c r="O191" s="51">
        <v>40359</v>
      </c>
      <c r="P191" s="60">
        <v>2.40397619047619</v>
      </c>
      <c r="R191" s="14">
        <v>42947</v>
      </c>
      <c r="S191" s="15">
        <v>21188.106567999999</v>
      </c>
      <c r="T191" s="55">
        <f t="shared" si="57"/>
        <v>9455.4158000000007</v>
      </c>
      <c r="U191" s="63">
        <f t="shared" si="70"/>
        <v>21188.106567999999</v>
      </c>
      <c r="V191" s="63">
        <f t="shared" si="65"/>
        <v>259464.31997399998</v>
      </c>
      <c r="W191" s="64">
        <f t="shared" si="59"/>
        <v>801395.4</v>
      </c>
      <c r="X191" s="65">
        <f t="shared" si="66"/>
        <v>32.376567169464657</v>
      </c>
      <c r="Y191" s="64"/>
      <c r="Z191" s="70">
        <v>39141</v>
      </c>
      <c r="AA191" s="68">
        <v>100</v>
      </c>
      <c r="AB191" s="68"/>
      <c r="AC191" s="68"/>
      <c r="AD191" s="55"/>
      <c r="AG191" s="16"/>
      <c r="AH191" s="17"/>
      <c r="AI191" s="17"/>
      <c r="AJ191" s="17"/>
      <c r="AK191" s="17"/>
      <c r="AL191" s="17"/>
      <c r="AM191" s="17"/>
      <c r="AN191" s="17"/>
      <c r="AO191" s="17"/>
    </row>
    <row r="192" spans="1:41" x14ac:dyDescent="0.3">
      <c r="A192" s="8"/>
      <c r="B192" s="9"/>
      <c r="C192" s="9"/>
      <c r="O192" s="51">
        <v>40329</v>
      </c>
      <c r="P192" s="60">
        <v>1.97719</v>
      </c>
      <c r="R192" s="14">
        <v>42978</v>
      </c>
      <c r="S192" s="15">
        <v>20485.507710000002</v>
      </c>
      <c r="T192" s="55">
        <f t="shared" si="57"/>
        <v>4849.2963</v>
      </c>
      <c r="U192" s="63">
        <f t="shared" si="70"/>
        <v>20485.507710000002</v>
      </c>
      <c r="V192" s="63">
        <f t="shared" si="65"/>
        <v>256405.54218399999</v>
      </c>
      <c r="W192" s="64">
        <f t="shared" si="59"/>
        <v>801395.4</v>
      </c>
      <c r="X192" s="65">
        <f t="shared" si="66"/>
        <v>31.994885693628888</v>
      </c>
      <c r="Y192" s="64"/>
      <c r="Z192" s="70">
        <v>39113</v>
      </c>
      <c r="AA192" s="68">
        <v>-300</v>
      </c>
      <c r="AB192" s="68"/>
      <c r="AC192" s="68"/>
      <c r="AD192" s="55"/>
      <c r="AG192" s="16"/>
      <c r="AH192" s="17"/>
      <c r="AI192" s="17"/>
      <c r="AJ192" s="17"/>
      <c r="AK192" s="17"/>
      <c r="AL192" s="17"/>
      <c r="AM192" s="17"/>
      <c r="AN192" s="17"/>
      <c r="AO192" s="17"/>
    </row>
    <row r="193" spans="1:41" x14ac:dyDescent="0.3">
      <c r="A193" s="8"/>
      <c r="B193" s="9"/>
      <c r="C193" s="9"/>
      <c r="O193" s="51">
        <v>40298</v>
      </c>
      <c r="P193" s="60">
        <v>1.939414285714286</v>
      </c>
      <c r="R193" s="14">
        <v>43008</v>
      </c>
      <c r="S193" s="15">
        <v>25438.606938000001</v>
      </c>
      <c r="T193" s="55">
        <f t="shared" si="57"/>
        <v>4908.3056999999999</v>
      </c>
      <c r="U193" s="63">
        <f t="shared" si="70"/>
        <v>25438.606938000001</v>
      </c>
      <c r="V193" s="63">
        <f t="shared" si="65"/>
        <v>260180.95892199999</v>
      </c>
      <c r="W193" s="64">
        <f t="shared" si="59"/>
        <v>823313.2</v>
      </c>
      <c r="X193" s="65">
        <f t="shared" si="66"/>
        <v>31.601698955148539</v>
      </c>
      <c r="Y193" s="64"/>
      <c r="Z193" s="70">
        <v>39082</v>
      </c>
      <c r="AA193" s="68">
        <v>-296.60000000000002</v>
      </c>
      <c r="AB193" s="68"/>
      <c r="AC193" s="68"/>
      <c r="AD193" s="55"/>
      <c r="AG193" s="16"/>
      <c r="AH193" s="17"/>
      <c r="AI193" s="17"/>
      <c r="AJ193" s="17"/>
      <c r="AK193" s="17"/>
      <c r="AL193" s="17"/>
      <c r="AM193" s="17"/>
      <c r="AN193" s="17"/>
      <c r="AO193" s="17"/>
    </row>
    <row r="194" spans="1:41" x14ac:dyDescent="0.3">
      <c r="A194" s="8"/>
      <c r="B194" s="9"/>
      <c r="C194" s="9"/>
      <c r="O194" s="51">
        <v>40268</v>
      </c>
      <c r="P194" s="60">
        <v>1.9426826086956519</v>
      </c>
      <c r="R194" s="14">
        <v>43039</v>
      </c>
      <c r="S194" s="15">
        <v>15861.15144</v>
      </c>
      <c r="T194" s="55">
        <f t="shared" si="57"/>
        <v>5891.9395000000004</v>
      </c>
      <c r="U194" s="63">
        <f t="shared" si="70"/>
        <v>15861.15144</v>
      </c>
      <c r="V194" s="63">
        <f t="shared" si="65"/>
        <v>262146.80686200003</v>
      </c>
      <c r="W194" s="64">
        <f t="shared" si="59"/>
        <v>823313.2</v>
      </c>
      <c r="X194" s="65">
        <f t="shared" si="66"/>
        <v>31.840471750240372</v>
      </c>
      <c r="Y194" s="64"/>
      <c r="Z194" s="70">
        <v>39051</v>
      </c>
      <c r="AA194" s="68">
        <v>435.9</v>
      </c>
      <c r="AB194" s="68"/>
      <c r="AC194" s="68"/>
      <c r="AD194" s="55"/>
      <c r="AG194" s="16"/>
      <c r="AH194" s="17"/>
      <c r="AI194" s="17"/>
      <c r="AJ194" s="17"/>
      <c r="AK194" s="17"/>
      <c r="AL194" s="17"/>
      <c r="AM194" s="17"/>
      <c r="AN194" s="17"/>
      <c r="AO194" s="17"/>
    </row>
    <row r="195" spans="1:41" x14ac:dyDescent="0.3">
      <c r="A195" s="8"/>
      <c r="B195" s="9"/>
      <c r="C195" s="9"/>
      <c r="O195" s="51">
        <v>40237</v>
      </c>
      <c r="P195" s="60">
        <v>1.9234588235294121</v>
      </c>
      <c r="R195" s="14">
        <v>43069</v>
      </c>
      <c r="S195" s="15">
        <v>22955.981253999998</v>
      </c>
      <c r="T195" s="55">
        <f t="shared" si="57"/>
        <v>6015.1720999999998</v>
      </c>
      <c r="U195" s="63">
        <f t="shared" si="70"/>
        <v>22955.981253999998</v>
      </c>
      <c r="V195" s="63">
        <f t="shared" si="65"/>
        <v>261611.56661599997</v>
      </c>
      <c r="W195" s="64">
        <f t="shared" si="59"/>
        <v>823313.2</v>
      </c>
      <c r="X195" s="65">
        <f t="shared" si="66"/>
        <v>31.775461223748142</v>
      </c>
      <c r="Y195" s="64"/>
      <c r="Z195" s="70">
        <v>39021</v>
      </c>
      <c r="AA195" s="68">
        <v>860.6</v>
      </c>
      <c r="AB195" s="68"/>
      <c r="AC195" s="68"/>
      <c r="AD195" s="55"/>
      <c r="AG195" s="16"/>
      <c r="AH195" s="17"/>
      <c r="AI195" s="17"/>
      <c r="AJ195" s="17"/>
      <c r="AK195" s="17"/>
      <c r="AL195" s="17"/>
      <c r="AM195" s="17"/>
      <c r="AN195" s="17"/>
      <c r="AO195" s="17"/>
    </row>
    <row r="196" spans="1:41" x14ac:dyDescent="0.3">
      <c r="A196" s="8"/>
      <c r="B196" s="9"/>
      <c r="C196" s="9"/>
      <c r="O196" s="51">
        <v>40209</v>
      </c>
      <c r="P196" s="60">
        <v>1.864325</v>
      </c>
      <c r="R196" s="14">
        <v>43100</v>
      </c>
      <c r="S196" s="15">
        <v>18102.882549999998</v>
      </c>
      <c r="T196" s="55">
        <f t="shared" si="57"/>
        <v>2008.51</v>
      </c>
      <c r="U196" s="63">
        <f t="shared" si="70"/>
        <v>18102.882549999998</v>
      </c>
      <c r="V196" s="63">
        <f t="shared" si="65"/>
        <v>261535.84276599999</v>
      </c>
      <c r="W196" s="64">
        <f t="shared" si="59"/>
        <v>847382.9</v>
      </c>
      <c r="X196" s="65">
        <f t="shared" si="66"/>
        <v>30.863950967856439</v>
      </c>
      <c r="Y196" s="64"/>
      <c r="Z196" s="70">
        <v>38990</v>
      </c>
      <c r="AA196" s="68">
        <v>74.399999999999906</v>
      </c>
      <c r="AB196" s="68"/>
      <c r="AC196" s="68"/>
      <c r="AD196" s="55"/>
      <c r="AG196" s="16"/>
      <c r="AH196" s="17"/>
      <c r="AI196" s="17"/>
      <c r="AJ196" s="17"/>
      <c r="AK196" s="17"/>
      <c r="AL196" s="17"/>
      <c r="AM196" s="17"/>
      <c r="AN196" s="17"/>
      <c r="AO196" s="17"/>
    </row>
    <row r="197" spans="1:41" x14ac:dyDescent="0.3">
      <c r="A197" s="8"/>
      <c r="B197" s="9"/>
      <c r="C197" s="9"/>
      <c r="O197" s="51">
        <v>40178</v>
      </c>
      <c r="P197" s="60">
        <v>1.8191043478260871</v>
      </c>
      <c r="R197" s="14">
        <v>43131</v>
      </c>
      <c r="S197" s="15">
        <v>31417.220554</v>
      </c>
      <c r="T197" s="55">
        <f t="shared" ref="T197:T260" si="71">VLOOKUP(R197,Z:AA,2,0)</f>
        <v>244.3</v>
      </c>
      <c r="U197" s="63">
        <f t="shared" si="70"/>
        <v>31417.220554</v>
      </c>
      <c r="V197" s="63">
        <f t="shared" si="65"/>
        <v>255232.98634099998</v>
      </c>
      <c r="W197" s="64">
        <f t="shared" ref="W197:W260" si="72">VLOOKUP(R197,AC:AD,2,1)</f>
        <v>847382.9</v>
      </c>
      <c r="X197" s="65">
        <f t="shared" si="66"/>
        <v>30.120148322676794</v>
      </c>
      <c r="Y197" s="64"/>
      <c r="Z197" s="70">
        <v>38960</v>
      </c>
      <c r="AA197" s="68">
        <v>551.07000000000005</v>
      </c>
      <c r="AB197" s="68"/>
      <c r="AC197" s="68"/>
      <c r="AD197" s="55"/>
      <c r="AG197" s="16"/>
      <c r="AH197" s="17"/>
      <c r="AI197" s="17"/>
      <c r="AJ197" s="17"/>
      <c r="AK197" s="17"/>
      <c r="AL197" s="17"/>
      <c r="AM197" s="17"/>
      <c r="AN197" s="17"/>
      <c r="AO197" s="17"/>
    </row>
    <row r="198" spans="1:41" x14ac:dyDescent="0.3">
      <c r="A198" s="8"/>
      <c r="B198" s="9"/>
      <c r="C198" s="9"/>
      <c r="O198" s="51">
        <v>40147</v>
      </c>
      <c r="P198" s="60">
        <v>1.798480952380952</v>
      </c>
      <c r="R198" s="14">
        <v>43159</v>
      </c>
      <c r="S198" s="15">
        <v>12064.387925000001</v>
      </c>
      <c r="T198" s="55">
        <f t="shared" si="71"/>
        <v>65.610200000000106</v>
      </c>
      <c r="U198" s="63">
        <f t="shared" si="70"/>
        <v>12064.387925000001</v>
      </c>
      <c r="V198" s="63">
        <f t="shared" si="65"/>
        <v>256242.05215699997</v>
      </c>
      <c r="W198" s="64">
        <f t="shared" si="72"/>
        <v>847382.9</v>
      </c>
      <c r="X198" s="65">
        <f t="shared" si="66"/>
        <v>30.239228589224538</v>
      </c>
      <c r="Y198" s="64"/>
      <c r="Z198" s="70">
        <v>38929</v>
      </c>
      <c r="AA198" s="68">
        <v>569.79999999999995</v>
      </c>
      <c r="AB198" s="68"/>
      <c r="AC198" s="68"/>
      <c r="AD198" s="55"/>
      <c r="AG198" s="16"/>
      <c r="AH198" s="17"/>
      <c r="AI198" s="17"/>
      <c r="AJ198" s="17"/>
      <c r="AK198" s="17"/>
      <c r="AL198" s="17"/>
      <c r="AM198" s="17"/>
      <c r="AN198" s="17"/>
      <c r="AO198" s="17"/>
    </row>
    <row r="199" spans="1:41" x14ac:dyDescent="0.3">
      <c r="A199" s="8"/>
      <c r="B199" s="9"/>
      <c r="C199" s="9"/>
      <c r="O199" s="51">
        <v>40117</v>
      </c>
      <c r="P199" s="60">
        <v>1.7794647058823529</v>
      </c>
      <c r="R199" s="14">
        <v>43190</v>
      </c>
      <c r="S199" s="15">
        <v>17091.476698999999</v>
      </c>
      <c r="T199" s="55">
        <f t="shared" si="71"/>
        <v>1622.9275</v>
      </c>
      <c r="U199" s="63">
        <f t="shared" si="70"/>
        <v>17091.476698999999</v>
      </c>
      <c r="V199" s="63">
        <f t="shared" si="65"/>
        <v>247861.88929799999</v>
      </c>
      <c r="W199" s="64">
        <f t="shared" si="72"/>
        <v>867843.8</v>
      </c>
      <c r="X199" s="65">
        <f t="shared" si="66"/>
        <v>28.560656802295526</v>
      </c>
      <c r="Y199" s="64"/>
      <c r="Z199" s="70">
        <v>38898</v>
      </c>
      <c r="AA199" s="68">
        <v>-891.8</v>
      </c>
      <c r="AB199" s="68"/>
      <c r="AC199" s="68"/>
      <c r="AD199" s="55"/>
      <c r="AG199" s="16"/>
      <c r="AH199" s="17"/>
      <c r="AI199" s="17"/>
      <c r="AJ199" s="17"/>
      <c r="AK199" s="17"/>
      <c r="AL199" s="17"/>
      <c r="AM199" s="17"/>
      <c r="AN199" s="17"/>
      <c r="AO199" s="17"/>
    </row>
    <row r="200" spans="1:41" x14ac:dyDescent="0.3">
      <c r="O200" s="51">
        <v>40086</v>
      </c>
      <c r="P200" s="60">
        <v>1.7516826086956521</v>
      </c>
      <c r="R200" s="14">
        <v>43220</v>
      </c>
      <c r="S200" s="15">
        <v>22242.940548999999</v>
      </c>
      <c r="T200" s="55">
        <f t="shared" si="71"/>
        <v>5278.3784999999998</v>
      </c>
      <c r="U200" s="63">
        <f t="shared" si="70"/>
        <v>22242.940548999999</v>
      </c>
      <c r="V200" s="63">
        <f t="shared" si="65"/>
        <v>250545.90607699999</v>
      </c>
      <c r="W200" s="64">
        <f t="shared" si="72"/>
        <v>867843.8</v>
      </c>
      <c r="X200" s="65">
        <f t="shared" si="66"/>
        <v>28.869930980321573</v>
      </c>
      <c r="Y200" s="64"/>
      <c r="Z200" s="70">
        <v>38868</v>
      </c>
      <c r="AA200" s="68">
        <v>463.6</v>
      </c>
      <c r="AB200" s="68"/>
      <c r="AC200" s="68"/>
      <c r="AD200" s="55"/>
      <c r="AG200" s="16"/>
      <c r="AH200" s="17"/>
      <c r="AI200" s="17"/>
      <c r="AJ200" s="17"/>
      <c r="AK200" s="17"/>
      <c r="AL200" s="17"/>
      <c r="AM200" s="17"/>
      <c r="AN200" s="17"/>
      <c r="AO200" s="17"/>
    </row>
    <row r="201" spans="1:41" x14ac:dyDescent="0.3">
      <c r="O201" s="51">
        <v>40056</v>
      </c>
      <c r="P201" s="60">
        <v>1.724261904761905</v>
      </c>
      <c r="R201" s="14">
        <v>43251</v>
      </c>
      <c r="S201" s="15">
        <v>11233.624451</v>
      </c>
      <c r="T201" s="55">
        <f t="shared" si="71"/>
        <v>3095.7674999999999</v>
      </c>
      <c r="U201" s="63">
        <f t="shared" si="70"/>
        <v>11233.624451</v>
      </c>
      <c r="V201" s="63">
        <f t="shared" si="65"/>
        <v>243967.79759100001</v>
      </c>
      <c r="W201" s="64">
        <f t="shared" si="72"/>
        <v>867843.8</v>
      </c>
      <c r="X201" s="65">
        <f t="shared" si="66"/>
        <v>28.111947978541764</v>
      </c>
      <c r="Y201" s="64"/>
      <c r="Z201" s="70">
        <v>38837</v>
      </c>
      <c r="AA201" s="68">
        <v>259.60000000000002</v>
      </c>
      <c r="AB201" s="68"/>
      <c r="AC201" s="68"/>
      <c r="AD201" s="55"/>
      <c r="AG201" s="16"/>
      <c r="AH201" s="17"/>
      <c r="AI201" s="17"/>
      <c r="AJ201" s="17"/>
      <c r="AK201" s="17"/>
      <c r="AL201" s="17"/>
      <c r="AM201" s="17"/>
      <c r="AN201" s="17"/>
      <c r="AO201" s="17"/>
    </row>
    <row r="202" spans="1:41" x14ac:dyDescent="0.3">
      <c r="O202" s="51">
        <v>40025</v>
      </c>
      <c r="P202" s="60">
        <v>1.479569565217391</v>
      </c>
      <c r="R202" s="14">
        <v>43281</v>
      </c>
      <c r="S202" s="15">
        <v>20372.964614</v>
      </c>
      <c r="T202" s="55">
        <f t="shared" si="71"/>
        <v>5718.9377000000004</v>
      </c>
      <c r="U202" s="63">
        <f t="shared" si="70"/>
        <v>20372.964614</v>
      </c>
      <c r="V202" s="63">
        <f t="shared" si="65"/>
        <v>238454.85125199996</v>
      </c>
      <c r="W202" s="64">
        <f t="shared" si="72"/>
        <v>890220.6</v>
      </c>
      <c r="X202" s="65">
        <f t="shared" si="66"/>
        <v>26.78604058948984</v>
      </c>
      <c r="Y202" s="64"/>
      <c r="Z202" s="70">
        <v>38807</v>
      </c>
      <c r="AA202" s="68">
        <v>439</v>
      </c>
      <c r="AB202" s="68"/>
      <c r="AC202" s="68"/>
      <c r="AD202" s="55"/>
      <c r="AG202" s="16"/>
      <c r="AH202" s="17"/>
      <c r="AI202" s="17"/>
      <c r="AJ202" s="17"/>
      <c r="AK202" s="17"/>
      <c r="AL202" s="17"/>
      <c r="AM202" s="17"/>
      <c r="AN202" s="17"/>
      <c r="AO202" s="17"/>
    </row>
    <row r="203" spans="1:41" x14ac:dyDescent="0.3">
      <c r="O203" s="51">
        <v>39994</v>
      </c>
      <c r="P203" s="60">
        <v>1.250990909090909</v>
      </c>
      <c r="R203" s="14">
        <v>43312</v>
      </c>
      <c r="S203" s="15">
        <v>18381.941956999999</v>
      </c>
      <c r="T203" s="55">
        <f t="shared" si="71"/>
        <v>8503.4125999999997</v>
      </c>
      <c r="U203" s="63">
        <f t="shared" si="70"/>
        <v>18381.941956999999</v>
      </c>
      <c r="V203" s="63">
        <f t="shared" si="65"/>
        <v>235648.68664099998</v>
      </c>
      <c r="W203" s="64">
        <f t="shared" si="72"/>
        <v>890220.6</v>
      </c>
      <c r="X203" s="65">
        <f t="shared" si="66"/>
        <v>26.470819327366719</v>
      </c>
      <c r="Y203" s="64"/>
      <c r="Z203" s="70">
        <v>38776</v>
      </c>
      <c r="AA203" s="68">
        <v>-150</v>
      </c>
      <c r="AB203" s="68"/>
      <c r="AC203" s="68"/>
      <c r="AD203" s="55"/>
      <c r="AG203" s="16"/>
      <c r="AH203" s="17"/>
      <c r="AI203" s="17"/>
      <c r="AJ203" s="17"/>
      <c r="AK203" s="17"/>
      <c r="AL203" s="17"/>
      <c r="AM203" s="17"/>
      <c r="AN203" s="17"/>
      <c r="AO203" s="17"/>
    </row>
    <row r="204" spans="1:41" x14ac:dyDescent="0.3">
      <c r="O204" s="51">
        <v>39964</v>
      </c>
      <c r="P204" s="60">
        <v>1.211326315789474</v>
      </c>
      <c r="R204" s="14">
        <v>43343</v>
      </c>
      <c r="S204" s="15">
        <v>24078.248887999998</v>
      </c>
      <c r="T204" s="55">
        <f t="shared" si="71"/>
        <v>9265.4159</v>
      </c>
      <c r="U204" s="63">
        <f t="shared" si="70"/>
        <v>24078.248887999998</v>
      </c>
      <c r="V204" s="63">
        <f t="shared" si="65"/>
        <v>239241.427819</v>
      </c>
      <c r="W204" s="64">
        <f t="shared" si="72"/>
        <v>890220.6</v>
      </c>
      <c r="X204" s="65">
        <f t="shared" si="66"/>
        <v>26.874398078296551</v>
      </c>
      <c r="Y204" s="64"/>
      <c r="Z204" s="70">
        <v>38748</v>
      </c>
      <c r="AA204" s="68">
        <v>0</v>
      </c>
      <c r="AB204" s="68"/>
      <c r="AC204" s="68"/>
      <c r="AD204" s="55"/>
      <c r="AG204" s="16"/>
      <c r="AH204" s="17"/>
      <c r="AI204" s="17"/>
      <c r="AJ204" s="17"/>
      <c r="AK204" s="17"/>
      <c r="AL204" s="17"/>
      <c r="AM204" s="17"/>
      <c r="AN204" s="17"/>
      <c r="AO204" s="17"/>
    </row>
    <row r="205" spans="1:41" x14ac:dyDescent="0.3">
      <c r="O205" s="51">
        <v>39933</v>
      </c>
      <c r="P205" s="60">
        <v>1.214852380952381</v>
      </c>
      <c r="R205" s="14">
        <v>43373</v>
      </c>
      <c r="S205" s="15">
        <v>23061.250118</v>
      </c>
      <c r="T205" s="55">
        <f t="shared" si="71"/>
        <v>7601.7070000000103</v>
      </c>
      <c r="U205" s="63">
        <f t="shared" si="70"/>
        <v>23061.250118</v>
      </c>
      <c r="V205" s="63">
        <f t="shared" si="65"/>
        <v>236864.07099899999</v>
      </c>
      <c r="W205" s="64">
        <f t="shared" si="72"/>
        <v>912262.1</v>
      </c>
      <c r="X205" s="65">
        <f t="shared" si="66"/>
        <v>25.964475669766397</v>
      </c>
      <c r="Y205" s="64"/>
      <c r="Z205" s="70">
        <v>38717</v>
      </c>
      <c r="AA205" s="68">
        <v>654.9</v>
      </c>
      <c r="AB205" s="68"/>
      <c r="AC205" s="68"/>
      <c r="AD205" s="55"/>
      <c r="AG205" s="16"/>
      <c r="AH205" s="17"/>
      <c r="AI205" s="17"/>
      <c r="AJ205" s="17"/>
      <c r="AK205" s="17"/>
      <c r="AL205" s="17"/>
      <c r="AM205" s="17"/>
      <c r="AN205" s="17"/>
      <c r="AO205" s="17"/>
    </row>
    <row r="206" spans="1:41" x14ac:dyDescent="0.3">
      <c r="O206" s="51">
        <v>39903</v>
      </c>
      <c r="P206" s="60">
        <v>1.2493818181818179</v>
      </c>
      <c r="R206" s="14">
        <v>43404</v>
      </c>
      <c r="S206" s="15">
        <v>9537.8029869999991</v>
      </c>
      <c r="T206" s="55">
        <f t="shared" si="71"/>
        <v>3227.7746999999999</v>
      </c>
      <c r="U206" s="63">
        <f t="shared" si="70"/>
        <v>9537.8029869999991</v>
      </c>
      <c r="V206" s="63">
        <f t="shared" si="65"/>
        <v>230540.722546</v>
      </c>
      <c r="W206" s="64">
        <f t="shared" si="72"/>
        <v>912262.1</v>
      </c>
      <c r="X206" s="65">
        <f t="shared" si="66"/>
        <v>25.27132526343032</v>
      </c>
      <c r="Y206" s="64"/>
      <c r="Z206" s="70">
        <v>38686</v>
      </c>
      <c r="AA206" s="68">
        <v>-57.5</v>
      </c>
      <c r="AB206" s="68"/>
      <c r="AC206" s="68"/>
      <c r="AD206" s="55"/>
      <c r="AG206" s="16"/>
      <c r="AH206" s="17"/>
      <c r="AI206" s="17"/>
      <c r="AJ206" s="17"/>
      <c r="AK206" s="17"/>
      <c r="AL206" s="17"/>
      <c r="AM206" s="17"/>
      <c r="AN206" s="17"/>
      <c r="AO206" s="17"/>
    </row>
    <row r="207" spans="1:41" x14ac:dyDescent="0.3">
      <c r="O207" s="51">
        <v>39872</v>
      </c>
      <c r="P207" s="60">
        <v>1.3069571428571429</v>
      </c>
      <c r="R207" s="14">
        <v>43434</v>
      </c>
      <c r="S207" s="15">
        <v>16127.165255</v>
      </c>
      <c r="T207" s="55">
        <f t="shared" si="71"/>
        <v>-374.49220000000003</v>
      </c>
      <c r="U207" s="63">
        <f t="shared" si="70"/>
        <v>16127.165255</v>
      </c>
      <c r="V207" s="63">
        <f t="shared" si="65"/>
        <v>223711.90654699999</v>
      </c>
      <c r="W207" s="64">
        <f t="shared" si="72"/>
        <v>912262.1</v>
      </c>
      <c r="X207" s="65">
        <f t="shared" si="66"/>
        <v>24.522766707835391</v>
      </c>
      <c r="Y207" s="64"/>
      <c r="Z207" s="70">
        <v>38656</v>
      </c>
      <c r="AA207" s="68">
        <v>731.5</v>
      </c>
      <c r="AB207" s="68"/>
      <c r="AC207" s="68"/>
      <c r="AD207" s="55"/>
      <c r="AG207" s="16"/>
      <c r="AH207" s="17"/>
      <c r="AI207" s="17"/>
      <c r="AJ207" s="17"/>
      <c r="AK207" s="17"/>
      <c r="AL207" s="17"/>
      <c r="AM207" s="17"/>
      <c r="AN207" s="17"/>
      <c r="AO207" s="17"/>
    </row>
    <row r="208" spans="1:41" x14ac:dyDescent="0.3">
      <c r="O208" s="51">
        <v>39844</v>
      </c>
      <c r="P208" s="60">
        <v>1.5122352941176469</v>
      </c>
      <c r="R208" s="14">
        <v>43465</v>
      </c>
      <c r="S208" s="15">
        <v>19311.174083000002</v>
      </c>
      <c r="T208" s="55">
        <f t="shared" si="71"/>
        <v>3475.4594000000002</v>
      </c>
      <c r="U208" s="63">
        <f t="shared" si="70"/>
        <v>19311.174083000002</v>
      </c>
      <c r="V208" s="63">
        <f t="shared" ref="V208:V271" si="73">SUM(U197:U208)</f>
        <v>224920.19807999997</v>
      </c>
      <c r="W208" s="64">
        <f t="shared" si="72"/>
        <v>936010.1</v>
      </c>
      <c r="X208" s="65">
        <f t="shared" ref="X208:X271" si="74">V208/W208*100</f>
        <v>24.029676397722628</v>
      </c>
      <c r="Y208" s="64"/>
      <c r="Z208" s="70">
        <v>38625</v>
      </c>
      <c r="AA208" s="68">
        <v>-379.3</v>
      </c>
      <c r="AB208" s="68"/>
      <c r="AC208" s="68"/>
      <c r="AD208" s="55"/>
      <c r="AG208" s="16"/>
      <c r="AH208" s="17"/>
      <c r="AI208" s="17"/>
      <c r="AJ208" s="17"/>
      <c r="AK208" s="17"/>
      <c r="AL208" s="17"/>
      <c r="AM208" s="17"/>
      <c r="AN208" s="17"/>
      <c r="AO208" s="17"/>
    </row>
    <row r="209" spans="15:41" x14ac:dyDescent="0.3">
      <c r="O209" s="51">
        <v>39813</v>
      </c>
      <c r="P209" s="60">
        <v>2.2940217391304349</v>
      </c>
      <c r="R209" s="14">
        <v>43496</v>
      </c>
      <c r="S209" s="15">
        <v>46791.139268999999</v>
      </c>
      <c r="T209" s="55">
        <f t="shared" si="71"/>
        <v>4349.6643000000004</v>
      </c>
      <c r="U209" s="63">
        <f t="shared" si="70"/>
        <v>46791.139268999999</v>
      </c>
      <c r="V209" s="63">
        <f t="shared" si="73"/>
        <v>240294.11679500001</v>
      </c>
      <c r="W209" s="64">
        <f t="shared" si="72"/>
        <v>936010.1</v>
      </c>
      <c r="X209" s="65">
        <f t="shared" si="74"/>
        <v>25.672171357445823</v>
      </c>
      <c r="Y209" s="64"/>
      <c r="Z209" s="70">
        <v>38595</v>
      </c>
      <c r="AA209" s="68">
        <v>943.9</v>
      </c>
      <c r="AB209" s="68"/>
      <c r="AC209" s="68"/>
      <c r="AD209" s="55"/>
      <c r="AG209" s="16"/>
      <c r="AH209" s="17"/>
      <c r="AI209" s="17"/>
      <c r="AJ209" s="17"/>
      <c r="AK209" s="17"/>
      <c r="AL209" s="17"/>
      <c r="AM209" s="17"/>
      <c r="AN209" s="17"/>
      <c r="AO209" s="17"/>
    </row>
    <row r="210" spans="15:41" x14ac:dyDescent="0.3">
      <c r="O210" s="51">
        <v>39782</v>
      </c>
      <c r="P210" s="60">
        <v>3.6940849999999998</v>
      </c>
      <c r="R210" s="14">
        <v>43524</v>
      </c>
      <c r="S210" s="15">
        <v>9665.1266849999993</v>
      </c>
      <c r="T210" s="55">
        <f t="shared" si="71"/>
        <v>3688.4276</v>
      </c>
      <c r="U210" s="63">
        <f t="shared" si="70"/>
        <v>9665.1266849999993</v>
      </c>
      <c r="V210" s="63">
        <f t="shared" si="73"/>
        <v>237894.85555499999</v>
      </c>
      <c r="W210" s="64">
        <f t="shared" si="72"/>
        <v>936010.1</v>
      </c>
      <c r="X210" s="65">
        <f t="shared" si="74"/>
        <v>25.415842794324551</v>
      </c>
      <c r="Y210" s="64"/>
      <c r="Z210" s="70">
        <v>38564</v>
      </c>
      <c r="AA210" s="68">
        <v>200.8</v>
      </c>
      <c r="AB210" s="68"/>
      <c r="AC210" s="68"/>
      <c r="AD210" s="55"/>
      <c r="AG210" s="16"/>
      <c r="AH210" s="17"/>
      <c r="AI210" s="17"/>
      <c r="AJ210" s="17"/>
      <c r="AK210" s="17"/>
      <c r="AL210" s="17"/>
      <c r="AM210" s="17"/>
      <c r="AN210" s="17"/>
      <c r="AO210" s="17"/>
    </row>
    <row r="211" spans="15:41" x14ac:dyDescent="0.3">
      <c r="O211" s="51">
        <v>39752</v>
      </c>
      <c r="P211" s="60">
        <v>4.2092999999999998</v>
      </c>
      <c r="R211" s="14">
        <v>43555</v>
      </c>
      <c r="S211" s="15">
        <v>29602.336533999998</v>
      </c>
      <c r="T211" s="55">
        <f t="shared" si="71"/>
        <v>4342.0387000000001</v>
      </c>
      <c r="U211" s="63">
        <f t="shared" si="70"/>
        <v>29602.336533999998</v>
      </c>
      <c r="V211" s="63">
        <f t="shared" si="73"/>
        <v>250405.71539</v>
      </c>
      <c r="W211" s="64">
        <f t="shared" si="72"/>
        <v>951728.7</v>
      </c>
      <c r="X211" s="65">
        <f t="shared" si="74"/>
        <v>26.310619338263102</v>
      </c>
      <c r="Y211" s="64"/>
      <c r="Z211" s="70">
        <v>38533</v>
      </c>
      <c r="AA211" s="68">
        <v>-106.2</v>
      </c>
      <c r="AB211" s="68"/>
      <c r="AC211" s="68"/>
      <c r="AD211" s="55"/>
      <c r="AG211" s="16"/>
      <c r="AH211" s="17"/>
      <c r="AI211" s="17"/>
      <c r="AJ211" s="17"/>
      <c r="AK211" s="17"/>
      <c r="AL211" s="17"/>
      <c r="AM211" s="17"/>
      <c r="AN211" s="17"/>
      <c r="AO211" s="17"/>
    </row>
    <row r="212" spans="15:41" x14ac:dyDescent="0.3">
      <c r="O212" s="51">
        <v>39721</v>
      </c>
      <c r="P212" s="60">
        <v>4.3091904761904756</v>
      </c>
      <c r="R212" s="14">
        <v>43585</v>
      </c>
      <c r="S212" s="15">
        <v>16709.538168999999</v>
      </c>
      <c r="T212" s="55">
        <f t="shared" si="71"/>
        <v>2429.415</v>
      </c>
      <c r="U212" s="63">
        <f t="shared" si="70"/>
        <v>16709.538168999999</v>
      </c>
      <c r="V212" s="63">
        <f t="shared" si="73"/>
        <v>244872.31301000001</v>
      </c>
      <c r="W212" s="64">
        <f t="shared" si="72"/>
        <v>951728.7</v>
      </c>
      <c r="X212" s="65">
        <f t="shared" si="74"/>
        <v>25.729213904130454</v>
      </c>
      <c r="Y212" s="64"/>
      <c r="Z212" s="70">
        <v>38503</v>
      </c>
      <c r="AA212" s="68">
        <v>573.5</v>
      </c>
      <c r="AB212" s="68"/>
      <c r="AC212" s="68"/>
      <c r="AD212" s="55"/>
      <c r="AG212" s="16"/>
      <c r="AH212" s="17"/>
      <c r="AI212" s="17"/>
      <c r="AJ212" s="17"/>
      <c r="AK212" s="17"/>
      <c r="AL212" s="17"/>
      <c r="AM212" s="17"/>
      <c r="AN212" s="17"/>
      <c r="AO212" s="17"/>
    </row>
    <row r="213" spans="15:41" x14ac:dyDescent="0.3">
      <c r="O213" s="51">
        <v>39691</v>
      </c>
      <c r="P213" s="60">
        <v>4.3253380952380951</v>
      </c>
      <c r="R213" s="14">
        <v>43616</v>
      </c>
      <c r="S213" s="15">
        <v>17123.729277999999</v>
      </c>
      <c r="T213" s="55">
        <f t="shared" si="71"/>
        <v>4533.8326999999999</v>
      </c>
      <c r="U213" s="63">
        <f t="shared" si="70"/>
        <v>17123.729277999999</v>
      </c>
      <c r="V213" s="63">
        <f t="shared" si="73"/>
        <v>250762.41783699999</v>
      </c>
      <c r="W213" s="64">
        <f t="shared" si="72"/>
        <v>951728.7</v>
      </c>
      <c r="X213" s="65">
        <f t="shared" si="74"/>
        <v>26.348098763544698</v>
      </c>
      <c r="Y213" s="64"/>
      <c r="Z213" s="70">
        <v>38472</v>
      </c>
      <c r="AA213" s="68">
        <v>683.9</v>
      </c>
      <c r="AB213" s="68"/>
      <c r="AC213" s="68"/>
      <c r="AD213" s="55"/>
      <c r="AG213" s="16"/>
      <c r="AH213" s="17"/>
      <c r="AI213" s="17"/>
      <c r="AJ213" s="17"/>
      <c r="AK213" s="17"/>
      <c r="AL213" s="17"/>
      <c r="AM213" s="17"/>
      <c r="AN213" s="17"/>
      <c r="AO213" s="17"/>
    </row>
    <row r="214" spans="15:41" x14ac:dyDescent="0.3">
      <c r="O214" s="51">
        <v>39660</v>
      </c>
      <c r="P214" s="60">
        <v>4.4172521739130426</v>
      </c>
      <c r="R214" s="14">
        <v>43646</v>
      </c>
      <c r="S214" s="15">
        <v>26243.302006000002</v>
      </c>
      <c r="T214" s="55">
        <f t="shared" si="71"/>
        <v>7881.3980999999903</v>
      </c>
      <c r="U214" s="63">
        <f t="shared" si="70"/>
        <v>26243.302006000002</v>
      </c>
      <c r="V214" s="63">
        <f t="shared" si="73"/>
        <v>256632.755229</v>
      </c>
      <c r="W214" s="64">
        <f t="shared" si="72"/>
        <v>969880.2</v>
      </c>
      <c r="X214" s="65">
        <f t="shared" si="74"/>
        <v>26.460253052799722</v>
      </c>
      <c r="Y214" s="64"/>
      <c r="Z214" s="70">
        <v>38442</v>
      </c>
      <c r="AA214" s="68">
        <v>-201.6</v>
      </c>
      <c r="AB214" s="68"/>
      <c r="AC214" s="68"/>
      <c r="AD214" s="55"/>
      <c r="AG214" s="16"/>
      <c r="AH214" s="17"/>
      <c r="AI214" s="17"/>
      <c r="AJ214" s="17"/>
      <c r="AK214" s="17"/>
      <c r="AL214" s="17"/>
      <c r="AM214" s="17"/>
      <c r="AN214" s="17"/>
      <c r="AO214" s="17"/>
    </row>
    <row r="215" spans="15:41" x14ac:dyDescent="0.3">
      <c r="O215" s="51">
        <v>39629</v>
      </c>
      <c r="P215" s="60">
        <v>4.4781849999999999</v>
      </c>
      <c r="R215" s="14">
        <v>43677</v>
      </c>
      <c r="S215" s="15">
        <v>12872.110273</v>
      </c>
      <c r="T215" s="55">
        <f t="shared" si="71"/>
        <v>5311.6426000000101</v>
      </c>
      <c r="U215" s="63">
        <f t="shared" si="70"/>
        <v>12872.110273</v>
      </c>
      <c r="V215" s="63">
        <f t="shared" si="73"/>
        <v>251122.923545</v>
      </c>
      <c r="W215" s="64">
        <f t="shared" si="72"/>
        <v>969880.2</v>
      </c>
      <c r="X215" s="65">
        <f t="shared" si="74"/>
        <v>25.892159005308081</v>
      </c>
      <c r="Y215" s="64"/>
      <c r="Z215" s="70">
        <v>38411</v>
      </c>
      <c r="AA215" s="68">
        <v>46.8</v>
      </c>
      <c r="AB215" s="68"/>
      <c r="AC215" s="68"/>
      <c r="AD215" s="55"/>
      <c r="AG215" s="16"/>
      <c r="AH215" s="17"/>
      <c r="AI215" s="17"/>
      <c r="AJ215" s="17"/>
      <c r="AK215" s="17"/>
      <c r="AL215" s="17"/>
      <c r="AM215" s="17"/>
      <c r="AN215" s="17"/>
      <c r="AO215" s="17"/>
    </row>
    <row r="216" spans="15:41" x14ac:dyDescent="0.3">
      <c r="O216" s="51">
        <v>39599</v>
      </c>
      <c r="P216" s="60">
        <v>4.4919190476190476</v>
      </c>
      <c r="R216" s="14">
        <v>43708</v>
      </c>
      <c r="S216" s="15">
        <v>21955.765013</v>
      </c>
      <c r="T216" s="55">
        <f t="shared" si="71"/>
        <v>5851.5141000000003</v>
      </c>
      <c r="U216" s="63">
        <f t="shared" si="70"/>
        <v>21955.765013</v>
      </c>
      <c r="V216" s="63">
        <f t="shared" si="73"/>
        <v>249000.43967000002</v>
      </c>
      <c r="W216" s="64">
        <f t="shared" si="72"/>
        <v>969880.2</v>
      </c>
      <c r="X216" s="65">
        <f t="shared" si="74"/>
        <v>25.673319206846372</v>
      </c>
      <c r="Y216" s="64"/>
      <c r="Z216" s="70">
        <v>38383</v>
      </c>
      <c r="AA216" s="68">
        <v>0</v>
      </c>
      <c r="AB216" s="68"/>
      <c r="AC216" s="68"/>
      <c r="AD216" s="55"/>
      <c r="AG216" s="16"/>
      <c r="AH216" s="17"/>
      <c r="AI216" s="17"/>
      <c r="AJ216" s="17"/>
      <c r="AK216" s="17"/>
      <c r="AL216" s="17"/>
      <c r="AM216" s="17"/>
      <c r="AN216" s="17"/>
      <c r="AO216" s="17"/>
    </row>
    <row r="217" spans="15:41" x14ac:dyDescent="0.3">
      <c r="O217" s="51">
        <v>39568</v>
      </c>
      <c r="P217" s="60">
        <v>4.4941571428571434</v>
      </c>
      <c r="R217" s="14">
        <v>43738</v>
      </c>
      <c r="S217" s="15">
        <v>25142.210456000001</v>
      </c>
      <c r="T217" s="55">
        <f t="shared" si="71"/>
        <v>2396.8715000000002</v>
      </c>
      <c r="U217" s="63">
        <f t="shared" si="70"/>
        <v>25142.210456000001</v>
      </c>
      <c r="V217" s="63">
        <f t="shared" si="73"/>
        <v>251081.400008</v>
      </c>
      <c r="W217" s="64">
        <f t="shared" si="72"/>
        <v>987106.6</v>
      </c>
      <c r="X217" s="65">
        <f t="shared" si="74"/>
        <v>25.43609778396781</v>
      </c>
      <c r="Y217" s="64"/>
      <c r="Z217" s="70">
        <v>38352</v>
      </c>
      <c r="AA217" s="68">
        <v>-630.03</v>
      </c>
      <c r="AB217" s="68"/>
      <c r="AC217" s="68"/>
      <c r="AD217" s="55"/>
      <c r="AG217" s="16"/>
      <c r="AH217" s="17"/>
      <c r="AI217" s="17"/>
      <c r="AJ217" s="17"/>
      <c r="AK217" s="17"/>
      <c r="AL217" s="17"/>
      <c r="AM217" s="17"/>
      <c r="AN217" s="17"/>
      <c r="AO217" s="17"/>
    </row>
    <row r="218" spans="15:41" x14ac:dyDescent="0.3">
      <c r="O218" s="51">
        <v>39538</v>
      </c>
      <c r="P218" s="60">
        <v>4.5007428571428569</v>
      </c>
      <c r="R218" s="14">
        <v>43769</v>
      </c>
      <c r="S218" s="15">
        <v>8680.0021219999999</v>
      </c>
      <c r="T218" s="55">
        <f t="shared" si="71"/>
        <v>1750.3545999999999</v>
      </c>
      <c r="U218" s="63">
        <f t="shared" si="70"/>
        <v>8680.0021219999999</v>
      </c>
      <c r="V218" s="63">
        <f t="shared" si="73"/>
        <v>250223.59914300003</v>
      </c>
      <c r="W218" s="64">
        <f t="shared" si="72"/>
        <v>987106.6</v>
      </c>
      <c r="X218" s="65">
        <f t="shared" si="74"/>
        <v>25.349197254177007</v>
      </c>
      <c r="Y218" s="64"/>
      <c r="Z218" s="70">
        <v>38321</v>
      </c>
      <c r="AA218" s="68">
        <v>332.3</v>
      </c>
      <c r="AB218" s="68"/>
      <c r="AC218" s="68"/>
      <c r="AD218" s="55"/>
      <c r="AG218" s="16"/>
      <c r="AH218" s="17"/>
      <c r="AI218" s="17"/>
      <c r="AJ218" s="17"/>
      <c r="AK218" s="17"/>
      <c r="AL218" s="17"/>
      <c r="AM218" s="17"/>
      <c r="AN218" s="17"/>
      <c r="AO218" s="17"/>
    </row>
    <row r="219" spans="15:41" x14ac:dyDescent="0.3">
      <c r="O219" s="51">
        <v>39507</v>
      </c>
      <c r="P219" s="60">
        <v>4.5040500000000003</v>
      </c>
      <c r="R219" s="14">
        <v>43799</v>
      </c>
      <c r="S219" s="15">
        <v>19936.916232</v>
      </c>
      <c r="T219" s="55">
        <f t="shared" si="71"/>
        <v>2273.0463</v>
      </c>
      <c r="U219" s="63">
        <f t="shared" si="70"/>
        <v>19936.916232</v>
      </c>
      <c r="V219" s="63">
        <f t="shared" si="73"/>
        <v>254033.35012000002</v>
      </c>
      <c r="W219" s="64">
        <f t="shared" si="72"/>
        <v>987106.6</v>
      </c>
      <c r="X219" s="65">
        <f t="shared" si="74"/>
        <v>25.73514857665829</v>
      </c>
      <c r="Y219" s="64"/>
      <c r="Z219" s="70">
        <v>38291</v>
      </c>
      <c r="AA219" s="68">
        <v>221.1</v>
      </c>
      <c r="AB219" s="68"/>
      <c r="AC219" s="68"/>
      <c r="AD219" s="55"/>
      <c r="AG219" s="16"/>
      <c r="AH219" s="17"/>
      <c r="AI219" s="17"/>
      <c r="AJ219" s="17"/>
      <c r="AK219" s="17"/>
      <c r="AL219" s="17"/>
      <c r="AM219" s="17"/>
      <c r="AN219" s="17"/>
      <c r="AO219" s="17"/>
    </row>
    <row r="220" spans="15:41" x14ac:dyDescent="0.3">
      <c r="O220" s="51">
        <v>39478</v>
      </c>
      <c r="P220" s="60">
        <v>4.4794863636363642</v>
      </c>
      <c r="R220" s="14">
        <v>43830</v>
      </c>
      <c r="S220" s="15">
        <v>22013</v>
      </c>
      <c r="T220" s="55">
        <f t="shared" si="71"/>
        <v>3211.1605</v>
      </c>
      <c r="U220" s="63">
        <f t="shared" si="70"/>
        <v>22013</v>
      </c>
      <c r="V220" s="63">
        <f t="shared" si="73"/>
        <v>256735.176037</v>
      </c>
      <c r="W220" s="64">
        <f t="shared" si="72"/>
        <v>1005872.4</v>
      </c>
      <c r="X220" s="65">
        <f t="shared" si="74"/>
        <v>25.523632623481863</v>
      </c>
      <c r="Y220" s="64"/>
      <c r="Z220" s="70">
        <v>38260</v>
      </c>
      <c r="AA220" s="68">
        <v>153</v>
      </c>
      <c r="AB220" s="68"/>
      <c r="AC220" s="68"/>
      <c r="AD220" s="55"/>
      <c r="AG220" s="16"/>
      <c r="AH220" s="17"/>
      <c r="AI220" s="17"/>
      <c r="AJ220" s="17"/>
      <c r="AK220" s="17"/>
      <c r="AL220" s="17"/>
      <c r="AM220" s="17"/>
      <c r="AN220" s="17"/>
      <c r="AO220" s="17"/>
    </row>
    <row r="221" spans="15:41" x14ac:dyDescent="0.3">
      <c r="O221" s="51">
        <v>39447</v>
      </c>
      <c r="P221" s="60">
        <v>4.3711666666666673</v>
      </c>
      <c r="R221" s="14">
        <v>43861</v>
      </c>
      <c r="S221" s="15">
        <v>50535</v>
      </c>
      <c r="T221" s="55">
        <f t="shared" si="71"/>
        <v>7648.0378000000101</v>
      </c>
      <c r="U221" s="63">
        <f t="shared" si="70"/>
        <v>50535</v>
      </c>
      <c r="V221" s="63">
        <f t="shared" si="73"/>
        <v>260479.03676799999</v>
      </c>
      <c r="W221" s="64">
        <f t="shared" si="72"/>
        <v>1005872.4</v>
      </c>
      <c r="X221" s="65">
        <f t="shared" si="74"/>
        <v>25.895832987166163</v>
      </c>
      <c r="Y221" s="64"/>
      <c r="Z221" s="70">
        <v>38230</v>
      </c>
      <c r="AA221" s="68">
        <v>615.29999999999995</v>
      </c>
      <c r="AB221" s="68"/>
      <c r="AC221" s="68"/>
      <c r="AD221" s="55"/>
      <c r="AG221" s="16"/>
      <c r="AH221" s="17"/>
      <c r="AI221" s="17"/>
      <c r="AJ221" s="17"/>
      <c r="AK221" s="17"/>
      <c r="AL221" s="17"/>
      <c r="AM221" s="17"/>
      <c r="AN221" s="17"/>
      <c r="AO221" s="17"/>
    </row>
    <row r="222" spans="15:41" x14ac:dyDescent="0.3">
      <c r="O222" s="51">
        <v>39416</v>
      </c>
      <c r="P222" s="60">
        <v>4.2602136363636358</v>
      </c>
      <c r="R222" s="14">
        <v>43890</v>
      </c>
      <c r="S222" s="15">
        <v>8737</v>
      </c>
      <c r="T222" s="55">
        <f t="shared" si="71"/>
        <v>3693.02</v>
      </c>
      <c r="U222" s="63">
        <f t="shared" si="70"/>
        <v>8737</v>
      </c>
      <c r="V222" s="63">
        <f t="shared" si="73"/>
        <v>259550.910083</v>
      </c>
      <c r="W222" s="64">
        <f t="shared" si="72"/>
        <v>1005872.4</v>
      </c>
      <c r="X222" s="65">
        <f t="shared" si="74"/>
        <v>25.803562169813983</v>
      </c>
      <c r="Y222" s="64"/>
      <c r="Z222" s="70">
        <v>38199</v>
      </c>
      <c r="AA222" s="68">
        <v>957</v>
      </c>
      <c r="AB222" s="68"/>
      <c r="AC222" s="68"/>
      <c r="AD222" s="55"/>
      <c r="AG222" s="16"/>
      <c r="AH222" s="17"/>
      <c r="AI222" s="17"/>
      <c r="AJ222" s="17"/>
      <c r="AK222" s="17"/>
      <c r="AL222" s="17"/>
      <c r="AM222" s="17"/>
      <c r="AN222" s="17"/>
      <c r="AO222" s="17"/>
    </row>
    <row r="223" spans="15:41" x14ac:dyDescent="0.3">
      <c r="O223" s="51">
        <v>39386</v>
      </c>
      <c r="P223" s="60">
        <v>3.9119333333333328</v>
      </c>
      <c r="R223" s="14">
        <v>43921</v>
      </c>
      <c r="S223" s="15">
        <v>51838</v>
      </c>
      <c r="T223" s="55">
        <f t="shared" si="71"/>
        <v>5233.6126999999997</v>
      </c>
      <c r="U223" s="63">
        <f t="shared" si="70"/>
        <v>51838</v>
      </c>
      <c r="V223" s="63">
        <f t="shared" si="73"/>
        <v>281786.57354899996</v>
      </c>
      <c r="W223" s="64">
        <f t="shared" si="72"/>
        <v>994089.6</v>
      </c>
      <c r="X223" s="65">
        <f t="shared" si="74"/>
        <v>28.346194704078986</v>
      </c>
      <c r="Y223" s="64"/>
      <c r="Z223" s="70">
        <v>38168</v>
      </c>
      <c r="AA223" s="68">
        <v>632.29999999999995</v>
      </c>
      <c r="AB223" s="68"/>
      <c r="AC223" s="68"/>
      <c r="AD223" s="55"/>
      <c r="AG223" s="16"/>
      <c r="AH223" s="17"/>
      <c r="AI223" s="17"/>
      <c r="AJ223" s="17"/>
      <c r="AK223" s="17"/>
      <c r="AL223" s="17"/>
      <c r="AM223" s="17"/>
      <c r="AN223" s="17"/>
      <c r="AO223" s="17"/>
    </row>
    <row r="224" spans="15:41" x14ac:dyDescent="0.3">
      <c r="O224" s="51">
        <v>39355</v>
      </c>
      <c r="P224" s="60">
        <v>3.5511863636363641</v>
      </c>
      <c r="R224" s="14">
        <v>43951</v>
      </c>
      <c r="S224" s="15">
        <v>31027</v>
      </c>
      <c r="T224" s="55">
        <f t="shared" si="71"/>
        <v>2898.4261000000001</v>
      </c>
      <c r="U224" s="63">
        <f t="shared" si="70"/>
        <v>31027</v>
      </c>
      <c r="V224" s="63">
        <f t="shared" si="73"/>
        <v>296104.03538000002</v>
      </c>
      <c r="W224" s="64">
        <f t="shared" si="72"/>
        <v>994089.6</v>
      </c>
      <c r="X224" s="65">
        <f t="shared" si="74"/>
        <v>29.786453392128841</v>
      </c>
      <c r="Y224" s="64"/>
      <c r="Z224" s="70">
        <v>38138</v>
      </c>
      <c r="AA224" s="68">
        <v>-242.5</v>
      </c>
      <c r="AB224" s="68"/>
      <c r="AC224" s="68"/>
      <c r="AD224" s="55"/>
      <c r="AG224" s="16"/>
      <c r="AH224" s="17"/>
      <c r="AI224" s="17"/>
      <c r="AJ224" s="17"/>
      <c r="AK224" s="17"/>
      <c r="AL224" s="17"/>
      <c r="AM224" s="17"/>
      <c r="AN224" s="17"/>
      <c r="AO224" s="17"/>
    </row>
    <row r="225" spans="15:41" x14ac:dyDescent="0.3">
      <c r="O225" s="51">
        <v>39325</v>
      </c>
      <c r="P225" s="60">
        <v>3.2200608695652169</v>
      </c>
      <c r="R225" s="14">
        <v>43982</v>
      </c>
      <c r="S225" s="15">
        <v>31866</v>
      </c>
      <c r="T225" s="55">
        <f t="shared" si="71"/>
        <v>15020.822</v>
      </c>
      <c r="U225" s="63">
        <f t="shared" si="70"/>
        <v>31866</v>
      </c>
      <c r="V225" s="63">
        <f t="shared" si="73"/>
        <v>310846.306102</v>
      </c>
      <c r="W225" s="64">
        <f t="shared" si="72"/>
        <v>994089.6</v>
      </c>
      <c r="X225" s="65">
        <f t="shared" si="74"/>
        <v>31.269445541126274</v>
      </c>
      <c r="Y225" s="64"/>
      <c r="Z225" s="70">
        <v>38107</v>
      </c>
      <c r="AA225" s="68">
        <v>1472.2</v>
      </c>
      <c r="AB225" s="68"/>
      <c r="AC225" s="68"/>
      <c r="AD225" s="55"/>
      <c r="AG225" s="16"/>
      <c r="AH225" s="17"/>
      <c r="AI225" s="17"/>
      <c r="AJ225" s="17"/>
      <c r="AK225" s="17"/>
      <c r="AL225" s="17"/>
      <c r="AM225" s="17"/>
      <c r="AN225" s="17"/>
      <c r="AO225" s="17"/>
    </row>
    <row r="226" spans="15:41" x14ac:dyDescent="0.3">
      <c r="O226" s="51">
        <v>39294</v>
      </c>
      <c r="P226" s="60">
        <v>3.145654545454545</v>
      </c>
      <c r="R226" s="14">
        <v>44012</v>
      </c>
      <c r="S226" s="15">
        <v>34681</v>
      </c>
      <c r="T226" s="55">
        <f t="shared" si="71"/>
        <v>4978.8786</v>
      </c>
      <c r="U226" s="63">
        <f t="shared" si="70"/>
        <v>34681</v>
      </c>
      <c r="V226" s="63">
        <f t="shared" si="73"/>
        <v>319284.00409599999</v>
      </c>
      <c r="W226" s="64">
        <f t="shared" si="72"/>
        <v>1001345.7</v>
      </c>
      <c r="X226" s="65">
        <f t="shared" si="74"/>
        <v>31.885492102877162</v>
      </c>
      <c r="Y226" s="64"/>
      <c r="Z226" s="70">
        <v>38077</v>
      </c>
      <c r="AA226" s="68">
        <v>101.6</v>
      </c>
      <c r="AB226" s="68"/>
      <c r="AC226" s="68"/>
      <c r="AD226" s="55"/>
      <c r="AG226" s="16"/>
      <c r="AH226" s="17"/>
      <c r="AI226" s="17"/>
      <c r="AJ226" s="17"/>
      <c r="AK226" s="17"/>
      <c r="AL226" s="17"/>
      <c r="AM226" s="17"/>
      <c r="AN226" s="17"/>
      <c r="AO226" s="17"/>
    </row>
    <row r="227" spans="15:41" x14ac:dyDescent="0.3">
      <c r="O227" s="51">
        <v>39263</v>
      </c>
      <c r="P227" s="60">
        <v>3.0613904761904762</v>
      </c>
      <c r="R227" s="14">
        <v>44043</v>
      </c>
      <c r="S227" s="15">
        <v>16928</v>
      </c>
      <c r="T227" s="55">
        <f t="shared" si="71"/>
        <v>5042.8822</v>
      </c>
      <c r="U227" s="63">
        <f t="shared" si="70"/>
        <v>16928</v>
      </c>
      <c r="V227" s="63">
        <f t="shared" si="73"/>
        <v>323339.89382300002</v>
      </c>
      <c r="W227" s="64">
        <f t="shared" si="72"/>
        <v>1001345.7</v>
      </c>
      <c r="X227" s="65">
        <f t="shared" si="74"/>
        <v>32.290536007994049</v>
      </c>
      <c r="Y227" s="64"/>
      <c r="Z227" s="70">
        <v>38046</v>
      </c>
      <c r="AA227" s="68">
        <v>0</v>
      </c>
      <c r="AB227" s="68"/>
      <c r="AC227" s="68"/>
      <c r="AD227" s="55"/>
      <c r="AG227" s="16"/>
      <c r="AH227" s="17"/>
      <c r="AI227" s="17"/>
      <c r="AJ227" s="17"/>
      <c r="AK227" s="17"/>
      <c r="AL227" s="17"/>
      <c r="AM227" s="17"/>
      <c r="AN227" s="17"/>
      <c r="AO227" s="17"/>
    </row>
    <row r="228" spans="15:41" x14ac:dyDescent="0.3">
      <c r="O228" s="51">
        <v>39233</v>
      </c>
      <c r="P228" s="60">
        <v>2.9949833333333329</v>
      </c>
      <c r="R228" s="14">
        <v>44074</v>
      </c>
      <c r="S228" s="15">
        <v>35853</v>
      </c>
      <c r="T228" s="55">
        <f t="shared" si="71"/>
        <v>13620.0028</v>
      </c>
      <c r="U228" s="63">
        <f t="shared" si="70"/>
        <v>35853</v>
      </c>
      <c r="V228" s="63">
        <f t="shared" si="73"/>
        <v>337237.12881000002</v>
      </c>
      <c r="W228" s="64">
        <f t="shared" si="72"/>
        <v>1001345.7</v>
      </c>
      <c r="X228" s="65">
        <f t="shared" si="74"/>
        <v>33.678391869061805</v>
      </c>
      <c r="Y228" s="64"/>
      <c r="Z228" s="70">
        <v>38017</v>
      </c>
      <c r="AA228" s="68">
        <v>0</v>
      </c>
      <c r="AB228" s="68"/>
      <c r="AC228" s="68"/>
      <c r="AD228" s="55"/>
      <c r="AG228" s="16"/>
      <c r="AH228" s="17"/>
      <c r="AI228" s="17"/>
      <c r="AJ228" s="17"/>
      <c r="AK228" s="17"/>
      <c r="AL228" s="17"/>
      <c r="AM228" s="17"/>
      <c r="AN228" s="17"/>
      <c r="AO228" s="17"/>
    </row>
    <row r="229" spans="15:41" x14ac:dyDescent="0.3">
      <c r="O229" s="51">
        <v>39202</v>
      </c>
      <c r="P229" s="60">
        <v>2.9171434782608698</v>
      </c>
      <c r="R229" s="14">
        <v>44104</v>
      </c>
      <c r="S229" s="15">
        <v>34693</v>
      </c>
      <c r="T229" s="55">
        <f t="shared" si="71"/>
        <v>9315.7736999999997</v>
      </c>
      <c r="U229" s="63">
        <f t="shared" si="70"/>
        <v>34693</v>
      </c>
      <c r="V229" s="63">
        <f t="shared" si="73"/>
        <v>346787.91835399996</v>
      </c>
      <c r="W229" s="64">
        <f t="shared" si="72"/>
        <v>1015232.7</v>
      </c>
      <c r="X229" s="65">
        <f t="shared" si="74"/>
        <v>34.158466167805663</v>
      </c>
      <c r="Y229" s="64"/>
      <c r="Z229" s="70">
        <v>37986</v>
      </c>
      <c r="AA229" s="68">
        <v>2018.57</v>
      </c>
      <c r="AB229" s="68"/>
      <c r="AC229" s="68"/>
      <c r="AD229" s="55"/>
      <c r="AG229" s="16"/>
      <c r="AH229" s="17"/>
      <c r="AI229" s="17"/>
      <c r="AJ229" s="17"/>
      <c r="AK229" s="17"/>
      <c r="AL229" s="17"/>
      <c r="AM229" s="17"/>
      <c r="AN229" s="17"/>
      <c r="AO229" s="17"/>
    </row>
    <row r="230" spans="15:41" x14ac:dyDescent="0.3">
      <c r="O230" s="51">
        <v>39172</v>
      </c>
      <c r="P230" s="60">
        <v>2.8366772727272731</v>
      </c>
      <c r="R230" s="14">
        <v>44135</v>
      </c>
      <c r="S230" s="15">
        <v>13929</v>
      </c>
      <c r="T230" s="55">
        <f t="shared" si="71"/>
        <v>6154.1818999999996</v>
      </c>
      <c r="U230" s="63">
        <f t="shared" si="70"/>
        <v>13929</v>
      </c>
      <c r="V230" s="63">
        <f t="shared" si="73"/>
        <v>352036.91623199999</v>
      </c>
      <c r="W230" s="64">
        <f t="shared" si="72"/>
        <v>1015232.7</v>
      </c>
      <c r="X230" s="65">
        <f t="shared" si="74"/>
        <v>34.675490282375662</v>
      </c>
      <c r="Y230" s="64"/>
      <c r="Z230" s="70">
        <v>37955</v>
      </c>
      <c r="AA230" s="68">
        <v>824.9</v>
      </c>
      <c r="AB230" s="68"/>
      <c r="AC230" s="68"/>
      <c r="AD230" s="55"/>
      <c r="AG230" s="16"/>
      <c r="AH230" s="17"/>
      <c r="AI230" s="17"/>
      <c r="AJ230" s="17"/>
      <c r="AK230" s="17"/>
      <c r="AL230" s="17"/>
      <c r="AM230" s="17"/>
      <c r="AN230" s="17"/>
      <c r="AO230" s="17"/>
    </row>
    <row r="231" spans="15:41" x14ac:dyDescent="0.3">
      <c r="O231" s="51">
        <v>39141</v>
      </c>
      <c r="P231" s="60">
        <v>2.8471411764705881</v>
      </c>
      <c r="R231" s="14">
        <v>44165</v>
      </c>
      <c r="S231" s="15">
        <v>21355</v>
      </c>
      <c r="T231" s="55">
        <f t="shared" si="71"/>
        <v>3193.6318000000001</v>
      </c>
      <c r="U231" s="63">
        <f t="shared" si="70"/>
        <v>21355</v>
      </c>
      <c r="V231" s="63">
        <f t="shared" si="73"/>
        <v>353455</v>
      </c>
      <c r="W231" s="64">
        <f t="shared" si="72"/>
        <v>1015232.7</v>
      </c>
      <c r="X231" s="65">
        <f t="shared" si="74"/>
        <v>34.815170945537908</v>
      </c>
      <c r="Y231" s="64"/>
      <c r="Z231" s="70">
        <v>37925</v>
      </c>
      <c r="AA231" s="68">
        <v>100</v>
      </c>
      <c r="AB231" s="68"/>
      <c r="AC231" s="68"/>
      <c r="AD231" s="55"/>
      <c r="AG231" s="16"/>
      <c r="AH231" s="17"/>
      <c r="AI231" s="17"/>
      <c r="AJ231" s="17"/>
      <c r="AK231" s="17"/>
      <c r="AL231" s="17"/>
      <c r="AM231" s="17"/>
      <c r="AN231" s="17"/>
      <c r="AO231" s="17"/>
    </row>
    <row r="232" spans="15:41" x14ac:dyDescent="0.3">
      <c r="O232" s="51">
        <v>39113</v>
      </c>
      <c r="P232" s="60">
        <v>2.808065</v>
      </c>
      <c r="R232" s="14">
        <v>44196</v>
      </c>
      <c r="S232" s="15">
        <v>16476</v>
      </c>
      <c r="T232" s="55">
        <f t="shared" si="71"/>
        <v>7235.2096000000001</v>
      </c>
      <c r="U232" s="63">
        <f t="shared" si="70"/>
        <v>16476</v>
      </c>
      <c r="V232" s="63">
        <f t="shared" si="73"/>
        <v>347918</v>
      </c>
      <c r="W232" s="64">
        <f t="shared" si="72"/>
        <v>1034867.5</v>
      </c>
      <c r="X232" s="65">
        <f t="shared" si="74"/>
        <v>33.619569655052459</v>
      </c>
      <c r="Y232" s="64"/>
      <c r="Z232" s="70">
        <v>37894</v>
      </c>
      <c r="AA232" s="68">
        <v>183.8</v>
      </c>
      <c r="AB232" s="68"/>
      <c r="AC232" s="68"/>
      <c r="AD232" s="55"/>
      <c r="AG232" s="16"/>
      <c r="AH232" s="17"/>
      <c r="AI232" s="17"/>
      <c r="AJ232" s="17"/>
      <c r="AK232" s="17"/>
      <c r="AL232" s="17"/>
      <c r="AM232" s="17"/>
      <c r="AN232" s="17"/>
      <c r="AO232" s="17"/>
    </row>
    <row r="233" spans="15:41" x14ac:dyDescent="0.3">
      <c r="O233" s="51">
        <v>39082</v>
      </c>
      <c r="P233" s="60">
        <v>2.8080521739130431</v>
      </c>
      <c r="R233" s="14">
        <v>44227</v>
      </c>
      <c r="S233" s="15">
        <v>51884</v>
      </c>
      <c r="T233" s="55">
        <f t="shared" si="71"/>
        <v>2923.2073999999998</v>
      </c>
      <c r="U233" s="63">
        <f t="shared" si="70"/>
        <v>51884</v>
      </c>
      <c r="V233" s="63">
        <f t="shared" si="73"/>
        <v>349267</v>
      </c>
      <c r="W233" s="64">
        <f t="shared" si="72"/>
        <v>1034867.5</v>
      </c>
      <c r="X233" s="65">
        <f t="shared" si="74"/>
        <v>33.749924507243676</v>
      </c>
      <c r="Y233" s="64"/>
      <c r="Z233" s="70">
        <v>37864</v>
      </c>
      <c r="AA233" s="68">
        <v>260</v>
      </c>
      <c r="AB233" s="68"/>
      <c r="AC233" s="68"/>
      <c r="AD233" s="55"/>
      <c r="AG233" s="16"/>
      <c r="AH233" s="17"/>
      <c r="AI233" s="17"/>
      <c r="AJ233" s="17"/>
      <c r="AK233" s="17"/>
      <c r="AL233" s="17"/>
      <c r="AM233" s="17"/>
      <c r="AN233" s="17"/>
      <c r="AO233" s="17"/>
    </row>
    <row r="234" spans="15:41" x14ac:dyDescent="0.3">
      <c r="O234" s="51">
        <v>39051</v>
      </c>
      <c r="P234" s="60">
        <v>2.749263636363636</v>
      </c>
      <c r="R234" s="14">
        <v>44255</v>
      </c>
      <c r="S234" s="15">
        <v>17243</v>
      </c>
      <c r="T234" s="55">
        <f t="shared" si="71"/>
        <v>492.66599999999897</v>
      </c>
      <c r="U234" s="63">
        <f t="shared" si="70"/>
        <v>17243</v>
      </c>
      <c r="V234" s="63">
        <f t="shared" si="73"/>
        <v>357773</v>
      </c>
      <c r="W234" s="64">
        <f t="shared" si="72"/>
        <v>1034867.5</v>
      </c>
      <c r="X234" s="65">
        <f t="shared" si="74"/>
        <v>34.571865480363428</v>
      </c>
      <c r="Y234" s="64"/>
      <c r="Z234" s="70">
        <v>37833</v>
      </c>
      <c r="AA234" s="68">
        <v>-5</v>
      </c>
      <c r="AB234" s="68"/>
      <c r="AC234" s="68"/>
      <c r="AD234" s="55"/>
      <c r="AG234" s="16"/>
      <c r="AH234" s="17"/>
      <c r="AI234" s="17"/>
      <c r="AJ234" s="17"/>
      <c r="AK234" s="17"/>
      <c r="AL234" s="17"/>
      <c r="AM234" s="17"/>
      <c r="AN234" s="17"/>
      <c r="AO234" s="17"/>
    </row>
    <row r="235" spans="15:41" x14ac:dyDescent="0.3">
      <c r="O235" s="51">
        <v>39021</v>
      </c>
      <c r="P235" s="60">
        <v>2.6420499999999998</v>
      </c>
      <c r="R235" s="14">
        <v>44286</v>
      </c>
      <c r="S235" s="15">
        <v>33762</v>
      </c>
      <c r="T235" s="55">
        <f t="shared" si="71"/>
        <v>3074.0790000000002</v>
      </c>
      <c r="U235" s="63">
        <f t="shared" si="70"/>
        <v>33762</v>
      </c>
      <c r="V235" s="63">
        <f t="shared" si="73"/>
        <v>339697</v>
      </c>
      <c r="W235" s="64">
        <f t="shared" si="72"/>
        <v>1080251.6000000001</v>
      </c>
      <c r="X235" s="65">
        <f t="shared" si="74"/>
        <v>31.446100149261518</v>
      </c>
      <c r="Y235" s="64"/>
      <c r="Z235" s="70">
        <v>37802</v>
      </c>
      <c r="AA235" s="68">
        <v>80</v>
      </c>
      <c r="AB235" s="68"/>
      <c r="AC235" s="68"/>
      <c r="AD235" s="55"/>
      <c r="AG235" s="16"/>
      <c r="AH235" s="17"/>
      <c r="AI235" s="17"/>
      <c r="AJ235" s="17"/>
      <c r="AK235" s="17"/>
      <c r="AL235" s="17"/>
      <c r="AM235" s="17"/>
      <c r="AN235" s="17"/>
      <c r="AO235" s="17"/>
    </row>
    <row r="236" spans="15:41" x14ac:dyDescent="0.3">
      <c r="R236" s="14">
        <v>44316</v>
      </c>
      <c r="S236" s="15">
        <v>18570</v>
      </c>
      <c r="T236" s="55">
        <f t="shared" si="71"/>
        <v>3691.7739000000001</v>
      </c>
      <c r="U236" s="63">
        <f t="shared" si="70"/>
        <v>18570</v>
      </c>
      <c r="V236" s="63">
        <f t="shared" si="73"/>
        <v>327240</v>
      </c>
      <c r="W236" s="64">
        <f t="shared" si="72"/>
        <v>1080251.6000000001</v>
      </c>
      <c r="X236" s="65">
        <f t="shared" si="74"/>
        <v>30.292942866273005</v>
      </c>
      <c r="Y236" s="64"/>
      <c r="Z236" s="70">
        <v>37772</v>
      </c>
      <c r="AA236" s="68">
        <v>50</v>
      </c>
      <c r="AB236" s="68"/>
      <c r="AC236" s="68"/>
      <c r="AD236" s="55"/>
      <c r="AG236" s="16"/>
      <c r="AH236" s="17"/>
      <c r="AI236" s="17"/>
      <c r="AJ236" s="17"/>
      <c r="AK236" s="17"/>
      <c r="AL236" s="17"/>
      <c r="AM236" s="17"/>
      <c r="AN236" s="17"/>
      <c r="AO236" s="17"/>
    </row>
    <row r="237" spans="15:41" x14ac:dyDescent="0.3">
      <c r="R237" s="14">
        <v>44347</v>
      </c>
      <c r="S237" s="15">
        <v>19522</v>
      </c>
      <c r="T237" s="55">
        <f t="shared" si="71"/>
        <v>7937.2356</v>
      </c>
      <c r="U237" s="63">
        <f t="shared" si="70"/>
        <v>19522</v>
      </c>
      <c r="V237" s="63">
        <f t="shared" si="73"/>
        <v>314896</v>
      </c>
      <c r="W237" s="64">
        <f t="shared" si="72"/>
        <v>1080251.6000000001</v>
      </c>
      <c r="X237" s="65">
        <f t="shared" si="74"/>
        <v>29.150246109332308</v>
      </c>
      <c r="Y237" s="64"/>
      <c r="Z237" s="70">
        <v>37741</v>
      </c>
      <c r="AA237" s="68">
        <v>1680</v>
      </c>
      <c r="AB237" s="68"/>
      <c r="AC237" s="68"/>
      <c r="AD237" s="55"/>
      <c r="AG237" s="16"/>
      <c r="AH237" s="17"/>
      <c r="AI237" s="17"/>
      <c r="AJ237" s="17"/>
      <c r="AK237" s="17"/>
      <c r="AL237" s="17"/>
      <c r="AM237" s="17"/>
      <c r="AN237" s="17"/>
      <c r="AO237" s="17"/>
    </row>
    <row r="238" spans="15:41" x14ac:dyDescent="0.3">
      <c r="R238" s="14">
        <v>44377</v>
      </c>
      <c r="S238" s="15">
        <v>37017</v>
      </c>
      <c r="T238" s="55">
        <f t="shared" si="71"/>
        <v>6563.5523999999996</v>
      </c>
      <c r="U238" s="63">
        <f t="shared" si="70"/>
        <v>37017</v>
      </c>
      <c r="V238" s="63">
        <f t="shared" si="73"/>
        <v>317232</v>
      </c>
      <c r="W238" s="64">
        <f t="shared" si="72"/>
        <v>1114780.8</v>
      </c>
      <c r="X238" s="65">
        <f t="shared" si="74"/>
        <v>28.456894844259967</v>
      </c>
      <c r="Y238" s="64"/>
      <c r="Z238" s="70">
        <v>37711</v>
      </c>
      <c r="AA238" s="68">
        <v>-350</v>
      </c>
      <c r="AB238" s="68"/>
      <c r="AC238" s="68"/>
      <c r="AD238" s="55"/>
      <c r="AG238" s="16"/>
      <c r="AH238" s="17"/>
      <c r="AI238" s="17"/>
      <c r="AJ238" s="17"/>
      <c r="AK238" s="17"/>
      <c r="AL238" s="17"/>
      <c r="AM238" s="17"/>
      <c r="AN238" s="17"/>
      <c r="AO238" s="17"/>
    </row>
    <row r="239" spans="15:41" x14ac:dyDescent="0.3">
      <c r="R239" s="14">
        <v>44408</v>
      </c>
      <c r="S239" s="15">
        <v>10752</v>
      </c>
      <c r="T239" s="55">
        <f t="shared" si="71"/>
        <v>2634.7044000000001</v>
      </c>
      <c r="U239" s="63">
        <f t="shared" si="70"/>
        <v>10752</v>
      </c>
      <c r="V239" s="63">
        <f t="shared" si="73"/>
        <v>311056</v>
      </c>
      <c r="W239" s="64">
        <f t="shared" si="72"/>
        <v>1114780.8</v>
      </c>
      <c r="X239" s="65">
        <f t="shared" si="74"/>
        <v>27.902884585023351</v>
      </c>
      <c r="Y239" s="64"/>
      <c r="Z239" s="70">
        <v>37680</v>
      </c>
      <c r="AA239" s="68">
        <v>450</v>
      </c>
      <c r="AB239" s="68"/>
      <c r="AC239" s="68"/>
      <c r="AD239" s="55"/>
      <c r="AG239" s="16"/>
      <c r="AH239" s="17"/>
      <c r="AI239" s="17"/>
      <c r="AJ239" s="17"/>
      <c r="AK239" s="17"/>
      <c r="AL239" s="17"/>
      <c r="AM239" s="17"/>
      <c r="AN239" s="17"/>
      <c r="AO239" s="17"/>
    </row>
    <row r="240" spans="15:41" x14ac:dyDescent="0.3">
      <c r="R240" s="14">
        <v>44439</v>
      </c>
      <c r="S240" s="15">
        <v>29893</v>
      </c>
      <c r="T240" s="55">
        <f t="shared" si="71"/>
        <v>9274.7821999999906</v>
      </c>
      <c r="U240" s="63">
        <f t="shared" si="70"/>
        <v>29893</v>
      </c>
      <c r="V240" s="63">
        <f t="shared" si="73"/>
        <v>305096</v>
      </c>
      <c r="W240" s="64">
        <f t="shared" si="72"/>
        <v>1114780.8</v>
      </c>
      <c r="X240" s="65">
        <f t="shared" si="74"/>
        <v>27.36825033226263</v>
      </c>
      <c r="Y240" s="64"/>
      <c r="Z240" s="70">
        <v>37652</v>
      </c>
      <c r="AA240" s="68">
        <v>0</v>
      </c>
      <c r="AB240" s="68"/>
      <c r="AC240" s="68"/>
      <c r="AD240" s="55"/>
      <c r="AG240" s="16"/>
      <c r="AH240" s="17"/>
      <c r="AI240" s="17"/>
      <c r="AJ240" s="17"/>
      <c r="AK240" s="17"/>
      <c r="AL240" s="17"/>
      <c r="AM240" s="17"/>
      <c r="AN240" s="17"/>
      <c r="AO240" s="17"/>
    </row>
    <row r="241" spans="18:41" x14ac:dyDescent="0.3">
      <c r="R241" s="14">
        <v>44469</v>
      </c>
      <c r="S241" s="15">
        <v>29026</v>
      </c>
      <c r="T241" s="55">
        <f t="shared" si="71"/>
        <v>9594.1311999999998</v>
      </c>
      <c r="U241" s="63">
        <f t="shared" si="70"/>
        <v>29026</v>
      </c>
      <c r="V241" s="63">
        <f t="shared" si="73"/>
        <v>299429</v>
      </c>
      <c r="W241" s="64">
        <f t="shared" si="72"/>
        <v>1142832.5</v>
      </c>
      <c r="X241" s="65">
        <f t="shared" si="74"/>
        <v>26.20060245049034</v>
      </c>
      <c r="Y241" s="64"/>
      <c r="Z241" s="70">
        <v>37621</v>
      </c>
      <c r="AA241" s="68">
        <v>216.1</v>
      </c>
      <c r="AB241" s="68"/>
      <c r="AC241" s="68"/>
      <c r="AD241" s="55"/>
      <c r="AG241" s="16"/>
      <c r="AH241" s="17"/>
      <c r="AI241" s="17"/>
      <c r="AJ241" s="17"/>
      <c r="AK241" s="17"/>
      <c r="AL241" s="17"/>
      <c r="AM241" s="17"/>
      <c r="AN241" s="17"/>
      <c r="AO241" s="17"/>
    </row>
    <row r="242" spans="18:41" x14ac:dyDescent="0.3">
      <c r="R242" s="14">
        <v>44500</v>
      </c>
      <c r="S242" s="15">
        <v>16176</v>
      </c>
      <c r="T242" s="55">
        <f t="shared" si="71"/>
        <v>8332.5772000000106</v>
      </c>
      <c r="U242" s="63">
        <f t="shared" si="70"/>
        <v>16176</v>
      </c>
      <c r="V242" s="63">
        <f t="shared" si="73"/>
        <v>301676</v>
      </c>
      <c r="W242" s="64">
        <f t="shared" si="72"/>
        <v>1142832.5</v>
      </c>
      <c r="X242" s="65">
        <f t="shared" si="74"/>
        <v>26.397219190038783</v>
      </c>
      <c r="Y242" s="64"/>
      <c r="Z242" s="70">
        <v>37590</v>
      </c>
      <c r="AA242" s="68">
        <v>300</v>
      </c>
      <c r="AB242" s="68"/>
      <c r="AC242" s="68"/>
      <c r="AD242" s="55"/>
      <c r="AG242" s="16"/>
      <c r="AH242" s="17"/>
      <c r="AI242" s="17"/>
      <c r="AJ242" s="17"/>
      <c r="AK242" s="17"/>
      <c r="AL242" s="17"/>
      <c r="AM242" s="17"/>
      <c r="AN242" s="17"/>
      <c r="AO242" s="17"/>
    </row>
    <row r="243" spans="18:41" x14ac:dyDescent="0.3">
      <c r="R243" s="14">
        <v>44530</v>
      </c>
      <c r="S243" s="15">
        <v>25983</v>
      </c>
      <c r="T243" s="55">
        <f t="shared" si="71"/>
        <v>7452.6463999999996</v>
      </c>
      <c r="U243" s="63">
        <f t="shared" si="70"/>
        <v>25983</v>
      </c>
      <c r="V243" s="63">
        <f t="shared" si="73"/>
        <v>306304</v>
      </c>
      <c r="W243" s="64">
        <f t="shared" si="72"/>
        <v>1142832.5</v>
      </c>
      <c r="X243" s="65">
        <f t="shared" si="74"/>
        <v>26.802177921961441</v>
      </c>
      <c r="Y243" s="64"/>
      <c r="Z243" s="70">
        <v>37560</v>
      </c>
      <c r="AA243" s="68">
        <v>-161</v>
      </c>
      <c r="AB243" s="68"/>
      <c r="AC243" s="68"/>
      <c r="AD243" s="55"/>
      <c r="AG243" s="16"/>
      <c r="AH243" s="17"/>
      <c r="AI243" s="17"/>
      <c r="AJ243" s="17"/>
      <c r="AK243" s="17"/>
      <c r="AL243" s="17"/>
      <c r="AM243" s="17"/>
      <c r="AN243" s="17"/>
      <c r="AO243" s="17"/>
    </row>
    <row r="244" spans="18:41" x14ac:dyDescent="0.3">
      <c r="R244" s="14">
        <v>44561</v>
      </c>
      <c r="S244" s="15">
        <v>23580</v>
      </c>
      <c r="T244" s="55">
        <f t="shared" si="71"/>
        <v>9452.9593000000095</v>
      </c>
      <c r="U244" s="63">
        <f t="shared" si="70"/>
        <v>23580</v>
      </c>
      <c r="V244" s="63">
        <f t="shared" si="73"/>
        <v>313408</v>
      </c>
      <c r="W244" s="64">
        <f t="shared" si="72"/>
        <v>1173823</v>
      </c>
      <c r="X244" s="65">
        <f t="shared" si="74"/>
        <v>26.699766489496284</v>
      </c>
      <c r="Y244" s="64"/>
      <c r="Z244" s="70">
        <v>37529</v>
      </c>
      <c r="AA244" s="68">
        <v>801.65</v>
      </c>
      <c r="AB244" s="68"/>
      <c r="AC244" s="68"/>
      <c r="AD244" s="55"/>
      <c r="AG244" s="16"/>
      <c r="AH244" s="17"/>
      <c r="AI244" s="17"/>
      <c r="AJ244" s="17"/>
      <c r="AK244" s="17"/>
      <c r="AL244" s="17"/>
      <c r="AM244" s="17"/>
      <c r="AN244" s="17"/>
      <c r="AO244" s="17"/>
    </row>
    <row r="245" spans="18:41" x14ac:dyDescent="0.3">
      <c r="R245" s="14">
        <v>44592</v>
      </c>
      <c r="S245" s="15">
        <v>61759</v>
      </c>
      <c r="T245" s="55">
        <f t="shared" si="71"/>
        <v>6969.5034600000099</v>
      </c>
      <c r="U245" s="63">
        <f t="shared" si="70"/>
        <v>61759</v>
      </c>
      <c r="V245" s="63">
        <f t="shared" si="73"/>
        <v>323283</v>
      </c>
      <c r="W245" s="64">
        <f t="shared" si="72"/>
        <v>1173823</v>
      </c>
      <c r="X245" s="65">
        <f t="shared" si="74"/>
        <v>27.541034721589202</v>
      </c>
      <c r="Y245" s="64"/>
      <c r="Z245" s="70">
        <v>37499</v>
      </c>
      <c r="AA245" s="68">
        <v>400</v>
      </c>
      <c r="AB245" s="68"/>
      <c r="AC245" s="68"/>
      <c r="AD245" s="55"/>
      <c r="AG245" s="16"/>
      <c r="AH245" s="17"/>
      <c r="AI245" s="17"/>
      <c r="AJ245" s="17"/>
      <c r="AK245" s="17"/>
      <c r="AL245" s="17"/>
      <c r="AM245" s="17"/>
      <c r="AN245" s="17"/>
      <c r="AO245" s="17"/>
    </row>
    <row r="246" spans="18:41" x14ac:dyDescent="0.3">
      <c r="R246" s="14">
        <v>44620</v>
      </c>
      <c r="S246" s="15">
        <v>12170</v>
      </c>
      <c r="T246" s="55">
        <f t="shared" si="71"/>
        <v>3489.6419000000001</v>
      </c>
      <c r="U246" s="63">
        <f t="shared" si="70"/>
        <v>12170</v>
      </c>
      <c r="V246" s="63">
        <f t="shared" si="73"/>
        <v>318210</v>
      </c>
      <c r="W246" s="64">
        <f t="shared" si="72"/>
        <v>1173823</v>
      </c>
      <c r="X246" s="65">
        <f t="shared" si="74"/>
        <v>27.108857127522633</v>
      </c>
      <c r="Y246" s="64"/>
      <c r="Z246" s="70">
        <v>37468</v>
      </c>
      <c r="AA246" s="68">
        <v>188.3</v>
      </c>
      <c r="AB246" s="55"/>
      <c r="AC246" s="55"/>
      <c r="AD246" s="55"/>
      <c r="AG246" s="16"/>
      <c r="AH246" s="17"/>
      <c r="AI246" s="17"/>
      <c r="AJ246" s="17"/>
      <c r="AK246" s="17"/>
      <c r="AL246" s="17"/>
      <c r="AM246" s="17"/>
      <c r="AN246" s="17"/>
      <c r="AO246" s="17"/>
    </row>
    <row r="247" spans="18:41" x14ac:dyDescent="0.3">
      <c r="R247" s="14">
        <v>44651</v>
      </c>
      <c r="S247" s="15">
        <v>46565</v>
      </c>
      <c r="T247" s="55">
        <f t="shared" si="71"/>
        <v>6007.3140999999996</v>
      </c>
      <c r="U247" s="63">
        <f t="shared" si="70"/>
        <v>46565</v>
      </c>
      <c r="V247" s="63">
        <f t="shared" si="73"/>
        <v>331013</v>
      </c>
      <c r="W247" s="64">
        <f t="shared" si="72"/>
        <v>1195943.6000000001</v>
      </c>
      <c r="X247" s="65">
        <f t="shared" si="74"/>
        <v>27.677977456461996</v>
      </c>
      <c r="Y247" s="64"/>
      <c r="Z247" s="70">
        <v>37437</v>
      </c>
      <c r="AA247" s="68">
        <v>720</v>
      </c>
      <c r="AB247" s="55"/>
      <c r="AC247" s="55"/>
      <c r="AD247" s="55"/>
      <c r="AG247" s="16"/>
      <c r="AH247" s="17"/>
      <c r="AI247" s="17"/>
      <c r="AJ247" s="17"/>
      <c r="AK247" s="17"/>
      <c r="AL247" s="17"/>
      <c r="AM247" s="17"/>
      <c r="AN247" s="17"/>
      <c r="AO247" s="17"/>
    </row>
    <row r="248" spans="18:41" x14ac:dyDescent="0.3">
      <c r="R248" s="14">
        <v>44681</v>
      </c>
      <c r="S248" s="15">
        <v>9327</v>
      </c>
      <c r="T248" s="55">
        <f t="shared" si="71"/>
        <v>3410.8209000000002</v>
      </c>
      <c r="U248" s="63">
        <f t="shared" si="70"/>
        <v>9327</v>
      </c>
      <c r="V248" s="63">
        <f t="shared" si="73"/>
        <v>321770</v>
      </c>
      <c r="W248" s="64">
        <f t="shared" si="72"/>
        <v>1195943.6000000001</v>
      </c>
      <c r="X248" s="65">
        <f t="shared" si="74"/>
        <v>26.905114923479665</v>
      </c>
      <c r="Y248" s="64"/>
      <c r="Z248" s="70">
        <v>37407</v>
      </c>
      <c r="AA248" s="68">
        <v>200</v>
      </c>
      <c r="AB248" s="55"/>
      <c r="AC248" s="55"/>
      <c r="AD248" s="55"/>
      <c r="AG248" s="16"/>
      <c r="AH248" s="17"/>
      <c r="AI248" s="17"/>
      <c r="AJ248" s="17"/>
      <c r="AK248" s="17"/>
      <c r="AL248" s="17"/>
      <c r="AM248" s="17"/>
      <c r="AN248" s="17"/>
      <c r="AO248" s="17"/>
    </row>
    <row r="249" spans="18:41" x14ac:dyDescent="0.3">
      <c r="R249" s="14">
        <v>44712</v>
      </c>
      <c r="S249" s="15">
        <v>28415</v>
      </c>
      <c r="T249" s="55">
        <f t="shared" si="71"/>
        <v>12022.583699999999</v>
      </c>
      <c r="U249" s="63">
        <f t="shared" ref="U249:U259" si="75">S249</f>
        <v>28415</v>
      </c>
      <c r="V249" s="63">
        <f t="shared" si="73"/>
        <v>330663</v>
      </c>
      <c r="W249" s="64">
        <f t="shared" si="72"/>
        <v>1195943.6000000001</v>
      </c>
      <c r="X249" s="65">
        <f t="shared" si="74"/>
        <v>27.648711862331965</v>
      </c>
      <c r="Y249" s="64"/>
      <c r="Z249" s="70">
        <v>37376</v>
      </c>
      <c r="AA249" s="68">
        <v>560</v>
      </c>
      <c r="AB249" s="55"/>
      <c r="AC249" s="55"/>
      <c r="AD249" s="55"/>
      <c r="AG249" s="16"/>
      <c r="AH249" s="17"/>
      <c r="AI249" s="17"/>
      <c r="AJ249" s="17"/>
      <c r="AK249" s="17"/>
      <c r="AL249" s="17"/>
      <c r="AM249" s="17"/>
      <c r="AN249" s="17"/>
      <c r="AO249" s="17"/>
    </row>
    <row r="250" spans="18:41" x14ac:dyDescent="0.3">
      <c r="R250" s="14">
        <v>44742</v>
      </c>
      <c r="S250" s="15">
        <v>51926</v>
      </c>
      <c r="T250" s="55">
        <f t="shared" si="71"/>
        <v>17012.5016</v>
      </c>
      <c r="U250" s="63">
        <f t="shared" si="75"/>
        <v>51926</v>
      </c>
      <c r="V250" s="63">
        <f t="shared" si="73"/>
        <v>345572</v>
      </c>
      <c r="W250" s="64">
        <f t="shared" si="72"/>
        <v>1207075.8999999999</v>
      </c>
      <c r="X250" s="65">
        <f t="shared" si="74"/>
        <v>28.628854241891506</v>
      </c>
      <c r="Y250" s="64"/>
      <c r="Z250" s="70">
        <v>37346</v>
      </c>
      <c r="AA250" s="55">
        <v>96.7</v>
      </c>
      <c r="AB250" s="55"/>
      <c r="AC250" s="55"/>
      <c r="AD250" s="55"/>
      <c r="AG250" s="16"/>
      <c r="AH250" s="17"/>
      <c r="AI250" s="17"/>
      <c r="AJ250" s="17"/>
      <c r="AK250" s="17"/>
      <c r="AL250" s="17"/>
      <c r="AM250" s="17"/>
      <c r="AN250" s="17"/>
      <c r="AO250" s="17"/>
    </row>
    <row r="251" spans="18:41" x14ac:dyDescent="0.3">
      <c r="R251" s="14">
        <v>44773</v>
      </c>
      <c r="S251" s="15">
        <v>7785</v>
      </c>
      <c r="T251" s="55">
        <f t="shared" si="71"/>
        <v>3083.3236000000002</v>
      </c>
      <c r="U251" s="63">
        <f t="shared" si="75"/>
        <v>7785</v>
      </c>
      <c r="V251" s="63">
        <f t="shared" si="73"/>
        <v>342605</v>
      </c>
      <c r="W251" s="64">
        <f t="shared" si="72"/>
        <v>1207075.8999999999</v>
      </c>
      <c r="X251" s="65">
        <f t="shared" si="74"/>
        <v>28.383053625708211</v>
      </c>
      <c r="Y251" s="64"/>
      <c r="Z251" s="55"/>
      <c r="AA251" s="55"/>
      <c r="AB251" s="55"/>
      <c r="AC251" s="55"/>
      <c r="AD251" s="55"/>
      <c r="AG251" s="16"/>
      <c r="AH251" s="17"/>
      <c r="AI251" s="17"/>
      <c r="AJ251" s="17"/>
      <c r="AK251" s="17"/>
      <c r="AL251" s="17"/>
      <c r="AM251" s="17"/>
      <c r="AN251" s="17"/>
      <c r="AO251" s="17"/>
    </row>
    <row r="252" spans="18:41" x14ac:dyDescent="0.3">
      <c r="R252" s="14">
        <v>44804</v>
      </c>
      <c r="S252" s="15">
        <v>24712</v>
      </c>
      <c r="T252" s="55">
        <f t="shared" si="71"/>
        <v>2606.1214</v>
      </c>
      <c r="U252" s="63">
        <f t="shared" si="75"/>
        <v>24712</v>
      </c>
      <c r="V252" s="63">
        <f t="shared" si="73"/>
        <v>337424</v>
      </c>
      <c r="W252" s="64">
        <f t="shared" si="72"/>
        <v>1207075.8999999999</v>
      </c>
      <c r="X252" s="65">
        <f t="shared" si="74"/>
        <v>27.953834551746088</v>
      </c>
      <c r="Y252" s="64"/>
      <c r="Z252" s="55"/>
      <c r="AA252" s="55"/>
      <c r="AB252" s="55"/>
      <c r="AC252" s="55"/>
      <c r="AD252" s="55"/>
      <c r="AG252" s="16"/>
      <c r="AH252" s="17"/>
      <c r="AI252" s="17"/>
      <c r="AJ252" s="17"/>
      <c r="AK252" s="17"/>
      <c r="AL252" s="17"/>
      <c r="AM252" s="17"/>
      <c r="AN252" s="17"/>
      <c r="AO252" s="17"/>
    </row>
    <row r="253" spans="18:41" x14ac:dyDescent="0.3">
      <c r="R253" s="14">
        <v>44834</v>
      </c>
      <c r="S253" s="15">
        <v>35411</v>
      </c>
      <c r="T253" s="55">
        <f t="shared" si="71"/>
        <v>4966.4399000000003</v>
      </c>
      <c r="U253" s="63">
        <f t="shared" si="75"/>
        <v>35411</v>
      </c>
      <c r="V253" s="63">
        <f t="shared" si="73"/>
        <v>343809</v>
      </c>
      <c r="W253" s="64">
        <f t="shared" si="72"/>
        <v>1224513.6000000001</v>
      </c>
      <c r="X253" s="65">
        <f t="shared" si="74"/>
        <v>28.077189179442353</v>
      </c>
      <c r="Y253" s="64"/>
      <c r="Z253" s="55"/>
      <c r="AA253" s="55"/>
      <c r="AB253" s="55"/>
      <c r="AC253" s="55"/>
      <c r="AD253" s="55"/>
      <c r="AG253" s="16"/>
      <c r="AH253" s="17"/>
      <c r="AI253" s="17"/>
      <c r="AJ253" s="17"/>
      <c r="AK253" s="17"/>
      <c r="AL253" s="17"/>
      <c r="AM253" s="17"/>
      <c r="AN253" s="17"/>
      <c r="AO253" s="17"/>
    </row>
    <row r="254" spans="18:41" x14ac:dyDescent="0.3">
      <c r="R254" s="14">
        <v>44865</v>
      </c>
      <c r="S254" s="15">
        <v>9134</v>
      </c>
      <c r="T254" s="55" t="e">
        <f t="shared" si="71"/>
        <v>#N/A</v>
      </c>
      <c r="U254" s="63">
        <f t="shared" si="75"/>
        <v>9134</v>
      </c>
      <c r="V254" s="63">
        <f t="shared" si="73"/>
        <v>336767</v>
      </c>
      <c r="W254" s="64">
        <f t="shared" si="72"/>
        <v>1224513.6000000001</v>
      </c>
      <c r="X254" s="65">
        <f t="shared" si="74"/>
        <v>27.502103692437551</v>
      </c>
      <c r="Y254" s="64"/>
      <c r="Z254" s="55"/>
      <c r="AA254" s="55"/>
      <c r="AB254" s="55"/>
      <c r="AC254" s="55"/>
      <c r="AD254" s="55"/>
      <c r="AG254" s="16"/>
      <c r="AH254" s="17"/>
      <c r="AI254" s="17"/>
      <c r="AJ254" s="17"/>
      <c r="AK254" s="17"/>
      <c r="AL254" s="17"/>
      <c r="AM254" s="17"/>
      <c r="AN254" s="17"/>
      <c r="AO254" s="17"/>
    </row>
    <row r="255" spans="18:41" x14ac:dyDescent="0.3">
      <c r="R255" s="14">
        <v>44895</v>
      </c>
      <c r="S255" s="15">
        <v>19837</v>
      </c>
      <c r="T255" s="55" t="e">
        <f t="shared" si="71"/>
        <v>#N/A</v>
      </c>
      <c r="U255" s="63">
        <f t="shared" si="75"/>
        <v>19837</v>
      </c>
      <c r="V255" s="63">
        <f t="shared" si="73"/>
        <v>330621</v>
      </c>
      <c r="W255" s="64">
        <f t="shared" si="72"/>
        <v>1224513.6000000001</v>
      </c>
      <c r="X255" s="65">
        <f t="shared" si="74"/>
        <v>27.000190116304136</v>
      </c>
      <c r="Y255" s="55"/>
      <c r="Z255" s="55"/>
      <c r="AA255" s="55"/>
      <c r="AB255" s="55"/>
      <c r="AC255" s="55"/>
      <c r="AD255" s="55"/>
      <c r="AG255" s="16"/>
      <c r="AH255" s="17"/>
      <c r="AI255" s="17"/>
      <c r="AJ255" s="17"/>
      <c r="AK255" s="17"/>
      <c r="AL255" s="17"/>
      <c r="AM255" s="17"/>
      <c r="AN255" s="17"/>
      <c r="AO255" s="17"/>
    </row>
    <row r="256" spans="18:41" x14ac:dyDescent="0.3">
      <c r="R256" s="14">
        <v>44926</v>
      </c>
      <c r="S256" s="15">
        <v>13063</v>
      </c>
      <c r="T256" s="55" t="e">
        <f t="shared" si="71"/>
        <v>#N/A</v>
      </c>
      <c r="U256" s="63">
        <f t="shared" si="75"/>
        <v>13063</v>
      </c>
      <c r="V256" s="63">
        <f t="shared" si="73"/>
        <v>320104</v>
      </c>
      <c r="W256" s="64">
        <f t="shared" si="72"/>
        <v>1234029.3</v>
      </c>
      <c r="X256" s="65">
        <f t="shared" si="74"/>
        <v>25.93974065283539</v>
      </c>
      <c r="Y256" s="55"/>
      <c r="Z256" s="55"/>
      <c r="AA256" s="55"/>
      <c r="AB256" s="55"/>
      <c r="AC256" s="55"/>
      <c r="AD256" s="55"/>
      <c r="AG256" s="16"/>
      <c r="AH256" s="17"/>
      <c r="AI256" s="17"/>
      <c r="AJ256" s="17"/>
      <c r="AK256" s="17"/>
      <c r="AL256" s="17"/>
      <c r="AM256" s="17"/>
      <c r="AN256" s="17"/>
      <c r="AO256" s="17"/>
    </row>
    <row r="257" spans="18:41" x14ac:dyDescent="0.3">
      <c r="R257" s="14">
        <v>44957</v>
      </c>
      <c r="S257" s="15">
        <v>59956</v>
      </c>
      <c r="T257" s="55" t="e">
        <f t="shared" si="71"/>
        <v>#N/A</v>
      </c>
      <c r="U257" s="63">
        <f t="shared" si="75"/>
        <v>59956</v>
      </c>
      <c r="V257" s="63">
        <f t="shared" si="73"/>
        <v>318301</v>
      </c>
      <c r="W257" s="64">
        <f t="shared" si="72"/>
        <v>1234029.3</v>
      </c>
      <c r="X257" s="65">
        <f t="shared" si="74"/>
        <v>25.793633911285575</v>
      </c>
      <c r="Y257" s="55"/>
      <c r="Z257" s="55"/>
      <c r="AA257" s="55"/>
      <c r="AB257" s="55"/>
      <c r="AC257" s="55"/>
      <c r="AD257" s="55"/>
      <c r="AG257" s="16"/>
      <c r="AH257" s="17"/>
      <c r="AI257" s="17"/>
      <c r="AJ257" s="17"/>
      <c r="AK257" s="17"/>
      <c r="AL257" s="17"/>
      <c r="AM257" s="17"/>
      <c r="AN257" s="17"/>
      <c r="AO257" s="17"/>
    </row>
    <row r="258" spans="18:41" x14ac:dyDescent="0.3">
      <c r="R258" s="14">
        <v>44985</v>
      </c>
      <c r="S258" s="15">
        <v>31610</v>
      </c>
      <c r="T258" s="55" t="e">
        <f t="shared" si="71"/>
        <v>#N/A</v>
      </c>
      <c r="U258" s="63">
        <f t="shared" si="75"/>
        <v>31610</v>
      </c>
      <c r="V258" s="63">
        <f t="shared" si="73"/>
        <v>337741</v>
      </c>
      <c r="W258" s="64">
        <f t="shared" si="72"/>
        <v>1234029.3</v>
      </c>
      <c r="X258" s="65">
        <f t="shared" si="74"/>
        <v>27.368961174584751</v>
      </c>
      <c r="Y258" s="55"/>
      <c r="Z258" s="55"/>
      <c r="AA258" s="55"/>
      <c r="AB258" s="55"/>
      <c r="AC258" s="55"/>
      <c r="AD258" s="55"/>
      <c r="AG258" s="16"/>
      <c r="AH258" s="17"/>
      <c r="AI258" s="17"/>
      <c r="AJ258" s="17"/>
      <c r="AK258" s="17"/>
      <c r="AL258" s="17"/>
      <c r="AM258" s="17"/>
      <c r="AN258" s="17"/>
      <c r="AO258" s="17"/>
    </row>
    <row r="259" spans="18:41" x14ac:dyDescent="0.3">
      <c r="R259" s="14">
        <v>45016</v>
      </c>
      <c r="S259" s="15">
        <v>53867</v>
      </c>
      <c r="T259" s="55" t="e">
        <f t="shared" si="71"/>
        <v>#N/A</v>
      </c>
      <c r="U259" s="63">
        <f t="shared" si="75"/>
        <v>53867</v>
      </c>
      <c r="V259" s="63">
        <f t="shared" si="73"/>
        <v>345043</v>
      </c>
      <c r="W259" s="64">
        <f t="shared" si="72"/>
        <v>1249222.3</v>
      </c>
      <c r="X259" s="65">
        <f t="shared" si="74"/>
        <v>27.620624447706383</v>
      </c>
      <c r="Y259" s="55"/>
      <c r="Z259" s="55"/>
      <c r="AA259" s="55"/>
      <c r="AB259" s="55"/>
      <c r="AC259" s="55"/>
      <c r="AD259" s="55"/>
      <c r="AG259" s="16"/>
      <c r="AH259" s="17"/>
      <c r="AI259" s="17"/>
      <c r="AJ259" s="17"/>
      <c r="AK259" s="17"/>
      <c r="AL259" s="17"/>
      <c r="AM259" s="17"/>
      <c r="AN259" s="17"/>
      <c r="AO259" s="17"/>
    </row>
    <row r="260" spans="18:41" x14ac:dyDescent="0.3">
      <c r="R260" s="14">
        <v>45046</v>
      </c>
      <c r="S260" s="15">
        <v>12249</v>
      </c>
      <c r="T260" s="55" t="e">
        <f t="shared" si="71"/>
        <v>#N/A</v>
      </c>
      <c r="U260" s="63">
        <f t="shared" ref="U260:U288" si="76">IF(ISBLANK(S260),#N/A,S260)</f>
        <v>12249</v>
      </c>
      <c r="V260" s="63">
        <f t="shared" si="73"/>
        <v>347965</v>
      </c>
      <c r="W260" s="64">
        <f t="shared" si="72"/>
        <v>1249222.3</v>
      </c>
      <c r="X260" s="65">
        <f t="shared" si="74"/>
        <v>27.854529974368852</v>
      </c>
      <c r="Y260" s="55"/>
      <c r="Z260" s="55"/>
      <c r="AA260" s="55"/>
      <c r="AB260" s="55"/>
      <c r="AC260" s="55"/>
      <c r="AD260" s="55"/>
      <c r="AG260" s="16"/>
      <c r="AH260" s="17"/>
      <c r="AI260" s="17"/>
      <c r="AJ260" s="17"/>
      <c r="AK260" s="17"/>
      <c r="AL260" s="17"/>
      <c r="AM260" s="17"/>
      <c r="AN260" s="17"/>
      <c r="AO260" s="17"/>
    </row>
    <row r="261" spans="18:41" x14ac:dyDescent="0.3">
      <c r="R261" s="14">
        <v>45077</v>
      </c>
      <c r="S261" s="15">
        <v>15560</v>
      </c>
      <c r="T261" s="55" t="e">
        <f t="shared" ref="T261:T288" si="77">VLOOKUP(R261,Z:AA,2,0)</f>
        <v>#N/A</v>
      </c>
      <c r="U261" s="63">
        <f t="shared" si="76"/>
        <v>15560</v>
      </c>
      <c r="V261" s="63">
        <f t="shared" si="73"/>
        <v>335110</v>
      </c>
      <c r="W261" s="64">
        <f t="shared" ref="W261:W288" si="78">VLOOKUP(R261,AC:AD,2,1)</f>
        <v>1249222.3</v>
      </c>
      <c r="X261" s="65">
        <f t="shared" si="74"/>
        <v>26.825489746700811</v>
      </c>
      <c r="Y261" s="55"/>
      <c r="Z261" s="55"/>
      <c r="AA261" s="55"/>
      <c r="AB261" s="55"/>
      <c r="AC261" s="55"/>
      <c r="AD261" s="55"/>
      <c r="AG261" s="16"/>
      <c r="AH261" s="17"/>
      <c r="AI261" s="17"/>
      <c r="AJ261" s="17"/>
      <c r="AK261" s="17"/>
      <c r="AL261" s="17"/>
      <c r="AM261" s="17"/>
      <c r="AN261" s="17"/>
      <c r="AO261" s="17"/>
    </row>
    <row r="262" spans="18:41" x14ac:dyDescent="0.3">
      <c r="R262" s="14">
        <v>45107</v>
      </c>
      <c r="S262" s="15">
        <v>42265</v>
      </c>
      <c r="T262" s="55" t="e">
        <f t="shared" si="77"/>
        <v>#N/A</v>
      </c>
      <c r="U262" s="63">
        <f t="shared" si="76"/>
        <v>42265</v>
      </c>
      <c r="V262" s="63">
        <f t="shared" si="73"/>
        <v>325449</v>
      </c>
      <c r="W262" s="64">
        <f t="shared" si="78"/>
        <v>1266348.3</v>
      </c>
      <c r="X262" s="65">
        <f t="shared" si="74"/>
        <v>25.699801547488949</v>
      </c>
      <c r="Y262" s="55"/>
      <c r="Z262" s="55"/>
      <c r="AA262" s="55"/>
      <c r="AB262" s="55"/>
      <c r="AC262" s="55"/>
      <c r="AD262" s="55"/>
      <c r="AG262" s="16"/>
      <c r="AH262" s="17"/>
      <c r="AI262" s="17"/>
      <c r="AJ262" s="17"/>
      <c r="AK262" s="17"/>
      <c r="AL262" s="17"/>
      <c r="AM262" s="17"/>
      <c r="AN262" s="17"/>
      <c r="AO262" s="17"/>
    </row>
    <row r="263" spans="18:41" x14ac:dyDescent="0.3">
      <c r="R263" s="14">
        <v>45138</v>
      </c>
      <c r="S263" s="15">
        <v>5366</v>
      </c>
      <c r="T263" s="55" t="e">
        <f t="shared" si="77"/>
        <v>#N/A</v>
      </c>
      <c r="U263" s="63">
        <f t="shared" si="76"/>
        <v>5366</v>
      </c>
      <c r="V263" s="63">
        <f t="shared" si="73"/>
        <v>323030</v>
      </c>
      <c r="W263" s="64">
        <f t="shared" si="78"/>
        <v>1266348.3</v>
      </c>
      <c r="X263" s="65">
        <f t="shared" si="74"/>
        <v>25.508779851483197</v>
      </c>
      <c r="Y263" s="55"/>
      <c r="Z263" s="55"/>
      <c r="AA263" s="55"/>
      <c r="AB263" s="55"/>
      <c r="AC263" s="55"/>
      <c r="AD263" s="55"/>
      <c r="AG263" s="16"/>
      <c r="AH263" s="17"/>
      <c r="AI263" s="17"/>
      <c r="AJ263" s="17"/>
      <c r="AK263" s="17"/>
      <c r="AL263" s="17"/>
      <c r="AM263" s="17"/>
      <c r="AN263" s="17"/>
      <c r="AO263" s="17"/>
    </row>
    <row r="264" spans="18:41" x14ac:dyDescent="0.3">
      <c r="R264" s="14">
        <v>45169</v>
      </c>
      <c r="S264" s="15">
        <v>31279</v>
      </c>
      <c r="T264" s="55" t="e">
        <f t="shared" si="77"/>
        <v>#N/A</v>
      </c>
      <c r="U264" s="63">
        <f t="shared" si="76"/>
        <v>31279</v>
      </c>
      <c r="V264" s="63">
        <f t="shared" si="73"/>
        <v>329597</v>
      </c>
      <c r="W264" s="64">
        <f t="shared" si="78"/>
        <v>1266348.3</v>
      </c>
      <c r="X264" s="65">
        <f t="shared" si="74"/>
        <v>26.027357560317334</v>
      </c>
      <c r="Y264" s="55"/>
      <c r="Z264" s="55"/>
      <c r="AA264" s="55"/>
      <c r="AB264" s="55"/>
      <c r="AC264" s="55"/>
      <c r="AD264" s="55"/>
      <c r="AG264" s="16"/>
      <c r="AH264" s="17"/>
      <c r="AI264" s="17"/>
      <c r="AJ264" s="17"/>
      <c r="AK264" s="17"/>
      <c r="AL264" s="17"/>
      <c r="AM264" s="17"/>
      <c r="AN264" s="17"/>
      <c r="AO264" s="17"/>
    </row>
    <row r="265" spans="18:41" x14ac:dyDescent="0.3">
      <c r="R265" s="14">
        <v>45199</v>
      </c>
      <c r="S265" s="15">
        <v>41326</v>
      </c>
      <c r="T265" s="55" t="e">
        <f t="shared" si="77"/>
        <v>#N/A</v>
      </c>
      <c r="U265" s="63">
        <f t="shared" si="76"/>
        <v>41326</v>
      </c>
      <c r="V265" s="63">
        <f t="shared" si="73"/>
        <v>335512</v>
      </c>
      <c r="W265" s="64">
        <f t="shared" si="78"/>
        <v>1279389.3999999999</v>
      </c>
      <c r="X265" s="65">
        <f t="shared" si="74"/>
        <v>26.224384851085997</v>
      </c>
      <c r="Y265" s="55"/>
      <c r="Z265" s="55"/>
      <c r="AA265" s="55"/>
      <c r="AB265" s="55"/>
      <c r="AC265" s="55"/>
      <c r="AD265" s="55"/>
      <c r="AG265" s="16"/>
      <c r="AH265" s="17"/>
      <c r="AI265" s="17"/>
      <c r="AJ265" s="17"/>
      <c r="AK265" s="17"/>
      <c r="AL265" s="17"/>
      <c r="AM265" s="17"/>
      <c r="AN265" s="17"/>
      <c r="AO265" s="17"/>
    </row>
    <row r="266" spans="18:41" x14ac:dyDescent="0.3">
      <c r="R266" s="14">
        <v>45230</v>
      </c>
      <c r="S266" s="15">
        <v>18441</v>
      </c>
      <c r="T266" s="55" t="e">
        <f t="shared" si="77"/>
        <v>#N/A</v>
      </c>
      <c r="U266" s="63">
        <f t="shared" si="76"/>
        <v>18441</v>
      </c>
      <c r="V266" s="63">
        <f t="shared" si="73"/>
        <v>344819</v>
      </c>
      <c r="W266" s="64">
        <f t="shared" si="78"/>
        <v>1279389.3999999999</v>
      </c>
      <c r="X266" s="65">
        <f t="shared" si="74"/>
        <v>26.951841245519155</v>
      </c>
      <c r="Y266" s="55"/>
      <c r="Z266" s="55"/>
      <c r="AA266" s="55"/>
      <c r="AB266" s="55"/>
      <c r="AC266" s="55"/>
      <c r="AD266" s="55"/>
      <c r="AG266" s="16"/>
      <c r="AH266" s="17"/>
      <c r="AI266" s="17"/>
      <c r="AJ266" s="17"/>
      <c r="AK266" s="17"/>
      <c r="AL266" s="17"/>
      <c r="AM266" s="17"/>
      <c r="AN266" s="17"/>
      <c r="AO266" s="17"/>
    </row>
    <row r="267" spans="18:41" x14ac:dyDescent="0.3">
      <c r="R267" s="14">
        <v>45260</v>
      </c>
      <c r="S267" s="15">
        <v>24554</v>
      </c>
      <c r="T267" s="55" t="e">
        <f t="shared" si="77"/>
        <v>#N/A</v>
      </c>
      <c r="U267" s="63">
        <f t="shared" si="76"/>
        <v>24554</v>
      </c>
      <c r="V267" s="63">
        <f t="shared" si="73"/>
        <v>349536</v>
      </c>
      <c r="W267" s="64">
        <f t="shared" si="78"/>
        <v>1279389.3999999999</v>
      </c>
      <c r="X267" s="65">
        <f t="shared" si="74"/>
        <v>27.320532747887395</v>
      </c>
      <c r="Y267" s="55"/>
      <c r="Z267" s="55"/>
      <c r="AA267" s="55"/>
      <c r="AB267" s="55"/>
      <c r="AC267" s="55"/>
      <c r="AD267" s="55"/>
      <c r="AG267" s="16"/>
      <c r="AH267" s="17"/>
      <c r="AI267" s="17"/>
      <c r="AJ267" s="17"/>
      <c r="AK267" s="17"/>
      <c r="AL267" s="17"/>
      <c r="AM267" s="17"/>
      <c r="AN267" s="17"/>
      <c r="AO267" s="17"/>
    </row>
    <row r="268" spans="18:41" x14ac:dyDescent="0.3">
      <c r="R268" s="14">
        <v>45291</v>
      </c>
      <c r="S268" s="15">
        <v>19326</v>
      </c>
      <c r="T268" s="55" t="e">
        <f t="shared" si="77"/>
        <v>#N/A</v>
      </c>
      <c r="U268" s="63">
        <f t="shared" si="76"/>
        <v>19326</v>
      </c>
      <c r="V268" s="63">
        <f t="shared" si="73"/>
        <v>355799</v>
      </c>
      <c r="W268" s="64">
        <f t="shared" si="78"/>
        <v>1294271.8</v>
      </c>
      <c r="X268" s="65">
        <f t="shared" si="74"/>
        <v>27.490284498202001</v>
      </c>
      <c r="Y268" s="55"/>
      <c r="Z268" s="55"/>
      <c r="AA268" s="55"/>
      <c r="AB268" s="55"/>
      <c r="AC268" s="55"/>
      <c r="AD268" s="55"/>
      <c r="AG268" s="16"/>
      <c r="AH268" s="17"/>
      <c r="AI268" s="17"/>
      <c r="AJ268" s="17"/>
      <c r="AK268" s="17"/>
      <c r="AL268" s="17"/>
      <c r="AM268" s="17"/>
      <c r="AN268" s="17"/>
      <c r="AO268" s="17"/>
    </row>
    <row r="269" spans="18:41" x14ac:dyDescent="0.3">
      <c r="R269" s="14">
        <v>45322</v>
      </c>
      <c r="S269" s="15">
        <v>64734</v>
      </c>
      <c r="T269" s="55" t="e">
        <f t="shared" si="77"/>
        <v>#N/A</v>
      </c>
      <c r="U269" s="63">
        <f t="shared" si="76"/>
        <v>64734</v>
      </c>
      <c r="V269" s="63">
        <f t="shared" si="73"/>
        <v>360577</v>
      </c>
      <c r="W269" s="64">
        <f t="shared" si="78"/>
        <v>1294271.8</v>
      </c>
      <c r="X269" s="65">
        <f t="shared" si="74"/>
        <v>27.859449614833608</v>
      </c>
      <c r="Y269" s="55"/>
      <c r="Z269" s="55"/>
      <c r="AA269" s="55"/>
      <c r="AB269" s="55"/>
      <c r="AC269" s="55"/>
      <c r="AD269" s="55"/>
      <c r="AG269" s="16"/>
      <c r="AH269" s="17"/>
      <c r="AI269" s="17"/>
      <c r="AJ269" s="17"/>
      <c r="AK269" s="17"/>
      <c r="AL269" s="17"/>
      <c r="AM269" s="17"/>
      <c r="AN269" s="17"/>
      <c r="AO269" s="17"/>
    </row>
    <row r="270" spans="18:41" x14ac:dyDescent="0.3">
      <c r="R270" s="14">
        <v>45351</v>
      </c>
      <c r="S270" s="15">
        <v>14959</v>
      </c>
      <c r="T270" s="55" t="e">
        <f t="shared" si="77"/>
        <v>#N/A</v>
      </c>
      <c r="U270" s="63">
        <f t="shared" si="76"/>
        <v>14959</v>
      </c>
      <c r="V270" s="63">
        <f t="shared" si="73"/>
        <v>343926</v>
      </c>
      <c r="W270" s="64">
        <f t="shared" si="78"/>
        <v>1294271.8</v>
      </c>
      <c r="X270" s="65">
        <f t="shared" si="74"/>
        <v>26.572934680335301</v>
      </c>
      <c r="Y270" s="55"/>
      <c r="Z270" s="55"/>
      <c r="AA270" s="55"/>
      <c r="AB270" s="55"/>
      <c r="AC270" s="55"/>
      <c r="AD270" s="55"/>
      <c r="AG270" s="16"/>
      <c r="AH270" s="17"/>
      <c r="AI270" s="17"/>
      <c r="AJ270" s="17"/>
      <c r="AK270" s="17"/>
      <c r="AL270" s="17"/>
      <c r="AM270" s="17"/>
      <c r="AN270" s="17"/>
      <c r="AO270" s="17"/>
    </row>
    <row r="271" spans="18:41" x14ac:dyDescent="0.3">
      <c r="R271" s="14">
        <v>45382</v>
      </c>
      <c r="S271" s="15">
        <v>48335</v>
      </c>
      <c r="T271" s="55" t="e">
        <f t="shared" si="77"/>
        <v>#N/A</v>
      </c>
      <c r="U271" s="63">
        <f t="shared" si="76"/>
        <v>48335</v>
      </c>
      <c r="V271" s="63">
        <f t="shared" si="73"/>
        <v>338394</v>
      </c>
      <c r="W271" s="64">
        <f t="shared" si="78"/>
        <v>1306428.2</v>
      </c>
      <c r="X271" s="65">
        <f t="shared" si="74"/>
        <v>25.902227156456053</v>
      </c>
      <c r="Y271" s="55"/>
      <c r="Z271" s="55"/>
      <c r="AA271" s="55"/>
      <c r="AB271" s="55"/>
      <c r="AC271" s="55"/>
      <c r="AD271" s="55"/>
      <c r="AG271" s="16"/>
      <c r="AH271" s="17"/>
      <c r="AI271" s="17"/>
      <c r="AJ271" s="17"/>
      <c r="AK271" s="17"/>
      <c r="AL271" s="17"/>
      <c r="AM271" s="17"/>
      <c r="AN271" s="17"/>
      <c r="AO271" s="17"/>
    </row>
    <row r="272" spans="18:41" x14ac:dyDescent="0.3">
      <c r="R272" s="14">
        <v>45412</v>
      </c>
      <c r="S272" s="15">
        <v>-658</v>
      </c>
      <c r="T272" s="55" t="e">
        <f t="shared" si="77"/>
        <v>#N/A</v>
      </c>
      <c r="U272" s="63">
        <f t="shared" si="76"/>
        <v>-658</v>
      </c>
      <c r="V272" s="63">
        <f t="shared" ref="V272:V288" si="79">SUM(U261:U272)</f>
        <v>325487</v>
      </c>
      <c r="W272" s="64">
        <f t="shared" si="78"/>
        <v>1306428.2</v>
      </c>
      <c r="X272" s="65">
        <f t="shared" ref="X272:X288" si="80">V272/W272*100</f>
        <v>24.914266241344148</v>
      </c>
      <c r="Y272" s="55"/>
      <c r="Z272" s="55"/>
      <c r="AA272" s="55"/>
      <c r="AB272" s="55"/>
      <c r="AC272" s="55"/>
      <c r="AD272" s="55"/>
      <c r="AG272" s="16"/>
      <c r="AH272" s="17"/>
      <c r="AI272" s="17"/>
      <c r="AJ272" s="17"/>
      <c r="AK272" s="17"/>
      <c r="AL272" s="17"/>
      <c r="AM272" s="17"/>
      <c r="AN272" s="17"/>
      <c r="AO272" s="17"/>
    </row>
    <row r="273" spans="18:46" x14ac:dyDescent="0.3">
      <c r="R273" s="14">
        <v>45443</v>
      </c>
      <c r="S273" s="15">
        <v>20623</v>
      </c>
      <c r="T273" s="55" t="e">
        <f t="shared" si="77"/>
        <v>#N/A</v>
      </c>
      <c r="U273" s="63">
        <f t="shared" si="76"/>
        <v>20623</v>
      </c>
      <c r="V273" s="63">
        <f t="shared" si="79"/>
        <v>330550</v>
      </c>
      <c r="W273" s="64">
        <f t="shared" si="78"/>
        <v>1306428.2</v>
      </c>
      <c r="X273" s="65">
        <f t="shared" si="80"/>
        <v>25.301811458142133</v>
      </c>
      <c r="Y273" s="55"/>
      <c r="Z273" s="55"/>
      <c r="AA273" s="55"/>
      <c r="AB273" s="55"/>
      <c r="AC273" s="55"/>
      <c r="AD273" s="55"/>
      <c r="AG273" s="16"/>
      <c r="AH273" s="17"/>
      <c r="AI273" s="17"/>
      <c r="AJ273" s="17"/>
      <c r="AK273" s="17"/>
      <c r="AL273" s="17"/>
      <c r="AM273" s="17"/>
      <c r="AN273" s="17"/>
      <c r="AO273" s="17"/>
      <c r="AT273" s="81"/>
    </row>
    <row r="274" spans="18:46" x14ac:dyDescent="0.3">
      <c r="R274" s="14">
        <v>45473</v>
      </c>
      <c r="S274" s="15">
        <v>32985</v>
      </c>
      <c r="T274" s="55" t="e">
        <f t="shared" si="77"/>
        <v>#N/A</v>
      </c>
      <c r="U274" s="63">
        <f t="shared" si="76"/>
        <v>32985</v>
      </c>
      <c r="V274" s="63">
        <f t="shared" si="79"/>
        <v>321270</v>
      </c>
      <c r="W274" s="64">
        <f t="shared" si="78"/>
        <v>1318776.1000000001</v>
      </c>
      <c r="X274" s="65">
        <f t="shared" si="80"/>
        <v>24.361224016722776</v>
      </c>
      <c r="Y274" s="55"/>
      <c r="Z274" s="55"/>
      <c r="AA274" s="55"/>
      <c r="AB274" s="55"/>
      <c r="AC274" s="55"/>
      <c r="AD274" s="55"/>
      <c r="AG274" s="16"/>
      <c r="AH274" s="17"/>
      <c r="AI274" s="17"/>
      <c r="AJ274" s="17"/>
      <c r="AK274" s="17"/>
      <c r="AL274" s="17"/>
      <c r="AM274" s="17"/>
      <c r="AN274" s="17"/>
      <c r="AO274" s="17"/>
      <c r="AT274" s="81"/>
    </row>
    <row r="275" spans="18:46" x14ac:dyDescent="0.3">
      <c r="R275" s="14">
        <v>45504</v>
      </c>
      <c r="S275" s="15">
        <v>7707</v>
      </c>
      <c r="T275" s="55" t="e">
        <f t="shared" si="77"/>
        <v>#N/A</v>
      </c>
      <c r="U275" s="63">
        <f t="shared" si="76"/>
        <v>7707</v>
      </c>
      <c r="V275" s="63">
        <f t="shared" si="79"/>
        <v>323611</v>
      </c>
      <c r="W275" s="64">
        <f t="shared" si="78"/>
        <v>1318776.1000000001</v>
      </c>
      <c r="X275" s="65">
        <f t="shared" si="80"/>
        <v>24.538737091155959</v>
      </c>
      <c r="Y275" s="55"/>
      <c r="Z275" s="55"/>
      <c r="AA275" s="55"/>
      <c r="AB275" s="55"/>
      <c r="AC275" s="55"/>
      <c r="AD275" s="55"/>
      <c r="AG275" s="16"/>
      <c r="AH275" s="17"/>
      <c r="AI275" s="17"/>
      <c r="AJ275" s="17"/>
      <c r="AK275" s="17"/>
      <c r="AL275" s="17"/>
      <c r="AM275" s="17"/>
      <c r="AN275" s="17"/>
      <c r="AO275" s="17"/>
      <c r="AT275" s="81"/>
    </row>
    <row r="276" spans="18:46" x14ac:dyDescent="0.3">
      <c r="R276" s="14">
        <v>45535</v>
      </c>
      <c r="S276" s="15">
        <v>30323</v>
      </c>
      <c r="T276" s="55" t="e">
        <f t="shared" si="77"/>
        <v>#N/A</v>
      </c>
      <c r="U276" s="63">
        <f t="shared" si="76"/>
        <v>30323</v>
      </c>
      <c r="V276" s="63">
        <f t="shared" si="79"/>
        <v>322655</v>
      </c>
      <c r="W276" s="64">
        <f t="shared" si="78"/>
        <v>1318776.1000000001</v>
      </c>
      <c r="X276" s="65">
        <f t="shared" si="80"/>
        <v>24.466245634873122</v>
      </c>
      <c r="Y276" s="55"/>
      <c r="Z276" s="55"/>
      <c r="AA276" s="55"/>
      <c r="AB276" s="55"/>
      <c r="AC276" s="55"/>
      <c r="AD276" s="55"/>
      <c r="AG276" s="16"/>
      <c r="AH276" s="17"/>
      <c r="AI276" s="17"/>
      <c r="AJ276" s="17"/>
      <c r="AK276" s="17"/>
      <c r="AL276" s="17"/>
      <c r="AM276" s="17"/>
      <c r="AN276" s="17"/>
      <c r="AO276" s="17"/>
      <c r="AT276" s="81"/>
    </row>
    <row r="277" spans="18:46" x14ac:dyDescent="0.3">
      <c r="R277" s="14">
        <v>45565</v>
      </c>
      <c r="S277" s="15">
        <v>37635</v>
      </c>
      <c r="T277" s="55" t="e">
        <f t="shared" si="77"/>
        <v>#N/A</v>
      </c>
      <c r="U277" s="63">
        <f t="shared" si="76"/>
        <v>37635</v>
      </c>
      <c r="V277" s="63">
        <f t="shared" si="79"/>
        <v>318964</v>
      </c>
      <c r="W277" s="64">
        <f t="shared" si="78"/>
        <v>1331778.6000000001</v>
      </c>
      <c r="X277" s="65">
        <f t="shared" si="80"/>
        <v>23.950227162382696</v>
      </c>
      <c r="Y277" s="55"/>
      <c r="Z277" s="55"/>
      <c r="AA277" s="55"/>
      <c r="AB277" s="55"/>
      <c r="AC277" s="55"/>
      <c r="AD277" s="55"/>
      <c r="AG277" s="16"/>
      <c r="AH277" s="17"/>
      <c r="AI277" s="17"/>
      <c r="AJ277" s="17"/>
      <c r="AK277" s="17"/>
      <c r="AL277" s="17"/>
      <c r="AM277" s="17"/>
      <c r="AN277" s="17"/>
      <c r="AO277" s="17"/>
      <c r="AT277" s="81"/>
    </row>
    <row r="278" spans="18:46" x14ac:dyDescent="0.3">
      <c r="R278" s="14">
        <v>45596</v>
      </c>
      <c r="S278" s="15">
        <v>14120</v>
      </c>
      <c r="T278" s="55" t="e">
        <f t="shared" si="77"/>
        <v>#N/A</v>
      </c>
      <c r="U278" s="63">
        <f t="shared" si="76"/>
        <v>14120</v>
      </c>
      <c r="V278" s="63">
        <f t="shared" si="79"/>
        <v>314643</v>
      </c>
      <c r="W278" s="64">
        <f t="shared" si="78"/>
        <v>1331778.6000000001</v>
      </c>
      <c r="X278" s="65">
        <f t="shared" si="80"/>
        <v>23.625773833578641</v>
      </c>
      <c r="Y278" s="55"/>
      <c r="Z278" s="55"/>
      <c r="AA278" s="55"/>
      <c r="AB278" s="55"/>
      <c r="AC278" s="55"/>
      <c r="AD278" s="55"/>
      <c r="AG278" s="16"/>
      <c r="AH278" s="17"/>
      <c r="AI278" s="17"/>
      <c r="AJ278" s="17"/>
      <c r="AK278" s="17"/>
      <c r="AL278" s="17"/>
      <c r="AM278" s="17"/>
      <c r="AN278" s="17"/>
      <c r="AO278" s="17"/>
      <c r="AT278" s="81"/>
    </row>
    <row r="279" spans="18:46" x14ac:dyDescent="0.3">
      <c r="R279" s="14">
        <v>45626</v>
      </c>
      <c r="S279" s="15">
        <v>23288</v>
      </c>
      <c r="T279" s="55" t="e">
        <f t="shared" si="77"/>
        <v>#N/A</v>
      </c>
      <c r="U279" s="63">
        <f t="shared" si="76"/>
        <v>23288</v>
      </c>
      <c r="V279" s="63">
        <f t="shared" si="79"/>
        <v>313377</v>
      </c>
      <c r="W279" s="64">
        <f t="shared" si="78"/>
        <v>1331778.6000000001</v>
      </c>
      <c r="X279" s="65">
        <f t="shared" si="80"/>
        <v>23.530712987879514</v>
      </c>
      <c r="Y279" s="55"/>
      <c r="Z279" s="55"/>
      <c r="AA279" s="55"/>
      <c r="AB279" s="55"/>
      <c r="AC279" s="55"/>
      <c r="AD279" s="55"/>
      <c r="AG279" s="16"/>
      <c r="AH279" s="17"/>
      <c r="AI279" s="17"/>
      <c r="AJ279" s="17"/>
      <c r="AK279" s="17"/>
      <c r="AL279" s="17"/>
      <c r="AM279" s="17"/>
      <c r="AN279" s="17"/>
      <c r="AO279" s="17"/>
      <c r="AT279" s="81"/>
    </row>
    <row r="280" spans="18:46" x14ac:dyDescent="0.3">
      <c r="R280" s="14">
        <v>45657</v>
      </c>
      <c r="S280" s="15">
        <v>28537</v>
      </c>
      <c r="T280" s="55" t="e">
        <f t="shared" si="77"/>
        <v>#N/A</v>
      </c>
      <c r="U280" s="63">
        <f t="shared" si="76"/>
        <v>28537</v>
      </c>
      <c r="V280" s="63">
        <f t="shared" si="79"/>
        <v>322588</v>
      </c>
      <c r="W280" s="64">
        <f t="shared" si="78"/>
        <v>1348066.2</v>
      </c>
      <c r="X280" s="65">
        <f t="shared" si="80"/>
        <v>23.929685352247539</v>
      </c>
      <c r="Y280" s="55"/>
      <c r="Z280" s="55"/>
      <c r="AA280" s="55"/>
      <c r="AB280" s="55"/>
      <c r="AC280" s="55"/>
      <c r="AD280" s="55"/>
      <c r="AG280" s="16"/>
      <c r="AH280" s="17"/>
      <c r="AI280" s="17"/>
      <c r="AJ280" s="17"/>
      <c r="AK280" s="17"/>
      <c r="AL280" s="17"/>
      <c r="AM280" s="17"/>
      <c r="AN280" s="17"/>
      <c r="AO280" s="17"/>
      <c r="AT280" s="81"/>
    </row>
    <row r="281" spans="18:46" x14ac:dyDescent="0.3">
      <c r="R281" s="14">
        <v>45688</v>
      </c>
      <c r="S281" s="15">
        <v>70546</v>
      </c>
      <c r="T281" s="55" t="e">
        <f t="shared" si="77"/>
        <v>#N/A</v>
      </c>
      <c r="U281" s="63">
        <f t="shared" si="76"/>
        <v>70546</v>
      </c>
      <c r="V281" s="63">
        <f t="shared" si="79"/>
        <v>328400</v>
      </c>
      <c r="W281" s="64">
        <f t="shared" si="78"/>
        <v>1348066.2</v>
      </c>
      <c r="X281" s="65">
        <f t="shared" si="80"/>
        <v>24.36082144927304</v>
      </c>
      <c r="Y281" s="55"/>
      <c r="Z281" s="55"/>
      <c r="AA281" s="55"/>
      <c r="AB281" s="55"/>
      <c r="AC281" s="55"/>
      <c r="AD281" s="55"/>
      <c r="AG281" s="16"/>
      <c r="AH281" s="17"/>
      <c r="AI281" s="17"/>
      <c r="AJ281" s="17"/>
      <c r="AK281" s="17"/>
      <c r="AL281" s="17"/>
      <c r="AM281" s="17"/>
      <c r="AN281" s="17"/>
      <c r="AO281" s="17"/>
      <c r="AT281" s="81"/>
    </row>
    <row r="282" spans="18:46" x14ac:dyDescent="0.3">
      <c r="R282" s="14">
        <v>45716</v>
      </c>
      <c r="S282" s="15">
        <v>22331</v>
      </c>
      <c r="T282" s="55" t="e">
        <f t="shared" si="77"/>
        <v>#N/A</v>
      </c>
      <c r="U282" s="63">
        <f t="shared" si="76"/>
        <v>22331</v>
      </c>
      <c r="V282" s="63">
        <f t="shared" si="79"/>
        <v>335772</v>
      </c>
      <c r="W282" s="64">
        <f t="shared" si="78"/>
        <v>1348066.2</v>
      </c>
      <c r="X282" s="65">
        <f t="shared" si="80"/>
        <v>24.907678866215917</v>
      </c>
      <c r="Y282" s="55"/>
      <c r="Z282" s="55"/>
      <c r="AA282" s="55"/>
      <c r="AB282" s="55"/>
      <c r="AC282" s="55"/>
      <c r="AD282" s="55"/>
      <c r="AG282" s="16"/>
      <c r="AH282" s="17"/>
      <c r="AI282" s="17"/>
      <c r="AJ282" s="17"/>
      <c r="AK282" s="17"/>
      <c r="AL282" s="17"/>
      <c r="AM282" s="17"/>
      <c r="AN282" s="17"/>
      <c r="AO282" s="17"/>
      <c r="AT282" s="81"/>
    </row>
    <row r="283" spans="18:46" x14ac:dyDescent="0.3">
      <c r="R283" s="14">
        <v>45747</v>
      </c>
      <c r="S283" s="15">
        <v>58961</v>
      </c>
      <c r="T283" s="55" t="e">
        <f t="shared" si="77"/>
        <v>#N/A</v>
      </c>
      <c r="U283" s="63">
        <f t="shared" si="76"/>
        <v>58961</v>
      </c>
      <c r="V283" s="63">
        <f t="shared" si="79"/>
        <v>346398</v>
      </c>
      <c r="W283" s="64">
        <f t="shared" si="78"/>
        <v>1362007.4</v>
      </c>
      <c r="X283" s="65">
        <f t="shared" si="80"/>
        <v>25.432901465880438</v>
      </c>
      <c r="Y283" s="55"/>
      <c r="Z283" s="55"/>
      <c r="AA283" s="55"/>
      <c r="AB283" s="55"/>
      <c r="AC283" s="55"/>
      <c r="AD283" s="55"/>
      <c r="AG283" s="16"/>
      <c r="AH283" s="17"/>
      <c r="AI283" s="17"/>
      <c r="AJ283" s="17"/>
      <c r="AK283" s="17"/>
      <c r="AL283" s="17"/>
      <c r="AM283" s="17"/>
      <c r="AN283" s="17"/>
      <c r="AO283" s="17"/>
      <c r="AT283" s="82"/>
    </row>
    <row r="284" spans="18:46" x14ac:dyDescent="0.3">
      <c r="R284" s="14">
        <v>45777</v>
      </c>
      <c r="S284" s="15">
        <v>11599</v>
      </c>
      <c r="T284" s="55" t="e">
        <f t="shared" si="77"/>
        <v>#N/A</v>
      </c>
      <c r="U284" s="63">
        <f t="shared" si="76"/>
        <v>11599</v>
      </c>
      <c r="V284" s="63">
        <f t="shared" si="79"/>
        <v>358655</v>
      </c>
      <c r="W284" s="64">
        <f t="shared" si="78"/>
        <v>1362007.4</v>
      </c>
      <c r="X284" s="65">
        <f t="shared" si="80"/>
        <v>26.332823154999012</v>
      </c>
      <c r="Y284" s="55"/>
      <c r="Z284" s="55"/>
      <c r="AA284" s="55"/>
      <c r="AB284" s="55"/>
      <c r="AC284" s="55"/>
      <c r="AD284" s="55"/>
      <c r="AG284" s="16"/>
      <c r="AH284" s="17"/>
      <c r="AI284" s="17"/>
      <c r="AJ284" s="17"/>
      <c r="AK284" s="17"/>
      <c r="AL284" s="17"/>
      <c r="AM284" s="17"/>
      <c r="AN284" s="17"/>
      <c r="AO284" s="17"/>
      <c r="AT284" s="81"/>
    </row>
    <row r="285" spans="18:46" x14ac:dyDescent="0.3">
      <c r="R285" s="14">
        <v>45808</v>
      </c>
      <c r="S285" s="15">
        <v>22900</v>
      </c>
      <c r="T285" s="55" t="e">
        <f t="shared" si="77"/>
        <v>#N/A</v>
      </c>
      <c r="U285" s="63">
        <f t="shared" si="76"/>
        <v>22900</v>
      </c>
      <c r="V285" s="63">
        <f t="shared" si="79"/>
        <v>360932</v>
      </c>
      <c r="W285" s="64">
        <f t="shared" si="78"/>
        <v>1362007.4</v>
      </c>
      <c r="X285" s="65">
        <f t="shared" si="80"/>
        <v>26.500002863420569</v>
      </c>
      <c r="Y285" s="55"/>
      <c r="Z285" s="55"/>
      <c r="AA285" s="55"/>
      <c r="AB285" s="55"/>
      <c r="AC285" s="55"/>
      <c r="AD285" s="55"/>
      <c r="AG285" s="16"/>
      <c r="AH285" s="17"/>
      <c r="AI285" s="17"/>
      <c r="AJ285" s="17"/>
      <c r="AK285" s="17"/>
      <c r="AL285" s="17"/>
      <c r="AM285" s="17"/>
      <c r="AN285" s="17"/>
      <c r="AO285" s="17"/>
      <c r="AT285" s="83"/>
    </row>
    <row r="286" spans="18:46" x14ac:dyDescent="0.3">
      <c r="R286" s="14">
        <v>45838</v>
      </c>
      <c r="S286" s="15">
        <v>42251</v>
      </c>
      <c r="T286" s="55" t="e">
        <f t="shared" si="77"/>
        <v>#N/A</v>
      </c>
      <c r="U286" s="63">
        <f t="shared" si="76"/>
        <v>42251</v>
      </c>
      <c r="V286" s="63">
        <f t="shared" si="79"/>
        <v>370198</v>
      </c>
      <c r="W286" s="64">
        <f t="shared" si="78"/>
        <v>1374817.3</v>
      </c>
      <c r="X286" s="65">
        <f t="shared" si="80"/>
        <v>26.927068782157455</v>
      </c>
      <c r="Y286" s="55"/>
      <c r="Z286" s="55"/>
      <c r="AA286" s="55"/>
      <c r="AB286" s="55"/>
      <c r="AC286" s="55"/>
      <c r="AD286" s="55"/>
      <c r="AG286" s="16"/>
      <c r="AH286" s="17"/>
      <c r="AI286" s="17"/>
      <c r="AJ286" s="17"/>
      <c r="AK286" s="17"/>
      <c r="AL286" s="17"/>
      <c r="AM286" s="17"/>
      <c r="AN286" s="17"/>
      <c r="AO286" s="17"/>
      <c r="AT286" s="83"/>
    </row>
    <row r="287" spans="18:46" x14ac:dyDescent="0.3">
      <c r="R287" s="14">
        <v>45869</v>
      </c>
      <c r="S287" s="15">
        <v>11307</v>
      </c>
      <c r="T287" s="55" t="e">
        <f t="shared" si="77"/>
        <v>#N/A</v>
      </c>
      <c r="U287" s="63">
        <f t="shared" si="76"/>
        <v>11307</v>
      </c>
      <c r="V287" s="63">
        <f t="shared" si="79"/>
        <v>373798</v>
      </c>
      <c r="W287" s="64">
        <f t="shared" si="78"/>
        <v>1374817.3</v>
      </c>
      <c r="X287" s="65">
        <f t="shared" si="80"/>
        <v>27.188921757094558</v>
      </c>
      <c r="Y287" s="55"/>
      <c r="Z287" s="55"/>
      <c r="AA287" s="55"/>
      <c r="AB287" s="55"/>
      <c r="AC287" s="55"/>
      <c r="AD287" s="55"/>
      <c r="AG287" s="16"/>
      <c r="AH287" s="17"/>
      <c r="AI287" s="17"/>
      <c r="AJ287" s="17"/>
      <c r="AK287" s="17"/>
      <c r="AL287" s="17"/>
      <c r="AM287" s="17"/>
      <c r="AN287" s="17"/>
      <c r="AO287" s="17"/>
      <c r="AT287" s="58"/>
    </row>
    <row r="288" spans="18:46" x14ac:dyDescent="0.3">
      <c r="R288" s="14">
        <v>45900</v>
      </c>
      <c r="S288" s="15">
        <v>25660</v>
      </c>
      <c r="T288" s="55" t="e">
        <f t="shared" si="77"/>
        <v>#N/A</v>
      </c>
      <c r="U288" s="63">
        <f t="shared" si="76"/>
        <v>25660</v>
      </c>
      <c r="V288" s="63">
        <f t="shared" si="79"/>
        <v>369135</v>
      </c>
      <c r="W288" s="64">
        <f t="shared" si="78"/>
        <v>1374817.3</v>
      </c>
      <c r="X288" s="65">
        <f t="shared" si="80"/>
        <v>26.849749417613527</v>
      </c>
      <c r="Y288" s="55"/>
      <c r="Z288" s="55"/>
      <c r="AA288" s="55"/>
      <c r="AB288" s="55"/>
      <c r="AC288" s="55"/>
      <c r="AD288" s="55"/>
      <c r="AG288" s="16"/>
      <c r="AH288" s="17"/>
      <c r="AI288" s="17"/>
      <c r="AJ288" s="17"/>
      <c r="AK288" s="17"/>
      <c r="AL288" s="17"/>
      <c r="AM288" s="17"/>
      <c r="AN288" s="17"/>
      <c r="AO288" s="17"/>
      <c r="AR288" s="84"/>
      <c r="AT288" s="85"/>
    </row>
    <row r="289" spans="18:44" ht="15" x14ac:dyDescent="0.3">
      <c r="R289" s="16">
        <v>45930</v>
      </c>
      <c r="S289" s="17">
        <v>35299</v>
      </c>
      <c r="T289" s="17"/>
      <c r="U289" s="17"/>
      <c r="X289" s="77"/>
      <c r="Y289" s="78"/>
      <c r="Z289" s="78"/>
      <c r="AA289" s="78"/>
      <c r="AB289" s="78"/>
      <c r="AC289" s="79"/>
      <c r="AD289" s="80"/>
      <c r="AG289" s="16"/>
      <c r="AH289" s="17"/>
      <c r="AI289" s="17"/>
      <c r="AJ289" s="17"/>
      <c r="AK289" s="17"/>
      <c r="AL289" s="17"/>
      <c r="AM289" s="17"/>
      <c r="AN289" s="17"/>
      <c r="AO289" s="17"/>
    </row>
    <row r="290" spans="18:44" ht="15" x14ac:dyDescent="0.3">
      <c r="R290" s="16">
        <v>45961</v>
      </c>
      <c r="S290" s="17">
        <v>8178</v>
      </c>
      <c r="T290" s="17"/>
      <c r="U290" s="17"/>
      <c r="X290" s="77"/>
      <c r="Y290" s="78"/>
      <c r="Z290" s="78"/>
      <c r="AA290" s="78"/>
      <c r="AB290" s="78"/>
      <c r="AC290" s="79"/>
      <c r="AD290" s="80"/>
      <c r="AG290" s="16"/>
      <c r="AH290" s="17"/>
      <c r="AI290" s="17"/>
      <c r="AJ290" s="17"/>
      <c r="AK290" s="17"/>
      <c r="AL290" s="17"/>
      <c r="AM290" s="17"/>
      <c r="AN290" s="17"/>
      <c r="AO290" s="17"/>
      <c r="AR290" s="84"/>
    </row>
    <row r="291" spans="18:44" ht="15" x14ac:dyDescent="0.3">
      <c r="R291" s="16">
        <v>45991</v>
      </c>
      <c r="S291" s="17">
        <v>24926</v>
      </c>
      <c r="T291" s="17"/>
      <c r="U291" s="17"/>
      <c r="X291" s="77"/>
      <c r="Y291" s="78"/>
      <c r="Z291" s="78"/>
      <c r="AA291" s="78"/>
      <c r="AB291" s="78"/>
      <c r="AC291" s="79"/>
      <c r="AD291" s="80"/>
      <c r="AG291" s="16"/>
      <c r="AH291" s="17"/>
      <c r="AI291" s="17"/>
      <c r="AJ291" s="17"/>
      <c r="AK291" s="17"/>
      <c r="AL291" s="17"/>
      <c r="AM291" s="17"/>
      <c r="AN291" s="17"/>
      <c r="AO291" s="17"/>
    </row>
    <row r="292" spans="18:44" ht="15" x14ac:dyDescent="0.3">
      <c r="R292" s="16">
        <v>46022</v>
      </c>
      <c r="S292" s="17">
        <v>22075</v>
      </c>
      <c r="T292" s="17"/>
      <c r="U292" s="17"/>
      <c r="X292" s="77"/>
      <c r="Y292" s="78"/>
      <c r="Z292" s="78"/>
      <c r="AA292" s="78"/>
      <c r="AB292" s="78"/>
      <c r="AC292" s="79"/>
      <c r="AD292" s="80"/>
      <c r="AG292" s="16"/>
      <c r="AH292" s="17"/>
      <c r="AI292" s="17"/>
      <c r="AJ292" s="17"/>
      <c r="AK292" s="17"/>
      <c r="AL292" s="17"/>
      <c r="AM292" s="17"/>
      <c r="AN292" s="17"/>
      <c r="AO292" s="17"/>
      <c r="AR292" s="84"/>
    </row>
    <row r="293" spans="18:44" ht="15" x14ac:dyDescent="0.3">
      <c r="R293" s="18"/>
      <c r="S293" s="17"/>
      <c r="T293" s="17"/>
      <c r="U293" s="17"/>
      <c r="X293" s="77"/>
      <c r="Y293" s="78"/>
      <c r="Z293" s="78"/>
      <c r="AA293" s="78"/>
      <c r="AB293" s="78"/>
      <c r="AC293" s="79"/>
      <c r="AD293" s="80"/>
      <c r="AG293" s="16"/>
      <c r="AH293" s="17"/>
      <c r="AI293" s="17"/>
      <c r="AJ293" s="17"/>
      <c r="AK293" s="17"/>
      <c r="AL293" s="17"/>
      <c r="AM293" s="17"/>
      <c r="AN293" s="17"/>
      <c r="AO293" s="17"/>
    </row>
    <row r="294" spans="18:44" ht="15" x14ac:dyDescent="0.3">
      <c r="R294" s="18"/>
      <c r="S294" s="17"/>
      <c r="T294" s="17"/>
      <c r="U294" s="17"/>
      <c r="X294" s="77"/>
      <c r="Y294" s="78"/>
      <c r="Z294" s="78"/>
      <c r="AA294" s="78"/>
      <c r="AB294" s="78"/>
      <c r="AC294" s="79"/>
      <c r="AD294" s="80"/>
      <c r="AG294" s="16"/>
      <c r="AH294" s="17"/>
      <c r="AI294" s="17"/>
      <c r="AJ294" s="17"/>
      <c r="AK294" s="17"/>
      <c r="AL294" s="17"/>
      <c r="AM294" s="17"/>
      <c r="AN294" s="17"/>
      <c r="AO294" s="17"/>
      <c r="AR294" s="84"/>
    </row>
    <row r="295" spans="18:44" ht="15" x14ac:dyDescent="0.3">
      <c r="R295" s="18"/>
      <c r="S295" s="17"/>
      <c r="T295" s="17"/>
      <c r="U295" s="17"/>
      <c r="X295" s="77"/>
      <c r="Y295" s="78"/>
      <c r="Z295" s="78"/>
      <c r="AA295" s="78"/>
      <c r="AB295" s="78"/>
      <c r="AC295" s="79"/>
      <c r="AD295" s="80"/>
      <c r="AG295" s="16"/>
      <c r="AH295" s="17"/>
      <c r="AI295" s="17"/>
      <c r="AJ295" s="17"/>
      <c r="AK295" s="17"/>
      <c r="AL295" s="17"/>
      <c r="AM295" s="17"/>
      <c r="AN295" s="17"/>
      <c r="AO295" s="17"/>
    </row>
    <row r="296" spans="18:44" ht="15" x14ac:dyDescent="0.3">
      <c r="R296" s="18"/>
      <c r="S296" s="17"/>
      <c r="T296" s="17"/>
      <c r="U296" s="17"/>
      <c r="X296" s="77"/>
      <c r="Y296" s="78"/>
      <c r="Z296" s="78"/>
      <c r="AA296" s="78"/>
      <c r="AB296" s="78"/>
      <c r="AC296" s="79"/>
      <c r="AD296" s="80"/>
      <c r="AG296" s="16"/>
      <c r="AH296" s="17"/>
      <c r="AI296" s="17"/>
      <c r="AJ296" s="17"/>
      <c r="AK296" s="17"/>
      <c r="AL296" s="17"/>
      <c r="AM296" s="17"/>
      <c r="AN296" s="17"/>
      <c r="AO296" s="17"/>
      <c r="AR296" s="84"/>
    </row>
    <row r="297" spans="18:44" ht="15" x14ac:dyDescent="0.3">
      <c r="R297" s="18"/>
      <c r="S297" s="17"/>
      <c r="T297" s="17"/>
      <c r="U297" s="17"/>
      <c r="X297" s="77"/>
      <c r="Y297" s="78"/>
      <c r="Z297" s="78"/>
      <c r="AA297" s="78"/>
      <c r="AB297" s="78"/>
      <c r="AC297" s="79"/>
      <c r="AD297" s="80"/>
      <c r="AG297" s="16"/>
      <c r="AH297" s="17"/>
      <c r="AI297" s="17"/>
      <c r="AJ297" s="17"/>
      <c r="AK297" s="17"/>
      <c r="AL297" s="17"/>
      <c r="AM297" s="17"/>
      <c r="AN297" s="17"/>
      <c r="AO297" s="17"/>
    </row>
    <row r="298" spans="18:44" ht="15" x14ac:dyDescent="0.3">
      <c r="R298" s="18"/>
      <c r="S298" s="17"/>
      <c r="T298" s="17"/>
      <c r="U298" s="17"/>
      <c r="X298" s="77"/>
      <c r="Y298" s="78"/>
      <c r="Z298" s="78"/>
      <c r="AA298" s="78"/>
      <c r="AB298" s="78"/>
      <c r="AC298" s="79"/>
      <c r="AD298" s="80"/>
      <c r="AG298" s="16"/>
      <c r="AH298" s="17"/>
      <c r="AI298" s="17"/>
      <c r="AJ298" s="17"/>
      <c r="AK298" s="17"/>
      <c r="AL298" s="17"/>
      <c r="AM298" s="17"/>
      <c r="AN298" s="17"/>
      <c r="AO298" s="17"/>
      <c r="AR298" s="84"/>
    </row>
    <row r="299" spans="18:44" ht="15" x14ac:dyDescent="0.3">
      <c r="R299" s="18"/>
      <c r="S299" s="17"/>
      <c r="T299" s="17"/>
      <c r="U299" s="17"/>
      <c r="X299" s="77"/>
      <c r="Y299" s="78"/>
      <c r="Z299" s="78"/>
      <c r="AA299" s="78"/>
      <c r="AB299" s="78"/>
      <c r="AC299" s="79"/>
      <c r="AD299" s="80"/>
      <c r="AG299" s="16"/>
      <c r="AH299" s="17"/>
      <c r="AI299" s="17"/>
      <c r="AJ299" s="17"/>
      <c r="AK299" s="17"/>
      <c r="AL299" s="17"/>
      <c r="AM299" s="17"/>
      <c r="AN299" s="17"/>
      <c r="AO299" s="17"/>
    </row>
    <row r="300" spans="18:44" ht="15" x14ac:dyDescent="0.3">
      <c r="R300" s="18"/>
      <c r="S300" s="17"/>
      <c r="T300" s="17"/>
      <c r="U300" s="17"/>
      <c r="X300" s="77"/>
      <c r="Y300" s="78"/>
      <c r="Z300" s="78"/>
      <c r="AA300" s="78"/>
      <c r="AB300" s="78"/>
      <c r="AC300" s="79"/>
      <c r="AD300" s="80"/>
      <c r="AG300" s="16"/>
      <c r="AH300" s="17"/>
      <c r="AI300" s="17"/>
      <c r="AJ300" s="17"/>
      <c r="AK300" s="17"/>
      <c r="AL300" s="17"/>
      <c r="AM300" s="17"/>
      <c r="AN300" s="17"/>
      <c r="AO300" s="17"/>
      <c r="AR300" s="84"/>
    </row>
    <row r="301" spans="18:44" ht="15" x14ac:dyDescent="0.3">
      <c r="R301" s="18"/>
      <c r="S301" s="17"/>
      <c r="T301" s="17"/>
      <c r="U301" s="17"/>
      <c r="X301" s="77"/>
      <c r="Y301" s="78"/>
      <c r="Z301" s="78"/>
      <c r="AA301" s="78"/>
      <c r="AB301" s="78"/>
      <c r="AC301" s="79"/>
      <c r="AD301" s="80"/>
      <c r="AG301" s="16"/>
      <c r="AH301" s="17"/>
      <c r="AI301" s="17"/>
      <c r="AJ301" s="17"/>
      <c r="AK301" s="17"/>
      <c r="AL301" s="17"/>
      <c r="AM301" s="17"/>
      <c r="AN301" s="17"/>
      <c r="AO301" s="17"/>
      <c r="AR301" s="84"/>
    </row>
    <row r="302" spans="18:44" ht="15" x14ac:dyDescent="0.3">
      <c r="R302" s="18"/>
      <c r="S302" s="17"/>
      <c r="T302" s="17"/>
      <c r="U302" s="17"/>
      <c r="X302" s="77"/>
      <c r="Y302" s="78"/>
      <c r="Z302" s="78"/>
      <c r="AA302" s="78"/>
      <c r="AB302" s="78"/>
      <c r="AC302" s="79"/>
      <c r="AD302" s="80"/>
      <c r="AG302" s="16"/>
      <c r="AH302" s="17"/>
      <c r="AI302" s="17"/>
      <c r="AJ302" s="17"/>
      <c r="AK302" s="17"/>
      <c r="AL302" s="17"/>
      <c r="AM302" s="17"/>
      <c r="AN302" s="17"/>
      <c r="AO302" s="17"/>
    </row>
    <row r="303" spans="18:44" ht="15" x14ac:dyDescent="0.3">
      <c r="R303" s="18"/>
      <c r="S303" s="17"/>
      <c r="T303" s="17"/>
      <c r="U303" s="17"/>
      <c r="X303" s="77"/>
      <c r="Y303" s="78"/>
      <c r="Z303" s="78"/>
      <c r="AA303" s="78"/>
      <c r="AB303" s="78"/>
      <c r="AC303" s="79"/>
      <c r="AD303" s="80"/>
      <c r="AG303" s="16"/>
      <c r="AH303" s="17"/>
      <c r="AI303" s="17"/>
      <c r="AJ303" s="17"/>
      <c r="AK303" s="17"/>
      <c r="AL303" s="17"/>
      <c r="AM303" s="17"/>
      <c r="AN303" s="17"/>
      <c r="AO303" s="17"/>
      <c r="AR303" s="84"/>
    </row>
    <row r="304" spans="18:44" ht="15" x14ac:dyDescent="0.3">
      <c r="R304" s="18"/>
      <c r="S304" s="17"/>
      <c r="T304" s="17"/>
      <c r="U304" s="17"/>
      <c r="X304" s="77"/>
      <c r="Y304" s="78"/>
      <c r="Z304" s="78"/>
      <c r="AA304" s="78"/>
      <c r="AB304" s="78"/>
      <c r="AC304" s="79"/>
      <c r="AD304" s="80"/>
      <c r="AG304" s="16"/>
      <c r="AH304" s="17"/>
      <c r="AI304" s="17"/>
      <c r="AJ304" s="17"/>
      <c r="AK304" s="17"/>
      <c r="AL304" s="17"/>
      <c r="AM304" s="17"/>
      <c r="AN304" s="17"/>
      <c r="AO304" s="17"/>
      <c r="AR304" s="84"/>
    </row>
    <row r="305" spans="18:44" ht="15" x14ac:dyDescent="0.3">
      <c r="R305" s="18"/>
      <c r="S305" s="17"/>
      <c r="T305" s="17"/>
      <c r="U305" s="17"/>
      <c r="X305" s="77"/>
      <c r="Y305" s="78"/>
      <c r="Z305" s="78"/>
      <c r="AA305" s="78"/>
      <c r="AB305" s="78"/>
      <c r="AC305" s="79"/>
      <c r="AD305" s="80"/>
      <c r="AG305" s="16"/>
      <c r="AH305" s="17"/>
      <c r="AI305" s="17"/>
      <c r="AJ305" s="17"/>
      <c r="AK305" s="17"/>
      <c r="AL305" s="17"/>
      <c r="AM305" s="17"/>
      <c r="AN305" s="17"/>
      <c r="AO305" s="17"/>
    </row>
    <row r="306" spans="18:44" ht="15" x14ac:dyDescent="0.3">
      <c r="R306" s="18"/>
      <c r="S306" s="17"/>
      <c r="T306" s="17"/>
      <c r="U306" s="17"/>
      <c r="X306" s="77"/>
      <c r="Y306" s="78"/>
      <c r="Z306" s="78"/>
      <c r="AA306" s="78"/>
      <c r="AB306" s="78"/>
      <c r="AC306" s="79"/>
      <c r="AD306" s="80"/>
      <c r="AG306" s="16"/>
      <c r="AH306" s="17"/>
      <c r="AI306" s="17"/>
      <c r="AJ306" s="17"/>
      <c r="AK306" s="17"/>
      <c r="AL306" s="17"/>
      <c r="AM306" s="17"/>
      <c r="AN306" s="17"/>
      <c r="AO306" s="17"/>
      <c r="AR306" s="84"/>
    </row>
    <row r="307" spans="18:44" ht="15" x14ac:dyDescent="0.3">
      <c r="R307" s="18"/>
      <c r="S307" s="17"/>
      <c r="T307" s="17"/>
      <c r="U307" s="17"/>
      <c r="X307" s="77"/>
      <c r="Y307" s="78"/>
      <c r="Z307" s="78"/>
      <c r="AA307" s="78"/>
      <c r="AB307" s="78"/>
      <c r="AC307" s="79"/>
      <c r="AD307" s="80"/>
      <c r="AG307" s="16"/>
      <c r="AH307" s="17"/>
      <c r="AI307" s="17"/>
      <c r="AJ307" s="17"/>
      <c r="AK307" s="17"/>
      <c r="AL307" s="17"/>
      <c r="AM307" s="17"/>
      <c r="AN307" s="17"/>
      <c r="AO307" s="17"/>
      <c r="AR307" s="84"/>
    </row>
    <row r="308" spans="18:44" ht="15" x14ac:dyDescent="0.3">
      <c r="R308" s="18"/>
      <c r="S308" s="17"/>
      <c r="T308" s="17"/>
      <c r="U308" s="17"/>
      <c r="X308" s="77"/>
      <c r="Y308" s="78"/>
      <c r="Z308" s="78"/>
      <c r="AA308" s="78"/>
      <c r="AB308" s="78"/>
      <c r="AC308" s="79"/>
      <c r="AD308" s="80"/>
      <c r="AG308" s="16"/>
      <c r="AH308" s="17"/>
      <c r="AI308" s="17"/>
      <c r="AJ308" s="17"/>
      <c r="AK308" s="17"/>
      <c r="AL308" s="17"/>
      <c r="AM308" s="17"/>
      <c r="AN308" s="17"/>
      <c r="AO308" s="17"/>
    </row>
    <row r="309" spans="18:44" ht="15" x14ac:dyDescent="0.3">
      <c r="R309" s="18"/>
      <c r="S309" s="17"/>
      <c r="T309" s="17"/>
      <c r="U309" s="17"/>
      <c r="X309" s="77"/>
      <c r="Y309" s="78"/>
      <c r="Z309" s="78"/>
      <c r="AA309" s="78"/>
      <c r="AB309" s="78"/>
      <c r="AC309" s="79"/>
      <c r="AD309" s="80"/>
      <c r="AG309" s="16"/>
      <c r="AH309" s="17"/>
      <c r="AI309" s="17"/>
      <c r="AJ309" s="17"/>
      <c r="AK309" s="17"/>
      <c r="AL309" s="17"/>
      <c r="AM309" s="17"/>
      <c r="AN309" s="17"/>
      <c r="AO309" s="17"/>
      <c r="AR309" s="84"/>
    </row>
    <row r="310" spans="18:44" ht="15" x14ac:dyDescent="0.3">
      <c r="R310" s="18"/>
      <c r="S310" s="17"/>
      <c r="T310" s="17"/>
      <c r="U310" s="17"/>
      <c r="X310" s="77"/>
      <c r="Y310" s="78"/>
      <c r="Z310" s="78"/>
      <c r="AA310" s="78"/>
      <c r="AB310" s="78"/>
      <c r="AC310" s="79"/>
      <c r="AD310" s="80"/>
      <c r="AG310" s="16"/>
      <c r="AH310" s="17"/>
      <c r="AI310" s="17"/>
      <c r="AJ310" s="17"/>
      <c r="AK310" s="17"/>
      <c r="AL310" s="17"/>
      <c r="AM310" s="17"/>
      <c r="AN310" s="17"/>
      <c r="AO310" s="17"/>
      <c r="AR310" s="84"/>
    </row>
    <row r="311" spans="18:44" ht="15" x14ac:dyDescent="0.3">
      <c r="R311" s="18"/>
      <c r="S311" s="17"/>
      <c r="T311" s="17"/>
      <c r="U311" s="17"/>
      <c r="X311" s="77"/>
      <c r="Y311" s="78"/>
      <c r="Z311" s="78"/>
      <c r="AA311" s="78"/>
      <c r="AB311" s="78"/>
      <c r="AC311" s="79"/>
      <c r="AD311" s="80"/>
      <c r="AG311" s="16"/>
      <c r="AH311" s="17"/>
      <c r="AI311" s="17"/>
      <c r="AJ311" s="17"/>
      <c r="AK311" s="17"/>
      <c r="AL311" s="17"/>
      <c r="AM311" s="17"/>
      <c r="AN311" s="17"/>
      <c r="AO311" s="17"/>
    </row>
    <row r="312" spans="18:44" ht="15" x14ac:dyDescent="0.3">
      <c r="R312" s="18"/>
      <c r="S312" s="17"/>
      <c r="T312" s="17"/>
      <c r="U312" s="17"/>
      <c r="X312" s="77"/>
      <c r="Y312" s="78"/>
      <c r="Z312" s="78"/>
      <c r="AA312" s="78"/>
      <c r="AB312" s="78"/>
      <c r="AC312" s="79"/>
      <c r="AD312" s="80"/>
      <c r="AG312" s="16"/>
      <c r="AH312" s="17"/>
      <c r="AI312" s="17"/>
      <c r="AJ312" s="17"/>
      <c r="AK312" s="17"/>
      <c r="AL312" s="17"/>
      <c r="AM312" s="17"/>
      <c r="AN312" s="17"/>
      <c r="AO312" s="17"/>
      <c r="AR312" s="84"/>
    </row>
    <row r="313" spans="18:44" ht="15" x14ac:dyDescent="0.3">
      <c r="R313" s="18"/>
      <c r="S313" s="17"/>
      <c r="T313" s="17"/>
      <c r="U313" s="17"/>
      <c r="X313" s="77"/>
      <c r="Y313" s="78"/>
      <c r="Z313" s="78"/>
      <c r="AA313" s="78"/>
      <c r="AB313" s="78"/>
      <c r="AC313" s="79"/>
      <c r="AD313" s="80"/>
      <c r="AG313" s="16"/>
      <c r="AH313" s="17"/>
      <c r="AI313" s="17"/>
      <c r="AJ313" s="17"/>
      <c r="AK313" s="17"/>
      <c r="AL313" s="17"/>
      <c r="AM313" s="17"/>
      <c r="AN313" s="17"/>
      <c r="AO313" s="17"/>
      <c r="AR313" s="84"/>
    </row>
    <row r="314" spans="18:44" ht="15" x14ac:dyDescent="0.3">
      <c r="R314" s="18"/>
      <c r="S314" s="17"/>
      <c r="T314" s="17"/>
      <c r="U314" s="17"/>
      <c r="X314" s="77"/>
      <c r="Y314" s="78"/>
      <c r="Z314" s="78"/>
      <c r="AA314" s="78"/>
      <c r="AB314" s="78"/>
      <c r="AC314" s="79"/>
      <c r="AD314" s="80"/>
      <c r="AG314" s="16"/>
      <c r="AH314" s="17"/>
      <c r="AI314" s="17"/>
      <c r="AJ314" s="17"/>
      <c r="AK314" s="17"/>
      <c r="AL314" s="17"/>
      <c r="AM314" s="17"/>
      <c r="AN314" s="17"/>
      <c r="AO314" s="17"/>
    </row>
    <row r="315" spans="18:44" ht="15" x14ac:dyDescent="0.3">
      <c r="R315" s="18"/>
      <c r="S315" s="17"/>
      <c r="T315" s="17"/>
      <c r="U315" s="17"/>
      <c r="AB315" s="78"/>
      <c r="AG315" s="16"/>
      <c r="AH315" s="17"/>
      <c r="AI315" s="17"/>
      <c r="AJ315" s="17"/>
      <c r="AK315" s="17"/>
      <c r="AL315" s="17"/>
      <c r="AM315" s="17"/>
      <c r="AN315" s="17"/>
      <c r="AO315" s="17"/>
      <c r="AR315" s="84"/>
    </row>
    <row r="316" spans="18:44" ht="15" x14ac:dyDescent="0.3">
      <c r="R316" s="18"/>
      <c r="S316" s="17"/>
      <c r="T316" s="17"/>
      <c r="U316" s="17"/>
      <c r="AB316" s="78"/>
      <c r="AG316" s="16"/>
      <c r="AH316" s="17"/>
      <c r="AI316" s="17"/>
      <c r="AJ316" s="17"/>
      <c r="AK316" s="17"/>
      <c r="AL316" s="17"/>
      <c r="AM316" s="17"/>
      <c r="AN316" s="17"/>
      <c r="AO316" s="17"/>
      <c r="AR316" s="84"/>
    </row>
    <row r="317" spans="18:44" ht="15" x14ac:dyDescent="0.3">
      <c r="R317" s="18"/>
      <c r="S317" s="17"/>
      <c r="T317" s="17"/>
      <c r="U317" s="17"/>
      <c r="AB317" s="78"/>
      <c r="AG317" s="16"/>
      <c r="AH317" s="17"/>
      <c r="AI317" s="17"/>
      <c r="AJ317" s="17"/>
      <c r="AK317" s="17"/>
      <c r="AL317" s="17"/>
      <c r="AM317" s="17"/>
      <c r="AN317" s="17"/>
      <c r="AO317" s="17"/>
    </row>
    <row r="318" spans="18:44" ht="15" x14ac:dyDescent="0.3">
      <c r="R318" s="18"/>
      <c r="S318" s="17"/>
      <c r="T318" s="17"/>
      <c r="U318" s="17"/>
      <c r="AB318" s="78"/>
      <c r="AG318" s="16"/>
      <c r="AH318" s="17"/>
      <c r="AI318" s="17"/>
      <c r="AJ318" s="17"/>
      <c r="AK318" s="17"/>
      <c r="AL318" s="17"/>
      <c r="AM318" s="17"/>
      <c r="AN318" s="17"/>
      <c r="AO318" s="17"/>
      <c r="AR318" s="84"/>
    </row>
    <row r="319" spans="18:44" ht="15" x14ac:dyDescent="0.3">
      <c r="R319" s="18"/>
      <c r="S319" s="17"/>
      <c r="T319" s="17"/>
      <c r="U319" s="17"/>
      <c r="AB319" s="78"/>
      <c r="AG319" s="16"/>
      <c r="AH319" s="17"/>
      <c r="AI319" s="17"/>
      <c r="AJ319" s="17"/>
      <c r="AK319" s="17"/>
      <c r="AL319" s="17"/>
      <c r="AM319" s="17"/>
      <c r="AN319" s="17"/>
      <c r="AO319" s="17"/>
      <c r="AR319" s="84"/>
    </row>
    <row r="320" spans="18:44" ht="15" x14ac:dyDescent="0.3">
      <c r="R320" s="18"/>
      <c r="S320" s="17"/>
      <c r="T320" s="17"/>
      <c r="U320" s="17"/>
      <c r="AB320" s="78"/>
      <c r="AG320" s="16"/>
      <c r="AH320" s="17"/>
      <c r="AI320" s="17"/>
      <c r="AJ320" s="17"/>
      <c r="AK320" s="17"/>
      <c r="AL320" s="17"/>
      <c r="AM320" s="17"/>
      <c r="AN320" s="17"/>
      <c r="AO320" s="17"/>
    </row>
    <row r="321" spans="18:44" ht="15" x14ac:dyDescent="0.3">
      <c r="R321" s="18"/>
      <c r="S321" s="17"/>
      <c r="T321" s="17"/>
      <c r="U321" s="17"/>
      <c r="AB321" s="78"/>
      <c r="AG321" s="16"/>
      <c r="AH321" s="17"/>
      <c r="AI321" s="17"/>
      <c r="AJ321" s="17"/>
      <c r="AK321" s="17"/>
      <c r="AL321" s="17"/>
      <c r="AM321" s="17"/>
      <c r="AN321" s="17"/>
      <c r="AO321" s="17"/>
      <c r="AR321" s="84"/>
    </row>
    <row r="322" spans="18:44" ht="15" x14ac:dyDescent="0.3">
      <c r="R322" s="18"/>
      <c r="S322" s="17"/>
      <c r="T322" s="17"/>
      <c r="U322" s="17"/>
      <c r="AB322" s="78"/>
      <c r="AG322" s="16"/>
      <c r="AH322" s="17"/>
      <c r="AI322" s="17"/>
      <c r="AJ322" s="17"/>
      <c r="AK322" s="17"/>
      <c r="AL322" s="17"/>
      <c r="AM322" s="17"/>
      <c r="AN322" s="17"/>
      <c r="AO322" s="17"/>
      <c r="AR322" s="84"/>
    </row>
    <row r="323" spans="18:44" ht="15" x14ac:dyDescent="0.3">
      <c r="R323" s="18"/>
      <c r="S323" s="17"/>
      <c r="T323" s="17"/>
      <c r="U323" s="17"/>
      <c r="AB323" s="78"/>
      <c r="AG323" s="16"/>
      <c r="AH323" s="17"/>
      <c r="AI323" s="17"/>
      <c r="AJ323" s="17"/>
      <c r="AK323" s="17"/>
      <c r="AL323" s="17"/>
      <c r="AM323" s="17"/>
      <c r="AN323" s="17"/>
      <c r="AO323" s="17"/>
    </row>
    <row r="324" spans="18:44" ht="15" x14ac:dyDescent="0.3">
      <c r="R324" s="18"/>
      <c r="S324" s="17"/>
      <c r="T324" s="17"/>
      <c r="U324" s="17"/>
      <c r="AB324" s="78"/>
      <c r="AG324" s="16"/>
      <c r="AH324" s="17"/>
      <c r="AI324" s="17"/>
      <c r="AJ324" s="17"/>
      <c r="AK324" s="17"/>
      <c r="AL324" s="17"/>
      <c r="AM324" s="17"/>
      <c r="AN324" s="17"/>
      <c r="AO324" s="17"/>
      <c r="AR324" s="84"/>
    </row>
    <row r="325" spans="18:44" ht="15" x14ac:dyDescent="0.3">
      <c r="R325" s="18"/>
      <c r="S325" s="17"/>
      <c r="T325" s="17"/>
      <c r="U325" s="17"/>
      <c r="AB325" s="78"/>
      <c r="AG325" s="16"/>
      <c r="AH325" s="17"/>
      <c r="AI325" s="17"/>
      <c r="AJ325" s="17"/>
      <c r="AK325" s="17"/>
      <c r="AL325" s="17"/>
      <c r="AM325" s="17"/>
      <c r="AN325" s="17"/>
      <c r="AO325" s="17"/>
      <c r="AR325" s="84"/>
    </row>
    <row r="326" spans="18:44" ht="15" x14ac:dyDescent="0.3">
      <c r="R326" s="18"/>
      <c r="S326" s="17"/>
      <c r="T326" s="17"/>
      <c r="U326" s="17"/>
      <c r="AB326" s="78"/>
      <c r="AG326" s="16"/>
      <c r="AH326" s="17"/>
      <c r="AI326" s="17"/>
      <c r="AJ326" s="17"/>
      <c r="AK326" s="17"/>
      <c r="AL326" s="17"/>
      <c r="AM326" s="17"/>
      <c r="AN326" s="17"/>
      <c r="AO326" s="17"/>
    </row>
    <row r="327" spans="18:44" ht="15" x14ac:dyDescent="0.3">
      <c r="R327" s="18"/>
      <c r="S327" s="17"/>
      <c r="T327" s="17"/>
      <c r="U327" s="17"/>
      <c r="AB327" s="78"/>
      <c r="AG327" s="16"/>
      <c r="AH327" s="17"/>
      <c r="AI327" s="17"/>
      <c r="AJ327" s="17"/>
      <c r="AK327" s="17"/>
      <c r="AL327" s="17"/>
      <c r="AM327" s="17"/>
      <c r="AN327" s="17"/>
      <c r="AO327" s="17"/>
    </row>
    <row r="328" spans="18:44" ht="15" x14ac:dyDescent="0.3">
      <c r="R328" s="18"/>
      <c r="S328" s="17"/>
      <c r="T328" s="17"/>
      <c r="U328" s="17"/>
      <c r="AB328" s="78"/>
      <c r="AG328" s="16"/>
      <c r="AH328" s="17"/>
      <c r="AI328" s="17"/>
      <c r="AJ328" s="17"/>
      <c r="AK328" s="17"/>
      <c r="AL328" s="17"/>
      <c r="AM328" s="17"/>
      <c r="AN328" s="17"/>
      <c r="AO328" s="17"/>
    </row>
    <row r="329" spans="18:44" ht="15" x14ac:dyDescent="0.3">
      <c r="R329" s="18"/>
      <c r="S329" s="17"/>
      <c r="T329" s="17"/>
      <c r="U329" s="17"/>
      <c r="AB329" s="78"/>
      <c r="AG329" s="16"/>
      <c r="AH329" s="17"/>
      <c r="AI329" s="17"/>
      <c r="AJ329" s="17"/>
      <c r="AK329" s="17"/>
      <c r="AL329" s="17"/>
      <c r="AM329" s="17"/>
      <c r="AN329" s="17"/>
      <c r="AO329" s="17"/>
    </row>
    <row r="330" spans="18:44" ht="15" x14ac:dyDescent="0.3">
      <c r="R330" s="18"/>
      <c r="S330" s="17"/>
      <c r="T330" s="17"/>
      <c r="U330" s="17"/>
      <c r="AB330" s="78"/>
      <c r="AG330" s="16"/>
      <c r="AH330" s="17"/>
      <c r="AI330" s="17"/>
      <c r="AJ330" s="17"/>
      <c r="AK330" s="17"/>
      <c r="AL330" s="17"/>
      <c r="AM330" s="17"/>
      <c r="AN330" s="17"/>
      <c r="AO330" s="17"/>
    </row>
    <row r="331" spans="18:44" x14ac:dyDescent="0.3">
      <c r="R331" s="18"/>
      <c r="S331" s="17"/>
      <c r="T331" s="17"/>
      <c r="U331" s="17"/>
      <c r="AG331" s="16"/>
      <c r="AH331" s="17"/>
      <c r="AI331" s="17"/>
      <c r="AJ331" s="17"/>
      <c r="AK331" s="17"/>
      <c r="AL331" s="17"/>
      <c r="AM331" s="17"/>
      <c r="AN331" s="17"/>
      <c r="AO331" s="17"/>
    </row>
    <row r="332" spans="18:44" x14ac:dyDescent="0.3">
      <c r="R332" s="18"/>
      <c r="S332" s="17"/>
      <c r="T332" s="17"/>
      <c r="U332" s="17"/>
      <c r="AG332" s="16"/>
      <c r="AH332" s="17"/>
      <c r="AI332" s="17"/>
      <c r="AJ332" s="17"/>
      <c r="AK332" s="17"/>
      <c r="AL332" s="17"/>
      <c r="AM332" s="17"/>
      <c r="AN332" s="17"/>
      <c r="AO332" s="17"/>
    </row>
    <row r="333" spans="18:44" x14ac:dyDescent="0.3">
      <c r="R333" s="18"/>
      <c r="S333" s="17"/>
      <c r="T333" s="17"/>
      <c r="U333" s="17"/>
      <c r="AG333" s="16"/>
      <c r="AH333" s="17"/>
      <c r="AI333" s="17"/>
      <c r="AJ333" s="17"/>
      <c r="AK333" s="17"/>
      <c r="AL333" s="17"/>
      <c r="AM333" s="17"/>
      <c r="AN333" s="17"/>
      <c r="AO333" s="17"/>
    </row>
    <row r="334" spans="18:44" x14ac:dyDescent="0.3">
      <c r="R334" s="18"/>
      <c r="S334" s="17"/>
      <c r="T334" s="17"/>
      <c r="U334" s="17"/>
      <c r="AG334" s="16"/>
      <c r="AH334" s="17"/>
      <c r="AI334" s="17"/>
      <c r="AJ334" s="17"/>
      <c r="AK334" s="17"/>
      <c r="AL334" s="17"/>
      <c r="AM334" s="17"/>
      <c r="AN334" s="17"/>
      <c r="AO334" s="17"/>
    </row>
    <row r="335" spans="18:44" x14ac:dyDescent="0.3">
      <c r="R335" s="18"/>
      <c r="S335" s="17"/>
      <c r="T335" s="17"/>
      <c r="U335" s="17"/>
      <c r="AG335" s="16"/>
      <c r="AH335" s="17"/>
      <c r="AI335" s="17"/>
      <c r="AJ335" s="17"/>
      <c r="AK335" s="17"/>
      <c r="AL335" s="17"/>
      <c r="AM335" s="17"/>
      <c r="AN335" s="17"/>
      <c r="AO335" s="17"/>
    </row>
    <row r="336" spans="18:44" x14ac:dyDescent="0.3">
      <c r="R336" s="18"/>
      <c r="S336" s="17"/>
      <c r="T336" s="17"/>
      <c r="U336" s="17"/>
      <c r="AG336" s="16"/>
      <c r="AH336" s="17"/>
      <c r="AI336" s="17"/>
      <c r="AJ336" s="17"/>
      <c r="AK336" s="17"/>
      <c r="AL336" s="17"/>
      <c r="AM336" s="17"/>
      <c r="AN336" s="17"/>
      <c r="AO336" s="17"/>
    </row>
    <row r="337" spans="18:41" x14ac:dyDescent="0.3">
      <c r="R337" s="18"/>
      <c r="S337" s="17"/>
      <c r="T337" s="17"/>
      <c r="U337" s="17"/>
      <c r="AG337" s="16"/>
      <c r="AH337" s="17"/>
      <c r="AI337" s="17"/>
      <c r="AJ337" s="17"/>
      <c r="AK337" s="17"/>
      <c r="AL337" s="17"/>
      <c r="AM337" s="17"/>
      <c r="AN337" s="17"/>
      <c r="AO337" s="17"/>
    </row>
    <row r="338" spans="18:41" x14ac:dyDescent="0.3">
      <c r="R338" s="18"/>
      <c r="S338" s="17"/>
      <c r="T338" s="17"/>
      <c r="U338" s="17"/>
      <c r="AG338" s="16"/>
      <c r="AH338" s="17"/>
      <c r="AI338" s="17"/>
      <c r="AJ338" s="17"/>
      <c r="AK338" s="17"/>
      <c r="AL338" s="17"/>
      <c r="AM338" s="17"/>
      <c r="AN338" s="17"/>
      <c r="AO338" s="17"/>
    </row>
    <row r="339" spans="18:41" x14ac:dyDescent="0.3">
      <c r="R339" s="18"/>
      <c r="S339" s="17"/>
      <c r="T339" s="17"/>
      <c r="U339" s="17"/>
      <c r="AG339" s="16"/>
      <c r="AH339" s="17"/>
      <c r="AI339" s="17"/>
      <c r="AJ339" s="17"/>
      <c r="AK339" s="17"/>
      <c r="AL339" s="17"/>
      <c r="AM339" s="17"/>
      <c r="AN339" s="17"/>
      <c r="AO339" s="17"/>
    </row>
    <row r="340" spans="18:41" x14ac:dyDescent="0.3">
      <c r="R340" s="18"/>
      <c r="S340" s="17"/>
      <c r="T340" s="17"/>
      <c r="U340" s="17"/>
      <c r="AG340" s="16"/>
      <c r="AH340" s="17"/>
      <c r="AI340" s="17"/>
      <c r="AJ340" s="17"/>
      <c r="AK340" s="17"/>
      <c r="AL340" s="17"/>
      <c r="AM340" s="17"/>
      <c r="AN340" s="17"/>
      <c r="AO340" s="17"/>
    </row>
    <row r="341" spans="18:41" x14ac:dyDescent="0.3">
      <c r="R341" s="18"/>
      <c r="S341" s="17"/>
      <c r="T341" s="17"/>
      <c r="U341" s="17"/>
      <c r="AG341" s="16"/>
      <c r="AH341" s="17"/>
      <c r="AI341" s="17"/>
      <c r="AJ341" s="17"/>
      <c r="AK341" s="17"/>
      <c r="AL341" s="17"/>
      <c r="AM341" s="17"/>
      <c r="AN341" s="17"/>
      <c r="AO341" s="17"/>
    </row>
    <row r="342" spans="18:41" x14ac:dyDescent="0.3">
      <c r="R342" s="18"/>
      <c r="S342" s="17"/>
      <c r="T342" s="17"/>
      <c r="U342" s="17"/>
      <c r="AG342" s="16"/>
      <c r="AH342" s="17"/>
      <c r="AI342" s="17"/>
      <c r="AJ342" s="17"/>
      <c r="AK342" s="17"/>
      <c r="AL342" s="17"/>
      <c r="AM342" s="17"/>
      <c r="AN342" s="17"/>
      <c r="AO342" s="17"/>
    </row>
    <row r="343" spans="18:41" x14ac:dyDescent="0.3">
      <c r="R343" s="18"/>
      <c r="S343" s="17"/>
      <c r="T343" s="17"/>
      <c r="U343" s="17"/>
      <c r="AG343" s="16"/>
      <c r="AH343" s="17"/>
      <c r="AI343" s="17"/>
      <c r="AJ343" s="17"/>
      <c r="AK343" s="17"/>
      <c r="AL343" s="17"/>
      <c r="AM343" s="17"/>
      <c r="AN343" s="17"/>
      <c r="AO343" s="17"/>
    </row>
    <row r="344" spans="18:41" x14ac:dyDescent="0.3">
      <c r="R344" s="18"/>
      <c r="S344" s="17"/>
      <c r="T344" s="17"/>
      <c r="U344" s="17"/>
      <c r="AG344" s="16"/>
      <c r="AH344" s="17"/>
      <c r="AI344" s="17"/>
      <c r="AJ344" s="17"/>
      <c r="AK344" s="17"/>
      <c r="AL344" s="17"/>
      <c r="AM344" s="17"/>
      <c r="AN344" s="17"/>
      <c r="AO344" s="17"/>
    </row>
    <row r="345" spans="18:41" x14ac:dyDescent="0.3">
      <c r="R345" s="18"/>
      <c r="S345" s="17"/>
      <c r="T345" s="17"/>
      <c r="U345" s="17"/>
      <c r="AG345" s="16"/>
      <c r="AH345" s="17"/>
      <c r="AI345" s="17"/>
      <c r="AJ345" s="17"/>
      <c r="AK345" s="17"/>
      <c r="AL345" s="17"/>
      <c r="AM345" s="17"/>
      <c r="AN345" s="17"/>
      <c r="AO345" s="17"/>
    </row>
    <row r="346" spans="18:41" x14ac:dyDescent="0.3">
      <c r="R346" s="18"/>
      <c r="S346" s="17"/>
      <c r="T346" s="17"/>
      <c r="U346" s="17"/>
      <c r="AG346" s="16"/>
      <c r="AH346" s="17"/>
      <c r="AI346" s="17"/>
      <c r="AJ346" s="17"/>
      <c r="AK346" s="17"/>
      <c r="AL346" s="17"/>
      <c r="AM346" s="17"/>
      <c r="AN346" s="17"/>
      <c r="AO346" s="17"/>
    </row>
    <row r="347" spans="18:41" x14ac:dyDescent="0.3">
      <c r="R347" s="18"/>
      <c r="S347" s="17"/>
      <c r="T347" s="17"/>
      <c r="U347" s="17"/>
      <c r="AG347" s="16"/>
      <c r="AH347" s="17"/>
      <c r="AI347" s="17"/>
      <c r="AJ347" s="17"/>
      <c r="AK347" s="17"/>
      <c r="AL347" s="17"/>
      <c r="AM347" s="17"/>
      <c r="AN347" s="17"/>
      <c r="AO347" s="17"/>
    </row>
    <row r="348" spans="18:41" x14ac:dyDescent="0.3">
      <c r="R348" s="18"/>
      <c r="S348" s="17"/>
      <c r="T348" s="17"/>
      <c r="U348" s="17"/>
      <c r="AG348" s="16"/>
      <c r="AH348" s="17"/>
      <c r="AI348" s="17"/>
      <c r="AJ348" s="17"/>
      <c r="AK348" s="17"/>
      <c r="AL348" s="17"/>
      <c r="AM348" s="17"/>
      <c r="AN348" s="17"/>
      <c r="AO348" s="17"/>
    </row>
    <row r="349" spans="18:41" x14ac:dyDescent="0.3">
      <c r="R349" s="18"/>
      <c r="S349" s="17"/>
      <c r="T349" s="17"/>
      <c r="U349" s="17"/>
      <c r="AG349" s="16"/>
      <c r="AH349" s="17"/>
      <c r="AI349" s="17"/>
      <c r="AJ349" s="17"/>
      <c r="AK349" s="17"/>
      <c r="AL349" s="17"/>
      <c r="AM349" s="17"/>
      <c r="AN349" s="17"/>
      <c r="AO349" s="17"/>
    </row>
    <row r="350" spans="18:41" x14ac:dyDescent="0.3">
      <c r="R350" s="18"/>
      <c r="S350" s="17"/>
      <c r="T350" s="17"/>
      <c r="U350" s="17"/>
      <c r="AG350" s="16"/>
      <c r="AH350" s="17"/>
      <c r="AI350" s="17"/>
      <c r="AJ350" s="17"/>
      <c r="AK350" s="17"/>
      <c r="AL350" s="17"/>
      <c r="AM350" s="17"/>
      <c r="AN350" s="17"/>
      <c r="AO350" s="17"/>
    </row>
    <row r="351" spans="18:41" x14ac:dyDescent="0.3">
      <c r="R351" s="18"/>
      <c r="S351" s="17"/>
      <c r="T351" s="17"/>
      <c r="U351" s="17"/>
      <c r="AG351" s="16"/>
      <c r="AH351" s="17"/>
      <c r="AI351" s="17"/>
      <c r="AJ351" s="17"/>
      <c r="AK351" s="17"/>
      <c r="AL351" s="17"/>
      <c r="AM351" s="17"/>
      <c r="AN351" s="17"/>
      <c r="AO351" s="17"/>
    </row>
    <row r="352" spans="18:41" x14ac:dyDescent="0.3">
      <c r="R352" s="18"/>
      <c r="S352" s="17"/>
      <c r="T352" s="17"/>
      <c r="U352" s="17"/>
      <c r="AG352" s="16"/>
      <c r="AH352" s="17"/>
      <c r="AI352" s="17"/>
      <c r="AJ352" s="17"/>
      <c r="AK352" s="17"/>
      <c r="AL352" s="17"/>
      <c r="AM352" s="17"/>
      <c r="AN352" s="17"/>
      <c r="AO352" s="17"/>
    </row>
    <row r="353" spans="18:41" x14ac:dyDescent="0.3">
      <c r="R353" s="18"/>
      <c r="S353" s="17"/>
      <c r="T353" s="17"/>
      <c r="U353" s="17"/>
      <c r="AG353" s="16"/>
      <c r="AH353" s="17"/>
      <c r="AI353" s="17"/>
      <c r="AJ353" s="17"/>
      <c r="AK353" s="17"/>
      <c r="AL353" s="17"/>
      <c r="AM353" s="17"/>
      <c r="AN353" s="17"/>
      <c r="AO353" s="17"/>
    </row>
    <row r="354" spans="18:41" x14ac:dyDescent="0.3">
      <c r="R354" s="18"/>
      <c r="S354" s="17"/>
      <c r="T354" s="17"/>
      <c r="U354" s="17"/>
      <c r="AG354" s="16"/>
      <c r="AH354" s="17"/>
      <c r="AI354" s="17"/>
      <c r="AJ354" s="17"/>
      <c r="AK354" s="17"/>
      <c r="AL354" s="17"/>
      <c r="AM354" s="17"/>
      <c r="AN354" s="17"/>
      <c r="AO354" s="17"/>
    </row>
    <row r="355" spans="18:41" x14ac:dyDescent="0.3">
      <c r="R355" s="18"/>
      <c r="S355" s="17"/>
      <c r="T355" s="17"/>
      <c r="U355" s="17"/>
      <c r="AG355" s="16"/>
      <c r="AH355" s="17"/>
      <c r="AI355" s="17"/>
      <c r="AJ355" s="17"/>
      <c r="AK355" s="17"/>
      <c r="AL355" s="17"/>
      <c r="AM355" s="17"/>
      <c r="AN355" s="17"/>
      <c r="AO355" s="17"/>
    </row>
    <row r="356" spans="18:41" x14ac:dyDescent="0.3">
      <c r="R356" s="18"/>
      <c r="S356" s="17"/>
      <c r="T356" s="17"/>
      <c r="U356" s="17"/>
      <c r="AG356" s="16"/>
      <c r="AH356" s="17"/>
      <c r="AI356" s="17"/>
      <c r="AJ356" s="17"/>
      <c r="AK356" s="17"/>
      <c r="AL356" s="17"/>
      <c r="AM356" s="17"/>
      <c r="AN356" s="17"/>
      <c r="AO356" s="17"/>
    </row>
    <row r="357" spans="18:41" x14ac:dyDescent="0.3">
      <c r="R357" s="18"/>
      <c r="S357" s="17"/>
      <c r="T357" s="17"/>
      <c r="U357" s="17"/>
      <c r="AG357" s="16"/>
      <c r="AH357" s="17"/>
      <c r="AI357" s="17"/>
      <c r="AJ357" s="17"/>
      <c r="AK357" s="17"/>
      <c r="AL357" s="17"/>
      <c r="AM357" s="17"/>
      <c r="AN357" s="17"/>
      <c r="AO357" s="17"/>
    </row>
    <row r="358" spans="18:41" x14ac:dyDescent="0.3">
      <c r="R358" s="18"/>
      <c r="S358" s="17"/>
      <c r="T358" s="17"/>
      <c r="U358" s="17"/>
      <c r="AG358" s="16"/>
      <c r="AH358" s="17"/>
      <c r="AI358" s="17"/>
      <c r="AJ358" s="17"/>
      <c r="AK358" s="17"/>
      <c r="AL358" s="17"/>
      <c r="AM358" s="17"/>
      <c r="AN358" s="17"/>
      <c r="AO358" s="17"/>
    </row>
    <row r="359" spans="18:41" x14ac:dyDescent="0.3">
      <c r="R359" s="18"/>
      <c r="S359" s="17"/>
      <c r="T359" s="17"/>
      <c r="U359" s="17"/>
      <c r="AG359" s="16"/>
      <c r="AH359" s="17"/>
      <c r="AI359" s="17"/>
      <c r="AJ359" s="17"/>
      <c r="AK359" s="17"/>
      <c r="AL359" s="17"/>
      <c r="AM359" s="17"/>
      <c r="AN359" s="17"/>
      <c r="AO359" s="17"/>
    </row>
    <row r="360" spans="18:41" x14ac:dyDescent="0.3">
      <c r="R360" s="18"/>
      <c r="S360" s="17"/>
      <c r="T360" s="17"/>
      <c r="U360" s="17"/>
      <c r="AG360" s="16"/>
      <c r="AH360" s="17"/>
      <c r="AI360" s="17"/>
      <c r="AJ360" s="17"/>
      <c r="AK360" s="17"/>
      <c r="AL360" s="17"/>
      <c r="AM360" s="17"/>
      <c r="AN360" s="17"/>
      <c r="AO360" s="17"/>
    </row>
    <row r="361" spans="18:41" x14ac:dyDescent="0.3">
      <c r="R361" s="18"/>
      <c r="S361" s="17"/>
      <c r="T361" s="17"/>
      <c r="U361" s="17"/>
      <c r="AG361" s="16"/>
      <c r="AH361" s="17"/>
      <c r="AI361" s="17"/>
      <c r="AJ361" s="17"/>
      <c r="AK361" s="17"/>
      <c r="AL361" s="17"/>
      <c r="AM361" s="17"/>
      <c r="AN361" s="17"/>
      <c r="AO361" s="17"/>
    </row>
    <row r="362" spans="18:41" x14ac:dyDescent="0.3">
      <c r="R362" s="18"/>
      <c r="S362" s="17"/>
      <c r="T362" s="17"/>
      <c r="U362" s="17"/>
      <c r="AG362" s="16"/>
      <c r="AH362" s="17"/>
      <c r="AI362" s="17"/>
      <c r="AJ362" s="17"/>
      <c r="AK362" s="17"/>
      <c r="AL362" s="17"/>
      <c r="AM362" s="17"/>
      <c r="AN362" s="17"/>
      <c r="AO362" s="17"/>
    </row>
    <row r="363" spans="18:41" x14ac:dyDescent="0.3">
      <c r="R363" s="18"/>
      <c r="S363" s="17"/>
      <c r="T363" s="17"/>
      <c r="U363" s="17"/>
      <c r="AG363" s="16"/>
      <c r="AH363" s="17"/>
      <c r="AI363" s="17"/>
      <c r="AJ363" s="17"/>
      <c r="AK363" s="17"/>
      <c r="AL363" s="17"/>
      <c r="AM363" s="17"/>
      <c r="AN363" s="17"/>
      <c r="AO363" s="17"/>
    </row>
    <row r="364" spans="18:41" x14ac:dyDescent="0.3">
      <c r="S364" s="17"/>
      <c r="T364" s="17"/>
      <c r="U364" s="17"/>
      <c r="AG364" s="16"/>
      <c r="AH364" s="17"/>
      <c r="AI364" s="17"/>
      <c r="AJ364" s="17"/>
      <c r="AK364" s="17"/>
      <c r="AL364" s="17"/>
      <c r="AM364" s="17"/>
      <c r="AN364" s="17"/>
      <c r="AO364" s="17"/>
    </row>
    <row r="365" spans="18:41" x14ac:dyDescent="0.3">
      <c r="AG365" s="16"/>
      <c r="AH365" s="17"/>
      <c r="AI365" s="17"/>
      <c r="AJ365" s="17"/>
      <c r="AK365" s="17"/>
      <c r="AL365" s="17"/>
      <c r="AM365" s="17"/>
      <c r="AN365" s="17"/>
      <c r="AO365" s="17"/>
    </row>
    <row r="366" spans="18:41" x14ac:dyDescent="0.3">
      <c r="AG366" s="16"/>
      <c r="AH366" s="17"/>
      <c r="AI366" s="17"/>
      <c r="AJ366" s="17"/>
      <c r="AK366" s="17"/>
      <c r="AL366" s="17"/>
      <c r="AM366" s="17"/>
      <c r="AN366" s="17"/>
      <c r="AO366" s="17"/>
    </row>
    <row r="367" spans="18:41" x14ac:dyDescent="0.3">
      <c r="AG367" s="16"/>
      <c r="AH367" s="17"/>
      <c r="AI367" s="17"/>
      <c r="AJ367" s="17"/>
      <c r="AK367" s="17"/>
      <c r="AL367" s="17"/>
      <c r="AM367" s="17"/>
      <c r="AN367" s="17"/>
      <c r="AO367" s="17"/>
    </row>
    <row r="368" spans="18:41" x14ac:dyDescent="0.3">
      <c r="AG368" s="16"/>
      <c r="AH368" s="17"/>
      <c r="AI368" s="17"/>
      <c r="AJ368" s="17"/>
      <c r="AK368" s="17"/>
      <c r="AL368" s="17"/>
      <c r="AM368" s="17"/>
      <c r="AN368" s="17"/>
      <c r="AO368" s="17"/>
    </row>
    <row r="369" spans="33:41" x14ac:dyDescent="0.3">
      <c r="AG369" s="16"/>
      <c r="AH369" s="17"/>
      <c r="AI369" s="17"/>
      <c r="AJ369" s="17"/>
      <c r="AK369" s="17"/>
      <c r="AL369" s="17"/>
      <c r="AM369" s="17"/>
      <c r="AN369" s="17"/>
      <c r="AO369" s="17"/>
    </row>
    <row r="370" spans="33:41" x14ac:dyDescent="0.3">
      <c r="AG370" s="16"/>
      <c r="AH370" s="17"/>
      <c r="AI370" s="17"/>
      <c r="AJ370" s="17"/>
      <c r="AK370" s="17"/>
      <c r="AL370" s="17"/>
      <c r="AM370" s="17"/>
      <c r="AN370" s="17"/>
      <c r="AO370" s="17"/>
    </row>
    <row r="371" spans="33:41" x14ac:dyDescent="0.3">
      <c r="AG371" s="16"/>
      <c r="AH371" s="17"/>
      <c r="AI371" s="17"/>
      <c r="AJ371" s="17"/>
      <c r="AK371" s="17"/>
      <c r="AL371" s="17"/>
      <c r="AM371" s="17"/>
      <c r="AN371" s="17"/>
      <c r="AO371" s="17"/>
    </row>
    <row r="372" spans="33:41" x14ac:dyDescent="0.3">
      <c r="AG372" s="16"/>
      <c r="AH372" s="17"/>
      <c r="AI372" s="17"/>
      <c r="AJ372" s="17"/>
      <c r="AK372" s="17"/>
      <c r="AL372" s="17"/>
      <c r="AM372" s="17"/>
      <c r="AN372" s="17"/>
      <c r="AO372" s="17"/>
    </row>
    <row r="373" spans="33:41" x14ac:dyDescent="0.3">
      <c r="AG373" s="16"/>
      <c r="AH373" s="17"/>
      <c r="AI373" s="17"/>
      <c r="AJ373" s="17"/>
      <c r="AK373" s="17"/>
      <c r="AL373" s="17"/>
      <c r="AM373" s="17"/>
      <c r="AN373" s="17"/>
      <c r="AO373" s="17"/>
    </row>
    <row r="374" spans="33:41" x14ac:dyDescent="0.3">
      <c r="AG374" s="16"/>
      <c r="AH374" s="17"/>
      <c r="AI374" s="17"/>
      <c r="AJ374" s="17"/>
      <c r="AK374" s="17"/>
      <c r="AL374" s="17"/>
      <c r="AM374" s="17"/>
      <c r="AN374" s="17"/>
      <c r="AO374" s="17"/>
    </row>
    <row r="375" spans="33:41" x14ac:dyDescent="0.3">
      <c r="AG375" s="16"/>
      <c r="AH375" s="17"/>
      <c r="AI375" s="17"/>
      <c r="AJ375" s="17"/>
      <c r="AK375" s="17"/>
      <c r="AL375" s="17"/>
      <c r="AM375" s="17"/>
      <c r="AN375" s="17"/>
      <c r="AO375" s="17"/>
    </row>
    <row r="376" spans="33:41" x14ac:dyDescent="0.3">
      <c r="AG376" s="16"/>
      <c r="AH376" s="17"/>
      <c r="AI376" s="17"/>
      <c r="AJ376" s="17"/>
      <c r="AK376" s="17"/>
      <c r="AL376" s="17"/>
      <c r="AM376" s="17"/>
      <c r="AN376" s="17"/>
      <c r="AO376" s="17"/>
    </row>
    <row r="377" spans="33:41" x14ac:dyDescent="0.3">
      <c r="AG377" s="16"/>
      <c r="AH377" s="17"/>
      <c r="AI377" s="17"/>
      <c r="AJ377" s="17"/>
      <c r="AK377" s="17"/>
      <c r="AL377" s="17"/>
      <c r="AM377" s="17"/>
      <c r="AN377" s="17"/>
      <c r="AO377" s="17"/>
    </row>
    <row r="378" spans="33:41" x14ac:dyDescent="0.3">
      <c r="AG378" s="16"/>
      <c r="AH378" s="17"/>
      <c r="AI378" s="17"/>
      <c r="AJ378" s="17"/>
      <c r="AK378" s="17"/>
      <c r="AL378" s="17"/>
      <c r="AM378" s="17"/>
      <c r="AN378" s="17"/>
      <c r="AO378" s="17"/>
    </row>
    <row r="379" spans="33:41" x14ac:dyDescent="0.3">
      <c r="AG379" s="16"/>
      <c r="AH379" s="17"/>
      <c r="AI379" s="17"/>
      <c r="AJ379" s="17"/>
      <c r="AK379" s="17"/>
      <c r="AL379" s="17"/>
      <c r="AM379" s="17"/>
      <c r="AN379" s="17"/>
      <c r="AO379" s="17"/>
    </row>
    <row r="380" spans="33:41" x14ac:dyDescent="0.3">
      <c r="AG380" s="16"/>
      <c r="AH380" s="17"/>
      <c r="AI380" s="17"/>
      <c r="AJ380" s="17"/>
      <c r="AK380" s="17"/>
      <c r="AL380" s="17"/>
      <c r="AM380" s="17"/>
      <c r="AN380" s="17"/>
      <c r="AO380" s="17"/>
    </row>
    <row r="381" spans="33:41" x14ac:dyDescent="0.3">
      <c r="AG381" s="16"/>
      <c r="AH381" s="17"/>
      <c r="AI381" s="17"/>
      <c r="AJ381" s="17"/>
      <c r="AK381" s="17"/>
      <c r="AL381" s="17"/>
      <c r="AM381" s="17"/>
      <c r="AN381" s="17"/>
      <c r="AO381" s="17"/>
    </row>
    <row r="382" spans="33:41" x14ac:dyDescent="0.3">
      <c r="AG382" s="16"/>
      <c r="AH382" s="17"/>
      <c r="AI382" s="17"/>
      <c r="AJ382" s="17"/>
      <c r="AK382" s="17"/>
      <c r="AL382" s="17"/>
      <c r="AM382" s="17"/>
      <c r="AN382" s="17"/>
      <c r="AO382" s="17"/>
    </row>
    <row r="383" spans="33:41" x14ac:dyDescent="0.3">
      <c r="AG383" s="16"/>
      <c r="AH383" s="17"/>
      <c r="AI383" s="17"/>
      <c r="AJ383" s="17"/>
      <c r="AK383" s="17"/>
      <c r="AL383" s="17"/>
      <c r="AM383" s="17"/>
      <c r="AN383" s="17"/>
      <c r="AO383" s="17"/>
    </row>
    <row r="384" spans="33:41" x14ac:dyDescent="0.3">
      <c r="AG384" s="16"/>
      <c r="AH384" s="17"/>
      <c r="AI384" s="17"/>
      <c r="AJ384" s="17"/>
      <c r="AK384" s="17"/>
      <c r="AL384" s="17"/>
      <c r="AM384" s="17"/>
      <c r="AN384" s="17"/>
      <c r="AO384" s="17"/>
    </row>
    <row r="385" spans="33:41" x14ac:dyDescent="0.3">
      <c r="AG385" s="16"/>
      <c r="AH385" s="17"/>
      <c r="AI385" s="17"/>
      <c r="AJ385" s="17"/>
      <c r="AK385" s="17"/>
      <c r="AL385" s="17"/>
      <c r="AM385" s="17"/>
      <c r="AN385" s="17"/>
      <c r="AO385" s="17"/>
    </row>
    <row r="386" spans="33:41" x14ac:dyDescent="0.3">
      <c r="AG386" s="16"/>
      <c r="AH386" s="17"/>
      <c r="AI386" s="17"/>
      <c r="AJ386" s="17"/>
      <c r="AK386" s="17"/>
      <c r="AL386" s="17"/>
      <c r="AM386" s="17"/>
      <c r="AN386" s="17"/>
      <c r="AO386" s="17"/>
    </row>
    <row r="387" spans="33:41" x14ac:dyDescent="0.3">
      <c r="AG387" s="16"/>
      <c r="AH387" s="17"/>
      <c r="AI387" s="17"/>
      <c r="AJ387" s="17"/>
      <c r="AK387" s="17"/>
      <c r="AL387" s="17"/>
      <c r="AM387" s="17"/>
      <c r="AN387" s="17"/>
      <c r="AO387" s="17"/>
    </row>
    <row r="388" spans="33:41" x14ac:dyDescent="0.3">
      <c r="AG388" s="16"/>
      <c r="AH388" s="17"/>
      <c r="AI388" s="17"/>
      <c r="AJ388" s="17"/>
      <c r="AK388" s="17"/>
      <c r="AL388" s="17"/>
      <c r="AM388" s="17"/>
      <c r="AN388" s="17"/>
      <c r="AO388" s="17"/>
    </row>
    <row r="389" spans="33:41" x14ac:dyDescent="0.3">
      <c r="AG389" s="16"/>
      <c r="AH389" s="17"/>
      <c r="AI389" s="17"/>
      <c r="AJ389" s="17"/>
      <c r="AK389" s="17"/>
      <c r="AL389" s="17"/>
      <c r="AM389" s="17"/>
      <c r="AN389" s="17"/>
      <c r="AO389" s="17"/>
    </row>
    <row r="390" spans="33:41" x14ac:dyDescent="0.3">
      <c r="AG390" s="16"/>
      <c r="AH390" s="17"/>
      <c r="AI390" s="17"/>
      <c r="AJ390" s="17"/>
      <c r="AK390" s="17"/>
      <c r="AL390" s="17"/>
      <c r="AM390" s="17"/>
      <c r="AN390" s="17"/>
      <c r="AO390" s="17"/>
    </row>
    <row r="391" spans="33:41" x14ac:dyDescent="0.3">
      <c r="AG391" s="16"/>
      <c r="AH391" s="17"/>
      <c r="AI391" s="17"/>
      <c r="AJ391" s="17"/>
      <c r="AK391" s="17"/>
      <c r="AL391" s="17"/>
      <c r="AM391" s="17"/>
      <c r="AN391" s="17"/>
      <c r="AO391" s="17"/>
    </row>
    <row r="392" spans="33:41" x14ac:dyDescent="0.3">
      <c r="AG392" s="16"/>
      <c r="AH392" s="17"/>
      <c r="AI392" s="17"/>
      <c r="AJ392" s="17"/>
      <c r="AK392" s="17"/>
      <c r="AL392" s="17"/>
      <c r="AM392" s="17"/>
      <c r="AN392" s="17"/>
      <c r="AO392" s="17"/>
    </row>
    <row r="393" spans="33:41" x14ac:dyDescent="0.3">
      <c r="AG393" s="16"/>
      <c r="AH393" s="17"/>
      <c r="AI393" s="17"/>
      <c r="AJ393" s="17"/>
      <c r="AK393" s="17"/>
      <c r="AL393" s="17"/>
      <c r="AM393" s="17"/>
      <c r="AN393" s="17"/>
      <c r="AO393" s="17"/>
    </row>
    <row r="394" spans="33:41" x14ac:dyDescent="0.3">
      <c r="AG394" s="16"/>
      <c r="AH394" s="17"/>
      <c r="AI394" s="17"/>
      <c r="AJ394" s="17"/>
      <c r="AK394" s="17"/>
      <c r="AL394" s="17"/>
      <c r="AM394" s="17"/>
      <c r="AN394" s="17"/>
      <c r="AO394" s="17"/>
    </row>
    <row r="395" spans="33:41" x14ac:dyDescent="0.3">
      <c r="AG395" s="16"/>
      <c r="AH395" s="17"/>
      <c r="AI395" s="17"/>
      <c r="AJ395" s="17"/>
      <c r="AK395" s="17"/>
      <c r="AL395" s="17"/>
      <c r="AM395" s="17"/>
      <c r="AN395" s="17"/>
      <c r="AO395" s="17"/>
    </row>
    <row r="396" spans="33:41" x14ac:dyDescent="0.3">
      <c r="AG396" s="16"/>
      <c r="AH396" s="17"/>
      <c r="AI396" s="17"/>
      <c r="AJ396" s="17"/>
      <c r="AK396" s="17"/>
      <c r="AL396" s="17"/>
      <c r="AM396" s="17"/>
      <c r="AN396" s="17"/>
      <c r="AO396" s="17"/>
    </row>
    <row r="397" spans="33:41" x14ac:dyDescent="0.3">
      <c r="AG397" s="16"/>
      <c r="AH397" s="17"/>
      <c r="AI397" s="17"/>
      <c r="AJ397" s="17"/>
      <c r="AK397" s="17"/>
      <c r="AL397" s="17"/>
      <c r="AM397" s="17"/>
      <c r="AN397" s="17"/>
      <c r="AO397" s="17"/>
    </row>
    <row r="398" spans="33:41" x14ac:dyDescent="0.3">
      <c r="AG398" s="16"/>
      <c r="AH398" s="17"/>
      <c r="AI398" s="17"/>
      <c r="AJ398" s="17"/>
      <c r="AK398" s="17"/>
      <c r="AL398" s="17"/>
      <c r="AM398" s="17"/>
      <c r="AN398" s="17"/>
      <c r="AO398" s="17"/>
    </row>
    <row r="399" spans="33:41" x14ac:dyDescent="0.3">
      <c r="AG399" s="16"/>
      <c r="AH399" s="17"/>
      <c r="AI399" s="17"/>
      <c r="AJ399" s="17"/>
      <c r="AK399" s="17"/>
      <c r="AL399" s="17"/>
      <c r="AM399" s="17"/>
      <c r="AN399" s="17"/>
      <c r="AO399" s="17"/>
    </row>
    <row r="400" spans="33:41" x14ac:dyDescent="0.3">
      <c r="AG400" s="16"/>
      <c r="AH400" s="17"/>
      <c r="AI400" s="17"/>
      <c r="AJ400" s="17"/>
      <c r="AK400" s="17"/>
      <c r="AL400" s="17"/>
      <c r="AM400" s="17"/>
      <c r="AN400" s="17"/>
      <c r="AO400" s="17"/>
    </row>
    <row r="401" spans="33:41" x14ac:dyDescent="0.3">
      <c r="AG401" s="16"/>
      <c r="AH401" s="17"/>
      <c r="AI401" s="17"/>
      <c r="AJ401" s="17"/>
      <c r="AK401" s="17"/>
      <c r="AL401" s="17"/>
      <c r="AM401" s="17"/>
      <c r="AN401" s="17"/>
      <c r="AO401" s="17"/>
    </row>
    <row r="402" spans="33:41" x14ac:dyDescent="0.3">
      <c r="AG402" s="16"/>
      <c r="AH402" s="17"/>
      <c r="AI402" s="17"/>
      <c r="AJ402" s="17"/>
      <c r="AK402" s="17"/>
      <c r="AL402" s="17"/>
      <c r="AM402" s="17"/>
      <c r="AN402" s="17"/>
      <c r="AO402" s="17"/>
    </row>
    <row r="403" spans="33:41" x14ac:dyDescent="0.3">
      <c r="AG403" s="16"/>
      <c r="AH403" s="17"/>
      <c r="AI403" s="17"/>
      <c r="AJ403" s="17"/>
      <c r="AK403" s="17"/>
      <c r="AL403" s="17"/>
      <c r="AM403" s="17"/>
      <c r="AN403" s="17"/>
      <c r="AO403" s="17"/>
    </row>
    <row r="404" spans="33:41" x14ac:dyDescent="0.3">
      <c r="AG404" s="16"/>
      <c r="AH404" s="17"/>
      <c r="AI404" s="17"/>
      <c r="AJ404" s="17"/>
      <c r="AK404" s="17"/>
      <c r="AL404" s="17"/>
      <c r="AM404" s="17"/>
      <c r="AN404" s="17"/>
      <c r="AO404" s="17"/>
    </row>
    <row r="405" spans="33:41" x14ac:dyDescent="0.3">
      <c r="AG405" s="16"/>
      <c r="AH405" s="17"/>
      <c r="AI405" s="17"/>
      <c r="AJ405" s="17"/>
      <c r="AK405" s="17"/>
      <c r="AL405" s="17"/>
      <c r="AM405" s="17"/>
      <c r="AN405" s="17"/>
      <c r="AO405" s="17"/>
    </row>
    <row r="406" spans="33:41" x14ac:dyDescent="0.3">
      <c r="AG406" s="16"/>
      <c r="AH406" s="17"/>
      <c r="AI406" s="17"/>
      <c r="AJ406" s="17"/>
      <c r="AK406" s="17"/>
      <c r="AL406" s="17"/>
      <c r="AM406" s="17"/>
      <c r="AN406" s="17"/>
      <c r="AO406" s="17"/>
    </row>
    <row r="407" spans="33:41" x14ac:dyDescent="0.3">
      <c r="AG407" s="16"/>
      <c r="AH407" s="17"/>
      <c r="AI407" s="17"/>
      <c r="AJ407" s="17"/>
      <c r="AK407" s="17"/>
      <c r="AL407" s="17"/>
      <c r="AM407" s="17"/>
      <c r="AN407" s="17"/>
      <c r="AO407" s="17"/>
    </row>
    <row r="408" spans="33:41" x14ac:dyDescent="0.3">
      <c r="AG408" s="16"/>
      <c r="AH408" s="17"/>
      <c r="AI408" s="17"/>
      <c r="AJ408" s="17"/>
      <c r="AK408" s="17"/>
      <c r="AL408" s="17"/>
      <c r="AM408" s="17"/>
      <c r="AN408" s="17"/>
      <c r="AO408" s="17"/>
    </row>
    <row r="409" spans="33:41" x14ac:dyDescent="0.3">
      <c r="AG409" s="16"/>
      <c r="AH409" s="17"/>
      <c r="AI409" s="17"/>
      <c r="AJ409" s="17"/>
      <c r="AK409" s="17"/>
      <c r="AL409" s="17"/>
      <c r="AM409" s="17"/>
      <c r="AN409" s="17"/>
      <c r="AO409" s="17"/>
    </row>
    <row r="410" spans="33:41" x14ac:dyDescent="0.3">
      <c r="AG410" s="16"/>
      <c r="AH410" s="17"/>
      <c r="AI410" s="17"/>
      <c r="AJ410" s="17"/>
      <c r="AK410" s="17"/>
      <c r="AL410" s="17"/>
      <c r="AM410" s="17"/>
      <c r="AN410" s="17"/>
      <c r="AO410" s="17"/>
    </row>
    <row r="411" spans="33:41" x14ac:dyDescent="0.3">
      <c r="AG411" s="16"/>
      <c r="AH411" s="17"/>
      <c r="AI411" s="17"/>
      <c r="AJ411" s="17"/>
      <c r="AK411" s="17"/>
      <c r="AL411" s="17"/>
      <c r="AM411" s="17"/>
      <c r="AN411" s="17"/>
      <c r="AO411" s="17"/>
    </row>
    <row r="412" spans="33:41" x14ac:dyDescent="0.3">
      <c r="AG412" s="16"/>
      <c r="AH412" s="17"/>
      <c r="AI412" s="17"/>
      <c r="AJ412" s="17"/>
      <c r="AK412" s="17"/>
      <c r="AL412" s="17"/>
      <c r="AM412" s="17"/>
      <c r="AN412" s="17"/>
      <c r="AO412" s="17"/>
    </row>
    <row r="413" spans="33:41" x14ac:dyDescent="0.3">
      <c r="AG413" s="16"/>
      <c r="AH413" s="17"/>
      <c r="AI413" s="17"/>
      <c r="AJ413" s="17"/>
      <c r="AK413" s="17"/>
      <c r="AL413" s="17"/>
      <c r="AM413" s="17"/>
      <c r="AN413" s="17"/>
      <c r="AO413" s="17"/>
    </row>
    <row r="414" spans="33:41" x14ac:dyDescent="0.3">
      <c r="AG414" s="16"/>
      <c r="AH414" s="17"/>
      <c r="AI414" s="17"/>
      <c r="AJ414" s="17"/>
      <c r="AK414" s="17"/>
      <c r="AL414" s="17"/>
      <c r="AM414" s="17"/>
      <c r="AN414" s="17"/>
      <c r="AO414" s="17"/>
    </row>
    <row r="415" spans="33:41" x14ac:dyDescent="0.3">
      <c r="AG415" s="16"/>
      <c r="AH415" s="17"/>
      <c r="AI415" s="17"/>
      <c r="AJ415" s="17"/>
      <c r="AK415" s="17"/>
      <c r="AL415" s="17"/>
      <c r="AM415" s="17"/>
      <c r="AN415" s="17"/>
      <c r="AO415" s="17"/>
    </row>
    <row r="416" spans="33:41" x14ac:dyDescent="0.3">
      <c r="AG416" s="16"/>
      <c r="AH416" s="17"/>
      <c r="AI416" s="17"/>
      <c r="AJ416" s="17"/>
      <c r="AK416" s="17"/>
      <c r="AL416" s="17"/>
      <c r="AM416" s="17"/>
      <c r="AN416" s="17"/>
      <c r="AO416" s="17"/>
    </row>
    <row r="417" spans="33:41" x14ac:dyDescent="0.3">
      <c r="AG417" s="16"/>
      <c r="AH417" s="17"/>
      <c r="AI417" s="17"/>
      <c r="AJ417" s="17"/>
      <c r="AK417" s="17"/>
      <c r="AL417" s="17"/>
      <c r="AM417" s="17"/>
      <c r="AN417" s="17"/>
      <c r="AO417" s="17"/>
    </row>
    <row r="418" spans="33:41" x14ac:dyDescent="0.3">
      <c r="AG418" s="16"/>
      <c r="AH418" s="17"/>
      <c r="AI418" s="17"/>
      <c r="AJ418" s="17"/>
      <c r="AK418" s="17"/>
      <c r="AL418" s="17"/>
      <c r="AM418" s="17"/>
      <c r="AN418" s="17"/>
      <c r="AO418" s="17"/>
    </row>
    <row r="419" spans="33:41" x14ac:dyDescent="0.3">
      <c r="AG419" s="16"/>
      <c r="AH419" s="17"/>
      <c r="AI419" s="17"/>
      <c r="AJ419" s="17"/>
      <c r="AK419" s="17"/>
      <c r="AL419" s="17"/>
      <c r="AM419" s="17"/>
      <c r="AN419" s="17"/>
      <c r="AO419" s="17"/>
    </row>
    <row r="420" spans="33:41" x14ac:dyDescent="0.3">
      <c r="AG420" s="16"/>
      <c r="AH420" s="17"/>
      <c r="AI420" s="17"/>
      <c r="AJ420" s="17"/>
      <c r="AK420" s="17"/>
      <c r="AL420" s="17"/>
      <c r="AM420" s="17"/>
      <c r="AN420" s="17"/>
      <c r="AO420" s="17"/>
    </row>
    <row r="421" spans="33:41" x14ac:dyDescent="0.3">
      <c r="AG421" s="16"/>
      <c r="AH421" s="17"/>
      <c r="AI421" s="17"/>
      <c r="AJ421" s="17"/>
      <c r="AK421" s="17"/>
      <c r="AL421" s="17"/>
      <c r="AM421" s="17"/>
      <c r="AN421" s="17"/>
      <c r="AO421" s="17"/>
    </row>
    <row r="422" spans="33:41" x14ac:dyDescent="0.3">
      <c r="AG422" s="16"/>
      <c r="AH422" s="17"/>
      <c r="AI422" s="17"/>
      <c r="AJ422" s="17"/>
      <c r="AK422" s="17"/>
      <c r="AL422" s="17"/>
      <c r="AM422" s="17"/>
      <c r="AN422" s="17"/>
      <c r="AO422" s="17"/>
    </row>
    <row r="423" spans="33:41" x14ac:dyDescent="0.3">
      <c r="AG423" s="16"/>
      <c r="AH423" s="17"/>
      <c r="AI423" s="17"/>
      <c r="AJ423" s="17"/>
      <c r="AK423" s="17"/>
      <c r="AL423" s="17"/>
      <c r="AM423" s="17"/>
      <c r="AN423" s="17"/>
      <c r="AO423" s="17"/>
    </row>
    <row r="424" spans="33:41" x14ac:dyDescent="0.3">
      <c r="AG424" s="16"/>
      <c r="AH424" s="17"/>
      <c r="AI424" s="17"/>
      <c r="AJ424" s="17"/>
      <c r="AK424" s="17"/>
      <c r="AL424" s="17"/>
      <c r="AM424" s="17"/>
      <c r="AN424" s="17"/>
      <c r="AO424" s="17"/>
    </row>
    <row r="425" spans="33:41" x14ac:dyDescent="0.3">
      <c r="AG425" s="16"/>
      <c r="AH425" s="17"/>
      <c r="AI425" s="17"/>
      <c r="AJ425" s="17"/>
      <c r="AK425" s="17"/>
      <c r="AL425" s="17"/>
      <c r="AM425" s="17"/>
      <c r="AN425" s="17"/>
      <c r="AO425" s="17"/>
    </row>
    <row r="426" spans="33:41" x14ac:dyDescent="0.3">
      <c r="AG426" s="16"/>
      <c r="AH426" s="17"/>
      <c r="AI426" s="17"/>
      <c r="AJ426" s="17"/>
      <c r="AK426" s="17"/>
      <c r="AL426" s="17"/>
      <c r="AM426" s="17"/>
      <c r="AN426" s="17"/>
      <c r="AO426" s="17"/>
    </row>
    <row r="427" spans="33:41" x14ac:dyDescent="0.3">
      <c r="AG427" s="16"/>
      <c r="AH427" s="17"/>
      <c r="AI427" s="17"/>
      <c r="AJ427" s="17"/>
      <c r="AK427" s="17"/>
      <c r="AL427" s="17"/>
      <c r="AM427" s="17"/>
      <c r="AN427" s="17"/>
      <c r="AO427" s="17"/>
    </row>
    <row r="428" spans="33:41" x14ac:dyDescent="0.3">
      <c r="AG428" s="16"/>
      <c r="AH428" s="17"/>
      <c r="AI428" s="17"/>
      <c r="AJ428" s="17"/>
      <c r="AK428" s="17"/>
      <c r="AL428" s="17"/>
      <c r="AM428" s="17"/>
      <c r="AN428" s="17"/>
      <c r="AO428" s="17"/>
    </row>
    <row r="429" spans="33:41" x14ac:dyDescent="0.3">
      <c r="AG429" s="16"/>
      <c r="AH429" s="17"/>
      <c r="AI429" s="17"/>
      <c r="AJ429" s="17"/>
      <c r="AK429" s="17"/>
      <c r="AL429" s="17"/>
      <c r="AM429" s="17"/>
      <c r="AN429" s="17"/>
      <c r="AO429" s="17"/>
    </row>
    <row r="430" spans="33:41" x14ac:dyDescent="0.3">
      <c r="AG430" s="16"/>
      <c r="AH430" s="17"/>
      <c r="AI430" s="17"/>
      <c r="AJ430" s="17"/>
      <c r="AK430" s="17"/>
      <c r="AL430" s="17"/>
      <c r="AM430" s="17"/>
      <c r="AN430" s="17"/>
      <c r="AO430" s="17"/>
    </row>
    <row r="431" spans="33:41" x14ac:dyDescent="0.3">
      <c r="AG431" s="16"/>
      <c r="AH431" s="17"/>
      <c r="AI431" s="17"/>
      <c r="AJ431" s="17"/>
      <c r="AK431" s="17"/>
      <c r="AL431" s="17"/>
      <c r="AM431" s="17"/>
      <c r="AN431" s="17"/>
      <c r="AO431" s="17"/>
    </row>
    <row r="432" spans="33:41" x14ac:dyDescent="0.3">
      <c r="AG432" s="16"/>
      <c r="AH432" s="17"/>
      <c r="AI432" s="17"/>
      <c r="AJ432" s="17"/>
      <c r="AK432" s="17"/>
      <c r="AL432" s="17"/>
      <c r="AM432" s="17"/>
      <c r="AN432" s="17"/>
      <c r="AO432" s="17"/>
    </row>
    <row r="433" spans="33:41" x14ac:dyDescent="0.3">
      <c r="AG433" s="16"/>
      <c r="AH433" s="17"/>
      <c r="AI433" s="17"/>
      <c r="AJ433" s="17"/>
      <c r="AK433" s="17"/>
      <c r="AL433" s="17"/>
      <c r="AM433" s="17"/>
      <c r="AN433" s="17"/>
      <c r="AO433" s="17"/>
    </row>
    <row r="434" spans="33:41" x14ac:dyDescent="0.3">
      <c r="AG434" s="16"/>
      <c r="AH434" s="17"/>
      <c r="AI434" s="17"/>
      <c r="AJ434" s="17"/>
      <c r="AK434" s="17"/>
      <c r="AL434" s="17"/>
      <c r="AM434" s="17"/>
      <c r="AN434" s="17"/>
      <c r="AO434" s="17"/>
    </row>
    <row r="435" spans="33:41" x14ac:dyDescent="0.3">
      <c r="AG435" s="16"/>
      <c r="AH435" s="17"/>
      <c r="AI435" s="17"/>
      <c r="AJ435" s="17"/>
      <c r="AK435" s="17"/>
      <c r="AL435" s="17"/>
      <c r="AM435" s="17"/>
      <c r="AN435" s="17"/>
      <c r="AO435" s="17"/>
    </row>
    <row r="436" spans="33:41" x14ac:dyDescent="0.3">
      <c r="AG436" s="16"/>
      <c r="AH436" s="17"/>
      <c r="AI436" s="17"/>
      <c r="AJ436" s="17"/>
      <c r="AK436" s="17"/>
      <c r="AL436" s="17"/>
      <c r="AM436" s="17"/>
      <c r="AN436" s="17"/>
      <c r="AO436" s="17"/>
    </row>
    <row r="437" spans="33:41" x14ac:dyDescent="0.3">
      <c r="AG437" s="16"/>
      <c r="AH437" s="17"/>
      <c r="AI437" s="17"/>
      <c r="AJ437" s="17"/>
      <c r="AK437" s="17"/>
      <c r="AL437" s="17"/>
      <c r="AM437" s="17"/>
      <c r="AN437" s="17"/>
      <c r="AO437" s="17"/>
    </row>
    <row r="438" spans="33:41" x14ac:dyDescent="0.3">
      <c r="AG438" s="16"/>
      <c r="AH438" s="17"/>
      <c r="AI438" s="17"/>
      <c r="AJ438" s="17"/>
      <c r="AK438" s="17"/>
      <c r="AL438" s="17"/>
      <c r="AM438" s="17"/>
      <c r="AN438" s="17"/>
      <c r="AO438" s="17"/>
    </row>
    <row r="439" spans="33:41" x14ac:dyDescent="0.3">
      <c r="AG439" s="16"/>
      <c r="AH439" s="17"/>
      <c r="AI439" s="17"/>
      <c r="AJ439" s="17"/>
      <c r="AK439" s="17"/>
      <c r="AL439" s="17"/>
      <c r="AM439" s="17"/>
      <c r="AN439" s="17"/>
      <c r="AO439" s="17"/>
    </row>
    <row r="440" spans="33:41" x14ac:dyDescent="0.3">
      <c r="AG440" s="16"/>
      <c r="AH440" s="17"/>
      <c r="AI440" s="17"/>
      <c r="AJ440" s="17"/>
      <c r="AK440" s="17"/>
      <c r="AL440" s="17"/>
      <c r="AM440" s="17"/>
      <c r="AN440" s="17"/>
      <c r="AO440" s="17"/>
    </row>
    <row r="441" spans="33:41" x14ac:dyDescent="0.3">
      <c r="AG441" s="16"/>
      <c r="AH441" s="17"/>
      <c r="AI441" s="17"/>
      <c r="AJ441" s="17"/>
      <c r="AK441" s="17"/>
      <c r="AL441" s="17"/>
      <c r="AM441" s="17"/>
      <c r="AN441" s="17"/>
      <c r="AO441" s="17"/>
    </row>
    <row r="442" spans="33:41" x14ac:dyDescent="0.3">
      <c r="AG442" s="16"/>
      <c r="AH442" s="17"/>
      <c r="AI442" s="17"/>
      <c r="AJ442" s="17"/>
      <c r="AK442" s="17"/>
      <c r="AL442" s="17"/>
      <c r="AM442" s="17"/>
      <c r="AN442" s="17"/>
      <c r="AO442" s="17"/>
    </row>
    <row r="443" spans="33:41" x14ac:dyDescent="0.3">
      <c r="AG443" s="16"/>
      <c r="AH443" s="17"/>
      <c r="AI443" s="17"/>
      <c r="AJ443" s="17"/>
      <c r="AK443" s="17"/>
      <c r="AL443" s="17"/>
      <c r="AM443" s="17"/>
      <c r="AN443" s="17"/>
      <c r="AO443" s="17"/>
    </row>
    <row r="444" spans="33:41" x14ac:dyDescent="0.3">
      <c r="AG444" s="16"/>
      <c r="AH444" s="17"/>
      <c r="AI444" s="17"/>
      <c r="AJ444" s="17"/>
      <c r="AK444" s="17"/>
      <c r="AL444" s="17"/>
      <c r="AM444" s="17"/>
      <c r="AN444" s="17"/>
      <c r="AO444" s="17"/>
    </row>
    <row r="445" spans="33:41" x14ac:dyDescent="0.3">
      <c r="AG445" s="16"/>
      <c r="AH445" s="17"/>
      <c r="AI445" s="17"/>
      <c r="AJ445" s="17"/>
      <c r="AK445" s="17"/>
      <c r="AL445" s="17"/>
      <c r="AM445" s="17"/>
      <c r="AN445" s="17"/>
      <c r="AO445" s="17"/>
    </row>
    <row r="446" spans="33:41" x14ac:dyDescent="0.3">
      <c r="AG446" s="16"/>
      <c r="AH446" s="17"/>
      <c r="AI446" s="17"/>
      <c r="AJ446" s="17"/>
      <c r="AK446" s="17"/>
      <c r="AL446" s="17"/>
      <c r="AM446" s="17"/>
      <c r="AN446" s="17"/>
      <c r="AO446" s="17"/>
    </row>
    <row r="447" spans="33:41" x14ac:dyDescent="0.3">
      <c r="AG447" s="16"/>
      <c r="AH447" s="17"/>
      <c r="AI447" s="17"/>
      <c r="AJ447" s="17"/>
      <c r="AK447" s="17"/>
      <c r="AL447" s="17"/>
      <c r="AM447" s="17"/>
      <c r="AN447" s="17"/>
      <c r="AO447" s="17"/>
    </row>
    <row r="448" spans="33:41" x14ac:dyDescent="0.3">
      <c r="AG448" s="16"/>
      <c r="AH448" s="17"/>
      <c r="AI448" s="17"/>
      <c r="AJ448" s="17"/>
      <c r="AK448" s="17"/>
      <c r="AL448" s="17"/>
      <c r="AM448" s="17"/>
      <c r="AN448" s="17"/>
      <c r="AO448" s="17"/>
    </row>
    <row r="449" spans="33:41" x14ac:dyDescent="0.3">
      <c r="AG449" s="16"/>
      <c r="AH449" s="17"/>
      <c r="AI449" s="17"/>
      <c r="AJ449" s="17"/>
      <c r="AK449" s="17"/>
      <c r="AL449" s="17"/>
      <c r="AM449" s="17"/>
      <c r="AN449" s="17"/>
      <c r="AO449" s="17"/>
    </row>
    <row r="450" spans="33:41" x14ac:dyDescent="0.3">
      <c r="AG450" s="16"/>
      <c r="AH450" s="17"/>
      <c r="AI450" s="17"/>
      <c r="AJ450" s="17"/>
      <c r="AK450" s="17"/>
      <c r="AL450" s="17"/>
      <c r="AM450" s="17"/>
      <c r="AN450" s="17"/>
      <c r="AO450" s="17"/>
    </row>
    <row r="451" spans="33:41" x14ac:dyDescent="0.3">
      <c r="AG451" s="16"/>
      <c r="AH451" s="17"/>
      <c r="AI451" s="17"/>
      <c r="AJ451" s="17"/>
      <c r="AK451" s="17"/>
      <c r="AL451" s="17"/>
      <c r="AM451" s="17"/>
      <c r="AN451" s="17"/>
      <c r="AO451" s="17"/>
    </row>
    <row r="452" spans="33:41" x14ac:dyDescent="0.3">
      <c r="AG452" s="16"/>
      <c r="AH452" s="17"/>
      <c r="AI452" s="17"/>
      <c r="AJ452" s="17"/>
      <c r="AK452" s="17"/>
      <c r="AL452" s="17"/>
      <c r="AM452" s="17"/>
      <c r="AN452" s="17"/>
      <c r="AO452" s="17"/>
    </row>
    <row r="453" spans="33:41" x14ac:dyDescent="0.3">
      <c r="AG453" s="16"/>
      <c r="AH453" s="17"/>
      <c r="AI453" s="17"/>
      <c r="AJ453" s="17"/>
      <c r="AK453" s="17"/>
      <c r="AL453" s="17"/>
      <c r="AM453" s="17"/>
      <c r="AN453" s="17"/>
      <c r="AO453" s="17"/>
    </row>
    <row r="454" spans="33:41" x14ac:dyDescent="0.3">
      <c r="AG454" s="16"/>
      <c r="AH454" s="17"/>
      <c r="AI454" s="17"/>
      <c r="AJ454" s="17"/>
      <c r="AK454" s="17"/>
      <c r="AL454" s="17"/>
      <c r="AM454" s="17"/>
      <c r="AN454" s="17"/>
      <c r="AO454" s="17"/>
    </row>
    <row r="455" spans="33:41" x14ac:dyDescent="0.3">
      <c r="AG455" s="16"/>
      <c r="AH455" s="17"/>
      <c r="AI455" s="17"/>
      <c r="AJ455" s="17"/>
      <c r="AK455" s="17"/>
      <c r="AL455" s="17"/>
      <c r="AM455" s="17"/>
      <c r="AN455" s="17"/>
      <c r="AO455" s="17"/>
    </row>
    <row r="456" spans="33:41" x14ac:dyDescent="0.3">
      <c r="AG456" s="16"/>
      <c r="AH456" s="17"/>
      <c r="AI456" s="17"/>
      <c r="AJ456" s="17"/>
      <c r="AK456" s="17"/>
      <c r="AL456" s="17"/>
      <c r="AM456" s="17"/>
      <c r="AN456" s="17"/>
      <c r="AO456" s="17"/>
    </row>
    <row r="457" spans="33:41" x14ac:dyDescent="0.3">
      <c r="AG457" s="16"/>
      <c r="AH457" s="17"/>
      <c r="AI457" s="17"/>
      <c r="AJ457" s="17"/>
      <c r="AK457" s="17"/>
      <c r="AL457" s="17"/>
      <c r="AM457" s="17"/>
      <c r="AN457" s="17"/>
      <c r="AO457" s="17"/>
    </row>
    <row r="458" spans="33:41" x14ac:dyDescent="0.3">
      <c r="AG458" s="16"/>
      <c r="AH458" s="17"/>
      <c r="AI458" s="17"/>
      <c r="AJ458" s="17"/>
      <c r="AK458" s="17"/>
      <c r="AL458" s="17"/>
      <c r="AM458" s="17"/>
      <c r="AN458" s="17"/>
      <c r="AO458" s="17"/>
    </row>
    <row r="459" spans="33:41" x14ac:dyDescent="0.3">
      <c r="AG459" s="16"/>
      <c r="AH459" s="17"/>
      <c r="AI459" s="17"/>
      <c r="AJ459" s="17"/>
      <c r="AK459" s="17"/>
      <c r="AL459" s="17"/>
      <c r="AM459" s="17"/>
      <c r="AN459" s="17"/>
      <c r="AO459" s="17"/>
    </row>
    <row r="460" spans="33:41" x14ac:dyDescent="0.3">
      <c r="AG460" s="16"/>
      <c r="AH460" s="17"/>
      <c r="AI460" s="17"/>
      <c r="AJ460" s="17"/>
      <c r="AK460" s="17"/>
      <c r="AL460" s="17"/>
      <c r="AM460" s="17"/>
      <c r="AN460" s="17"/>
      <c r="AO460" s="17"/>
    </row>
    <row r="461" spans="33:41" x14ac:dyDescent="0.3">
      <c r="AG461" s="16"/>
      <c r="AH461" s="17"/>
      <c r="AI461" s="17"/>
      <c r="AJ461" s="17"/>
      <c r="AK461" s="17"/>
      <c r="AL461" s="17"/>
      <c r="AM461" s="17"/>
      <c r="AN461" s="17"/>
      <c r="AO461" s="17"/>
    </row>
    <row r="462" spans="33:41" x14ac:dyDescent="0.3">
      <c r="AG462" s="16"/>
      <c r="AH462" s="17"/>
      <c r="AI462" s="17"/>
      <c r="AJ462" s="17"/>
      <c r="AK462" s="17"/>
      <c r="AL462" s="17"/>
      <c r="AM462" s="17"/>
      <c r="AN462" s="17"/>
      <c r="AO462" s="17"/>
    </row>
  </sheetData>
  <mergeCells count="3">
    <mergeCell ref="A1:L1"/>
    <mergeCell ref="O1:P1"/>
    <mergeCell ref="R1:AT1"/>
  </mergeCells>
  <phoneticPr fontId="23" type="noConversion"/>
  <pageMargins left="0.75" right="0.75" top="1" bottom="1" header="0.5" footer="0.5"/>
  <customProperties>
    <customPr name="SheetID" r:id="rId1"/>
  </customPropertie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dimension ref="A1:U402"/>
  <sheetViews>
    <sheetView workbookViewId="0">
      <pane ySplit="2" topLeftCell="A3" activePane="bottomLeft" state="frozen"/>
      <selection pane="bottomLeft" activeCell="L4" sqref="L4"/>
    </sheetView>
  </sheetViews>
  <sheetFormatPr defaultColWidth="9" defaultRowHeight="14.15" x14ac:dyDescent="0.3"/>
  <cols>
    <col min="1" max="1" width="9" style="1"/>
    <col min="2" max="2" width="13.2109375" style="1" customWidth="1"/>
    <col min="3" max="3" width="10.85546875" style="1" customWidth="1"/>
    <col min="4" max="12" width="13" style="1" customWidth="1"/>
    <col min="13" max="13" width="9" style="2"/>
    <col min="14" max="14" width="9.140625" style="2" customWidth="1"/>
    <col min="15" max="15" width="9.2109375" style="3" customWidth="1"/>
    <col min="16" max="16" width="13.42578125" style="3" customWidth="1"/>
    <col min="17" max="17" width="9" style="2"/>
    <col min="18" max="18" width="11.2109375" style="4" customWidth="1"/>
    <col min="19" max="19" width="15.140625" style="4" customWidth="1"/>
    <col min="20" max="21" width="9" style="2"/>
    <col min="22" max="16384" width="9" style="1"/>
  </cols>
  <sheetData>
    <row r="1" spans="1:19" ht="74.150000000000006" customHeight="1" x14ac:dyDescent="0.35">
      <c r="A1" s="138" t="s">
        <v>63</v>
      </c>
      <c r="B1" s="138"/>
      <c r="C1" s="138"/>
      <c r="D1" s="138"/>
      <c r="E1" s="138"/>
      <c r="F1" s="138"/>
      <c r="G1" s="138"/>
      <c r="H1" s="138"/>
      <c r="I1" s="138"/>
      <c r="J1" s="138"/>
      <c r="K1" s="138"/>
      <c r="L1" s="138"/>
      <c r="O1" s="139" t="s">
        <v>80</v>
      </c>
      <c r="P1" s="139"/>
      <c r="R1" s="53" t="s">
        <v>81</v>
      </c>
      <c r="S1" s="53"/>
    </row>
    <row r="2" spans="1:19" ht="54.65" customHeight="1" x14ac:dyDescent="0.3">
      <c r="O2" s="49" t="str">
        <f>[2]!edb()</f>
        <v>Wind</v>
      </c>
      <c r="P2" s="50"/>
      <c r="R2" s="54" t="str">
        <f>[2]!edb()</f>
        <v>Wind</v>
      </c>
      <c r="S2" s="55"/>
    </row>
    <row r="3" spans="1:19" ht="99" x14ac:dyDescent="0.3">
      <c r="B3" s="6" t="s">
        <v>82</v>
      </c>
      <c r="C3" s="6" t="s">
        <v>83</v>
      </c>
      <c r="D3" s="7" t="s">
        <v>84</v>
      </c>
      <c r="E3" s="7" t="s">
        <v>85</v>
      </c>
      <c r="F3" s="7" t="s">
        <v>86</v>
      </c>
      <c r="G3" s="7" t="s">
        <v>87</v>
      </c>
      <c r="H3" s="1" t="s">
        <v>49</v>
      </c>
      <c r="I3" s="1" t="s">
        <v>88</v>
      </c>
      <c r="J3" s="1" t="s">
        <v>55</v>
      </c>
      <c r="K3" s="1" t="s">
        <v>53</v>
      </c>
      <c r="L3" s="1" t="s">
        <v>72</v>
      </c>
      <c r="O3" s="147" t="s">
        <v>158</v>
      </c>
      <c r="P3" s="148" t="s">
        <v>159</v>
      </c>
      <c r="R3" s="145" t="s">
        <v>158</v>
      </c>
      <c r="S3" s="149" t="s">
        <v>175</v>
      </c>
    </row>
    <row r="4" spans="1:19" x14ac:dyDescent="0.3">
      <c r="A4" s="8">
        <f>五大周期判断!B12</f>
        <v>46022</v>
      </c>
      <c r="B4" s="9">
        <f t="shared" ref="B4:B35" si="0">VLOOKUP(A4,O:P,2,0)</f>
        <v>11.28360763802527</v>
      </c>
      <c r="C4" s="9">
        <f t="shared" ref="C4:C35" si="1">VLOOKUP(A4,R:S,2,0)</f>
        <v>6.2</v>
      </c>
      <c r="D4" s="7">
        <f>IF(C4&gt;C5,1,0)</f>
        <v>0</v>
      </c>
      <c r="E4" s="7">
        <f>1-D4</f>
        <v>1</v>
      </c>
      <c r="F4" s="7">
        <f>IF(B4&gt;B5,1,0)</f>
        <v>0</v>
      </c>
      <c r="G4" s="7">
        <f>1-F4</f>
        <v>1</v>
      </c>
      <c r="H4" s="1">
        <f t="shared" ref="H4:H67" si="2">INT(AND(G4=1,E4=1))</f>
        <v>1</v>
      </c>
      <c r="I4" s="1">
        <f t="shared" ref="I4:I67" si="3">INT(AND(G4=1,D4=1))</f>
        <v>0</v>
      </c>
      <c r="J4" s="1">
        <f t="shared" ref="J4:J67" si="4">INT(AND(F4=1,E4=1))</f>
        <v>0</v>
      </c>
      <c r="K4" s="1">
        <f t="shared" ref="K4:K67" si="5">INT(AND(F4=1,D4=1))</f>
        <v>0</v>
      </c>
      <c r="L4" s="1" t="str">
        <f t="shared" ref="L4:L35" si="6">INDEX($H$3:$K$3,1,MATCH(1,H4:K4,0))</f>
        <v>主动去库存</v>
      </c>
      <c r="O4" s="51">
        <v>46022</v>
      </c>
      <c r="P4" s="52">
        <v>11.28360763802527</v>
      </c>
      <c r="R4" s="145" t="s">
        <v>162</v>
      </c>
      <c r="S4" s="145" t="s">
        <v>163</v>
      </c>
    </row>
    <row r="5" spans="1:19" x14ac:dyDescent="0.3">
      <c r="A5" s="8">
        <f>EOMONTH(A4,-1)</f>
        <v>45991</v>
      </c>
      <c r="B5" s="9">
        <f t="shared" si="0"/>
        <v>12.3611732744527</v>
      </c>
      <c r="C5" s="9">
        <f t="shared" si="1"/>
        <v>6.3</v>
      </c>
      <c r="D5" s="7">
        <f t="shared" ref="D5:D36" si="7">IF(C5&gt;C6,1,0)</f>
        <v>0</v>
      </c>
      <c r="E5" s="7">
        <f t="shared" ref="E5:E36" si="8">1-D5</f>
        <v>1</v>
      </c>
      <c r="F5" s="7">
        <f t="shared" ref="F5:F36" si="9">IF(B5&gt;B6,1,0)</f>
        <v>1</v>
      </c>
      <c r="G5" s="7">
        <f t="shared" ref="G5:G36" si="10">1-F5</f>
        <v>0</v>
      </c>
      <c r="H5" s="1">
        <f t="shared" si="2"/>
        <v>0</v>
      </c>
      <c r="I5" s="1">
        <f t="shared" si="3"/>
        <v>0</v>
      </c>
      <c r="J5" s="1">
        <f t="shared" si="4"/>
        <v>1</v>
      </c>
      <c r="K5" s="1">
        <f t="shared" si="5"/>
        <v>0</v>
      </c>
      <c r="L5" s="1" t="str">
        <f t="shared" si="6"/>
        <v>被动补库存</v>
      </c>
      <c r="O5" s="51">
        <v>45991</v>
      </c>
      <c r="P5" s="52">
        <v>12.3611732744527</v>
      </c>
      <c r="R5" s="14">
        <v>37711</v>
      </c>
      <c r="S5" s="15">
        <v>19.5</v>
      </c>
    </row>
    <row r="6" spans="1:19" x14ac:dyDescent="0.3">
      <c r="A6" s="8">
        <f t="shared" ref="A6:A37" si="11">EOMONTH(A5,-1)</f>
        <v>45961</v>
      </c>
      <c r="B6" s="9">
        <f t="shared" si="0"/>
        <v>10.93808876390634</v>
      </c>
      <c r="C6" s="9">
        <f t="shared" si="1"/>
        <v>6.3</v>
      </c>
      <c r="D6" s="7">
        <f t="shared" si="7"/>
        <v>0</v>
      </c>
      <c r="E6" s="7">
        <f t="shared" si="8"/>
        <v>1</v>
      </c>
      <c r="F6" s="7">
        <f t="shared" si="9"/>
        <v>1</v>
      </c>
      <c r="G6" s="7">
        <f t="shared" si="10"/>
        <v>0</v>
      </c>
      <c r="H6" s="1">
        <f t="shared" si="2"/>
        <v>0</v>
      </c>
      <c r="I6" s="1">
        <f t="shared" si="3"/>
        <v>0</v>
      </c>
      <c r="J6" s="1">
        <f t="shared" si="4"/>
        <v>1</v>
      </c>
      <c r="K6" s="1">
        <f t="shared" si="5"/>
        <v>0</v>
      </c>
      <c r="L6" s="1" t="str">
        <f t="shared" si="6"/>
        <v>被动补库存</v>
      </c>
      <c r="O6" s="51">
        <v>45961</v>
      </c>
      <c r="P6" s="52">
        <v>10.93808876390634</v>
      </c>
      <c r="R6" s="14">
        <v>37772</v>
      </c>
      <c r="S6" s="15">
        <v>21.4</v>
      </c>
    </row>
    <row r="7" spans="1:19" x14ac:dyDescent="0.3">
      <c r="A7" s="8">
        <f t="shared" si="11"/>
        <v>45930</v>
      </c>
      <c r="B7" s="9">
        <f t="shared" si="0"/>
        <v>8.7016754619320693</v>
      </c>
      <c r="C7" s="9">
        <f t="shared" si="1"/>
        <v>6.5</v>
      </c>
      <c r="D7" s="7">
        <f t="shared" si="7"/>
        <v>0</v>
      </c>
      <c r="E7" s="7">
        <f t="shared" si="8"/>
        <v>1</v>
      </c>
      <c r="F7" s="7">
        <f t="shared" si="9"/>
        <v>0</v>
      </c>
      <c r="G7" s="7">
        <f t="shared" si="10"/>
        <v>1</v>
      </c>
      <c r="H7" s="1">
        <f t="shared" si="2"/>
        <v>1</v>
      </c>
      <c r="I7" s="1">
        <f t="shared" si="3"/>
        <v>0</v>
      </c>
      <c r="J7" s="1">
        <f t="shared" si="4"/>
        <v>0</v>
      </c>
      <c r="K7" s="1">
        <f t="shared" si="5"/>
        <v>0</v>
      </c>
      <c r="L7" s="1" t="str">
        <f t="shared" si="6"/>
        <v>主动去库存</v>
      </c>
      <c r="O7" s="51">
        <v>45930</v>
      </c>
      <c r="P7" s="52">
        <v>8.7016754619320693</v>
      </c>
      <c r="R7" s="14">
        <v>37802</v>
      </c>
      <c r="S7" s="15">
        <v>22.9</v>
      </c>
    </row>
    <row r="8" spans="1:19" x14ac:dyDescent="0.3">
      <c r="A8" s="8">
        <f t="shared" si="11"/>
        <v>45900</v>
      </c>
      <c r="B8" s="9">
        <f t="shared" si="0"/>
        <v>12.13189462923104</v>
      </c>
      <c r="C8" s="9">
        <f t="shared" si="1"/>
        <v>6.6</v>
      </c>
      <c r="D8" s="7">
        <f t="shared" si="7"/>
        <v>0</v>
      </c>
      <c r="E8" s="7">
        <f t="shared" si="8"/>
        <v>1</v>
      </c>
      <c r="F8" s="7">
        <f t="shared" si="9"/>
        <v>0</v>
      </c>
      <c r="G8" s="7">
        <f t="shared" si="10"/>
        <v>1</v>
      </c>
      <c r="H8" s="1">
        <f t="shared" si="2"/>
        <v>1</v>
      </c>
      <c r="I8" s="1">
        <f t="shared" si="3"/>
        <v>0</v>
      </c>
      <c r="J8" s="1">
        <f t="shared" si="4"/>
        <v>0</v>
      </c>
      <c r="K8" s="1">
        <f t="shared" si="5"/>
        <v>0</v>
      </c>
      <c r="L8" s="1" t="str">
        <f t="shared" si="6"/>
        <v>主动去库存</v>
      </c>
      <c r="O8" s="51">
        <v>45900</v>
      </c>
      <c r="P8" s="52">
        <v>12.13189462923104</v>
      </c>
      <c r="R8" s="14">
        <v>37833</v>
      </c>
      <c r="S8" s="15">
        <v>23.2</v>
      </c>
    </row>
    <row r="9" spans="1:19" x14ac:dyDescent="0.3">
      <c r="A9" s="8">
        <f t="shared" si="11"/>
        <v>45869</v>
      </c>
      <c r="B9" s="9">
        <f t="shared" si="0"/>
        <v>16.308016814494358</v>
      </c>
      <c r="C9" s="9">
        <f t="shared" si="1"/>
        <v>6.7</v>
      </c>
      <c r="D9" s="7">
        <f t="shared" si="7"/>
        <v>0</v>
      </c>
      <c r="E9" s="7">
        <f t="shared" si="8"/>
        <v>1</v>
      </c>
      <c r="F9" s="7">
        <f t="shared" si="9"/>
        <v>1</v>
      </c>
      <c r="G9" s="7">
        <f t="shared" si="10"/>
        <v>0</v>
      </c>
      <c r="H9" s="1">
        <f t="shared" si="2"/>
        <v>0</v>
      </c>
      <c r="I9" s="1">
        <f t="shared" si="3"/>
        <v>0</v>
      </c>
      <c r="J9" s="1">
        <f t="shared" si="4"/>
        <v>1</v>
      </c>
      <c r="K9" s="1">
        <f t="shared" si="5"/>
        <v>0</v>
      </c>
      <c r="L9" s="1" t="str">
        <f t="shared" si="6"/>
        <v>被动补库存</v>
      </c>
      <c r="O9" s="51">
        <v>45869</v>
      </c>
      <c r="P9" s="52">
        <v>16.308016814494358</v>
      </c>
      <c r="R9" s="14">
        <v>37864</v>
      </c>
      <c r="S9" s="15">
        <v>23.9</v>
      </c>
    </row>
    <row r="10" spans="1:19" x14ac:dyDescent="0.3">
      <c r="A10" s="8">
        <f t="shared" si="11"/>
        <v>45838</v>
      </c>
      <c r="B10" s="9">
        <f t="shared" si="0"/>
        <v>14.57939312916894</v>
      </c>
      <c r="C10" s="9">
        <f t="shared" si="1"/>
        <v>6.8</v>
      </c>
      <c r="D10" s="7">
        <f t="shared" si="7"/>
        <v>1</v>
      </c>
      <c r="E10" s="7">
        <f t="shared" si="8"/>
        <v>0</v>
      </c>
      <c r="F10" s="7">
        <f t="shared" si="9"/>
        <v>0</v>
      </c>
      <c r="G10" s="7">
        <f t="shared" si="10"/>
        <v>1</v>
      </c>
      <c r="H10" s="1">
        <f t="shared" si="2"/>
        <v>0</v>
      </c>
      <c r="I10" s="1">
        <f t="shared" si="3"/>
        <v>1</v>
      </c>
      <c r="J10" s="1">
        <f t="shared" si="4"/>
        <v>0</v>
      </c>
      <c r="K10" s="1">
        <f t="shared" si="5"/>
        <v>0</v>
      </c>
      <c r="L10" s="1" t="str">
        <f t="shared" si="6"/>
        <v>被动去库存</v>
      </c>
      <c r="O10" s="51">
        <v>45838</v>
      </c>
      <c r="P10" s="52">
        <v>14.57939312916894</v>
      </c>
      <c r="R10" s="14">
        <v>37894</v>
      </c>
      <c r="S10" s="15">
        <v>23.7</v>
      </c>
    </row>
    <row r="11" spans="1:19" x14ac:dyDescent="0.3">
      <c r="A11" s="8">
        <f t="shared" si="11"/>
        <v>45808</v>
      </c>
      <c r="B11" s="9">
        <f t="shared" si="0"/>
        <v>17.427460963424419</v>
      </c>
      <c r="C11" s="9">
        <f t="shared" si="1"/>
        <v>6.7</v>
      </c>
      <c r="D11" s="7">
        <f t="shared" si="7"/>
        <v>0</v>
      </c>
      <c r="E11" s="7">
        <f t="shared" si="8"/>
        <v>1</v>
      </c>
      <c r="F11" s="7">
        <f t="shared" si="9"/>
        <v>0</v>
      </c>
      <c r="G11" s="7">
        <f t="shared" si="10"/>
        <v>1</v>
      </c>
      <c r="H11" s="1">
        <f t="shared" si="2"/>
        <v>1</v>
      </c>
      <c r="I11" s="1">
        <f t="shared" si="3"/>
        <v>0</v>
      </c>
      <c r="J11" s="1">
        <f t="shared" si="4"/>
        <v>0</v>
      </c>
      <c r="K11" s="1">
        <f t="shared" si="5"/>
        <v>0</v>
      </c>
      <c r="L11" s="1" t="str">
        <f t="shared" si="6"/>
        <v>主动去库存</v>
      </c>
      <c r="O11" s="51">
        <v>45808</v>
      </c>
      <c r="P11" s="52">
        <v>17.427460963424419</v>
      </c>
      <c r="R11" s="14">
        <v>37925</v>
      </c>
      <c r="S11" s="15">
        <v>23.6</v>
      </c>
    </row>
    <row r="12" spans="1:19" x14ac:dyDescent="0.3">
      <c r="A12" s="8">
        <f t="shared" si="11"/>
        <v>45777</v>
      </c>
      <c r="B12" s="9">
        <f t="shared" si="0"/>
        <v>20.18973277739029</v>
      </c>
      <c r="C12" s="9">
        <f t="shared" si="1"/>
        <v>6.8</v>
      </c>
      <c r="D12" s="7">
        <f t="shared" si="7"/>
        <v>0</v>
      </c>
      <c r="E12" s="7">
        <f t="shared" si="8"/>
        <v>1</v>
      </c>
      <c r="F12" s="7">
        <f t="shared" si="9"/>
        <v>0</v>
      </c>
      <c r="G12" s="7">
        <f t="shared" si="10"/>
        <v>1</v>
      </c>
      <c r="H12" s="1">
        <f t="shared" si="2"/>
        <v>1</v>
      </c>
      <c r="I12" s="1">
        <f t="shared" si="3"/>
        <v>0</v>
      </c>
      <c r="J12" s="1">
        <f t="shared" si="4"/>
        <v>0</v>
      </c>
      <c r="K12" s="1">
        <f t="shared" si="5"/>
        <v>0</v>
      </c>
      <c r="L12" s="1" t="str">
        <f t="shared" si="6"/>
        <v>主动去库存</v>
      </c>
      <c r="O12" s="51">
        <v>45777</v>
      </c>
      <c r="P12" s="52">
        <v>20.18973277739029</v>
      </c>
      <c r="R12" s="14">
        <v>37955</v>
      </c>
      <c r="S12" s="15">
        <v>23.1</v>
      </c>
    </row>
    <row r="13" spans="1:19" x14ac:dyDescent="0.3">
      <c r="A13" s="8">
        <f t="shared" si="11"/>
        <v>45747</v>
      </c>
      <c r="B13" s="9">
        <f t="shared" si="0"/>
        <v>21.69645562991229</v>
      </c>
      <c r="C13" s="9">
        <f t="shared" si="1"/>
        <v>6.9</v>
      </c>
      <c r="D13" s="7">
        <f t="shared" si="7"/>
        <v>1</v>
      </c>
      <c r="E13" s="7">
        <f t="shared" si="8"/>
        <v>0</v>
      </c>
      <c r="F13" s="7">
        <f t="shared" si="9"/>
        <v>1</v>
      </c>
      <c r="G13" s="7">
        <f t="shared" si="10"/>
        <v>0</v>
      </c>
      <c r="H13" s="1">
        <f t="shared" si="2"/>
        <v>0</v>
      </c>
      <c r="I13" s="1">
        <f t="shared" si="3"/>
        <v>0</v>
      </c>
      <c r="J13" s="1">
        <f t="shared" si="4"/>
        <v>0</v>
      </c>
      <c r="K13" s="1">
        <f t="shared" si="5"/>
        <v>1</v>
      </c>
      <c r="L13" s="1" t="str">
        <f t="shared" si="6"/>
        <v>主动补库存</v>
      </c>
      <c r="O13" s="51">
        <v>45747</v>
      </c>
      <c r="P13" s="52">
        <v>21.69645562991229</v>
      </c>
      <c r="R13" s="14">
        <v>37986</v>
      </c>
      <c r="S13" s="15">
        <v>21.4</v>
      </c>
    </row>
    <row r="14" spans="1:19" x14ac:dyDescent="0.3">
      <c r="A14" s="8">
        <f t="shared" si="11"/>
        <v>45716</v>
      </c>
      <c r="B14" s="9">
        <f t="shared" si="0"/>
        <v>20.776919241477319</v>
      </c>
      <c r="C14" s="9">
        <f t="shared" si="1"/>
        <v>6.8</v>
      </c>
      <c r="D14" s="7">
        <f t="shared" si="7"/>
        <v>0</v>
      </c>
      <c r="E14" s="7">
        <f t="shared" si="8"/>
        <v>1</v>
      </c>
      <c r="F14" s="7">
        <f t="shared" si="9"/>
        <v>1</v>
      </c>
      <c r="G14" s="7">
        <f t="shared" si="10"/>
        <v>0</v>
      </c>
      <c r="H14" s="1">
        <f t="shared" si="2"/>
        <v>0</v>
      </c>
      <c r="I14" s="1">
        <f t="shared" si="3"/>
        <v>0</v>
      </c>
      <c r="J14" s="1">
        <f t="shared" si="4"/>
        <v>1</v>
      </c>
      <c r="K14" s="1">
        <f t="shared" si="5"/>
        <v>0</v>
      </c>
      <c r="L14" s="1" t="str">
        <f t="shared" si="6"/>
        <v>被动补库存</v>
      </c>
      <c r="O14" s="51">
        <v>45716</v>
      </c>
      <c r="P14" s="52">
        <v>20.776919241477319</v>
      </c>
      <c r="R14" s="14">
        <v>38017</v>
      </c>
      <c r="S14" s="15">
        <v>20.6</v>
      </c>
    </row>
    <row r="15" spans="1:19" x14ac:dyDescent="0.3">
      <c r="A15" s="8">
        <f t="shared" si="11"/>
        <v>45688</v>
      </c>
      <c r="B15" s="9">
        <f t="shared" si="0"/>
        <v>16.65355282248499</v>
      </c>
      <c r="C15" s="9">
        <f t="shared" si="1"/>
        <v>7</v>
      </c>
      <c r="D15" s="7">
        <f t="shared" si="7"/>
        <v>0</v>
      </c>
      <c r="E15" s="7">
        <f t="shared" si="8"/>
        <v>1</v>
      </c>
      <c r="F15" s="7">
        <f t="shared" si="9"/>
        <v>1</v>
      </c>
      <c r="G15" s="7">
        <f t="shared" si="10"/>
        <v>0</v>
      </c>
      <c r="H15" s="1">
        <f t="shared" si="2"/>
        <v>0</v>
      </c>
      <c r="I15" s="1">
        <f t="shared" si="3"/>
        <v>0</v>
      </c>
      <c r="J15" s="1">
        <f t="shared" si="4"/>
        <v>1</v>
      </c>
      <c r="K15" s="1">
        <f t="shared" si="5"/>
        <v>0</v>
      </c>
      <c r="L15" s="1" t="str">
        <f t="shared" si="6"/>
        <v>被动补库存</v>
      </c>
      <c r="O15" s="51">
        <v>45688</v>
      </c>
      <c r="P15" s="52">
        <v>16.65355282248499</v>
      </c>
      <c r="R15" s="14">
        <v>38046</v>
      </c>
      <c r="S15" s="15">
        <v>21.3</v>
      </c>
    </row>
    <row r="16" spans="1:19" x14ac:dyDescent="0.3">
      <c r="A16" s="8">
        <f t="shared" si="11"/>
        <v>45657</v>
      </c>
      <c r="B16" s="9">
        <f t="shared" si="0"/>
        <v>11.934930259389841</v>
      </c>
      <c r="C16" s="9">
        <f t="shared" si="1"/>
        <v>7.2</v>
      </c>
      <c r="D16" s="7">
        <f t="shared" si="7"/>
        <v>0</v>
      </c>
      <c r="E16" s="7">
        <f t="shared" si="8"/>
        <v>1</v>
      </c>
      <c r="F16" s="7">
        <f t="shared" si="9"/>
        <v>1</v>
      </c>
      <c r="G16" s="7">
        <f t="shared" si="10"/>
        <v>0</v>
      </c>
      <c r="H16" s="1">
        <f t="shared" si="2"/>
        <v>0</v>
      </c>
      <c r="I16" s="1">
        <f t="shared" si="3"/>
        <v>0</v>
      </c>
      <c r="J16" s="1">
        <f t="shared" si="4"/>
        <v>1</v>
      </c>
      <c r="K16" s="1">
        <f t="shared" si="5"/>
        <v>0</v>
      </c>
      <c r="L16" s="1" t="str">
        <f t="shared" si="6"/>
        <v>被动补库存</v>
      </c>
      <c r="O16" s="51">
        <v>45657</v>
      </c>
      <c r="P16" s="52">
        <v>11.934930259389841</v>
      </c>
      <c r="R16" s="14">
        <v>38077</v>
      </c>
      <c r="S16" s="15">
        <v>20.7</v>
      </c>
    </row>
    <row r="17" spans="1:19" x14ac:dyDescent="0.3">
      <c r="A17" s="8">
        <f t="shared" si="11"/>
        <v>45626</v>
      </c>
      <c r="B17" s="9">
        <f t="shared" si="0"/>
        <v>9.7502667803965615</v>
      </c>
      <c r="C17" s="9">
        <f t="shared" si="1"/>
        <v>7.3</v>
      </c>
      <c r="D17" s="7">
        <f t="shared" si="7"/>
        <v>0</v>
      </c>
      <c r="E17" s="7">
        <f t="shared" si="8"/>
        <v>1</v>
      </c>
      <c r="F17" s="7">
        <f t="shared" si="9"/>
        <v>0</v>
      </c>
      <c r="G17" s="7">
        <f t="shared" si="10"/>
        <v>1</v>
      </c>
      <c r="H17" s="1">
        <f t="shared" si="2"/>
        <v>1</v>
      </c>
      <c r="I17" s="1">
        <f t="shared" si="3"/>
        <v>0</v>
      </c>
      <c r="J17" s="1">
        <f t="shared" si="4"/>
        <v>0</v>
      </c>
      <c r="K17" s="1">
        <f t="shared" si="5"/>
        <v>0</v>
      </c>
      <c r="L17" s="1" t="str">
        <f t="shared" si="6"/>
        <v>主动去库存</v>
      </c>
      <c r="O17" s="51">
        <v>45626</v>
      </c>
      <c r="P17" s="52">
        <v>9.7502667803965615</v>
      </c>
      <c r="R17" s="14">
        <v>38107</v>
      </c>
      <c r="S17" s="15">
        <v>20.399999999999999</v>
      </c>
    </row>
    <row r="18" spans="1:19" x14ac:dyDescent="0.3">
      <c r="A18" s="8">
        <f t="shared" si="11"/>
        <v>45596</v>
      </c>
      <c r="B18" s="9">
        <f t="shared" si="0"/>
        <v>10.6055154862912</v>
      </c>
      <c r="C18" s="9">
        <f t="shared" si="1"/>
        <v>7.5</v>
      </c>
      <c r="D18" s="7">
        <f t="shared" si="7"/>
        <v>0</v>
      </c>
      <c r="E18" s="7">
        <f t="shared" si="8"/>
        <v>1</v>
      </c>
      <c r="F18" s="7">
        <f t="shared" si="9"/>
        <v>0</v>
      </c>
      <c r="G18" s="7">
        <f t="shared" si="10"/>
        <v>1</v>
      </c>
      <c r="H18" s="1">
        <f t="shared" si="2"/>
        <v>1</v>
      </c>
      <c r="I18" s="1">
        <f t="shared" si="3"/>
        <v>0</v>
      </c>
      <c r="J18" s="1">
        <f t="shared" si="4"/>
        <v>0</v>
      </c>
      <c r="K18" s="1">
        <f t="shared" si="5"/>
        <v>0</v>
      </c>
      <c r="L18" s="1" t="str">
        <f t="shared" si="6"/>
        <v>主动去库存</v>
      </c>
      <c r="O18" s="51">
        <v>45596</v>
      </c>
      <c r="P18" s="52">
        <v>10.6055154862912</v>
      </c>
      <c r="R18" s="14">
        <v>38138</v>
      </c>
      <c r="S18" s="15">
        <v>19</v>
      </c>
    </row>
    <row r="19" spans="1:19" x14ac:dyDescent="0.3">
      <c r="A19" s="8">
        <f t="shared" si="11"/>
        <v>45565</v>
      </c>
      <c r="B19" s="9">
        <f t="shared" si="0"/>
        <v>12.06368981479255</v>
      </c>
      <c r="C19" s="9">
        <f t="shared" si="1"/>
        <v>7.6</v>
      </c>
      <c r="D19" s="7">
        <f t="shared" si="7"/>
        <v>0</v>
      </c>
      <c r="E19" s="7">
        <f t="shared" si="8"/>
        <v>1</v>
      </c>
      <c r="F19" s="7">
        <f t="shared" si="9"/>
        <v>1</v>
      </c>
      <c r="G19" s="7">
        <f t="shared" si="10"/>
        <v>0</v>
      </c>
      <c r="H19" s="1">
        <f t="shared" si="2"/>
        <v>0</v>
      </c>
      <c r="I19" s="1">
        <f t="shared" si="3"/>
        <v>0</v>
      </c>
      <c r="J19" s="1">
        <f t="shared" si="4"/>
        <v>1</v>
      </c>
      <c r="K19" s="1">
        <f t="shared" si="5"/>
        <v>0</v>
      </c>
      <c r="L19" s="1" t="str">
        <f t="shared" si="6"/>
        <v>被动补库存</v>
      </c>
      <c r="O19" s="51">
        <v>45565</v>
      </c>
      <c r="P19" s="52">
        <v>12.06368981479255</v>
      </c>
      <c r="R19" s="14">
        <v>38168</v>
      </c>
      <c r="S19" s="15">
        <v>16.7</v>
      </c>
    </row>
    <row r="20" spans="1:19" x14ac:dyDescent="0.3">
      <c r="A20" s="8">
        <f t="shared" si="11"/>
        <v>45535</v>
      </c>
      <c r="B20" s="9">
        <f t="shared" si="0"/>
        <v>10.188194021350929</v>
      </c>
      <c r="C20" s="9">
        <f t="shared" si="1"/>
        <v>8</v>
      </c>
      <c r="D20" s="7">
        <f t="shared" si="7"/>
        <v>0</v>
      </c>
      <c r="E20" s="7">
        <f t="shared" si="8"/>
        <v>1</v>
      </c>
      <c r="F20" s="7">
        <f t="shared" si="9"/>
        <v>1</v>
      </c>
      <c r="G20" s="7">
        <f t="shared" si="10"/>
        <v>0</v>
      </c>
      <c r="H20" s="1">
        <f t="shared" si="2"/>
        <v>0</v>
      </c>
      <c r="I20" s="1">
        <f t="shared" si="3"/>
        <v>0</v>
      </c>
      <c r="J20" s="1">
        <f t="shared" si="4"/>
        <v>1</v>
      </c>
      <c r="K20" s="1">
        <f t="shared" si="5"/>
        <v>0</v>
      </c>
      <c r="L20" s="1" t="str">
        <f t="shared" si="6"/>
        <v>被动补库存</v>
      </c>
      <c r="O20" s="51">
        <v>45535</v>
      </c>
      <c r="P20" s="52">
        <v>10.188194021350929</v>
      </c>
      <c r="R20" s="14">
        <v>38199</v>
      </c>
      <c r="S20" s="15">
        <v>15.9</v>
      </c>
    </row>
    <row r="21" spans="1:19" x14ac:dyDescent="0.3">
      <c r="A21" s="8">
        <f t="shared" si="11"/>
        <v>45504</v>
      </c>
      <c r="B21" s="9">
        <f t="shared" si="0"/>
        <v>8.8647927598224356</v>
      </c>
      <c r="C21" s="9">
        <f t="shared" si="1"/>
        <v>8.3000000000000007</v>
      </c>
      <c r="D21" s="7">
        <f t="shared" si="7"/>
        <v>0</v>
      </c>
      <c r="E21" s="7">
        <f t="shared" si="8"/>
        <v>1</v>
      </c>
      <c r="F21" s="7">
        <f t="shared" si="9"/>
        <v>1</v>
      </c>
      <c r="G21" s="7">
        <f t="shared" si="10"/>
        <v>0</v>
      </c>
      <c r="H21" s="1">
        <f t="shared" si="2"/>
        <v>0</v>
      </c>
      <c r="I21" s="1">
        <f t="shared" si="3"/>
        <v>0</v>
      </c>
      <c r="J21" s="1">
        <f t="shared" si="4"/>
        <v>1</v>
      </c>
      <c r="K21" s="1">
        <f t="shared" si="5"/>
        <v>0</v>
      </c>
      <c r="L21" s="1" t="str">
        <f t="shared" si="6"/>
        <v>被动补库存</v>
      </c>
      <c r="O21" s="51">
        <v>45504</v>
      </c>
      <c r="P21" s="52">
        <v>8.8647927598224356</v>
      </c>
      <c r="R21" s="14">
        <v>38230</v>
      </c>
      <c r="S21" s="15">
        <v>14.5</v>
      </c>
    </row>
    <row r="22" spans="1:19" x14ac:dyDescent="0.3">
      <c r="A22" s="8">
        <f t="shared" si="11"/>
        <v>45473</v>
      </c>
      <c r="B22" s="9">
        <f t="shared" si="0"/>
        <v>7.4628313533523682</v>
      </c>
      <c r="C22" s="9">
        <f t="shared" si="1"/>
        <v>8.3000000000000007</v>
      </c>
      <c r="D22" s="7">
        <f t="shared" si="7"/>
        <v>0</v>
      </c>
      <c r="E22" s="7">
        <f t="shared" si="8"/>
        <v>1</v>
      </c>
      <c r="F22" s="7">
        <f t="shared" si="9"/>
        <v>1</v>
      </c>
      <c r="G22" s="7">
        <f t="shared" si="10"/>
        <v>0</v>
      </c>
      <c r="H22" s="1">
        <f t="shared" si="2"/>
        <v>0</v>
      </c>
      <c r="I22" s="1">
        <f t="shared" si="3"/>
        <v>0</v>
      </c>
      <c r="J22" s="1">
        <f t="shared" si="4"/>
        <v>1</v>
      </c>
      <c r="K22" s="1">
        <f t="shared" si="5"/>
        <v>0</v>
      </c>
      <c r="L22" s="1" t="str">
        <f t="shared" si="6"/>
        <v>被动补库存</v>
      </c>
      <c r="O22" s="51">
        <v>45473</v>
      </c>
      <c r="P22" s="52">
        <v>7.4628313533523682</v>
      </c>
      <c r="R22" s="14">
        <v>38260</v>
      </c>
      <c r="S22" s="15">
        <v>13.7</v>
      </c>
    </row>
    <row r="23" spans="1:19" x14ac:dyDescent="0.3">
      <c r="A23" s="8">
        <f t="shared" si="11"/>
        <v>45443</v>
      </c>
      <c r="B23" s="9">
        <f t="shared" si="0"/>
        <v>7.0554730840430464</v>
      </c>
      <c r="C23" s="9">
        <f t="shared" si="1"/>
        <v>8.9</v>
      </c>
      <c r="D23" s="7">
        <f t="shared" si="7"/>
        <v>0</v>
      </c>
      <c r="E23" s="7">
        <f t="shared" si="8"/>
        <v>1</v>
      </c>
      <c r="F23" s="7">
        <f t="shared" si="9"/>
        <v>1</v>
      </c>
      <c r="G23" s="7">
        <f t="shared" si="10"/>
        <v>0</v>
      </c>
      <c r="H23" s="1">
        <f t="shared" si="2"/>
        <v>0</v>
      </c>
      <c r="I23" s="1">
        <f t="shared" si="3"/>
        <v>0</v>
      </c>
      <c r="J23" s="1">
        <f t="shared" si="4"/>
        <v>1</v>
      </c>
      <c r="K23" s="1">
        <f t="shared" si="5"/>
        <v>0</v>
      </c>
      <c r="L23" s="1" t="str">
        <f t="shared" si="6"/>
        <v>被动补库存</v>
      </c>
      <c r="O23" s="51">
        <v>45443</v>
      </c>
      <c r="P23" s="52">
        <v>7.0554730840430464</v>
      </c>
      <c r="R23" s="14">
        <v>38291</v>
      </c>
      <c r="S23" s="15">
        <v>13.3</v>
      </c>
    </row>
    <row r="24" spans="1:19" x14ac:dyDescent="0.3">
      <c r="A24" s="8">
        <f t="shared" si="11"/>
        <v>45412</v>
      </c>
      <c r="B24" s="9">
        <f t="shared" si="0"/>
        <v>4.4437448867845744</v>
      </c>
      <c r="C24" s="9">
        <f t="shared" si="1"/>
        <v>9.1</v>
      </c>
      <c r="D24" s="7">
        <f t="shared" si="7"/>
        <v>0</v>
      </c>
      <c r="E24" s="7">
        <f t="shared" si="8"/>
        <v>1</v>
      </c>
      <c r="F24" s="7">
        <f t="shared" si="9"/>
        <v>1</v>
      </c>
      <c r="G24" s="7">
        <f t="shared" si="10"/>
        <v>0</v>
      </c>
      <c r="H24" s="1">
        <f t="shared" si="2"/>
        <v>0</v>
      </c>
      <c r="I24" s="1">
        <f t="shared" si="3"/>
        <v>0</v>
      </c>
      <c r="J24" s="1">
        <f t="shared" si="4"/>
        <v>1</v>
      </c>
      <c r="K24" s="1">
        <f t="shared" si="5"/>
        <v>0</v>
      </c>
      <c r="L24" s="1" t="str">
        <f t="shared" si="6"/>
        <v>被动补库存</v>
      </c>
      <c r="O24" s="51">
        <v>45412</v>
      </c>
      <c r="P24" s="52">
        <v>4.4437448867845744</v>
      </c>
      <c r="R24" s="14">
        <v>38321</v>
      </c>
      <c r="S24" s="15">
        <v>13.5</v>
      </c>
    </row>
    <row r="25" spans="1:19" x14ac:dyDescent="0.3">
      <c r="A25" s="8">
        <f t="shared" si="11"/>
        <v>45382</v>
      </c>
      <c r="B25" s="9">
        <f t="shared" si="0"/>
        <v>-1.5276922165194531</v>
      </c>
      <c r="C25" s="9">
        <f t="shared" si="1"/>
        <v>9.1999999999999993</v>
      </c>
      <c r="D25" s="7">
        <f t="shared" si="7"/>
        <v>0</v>
      </c>
      <c r="E25" s="7">
        <f t="shared" si="8"/>
        <v>1</v>
      </c>
      <c r="F25" s="7">
        <f t="shared" si="9"/>
        <v>1</v>
      </c>
      <c r="G25" s="7">
        <f t="shared" si="10"/>
        <v>0</v>
      </c>
      <c r="H25" s="1">
        <f t="shared" si="2"/>
        <v>0</v>
      </c>
      <c r="I25" s="1">
        <f t="shared" si="3"/>
        <v>0</v>
      </c>
      <c r="J25" s="1">
        <f t="shared" si="4"/>
        <v>1</v>
      </c>
      <c r="K25" s="1">
        <f t="shared" si="5"/>
        <v>0</v>
      </c>
      <c r="L25" s="1" t="str">
        <f t="shared" si="6"/>
        <v>被动补库存</v>
      </c>
      <c r="O25" s="51">
        <v>45382</v>
      </c>
      <c r="P25" s="52">
        <v>-1.5276922165194531</v>
      </c>
      <c r="R25" s="14">
        <v>38352</v>
      </c>
      <c r="S25" s="15">
        <v>14.4</v>
      </c>
    </row>
    <row r="26" spans="1:19" x14ac:dyDescent="0.3">
      <c r="A26" s="8">
        <f t="shared" si="11"/>
        <v>45351</v>
      </c>
      <c r="B26" s="9">
        <f t="shared" si="0"/>
        <v>-3.222993391898723</v>
      </c>
      <c r="C26" s="9">
        <f t="shared" si="1"/>
        <v>9.6999999999999993</v>
      </c>
      <c r="D26" s="7">
        <f t="shared" si="7"/>
        <v>0</v>
      </c>
      <c r="E26" s="7">
        <f t="shared" si="8"/>
        <v>1</v>
      </c>
      <c r="F26" s="7">
        <f t="shared" si="9"/>
        <v>0</v>
      </c>
      <c r="G26" s="7">
        <f t="shared" si="10"/>
        <v>1</v>
      </c>
      <c r="H26" s="1">
        <f t="shared" si="2"/>
        <v>1</v>
      </c>
      <c r="I26" s="1">
        <f t="shared" si="3"/>
        <v>0</v>
      </c>
      <c r="J26" s="1">
        <f t="shared" si="4"/>
        <v>0</v>
      </c>
      <c r="K26" s="1">
        <f t="shared" si="5"/>
        <v>0</v>
      </c>
      <c r="L26" s="1" t="str">
        <f t="shared" si="6"/>
        <v>主动去库存</v>
      </c>
      <c r="O26" s="51">
        <v>45351</v>
      </c>
      <c r="P26" s="52">
        <v>-3.222993391898723</v>
      </c>
      <c r="R26" s="14">
        <v>38383</v>
      </c>
      <c r="S26" s="15">
        <v>14.5</v>
      </c>
    </row>
    <row r="27" spans="1:19" x14ac:dyDescent="0.3">
      <c r="A27" s="8">
        <f t="shared" si="11"/>
        <v>45322</v>
      </c>
      <c r="B27" s="9">
        <f t="shared" si="0"/>
        <v>-1.77191644767751</v>
      </c>
      <c r="C27" s="9">
        <f t="shared" si="1"/>
        <v>10</v>
      </c>
      <c r="D27" s="7">
        <f t="shared" si="7"/>
        <v>0</v>
      </c>
      <c r="E27" s="7">
        <f t="shared" si="8"/>
        <v>1</v>
      </c>
      <c r="F27" s="7">
        <f t="shared" si="9"/>
        <v>0</v>
      </c>
      <c r="G27" s="7">
        <f t="shared" si="10"/>
        <v>1</v>
      </c>
      <c r="H27" s="1">
        <f t="shared" si="2"/>
        <v>1</v>
      </c>
      <c r="I27" s="1">
        <f t="shared" si="3"/>
        <v>0</v>
      </c>
      <c r="J27" s="1">
        <f t="shared" si="4"/>
        <v>0</v>
      </c>
      <c r="K27" s="1">
        <f t="shared" si="5"/>
        <v>0</v>
      </c>
      <c r="L27" s="1" t="str">
        <f t="shared" si="6"/>
        <v>主动去库存</v>
      </c>
      <c r="O27" s="51">
        <v>45322</v>
      </c>
      <c r="P27" s="52">
        <v>-1.77191644767751</v>
      </c>
      <c r="R27" s="14">
        <v>38411</v>
      </c>
      <c r="S27" s="15">
        <v>13.5</v>
      </c>
    </row>
    <row r="28" spans="1:19" x14ac:dyDescent="0.3">
      <c r="A28" s="8">
        <f t="shared" si="11"/>
        <v>45291</v>
      </c>
      <c r="B28" s="9">
        <f t="shared" si="0"/>
        <v>2.6619152336692</v>
      </c>
      <c r="C28" s="9">
        <f t="shared" si="1"/>
        <v>10.1</v>
      </c>
      <c r="D28" s="7">
        <f t="shared" si="7"/>
        <v>0</v>
      </c>
      <c r="E28" s="7">
        <f t="shared" si="8"/>
        <v>1</v>
      </c>
      <c r="F28" s="7">
        <f t="shared" si="9"/>
        <v>1</v>
      </c>
      <c r="G28" s="7">
        <f t="shared" si="10"/>
        <v>0</v>
      </c>
      <c r="H28" s="1">
        <f t="shared" si="2"/>
        <v>0</v>
      </c>
      <c r="I28" s="1">
        <f t="shared" si="3"/>
        <v>0</v>
      </c>
      <c r="J28" s="1">
        <f t="shared" si="4"/>
        <v>1</v>
      </c>
      <c r="K28" s="1">
        <f t="shared" si="5"/>
        <v>0</v>
      </c>
      <c r="L28" s="1" t="str">
        <f t="shared" si="6"/>
        <v>被动补库存</v>
      </c>
      <c r="O28" s="51">
        <v>45291</v>
      </c>
      <c r="P28" s="52">
        <v>2.6619152336692</v>
      </c>
      <c r="R28" s="14">
        <v>38442</v>
      </c>
      <c r="S28" s="15">
        <v>13</v>
      </c>
    </row>
    <row r="29" spans="1:19" x14ac:dyDescent="0.3">
      <c r="A29" s="8">
        <f t="shared" si="11"/>
        <v>45260</v>
      </c>
      <c r="B29" s="9">
        <f t="shared" si="0"/>
        <v>2.3895179615713911</v>
      </c>
      <c r="C29" s="9">
        <f t="shared" si="1"/>
        <v>10.199999999999999</v>
      </c>
      <c r="D29" s="7">
        <f t="shared" si="7"/>
        <v>0</v>
      </c>
      <c r="E29" s="7">
        <f t="shared" si="8"/>
        <v>1</v>
      </c>
      <c r="F29" s="7">
        <f t="shared" si="9"/>
        <v>1</v>
      </c>
      <c r="G29" s="7">
        <f t="shared" si="10"/>
        <v>0</v>
      </c>
      <c r="H29" s="1">
        <f t="shared" si="2"/>
        <v>0</v>
      </c>
      <c r="I29" s="1">
        <f t="shared" si="3"/>
        <v>0</v>
      </c>
      <c r="J29" s="1">
        <f t="shared" si="4"/>
        <v>1</v>
      </c>
      <c r="K29" s="1">
        <f t="shared" si="5"/>
        <v>0</v>
      </c>
      <c r="L29" s="1" t="str">
        <f t="shared" si="6"/>
        <v>被动补库存</v>
      </c>
      <c r="O29" s="51">
        <v>45260</v>
      </c>
      <c r="P29" s="52">
        <v>2.3895179615713911</v>
      </c>
      <c r="R29" s="14">
        <v>38472</v>
      </c>
      <c r="S29" s="15">
        <v>12.5</v>
      </c>
    </row>
    <row r="30" spans="1:19" x14ac:dyDescent="0.3">
      <c r="A30" s="8">
        <f t="shared" si="11"/>
        <v>45230</v>
      </c>
      <c r="B30" s="9">
        <f t="shared" si="0"/>
        <v>1.986137707131687</v>
      </c>
      <c r="C30" s="9">
        <f t="shared" si="1"/>
        <v>10.3</v>
      </c>
      <c r="D30" s="7">
        <f t="shared" si="7"/>
        <v>1</v>
      </c>
      <c r="E30" s="7">
        <f t="shared" si="8"/>
        <v>0</v>
      </c>
      <c r="F30" s="7">
        <f t="shared" si="9"/>
        <v>1</v>
      </c>
      <c r="G30" s="7">
        <f t="shared" si="10"/>
        <v>0</v>
      </c>
      <c r="H30" s="1">
        <f t="shared" si="2"/>
        <v>0</v>
      </c>
      <c r="I30" s="1">
        <f t="shared" si="3"/>
        <v>0</v>
      </c>
      <c r="J30" s="1">
        <f t="shared" si="4"/>
        <v>0</v>
      </c>
      <c r="K30" s="1">
        <f t="shared" si="5"/>
        <v>1</v>
      </c>
      <c r="L30" s="1" t="str">
        <f t="shared" si="6"/>
        <v>主动补库存</v>
      </c>
      <c r="O30" s="51">
        <v>45230</v>
      </c>
      <c r="P30" s="52">
        <v>1.986137707131687</v>
      </c>
      <c r="R30" s="14">
        <v>38503</v>
      </c>
      <c r="S30" s="15">
        <v>12.4</v>
      </c>
    </row>
    <row r="31" spans="1:19" x14ac:dyDescent="0.3">
      <c r="A31" s="8">
        <f t="shared" si="11"/>
        <v>45199</v>
      </c>
      <c r="B31" s="9">
        <f t="shared" si="0"/>
        <v>0.98735996275792903</v>
      </c>
      <c r="C31" s="9">
        <f t="shared" si="1"/>
        <v>10.199999999999999</v>
      </c>
      <c r="D31" s="7">
        <f t="shared" si="7"/>
        <v>0</v>
      </c>
      <c r="E31" s="7">
        <f t="shared" si="8"/>
        <v>1</v>
      </c>
      <c r="F31" s="7">
        <f t="shared" si="9"/>
        <v>0</v>
      </c>
      <c r="G31" s="7">
        <f t="shared" si="10"/>
        <v>1</v>
      </c>
      <c r="H31" s="1">
        <f t="shared" si="2"/>
        <v>1</v>
      </c>
      <c r="I31" s="1">
        <f t="shared" si="3"/>
        <v>0</v>
      </c>
      <c r="J31" s="1">
        <f t="shared" si="4"/>
        <v>0</v>
      </c>
      <c r="K31" s="1">
        <f t="shared" si="5"/>
        <v>0</v>
      </c>
      <c r="L31" s="1" t="str">
        <f t="shared" si="6"/>
        <v>主动去库存</v>
      </c>
      <c r="O31" s="51">
        <v>45199</v>
      </c>
      <c r="P31" s="52">
        <v>0.98735996275792903</v>
      </c>
      <c r="R31" s="14">
        <v>38533</v>
      </c>
      <c r="S31" s="15">
        <v>16.8</v>
      </c>
    </row>
    <row r="32" spans="1:19" x14ac:dyDescent="0.3">
      <c r="A32" s="8">
        <f t="shared" si="11"/>
        <v>45169</v>
      </c>
      <c r="B32" s="9">
        <f t="shared" si="0"/>
        <v>1.5354235265861971</v>
      </c>
      <c r="C32" s="9">
        <f t="shared" si="1"/>
        <v>10.5</v>
      </c>
      <c r="D32" s="7">
        <f t="shared" si="7"/>
        <v>0</v>
      </c>
      <c r="E32" s="7">
        <f t="shared" si="8"/>
        <v>1</v>
      </c>
      <c r="F32" s="7">
        <f t="shared" si="9"/>
        <v>1</v>
      </c>
      <c r="G32" s="7">
        <f t="shared" si="10"/>
        <v>0</v>
      </c>
      <c r="H32" s="1">
        <f t="shared" si="2"/>
        <v>0</v>
      </c>
      <c r="I32" s="1">
        <f t="shared" si="3"/>
        <v>0</v>
      </c>
      <c r="J32" s="1">
        <f t="shared" si="4"/>
        <v>1</v>
      </c>
      <c r="K32" s="1">
        <f t="shared" si="5"/>
        <v>0</v>
      </c>
      <c r="L32" s="1" t="str">
        <f t="shared" si="6"/>
        <v>被动补库存</v>
      </c>
      <c r="O32" s="51">
        <v>45169</v>
      </c>
      <c r="P32" s="52">
        <v>1.5354235265861971</v>
      </c>
      <c r="R32" s="14">
        <v>38564</v>
      </c>
      <c r="S32" s="15">
        <v>13</v>
      </c>
    </row>
    <row r="33" spans="1:19" x14ac:dyDescent="0.3">
      <c r="A33" s="8">
        <f t="shared" si="11"/>
        <v>45138</v>
      </c>
      <c r="B33" s="9">
        <f t="shared" si="0"/>
        <v>2.2642084375373E-2</v>
      </c>
      <c r="C33" s="9">
        <f t="shared" si="1"/>
        <v>10.5</v>
      </c>
      <c r="D33" s="7">
        <f t="shared" si="7"/>
        <v>0</v>
      </c>
      <c r="E33" s="7">
        <f t="shared" si="8"/>
        <v>1</v>
      </c>
      <c r="F33" s="7">
        <f t="shared" si="9"/>
        <v>1</v>
      </c>
      <c r="G33" s="7">
        <f t="shared" si="10"/>
        <v>0</v>
      </c>
      <c r="H33" s="1">
        <f t="shared" si="2"/>
        <v>0</v>
      </c>
      <c r="I33" s="1">
        <f t="shared" si="3"/>
        <v>0</v>
      </c>
      <c r="J33" s="1">
        <f t="shared" si="4"/>
        <v>1</v>
      </c>
      <c r="K33" s="1">
        <f t="shared" si="5"/>
        <v>0</v>
      </c>
      <c r="L33" s="1" t="str">
        <f t="shared" si="6"/>
        <v>被动补库存</v>
      </c>
      <c r="O33" s="51">
        <v>45138</v>
      </c>
      <c r="P33" s="52">
        <v>2.2642084375373E-2</v>
      </c>
      <c r="R33" s="14">
        <v>38595</v>
      </c>
      <c r="S33" s="15">
        <v>13.2</v>
      </c>
    </row>
    <row r="34" spans="1:19" x14ac:dyDescent="0.3">
      <c r="A34" s="8">
        <f t="shared" si="11"/>
        <v>45107</v>
      </c>
      <c r="B34" s="9">
        <f t="shared" si="0"/>
        <v>-0.36190692945082398</v>
      </c>
      <c r="C34" s="9">
        <f t="shared" si="1"/>
        <v>10.6</v>
      </c>
      <c r="D34" s="7">
        <f t="shared" si="7"/>
        <v>0</v>
      </c>
      <c r="E34" s="7">
        <f t="shared" si="8"/>
        <v>1</v>
      </c>
      <c r="F34" s="7">
        <f t="shared" si="9"/>
        <v>0</v>
      </c>
      <c r="G34" s="7">
        <f t="shared" si="10"/>
        <v>1</v>
      </c>
      <c r="H34" s="1">
        <f t="shared" si="2"/>
        <v>1</v>
      </c>
      <c r="I34" s="1">
        <f t="shared" si="3"/>
        <v>0</v>
      </c>
      <c r="J34" s="1">
        <f t="shared" si="4"/>
        <v>0</v>
      </c>
      <c r="K34" s="1">
        <f t="shared" si="5"/>
        <v>0</v>
      </c>
      <c r="L34" s="1" t="str">
        <f t="shared" si="6"/>
        <v>主动去库存</v>
      </c>
      <c r="O34" s="51">
        <v>45107</v>
      </c>
      <c r="P34" s="52">
        <v>-0.36190692945082398</v>
      </c>
      <c r="R34" s="14">
        <v>38625</v>
      </c>
      <c r="S34" s="15">
        <v>13.5</v>
      </c>
    </row>
    <row r="35" spans="1:19" x14ac:dyDescent="0.3">
      <c r="A35" s="8">
        <f t="shared" si="11"/>
        <v>45077</v>
      </c>
      <c r="B35" s="9">
        <f t="shared" si="0"/>
        <v>0.98544236504147698</v>
      </c>
      <c r="C35" s="9">
        <f t="shared" si="1"/>
        <v>10.6</v>
      </c>
      <c r="D35" s="7">
        <f t="shared" si="7"/>
        <v>0</v>
      </c>
      <c r="E35" s="7">
        <f t="shared" si="8"/>
        <v>1</v>
      </c>
      <c r="F35" s="7">
        <f t="shared" si="9"/>
        <v>0</v>
      </c>
      <c r="G35" s="7">
        <f t="shared" si="10"/>
        <v>1</v>
      </c>
      <c r="H35" s="1">
        <f t="shared" si="2"/>
        <v>1</v>
      </c>
      <c r="I35" s="1">
        <f t="shared" si="3"/>
        <v>0</v>
      </c>
      <c r="J35" s="1">
        <f t="shared" si="4"/>
        <v>0</v>
      </c>
      <c r="K35" s="1">
        <f t="shared" si="5"/>
        <v>0</v>
      </c>
      <c r="L35" s="1" t="str">
        <f t="shared" si="6"/>
        <v>主动去库存</v>
      </c>
      <c r="O35" s="51">
        <v>45077</v>
      </c>
      <c r="P35" s="52">
        <v>0.98544236504147698</v>
      </c>
      <c r="R35" s="14">
        <v>38656</v>
      </c>
      <c r="S35" s="15">
        <v>13.7</v>
      </c>
    </row>
    <row r="36" spans="1:19" x14ac:dyDescent="0.3">
      <c r="A36" s="8">
        <f t="shared" si="11"/>
        <v>45046</v>
      </c>
      <c r="B36" s="9">
        <f t="shared" ref="B36:B67" si="12">VLOOKUP(A36,O:P,2,0)</f>
        <v>7.0554404576982019</v>
      </c>
      <c r="C36" s="9">
        <f t="shared" ref="C36:C67" si="13">VLOOKUP(A36,R:S,2,0)</f>
        <v>10.9</v>
      </c>
      <c r="D36" s="7">
        <f t="shared" si="7"/>
        <v>0</v>
      </c>
      <c r="E36" s="7">
        <f t="shared" si="8"/>
        <v>1</v>
      </c>
      <c r="F36" s="7">
        <f t="shared" si="9"/>
        <v>0</v>
      </c>
      <c r="G36" s="7">
        <f t="shared" si="10"/>
        <v>1</v>
      </c>
      <c r="H36" s="1">
        <f t="shared" si="2"/>
        <v>1</v>
      </c>
      <c r="I36" s="1">
        <f t="shared" si="3"/>
        <v>0</v>
      </c>
      <c r="J36" s="1">
        <f t="shared" si="4"/>
        <v>0</v>
      </c>
      <c r="K36" s="1">
        <f t="shared" si="5"/>
        <v>0</v>
      </c>
      <c r="L36" s="1" t="str">
        <f t="shared" ref="L36:L67" si="14">INDEX($H$3:$K$3,1,MATCH(1,H36:K36,0))</f>
        <v>主动去库存</v>
      </c>
      <c r="O36" s="51">
        <v>45046</v>
      </c>
      <c r="P36" s="52">
        <v>7.0554404576982019</v>
      </c>
      <c r="R36" s="14">
        <v>38686</v>
      </c>
      <c r="S36" s="15">
        <v>13.8</v>
      </c>
    </row>
    <row r="37" spans="1:19" x14ac:dyDescent="0.3">
      <c r="A37" s="8">
        <f t="shared" si="11"/>
        <v>45016</v>
      </c>
      <c r="B37" s="9">
        <f t="shared" si="12"/>
        <v>11.02673256509404</v>
      </c>
      <c r="C37" s="9">
        <f t="shared" si="13"/>
        <v>11.1</v>
      </c>
      <c r="D37" s="7">
        <f t="shared" ref="D37:D68" si="15">IF(C37&gt;C38,1,0)</f>
        <v>1</v>
      </c>
      <c r="E37" s="7">
        <f t="shared" ref="E37:E68" si="16">1-D37</f>
        <v>0</v>
      </c>
      <c r="F37" s="7">
        <f t="shared" ref="F37:F68" si="17">IF(B37&gt;B38,1,0)</f>
        <v>0</v>
      </c>
      <c r="G37" s="7">
        <f t="shared" ref="G37:G68" si="18">1-F37</f>
        <v>1</v>
      </c>
      <c r="H37" s="1">
        <f t="shared" si="2"/>
        <v>0</v>
      </c>
      <c r="I37" s="1">
        <f t="shared" si="3"/>
        <v>1</v>
      </c>
      <c r="J37" s="1">
        <f t="shared" si="4"/>
        <v>0</v>
      </c>
      <c r="K37" s="1">
        <f t="shared" si="5"/>
        <v>0</v>
      </c>
      <c r="L37" s="1" t="str">
        <f t="shared" si="14"/>
        <v>被动去库存</v>
      </c>
      <c r="O37" s="51">
        <v>45016</v>
      </c>
      <c r="P37" s="52">
        <v>11.02673256509404</v>
      </c>
      <c r="R37" s="14">
        <v>38717</v>
      </c>
      <c r="S37" s="15">
        <v>12.75</v>
      </c>
    </row>
    <row r="38" spans="1:19" x14ac:dyDescent="0.3">
      <c r="A38" s="8">
        <f t="shared" ref="A38:A69" si="19">EOMONTH(A37,-1)</f>
        <v>44985</v>
      </c>
      <c r="B38" s="9">
        <f t="shared" si="12"/>
        <v>18.984670957894132</v>
      </c>
      <c r="C38" s="9">
        <f t="shared" si="13"/>
        <v>10.8</v>
      </c>
      <c r="D38" s="7">
        <f t="shared" si="15"/>
        <v>1</v>
      </c>
      <c r="E38" s="7">
        <f t="shared" si="16"/>
        <v>0</v>
      </c>
      <c r="F38" s="7">
        <f t="shared" si="17"/>
        <v>0</v>
      </c>
      <c r="G38" s="7">
        <f t="shared" si="18"/>
        <v>1</v>
      </c>
      <c r="H38" s="1">
        <f t="shared" si="2"/>
        <v>0</v>
      </c>
      <c r="I38" s="1">
        <f t="shared" si="3"/>
        <v>1</v>
      </c>
      <c r="J38" s="1">
        <f t="shared" si="4"/>
        <v>0</v>
      </c>
      <c r="K38" s="1">
        <f t="shared" si="5"/>
        <v>0</v>
      </c>
      <c r="L38" s="1" t="str">
        <f t="shared" si="14"/>
        <v>被动去库存</v>
      </c>
      <c r="O38" s="51">
        <v>44985</v>
      </c>
      <c r="P38" s="52">
        <v>18.984670957894132</v>
      </c>
      <c r="R38" s="14">
        <v>38748</v>
      </c>
      <c r="S38" s="15">
        <v>13.1</v>
      </c>
    </row>
    <row r="39" spans="1:19" x14ac:dyDescent="0.3">
      <c r="A39" s="8">
        <f t="shared" si="19"/>
        <v>44957</v>
      </c>
      <c r="B39" s="9">
        <f t="shared" si="12"/>
        <v>23.591447945958681</v>
      </c>
      <c r="C39" s="9">
        <f t="shared" si="13"/>
        <v>10.6</v>
      </c>
      <c r="D39" s="7">
        <f t="shared" si="15"/>
        <v>1</v>
      </c>
      <c r="E39" s="7">
        <f t="shared" si="16"/>
        <v>0</v>
      </c>
      <c r="F39" s="7">
        <f t="shared" si="17"/>
        <v>0</v>
      </c>
      <c r="G39" s="7">
        <f t="shared" si="18"/>
        <v>1</v>
      </c>
      <c r="H39" s="1">
        <f t="shared" si="2"/>
        <v>0</v>
      </c>
      <c r="I39" s="1">
        <f t="shared" si="3"/>
        <v>1</v>
      </c>
      <c r="J39" s="1">
        <f t="shared" si="4"/>
        <v>0</v>
      </c>
      <c r="K39" s="1">
        <f t="shared" si="5"/>
        <v>0</v>
      </c>
      <c r="L39" s="1" t="str">
        <f t="shared" si="14"/>
        <v>被动去库存</v>
      </c>
      <c r="O39" s="51">
        <v>44957</v>
      </c>
      <c r="P39" s="52">
        <v>23.591447945958681</v>
      </c>
      <c r="R39" s="14">
        <v>38776</v>
      </c>
      <c r="S39" s="15">
        <v>13.4</v>
      </c>
    </row>
    <row r="40" spans="1:19" x14ac:dyDescent="0.3">
      <c r="A40" s="8">
        <f t="shared" si="19"/>
        <v>44926</v>
      </c>
      <c r="B40" s="9">
        <f t="shared" si="12"/>
        <v>30.019910461290319</v>
      </c>
      <c r="C40" s="9">
        <f t="shared" si="13"/>
        <v>10.4</v>
      </c>
      <c r="D40" s="7">
        <f t="shared" si="15"/>
        <v>0</v>
      </c>
      <c r="E40" s="7">
        <f t="shared" si="16"/>
        <v>1</v>
      </c>
      <c r="F40" s="7">
        <f t="shared" si="17"/>
        <v>0</v>
      </c>
      <c r="G40" s="7">
        <f t="shared" si="18"/>
        <v>1</v>
      </c>
      <c r="H40" s="1">
        <f t="shared" si="2"/>
        <v>1</v>
      </c>
      <c r="I40" s="1">
        <f t="shared" si="3"/>
        <v>0</v>
      </c>
      <c r="J40" s="1">
        <f t="shared" si="4"/>
        <v>0</v>
      </c>
      <c r="K40" s="1">
        <f t="shared" si="5"/>
        <v>0</v>
      </c>
      <c r="L40" s="1" t="str">
        <f t="shared" si="14"/>
        <v>主动去库存</v>
      </c>
      <c r="O40" s="51">
        <v>44926</v>
      </c>
      <c r="P40" s="52">
        <v>30.019910461290319</v>
      </c>
      <c r="R40" s="14">
        <v>38807</v>
      </c>
      <c r="S40" s="15">
        <v>14</v>
      </c>
    </row>
    <row r="41" spans="1:19" x14ac:dyDescent="0.3">
      <c r="A41" s="8">
        <f t="shared" si="19"/>
        <v>44895</v>
      </c>
      <c r="B41" s="9">
        <f t="shared" si="12"/>
        <v>34.402114698379521</v>
      </c>
      <c r="C41" s="9">
        <f t="shared" si="13"/>
        <v>10.4</v>
      </c>
      <c r="D41" s="7">
        <f t="shared" si="15"/>
        <v>0</v>
      </c>
      <c r="E41" s="7">
        <f t="shared" si="16"/>
        <v>1</v>
      </c>
      <c r="F41" s="7">
        <f t="shared" si="17"/>
        <v>0</v>
      </c>
      <c r="G41" s="7">
        <f t="shared" si="18"/>
        <v>1</v>
      </c>
      <c r="H41" s="1">
        <f t="shared" si="2"/>
        <v>1</v>
      </c>
      <c r="I41" s="1">
        <f t="shared" si="3"/>
        <v>0</v>
      </c>
      <c r="J41" s="1">
        <f t="shared" si="4"/>
        <v>0</v>
      </c>
      <c r="K41" s="1">
        <f t="shared" si="5"/>
        <v>0</v>
      </c>
      <c r="L41" s="1" t="str">
        <f t="shared" si="14"/>
        <v>主动去库存</v>
      </c>
      <c r="O41" s="51">
        <v>44895</v>
      </c>
      <c r="P41" s="52">
        <v>34.402114698379521</v>
      </c>
      <c r="R41" s="14">
        <v>38837</v>
      </c>
      <c r="S41" s="15">
        <v>14.8</v>
      </c>
    </row>
    <row r="42" spans="1:19" x14ac:dyDescent="0.3">
      <c r="A42" s="8">
        <f t="shared" si="19"/>
        <v>44865</v>
      </c>
      <c r="B42" s="9">
        <f t="shared" si="12"/>
        <v>35.056671317128952</v>
      </c>
      <c r="C42" s="9">
        <f t="shared" si="13"/>
        <v>10.5</v>
      </c>
      <c r="D42" s="7">
        <f t="shared" si="15"/>
        <v>0</v>
      </c>
      <c r="E42" s="7">
        <f t="shared" si="16"/>
        <v>1</v>
      </c>
      <c r="F42" s="7">
        <f t="shared" si="17"/>
        <v>1</v>
      </c>
      <c r="G42" s="7">
        <f t="shared" si="18"/>
        <v>0</v>
      </c>
      <c r="H42" s="1">
        <f t="shared" si="2"/>
        <v>0</v>
      </c>
      <c r="I42" s="1">
        <f t="shared" si="3"/>
        <v>0</v>
      </c>
      <c r="J42" s="1">
        <f t="shared" si="4"/>
        <v>1</v>
      </c>
      <c r="K42" s="1">
        <f t="shared" si="5"/>
        <v>0</v>
      </c>
      <c r="L42" s="1" t="str">
        <f t="shared" si="14"/>
        <v>被动补库存</v>
      </c>
      <c r="O42" s="51">
        <v>44865</v>
      </c>
      <c r="P42" s="52">
        <v>35.056671317128952</v>
      </c>
      <c r="R42" s="14">
        <v>38868</v>
      </c>
      <c r="S42" s="15">
        <v>15.1</v>
      </c>
    </row>
    <row r="43" spans="1:19" x14ac:dyDescent="0.3">
      <c r="A43" s="8">
        <f t="shared" si="19"/>
        <v>44834</v>
      </c>
      <c r="B43" s="9">
        <f t="shared" si="12"/>
        <v>34.68844065044977</v>
      </c>
      <c r="C43" s="9">
        <f t="shared" si="13"/>
        <v>10.7</v>
      </c>
      <c r="D43" s="7">
        <f t="shared" si="15"/>
        <v>1</v>
      </c>
      <c r="E43" s="7">
        <f t="shared" si="16"/>
        <v>0</v>
      </c>
      <c r="F43" s="7">
        <f t="shared" si="17"/>
        <v>0</v>
      </c>
      <c r="G43" s="7">
        <f t="shared" si="18"/>
        <v>1</v>
      </c>
      <c r="H43" s="1">
        <f t="shared" si="2"/>
        <v>0</v>
      </c>
      <c r="I43" s="1">
        <f t="shared" si="3"/>
        <v>1</v>
      </c>
      <c r="J43" s="1">
        <f t="shared" si="4"/>
        <v>0</v>
      </c>
      <c r="K43" s="1">
        <f t="shared" si="5"/>
        <v>0</v>
      </c>
      <c r="L43" s="1" t="str">
        <f t="shared" si="14"/>
        <v>被动去库存</v>
      </c>
      <c r="O43" s="51">
        <v>44834</v>
      </c>
      <c r="P43" s="52">
        <v>34.68844065044977</v>
      </c>
      <c r="R43" s="14">
        <v>38898</v>
      </c>
      <c r="S43" s="15">
        <v>14.34</v>
      </c>
    </row>
    <row r="44" spans="1:19" x14ac:dyDescent="0.3">
      <c r="A44" s="8">
        <f t="shared" si="19"/>
        <v>44804</v>
      </c>
      <c r="B44" s="9">
        <f t="shared" si="12"/>
        <v>37.602776863762948</v>
      </c>
      <c r="C44" s="9">
        <f t="shared" si="13"/>
        <v>10.4</v>
      </c>
      <c r="D44" s="7">
        <f t="shared" si="15"/>
        <v>0</v>
      </c>
      <c r="E44" s="7">
        <f t="shared" si="16"/>
        <v>1</v>
      </c>
      <c r="F44" s="7">
        <f t="shared" si="17"/>
        <v>0</v>
      </c>
      <c r="G44" s="7">
        <f t="shared" si="18"/>
        <v>1</v>
      </c>
      <c r="H44" s="1">
        <f t="shared" si="2"/>
        <v>1</v>
      </c>
      <c r="I44" s="1">
        <f t="shared" si="3"/>
        <v>0</v>
      </c>
      <c r="J44" s="1">
        <f t="shared" si="4"/>
        <v>0</v>
      </c>
      <c r="K44" s="1">
        <f t="shared" si="5"/>
        <v>0</v>
      </c>
      <c r="L44" s="1" t="str">
        <f t="shared" si="14"/>
        <v>主动去库存</v>
      </c>
      <c r="O44" s="51">
        <v>44804</v>
      </c>
      <c r="P44" s="52">
        <v>37.602776863762948</v>
      </c>
      <c r="R44" s="14">
        <v>38929</v>
      </c>
      <c r="S44" s="15">
        <v>15.4</v>
      </c>
    </row>
    <row r="45" spans="1:19" x14ac:dyDescent="0.3">
      <c r="A45" s="8">
        <f t="shared" si="19"/>
        <v>44773</v>
      </c>
      <c r="B45" s="9">
        <f t="shared" si="12"/>
        <v>40.207567339838498</v>
      </c>
      <c r="C45" s="9">
        <f t="shared" si="13"/>
        <v>10.5</v>
      </c>
      <c r="D45" s="7">
        <f t="shared" si="15"/>
        <v>0</v>
      </c>
      <c r="E45" s="7">
        <f t="shared" si="16"/>
        <v>1</v>
      </c>
      <c r="F45" s="7">
        <f t="shared" si="17"/>
        <v>1</v>
      </c>
      <c r="G45" s="7">
        <f t="shared" si="18"/>
        <v>0</v>
      </c>
      <c r="H45" s="1">
        <f t="shared" si="2"/>
        <v>0</v>
      </c>
      <c r="I45" s="1">
        <f t="shared" si="3"/>
        <v>0</v>
      </c>
      <c r="J45" s="1">
        <f t="shared" si="4"/>
        <v>1</v>
      </c>
      <c r="K45" s="1">
        <f t="shared" si="5"/>
        <v>0</v>
      </c>
      <c r="L45" s="1" t="str">
        <f t="shared" si="14"/>
        <v>被动补库存</v>
      </c>
      <c r="O45" s="51">
        <v>44773</v>
      </c>
      <c r="P45" s="52">
        <v>40.207567339838498</v>
      </c>
      <c r="R45" s="14">
        <v>38960</v>
      </c>
      <c r="S45" s="15">
        <v>15.5</v>
      </c>
    </row>
    <row r="46" spans="1:19" x14ac:dyDescent="0.3">
      <c r="A46" s="8">
        <f t="shared" si="19"/>
        <v>44742</v>
      </c>
      <c r="B46" s="9">
        <f t="shared" si="12"/>
        <v>39.446294727674122</v>
      </c>
      <c r="C46" s="9">
        <f t="shared" si="13"/>
        <v>10.8</v>
      </c>
      <c r="D46" s="7">
        <f t="shared" si="15"/>
        <v>1</v>
      </c>
      <c r="E46" s="7">
        <f t="shared" si="16"/>
        <v>0</v>
      </c>
      <c r="F46" s="7">
        <f t="shared" si="17"/>
        <v>0</v>
      </c>
      <c r="G46" s="7">
        <f t="shared" si="18"/>
        <v>1</v>
      </c>
      <c r="H46" s="1">
        <f t="shared" si="2"/>
        <v>0</v>
      </c>
      <c r="I46" s="1">
        <f t="shared" si="3"/>
        <v>1</v>
      </c>
      <c r="J46" s="1">
        <f t="shared" si="4"/>
        <v>0</v>
      </c>
      <c r="K46" s="1">
        <f t="shared" si="5"/>
        <v>0</v>
      </c>
      <c r="L46" s="1" t="str">
        <f t="shared" si="14"/>
        <v>被动去库存</v>
      </c>
      <c r="O46" s="51">
        <v>44742</v>
      </c>
      <c r="P46" s="52">
        <v>39.446294727674122</v>
      </c>
      <c r="R46" s="14">
        <v>38990</v>
      </c>
      <c r="S46" s="15">
        <v>14.61</v>
      </c>
    </row>
    <row r="47" spans="1:19" x14ac:dyDescent="0.3">
      <c r="A47" s="8">
        <f t="shared" si="19"/>
        <v>44712</v>
      </c>
      <c r="B47" s="9">
        <f t="shared" si="12"/>
        <v>43.116721430031482</v>
      </c>
      <c r="C47" s="9">
        <f t="shared" si="13"/>
        <v>10.7</v>
      </c>
      <c r="D47" s="7">
        <f t="shared" si="15"/>
        <v>1</v>
      </c>
      <c r="E47" s="7">
        <f t="shared" si="16"/>
        <v>0</v>
      </c>
      <c r="F47" s="7">
        <f t="shared" si="17"/>
        <v>1</v>
      </c>
      <c r="G47" s="7">
        <f t="shared" si="18"/>
        <v>0</v>
      </c>
      <c r="H47" s="1">
        <f t="shared" si="2"/>
        <v>0</v>
      </c>
      <c r="I47" s="1">
        <f t="shared" si="3"/>
        <v>0</v>
      </c>
      <c r="J47" s="1">
        <f t="shared" si="4"/>
        <v>0</v>
      </c>
      <c r="K47" s="1">
        <f t="shared" si="5"/>
        <v>1</v>
      </c>
      <c r="L47" s="1" t="str">
        <f t="shared" si="14"/>
        <v>主动补库存</v>
      </c>
      <c r="O47" s="51">
        <v>44712</v>
      </c>
      <c r="P47" s="52">
        <v>43.116721430031482</v>
      </c>
      <c r="R47" s="14">
        <v>39021</v>
      </c>
      <c r="S47" s="15">
        <v>14.4</v>
      </c>
    </row>
    <row r="48" spans="1:19" x14ac:dyDescent="0.3">
      <c r="A48" s="8">
        <f t="shared" si="19"/>
        <v>44681</v>
      </c>
      <c r="B48" s="9">
        <f t="shared" si="12"/>
        <v>37.069277515424481</v>
      </c>
      <c r="C48" s="9">
        <f t="shared" si="13"/>
        <v>10.6</v>
      </c>
      <c r="D48" s="7">
        <f t="shared" si="15"/>
        <v>0</v>
      </c>
      <c r="E48" s="7">
        <f t="shared" si="16"/>
        <v>1</v>
      </c>
      <c r="F48" s="7">
        <f t="shared" si="17"/>
        <v>1</v>
      </c>
      <c r="G48" s="7">
        <f t="shared" si="18"/>
        <v>0</v>
      </c>
      <c r="H48" s="1">
        <f t="shared" si="2"/>
        <v>0</v>
      </c>
      <c r="I48" s="1">
        <f t="shared" si="3"/>
        <v>0</v>
      </c>
      <c r="J48" s="1">
        <f t="shared" si="4"/>
        <v>1</v>
      </c>
      <c r="K48" s="1">
        <f t="shared" si="5"/>
        <v>0</v>
      </c>
      <c r="L48" s="1" t="str">
        <f t="shared" si="14"/>
        <v>被动补库存</v>
      </c>
      <c r="O48" s="51">
        <v>44681</v>
      </c>
      <c r="P48" s="52">
        <v>37.069277515424481</v>
      </c>
      <c r="R48" s="14">
        <v>39051</v>
      </c>
      <c r="S48" s="15">
        <v>14.2</v>
      </c>
    </row>
    <row r="49" spans="1:19" x14ac:dyDescent="0.3">
      <c r="A49" s="8">
        <f t="shared" si="19"/>
        <v>44651</v>
      </c>
      <c r="B49" s="9">
        <f t="shared" si="12"/>
        <v>35.251779199049388</v>
      </c>
      <c r="C49" s="9">
        <f t="shared" si="13"/>
        <v>11</v>
      </c>
      <c r="D49" s="7">
        <f t="shared" si="15"/>
        <v>0</v>
      </c>
      <c r="E49" s="7">
        <f t="shared" si="16"/>
        <v>1</v>
      </c>
      <c r="F49" s="7">
        <f t="shared" si="17"/>
        <v>1</v>
      </c>
      <c r="G49" s="7">
        <f t="shared" si="18"/>
        <v>0</v>
      </c>
      <c r="H49" s="1">
        <f t="shared" si="2"/>
        <v>0</v>
      </c>
      <c r="I49" s="1">
        <f t="shared" si="3"/>
        <v>0</v>
      </c>
      <c r="J49" s="1">
        <f t="shared" si="4"/>
        <v>1</v>
      </c>
      <c r="K49" s="1">
        <f t="shared" si="5"/>
        <v>0</v>
      </c>
      <c r="L49" s="1" t="str">
        <f t="shared" si="14"/>
        <v>被动补库存</v>
      </c>
      <c r="O49" s="51">
        <v>44651</v>
      </c>
      <c r="P49" s="52">
        <v>35.251779199049388</v>
      </c>
      <c r="R49" s="14">
        <v>39113</v>
      </c>
      <c r="S49" s="15">
        <v>15.4</v>
      </c>
    </row>
    <row r="50" spans="1:19" x14ac:dyDescent="0.3">
      <c r="A50" s="8">
        <f t="shared" si="19"/>
        <v>44620</v>
      </c>
      <c r="B50" s="9">
        <f t="shared" si="12"/>
        <v>28.71490940320642</v>
      </c>
      <c r="C50" s="9">
        <f t="shared" si="13"/>
        <v>11.1</v>
      </c>
      <c r="D50" s="7">
        <f t="shared" si="15"/>
        <v>0</v>
      </c>
      <c r="E50" s="7">
        <f t="shared" si="16"/>
        <v>1</v>
      </c>
      <c r="F50" s="7">
        <f t="shared" si="17"/>
        <v>1</v>
      </c>
      <c r="G50" s="7">
        <f t="shared" si="18"/>
        <v>0</v>
      </c>
      <c r="H50" s="1">
        <f t="shared" si="2"/>
        <v>0</v>
      </c>
      <c r="I50" s="1">
        <f t="shared" si="3"/>
        <v>0</v>
      </c>
      <c r="J50" s="1">
        <f t="shared" si="4"/>
        <v>1</v>
      </c>
      <c r="K50" s="1">
        <f t="shared" si="5"/>
        <v>0</v>
      </c>
      <c r="L50" s="1" t="str">
        <f t="shared" si="14"/>
        <v>被动补库存</v>
      </c>
      <c r="O50" s="51">
        <v>44620</v>
      </c>
      <c r="P50" s="52">
        <v>28.71490940320642</v>
      </c>
      <c r="R50" s="14">
        <v>39141</v>
      </c>
      <c r="S50" s="15">
        <v>16.600000000000001</v>
      </c>
    </row>
    <row r="51" spans="1:19" x14ac:dyDescent="0.3">
      <c r="A51" s="8">
        <f t="shared" si="19"/>
        <v>44592</v>
      </c>
      <c r="B51" s="9">
        <f t="shared" si="12"/>
        <v>22.092675769921382</v>
      </c>
      <c r="C51" s="9">
        <f t="shared" si="13"/>
        <v>11.2</v>
      </c>
      <c r="D51" s="7">
        <f t="shared" si="15"/>
        <v>0</v>
      </c>
      <c r="E51" s="7">
        <f t="shared" si="16"/>
        <v>1</v>
      </c>
      <c r="F51" s="7">
        <f t="shared" si="17"/>
        <v>1</v>
      </c>
      <c r="G51" s="7">
        <f t="shared" si="18"/>
        <v>0</v>
      </c>
      <c r="H51" s="1">
        <f t="shared" si="2"/>
        <v>0</v>
      </c>
      <c r="I51" s="1">
        <f t="shared" si="3"/>
        <v>0</v>
      </c>
      <c r="J51" s="1">
        <f t="shared" si="4"/>
        <v>1</v>
      </c>
      <c r="K51" s="1">
        <f t="shared" si="5"/>
        <v>0</v>
      </c>
      <c r="L51" s="1" t="str">
        <f t="shared" si="14"/>
        <v>被动补库存</v>
      </c>
      <c r="O51" s="51">
        <v>44592</v>
      </c>
      <c r="P51" s="52">
        <v>22.092675769921382</v>
      </c>
      <c r="R51" s="14">
        <v>39172</v>
      </c>
      <c r="S51" s="15">
        <v>15.74</v>
      </c>
    </row>
    <row r="52" spans="1:19" x14ac:dyDescent="0.3">
      <c r="A52" s="8">
        <f t="shared" si="19"/>
        <v>44561</v>
      </c>
      <c r="B52" s="9">
        <f t="shared" si="12"/>
        <v>17.906280137500609</v>
      </c>
      <c r="C52" s="9">
        <f t="shared" si="13"/>
        <v>11.3</v>
      </c>
      <c r="D52" s="7">
        <f t="shared" si="15"/>
        <v>0</v>
      </c>
      <c r="E52" s="7">
        <f t="shared" si="16"/>
        <v>1</v>
      </c>
      <c r="F52" s="7">
        <f t="shared" si="17"/>
        <v>1</v>
      </c>
      <c r="G52" s="7">
        <f t="shared" si="18"/>
        <v>0</v>
      </c>
      <c r="H52" s="1">
        <f t="shared" si="2"/>
        <v>0</v>
      </c>
      <c r="I52" s="1">
        <f t="shared" si="3"/>
        <v>0</v>
      </c>
      <c r="J52" s="1">
        <f t="shared" si="4"/>
        <v>1</v>
      </c>
      <c r="K52" s="1">
        <f t="shared" si="5"/>
        <v>0</v>
      </c>
      <c r="L52" s="1" t="str">
        <f t="shared" si="14"/>
        <v>被动补库存</v>
      </c>
      <c r="O52" s="51">
        <v>44561</v>
      </c>
      <c r="P52" s="52">
        <v>17.906280137500609</v>
      </c>
      <c r="R52" s="14">
        <v>39202</v>
      </c>
      <c r="S52" s="15">
        <v>16</v>
      </c>
    </row>
    <row r="53" spans="1:19" x14ac:dyDescent="0.3">
      <c r="A53" s="8">
        <f t="shared" si="19"/>
        <v>44530</v>
      </c>
      <c r="B53" s="9">
        <f t="shared" si="12"/>
        <v>17.773395863092428</v>
      </c>
      <c r="C53" s="9">
        <f t="shared" si="13"/>
        <v>11.4</v>
      </c>
      <c r="D53" s="7">
        <f t="shared" si="15"/>
        <v>0</v>
      </c>
      <c r="E53" s="7">
        <f t="shared" si="16"/>
        <v>1</v>
      </c>
      <c r="F53" s="7">
        <f t="shared" si="17"/>
        <v>1</v>
      </c>
      <c r="G53" s="7">
        <f t="shared" si="18"/>
        <v>0</v>
      </c>
      <c r="H53" s="1">
        <f t="shared" si="2"/>
        <v>0</v>
      </c>
      <c r="I53" s="1">
        <f t="shared" si="3"/>
        <v>0</v>
      </c>
      <c r="J53" s="1">
        <f t="shared" si="4"/>
        <v>1</v>
      </c>
      <c r="K53" s="1">
        <f t="shared" si="5"/>
        <v>0</v>
      </c>
      <c r="L53" s="1" t="str">
        <f t="shared" si="14"/>
        <v>被动补库存</v>
      </c>
      <c r="O53" s="51">
        <v>44530</v>
      </c>
      <c r="P53" s="52">
        <v>17.773395863092428</v>
      </c>
      <c r="R53" s="14">
        <v>39233</v>
      </c>
      <c r="S53" s="15">
        <v>16</v>
      </c>
    </row>
    <row r="54" spans="1:19" x14ac:dyDescent="0.3">
      <c r="A54" s="8">
        <f t="shared" si="19"/>
        <v>44500</v>
      </c>
      <c r="B54" s="9">
        <f t="shared" si="12"/>
        <v>16.945511878054219</v>
      </c>
      <c r="C54" s="9">
        <f t="shared" si="13"/>
        <v>11.4</v>
      </c>
      <c r="D54" s="7">
        <f t="shared" si="15"/>
        <v>0</v>
      </c>
      <c r="E54" s="7">
        <f t="shared" si="16"/>
        <v>1</v>
      </c>
      <c r="F54" s="7">
        <f t="shared" si="17"/>
        <v>1</v>
      </c>
      <c r="G54" s="7">
        <f t="shared" si="18"/>
        <v>0</v>
      </c>
      <c r="H54" s="1">
        <f t="shared" si="2"/>
        <v>0</v>
      </c>
      <c r="I54" s="1">
        <f t="shared" si="3"/>
        <v>0</v>
      </c>
      <c r="J54" s="1">
        <f t="shared" si="4"/>
        <v>1</v>
      </c>
      <c r="K54" s="1">
        <f t="shared" si="5"/>
        <v>0</v>
      </c>
      <c r="L54" s="1" t="str">
        <f t="shared" si="14"/>
        <v>被动补库存</v>
      </c>
      <c r="O54" s="51">
        <v>44500</v>
      </c>
      <c r="P54" s="52">
        <v>16.945511878054219</v>
      </c>
      <c r="R54" s="14">
        <v>39263</v>
      </c>
      <c r="S54" s="15">
        <v>16.25</v>
      </c>
    </row>
    <row r="55" spans="1:19" x14ac:dyDescent="0.3">
      <c r="A55" s="8">
        <f t="shared" si="19"/>
        <v>44469</v>
      </c>
      <c r="B55" s="9">
        <f t="shared" si="12"/>
        <v>13.87308373062497</v>
      </c>
      <c r="C55" s="9">
        <f t="shared" si="13"/>
        <v>11.4</v>
      </c>
      <c r="D55" s="7">
        <f t="shared" si="15"/>
        <v>0</v>
      </c>
      <c r="E55" s="7">
        <f t="shared" si="16"/>
        <v>1</v>
      </c>
      <c r="F55" s="7">
        <f t="shared" si="17"/>
        <v>1</v>
      </c>
      <c r="G55" s="7">
        <f t="shared" si="18"/>
        <v>0</v>
      </c>
      <c r="H55" s="1">
        <f t="shared" si="2"/>
        <v>0</v>
      </c>
      <c r="I55" s="1">
        <f t="shared" si="3"/>
        <v>0</v>
      </c>
      <c r="J55" s="1">
        <f t="shared" si="4"/>
        <v>1</v>
      </c>
      <c r="K55" s="1">
        <f t="shared" si="5"/>
        <v>0</v>
      </c>
      <c r="L55" s="1" t="str">
        <f t="shared" si="14"/>
        <v>被动补库存</v>
      </c>
      <c r="O55" s="51">
        <v>44469</v>
      </c>
      <c r="P55" s="52">
        <v>13.87308373062497</v>
      </c>
      <c r="R55" s="14">
        <v>39294</v>
      </c>
      <c r="S55" s="15">
        <v>16.52</v>
      </c>
    </row>
    <row r="56" spans="1:19" x14ac:dyDescent="0.3">
      <c r="A56" s="8">
        <f t="shared" si="19"/>
        <v>44439</v>
      </c>
      <c r="B56" s="9">
        <f t="shared" si="12"/>
        <v>8.6419309227981262</v>
      </c>
      <c r="C56" s="9">
        <f t="shared" si="13"/>
        <v>11.7</v>
      </c>
      <c r="D56" s="7">
        <f t="shared" si="15"/>
        <v>0</v>
      </c>
      <c r="E56" s="7">
        <f t="shared" si="16"/>
        <v>1</v>
      </c>
      <c r="F56" s="7">
        <f t="shared" si="17"/>
        <v>1</v>
      </c>
      <c r="G56" s="7">
        <f t="shared" si="18"/>
        <v>0</v>
      </c>
      <c r="H56" s="1">
        <f t="shared" si="2"/>
        <v>0</v>
      </c>
      <c r="I56" s="1">
        <f t="shared" si="3"/>
        <v>0</v>
      </c>
      <c r="J56" s="1">
        <f t="shared" si="4"/>
        <v>1</v>
      </c>
      <c r="K56" s="1">
        <f t="shared" si="5"/>
        <v>0</v>
      </c>
      <c r="L56" s="1" t="str">
        <f t="shared" si="14"/>
        <v>被动补库存</v>
      </c>
      <c r="O56" s="51">
        <v>44439</v>
      </c>
      <c r="P56" s="52">
        <v>8.6419309227981262</v>
      </c>
      <c r="R56" s="14">
        <v>39325</v>
      </c>
      <c r="S56" s="15">
        <v>16.96</v>
      </c>
    </row>
    <row r="57" spans="1:19" x14ac:dyDescent="0.3">
      <c r="A57" s="8">
        <f t="shared" si="19"/>
        <v>44408</v>
      </c>
      <c r="B57" s="9">
        <f t="shared" si="12"/>
        <v>3.1797932722426112</v>
      </c>
      <c r="C57" s="9">
        <f t="shared" si="13"/>
        <v>11.8</v>
      </c>
      <c r="D57" s="7">
        <f t="shared" si="15"/>
        <v>0</v>
      </c>
      <c r="E57" s="7">
        <f t="shared" si="16"/>
        <v>1</v>
      </c>
      <c r="F57" s="7">
        <f t="shared" si="17"/>
        <v>1</v>
      </c>
      <c r="G57" s="7">
        <f t="shared" si="18"/>
        <v>0</v>
      </c>
      <c r="H57" s="1">
        <f t="shared" si="2"/>
        <v>0</v>
      </c>
      <c r="I57" s="1">
        <f t="shared" si="3"/>
        <v>0</v>
      </c>
      <c r="J57" s="1">
        <f t="shared" si="4"/>
        <v>1</v>
      </c>
      <c r="K57" s="1">
        <f t="shared" si="5"/>
        <v>0</v>
      </c>
      <c r="L57" s="1" t="str">
        <f t="shared" si="14"/>
        <v>被动补库存</v>
      </c>
      <c r="O57" s="51">
        <v>44408</v>
      </c>
      <c r="P57" s="52">
        <v>3.1797932722426112</v>
      </c>
      <c r="R57" s="14">
        <v>39355</v>
      </c>
      <c r="S57" s="15">
        <v>17.34</v>
      </c>
    </row>
    <row r="58" spans="1:19" x14ac:dyDescent="0.3">
      <c r="A58" s="8">
        <f t="shared" si="19"/>
        <v>44377</v>
      </c>
      <c r="B58" s="9">
        <f t="shared" si="12"/>
        <v>-0.109618052364842</v>
      </c>
      <c r="C58" s="9">
        <f t="shared" si="13"/>
        <v>11.9</v>
      </c>
      <c r="D58" s="7">
        <f t="shared" si="15"/>
        <v>1</v>
      </c>
      <c r="E58" s="7">
        <f t="shared" si="16"/>
        <v>0</v>
      </c>
      <c r="F58" s="7">
        <f t="shared" si="17"/>
        <v>1</v>
      </c>
      <c r="G58" s="7">
        <f t="shared" si="18"/>
        <v>0</v>
      </c>
      <c r="H58" s="1">
        <f t="shared" si="2"/>
        <v>0</v>
      </c>
      <c r="I58" s="1">
        <f t="shared" si="3"/>
        <v>0</v>
      </c>
      <c r="J58" s="1">
        <f t="shared" si="4"/>
        <v>0</v>
      </c>
      <c r="K58" s="1">
        <f t="shared" si="5"/>
        <v>1</v>
      </c>
      <c r="L58" s="1" t="str">
        <f t="shared" si="14"/>
        <v>主动补库存</v>
      </c>
      <c r="O58" s="51">
        <v>44377</v>
      </c>
      <c r="P58" s="52">
        <v>-0.109618052364842</v>
      </c>
      <c r="R58" s="14">
        <v>39386</v>
      </c>
      <c r="S58" s="15">
        <v>18.02</v>
      </c>
    </row>
    <row r="59" spans="1:19" x14ac:dyDescent="0.3">
      <c r="A59" s="8">
        <f t="shared" si="19"/>
        <v>44347</v>
      </c>
      <c r="B59" s="9">
        <f t="shared" si="12"/>
        <v>-5.6222198223187236</v>
      </c>
      <c r="C59" s="9">
        <f t="shared" si="13"/>
        <v>11.8</v>
      </c>
      <c r="D59" s="7">
        <f t="shared" si="15"/>
        <v>0</v>
      </c>
      <c r="E59" s="7">
        <f t="shared" si="16"/>
        <v>1</v>
      </c>
      <c r="F59" s="7">
        <f t="shared" si="17"/>
        <v>1</v>
      </c>
      <c r="G59" s="7">
        <f t="shared" si="18"/>
        <v>0</v>
      </c>
      <c r="H59" s="1">
        <f t="shared" si="2"/>
        <v>0</v>
      </c>
      <c r="I59" s="1">
        <f t="shared" si="3"/>
        <v>0</v>
      </c>
      <c r="J59" s="1">
        <f t="shared" si="4"/>
        <v>1</v>
      </c>
      <c r="K59" s="1">
        <f t="shared" si="5"/>
        <v>0</v>
      </c>
      <c r="L59" s="1" t="str">
        <f t="shared" si="14"/>
        <v>被动补库存</v>
      </c>
      <c r="O59" s="51">
        <v>44347</v>
      </c>
      <c r="P59" s="52">
        <v>-5.6222198223187236</v>
      </c>
      <c r="R59" s="14">
        <v>39416</v>
      </c>
      <c r="S59" s="15">
        <v>17.5</v>
      </c>
    </row>
    <row r="60" spans="1:19" x14ac:dyDescent="0.3">
      <c r="A60" s="8">
        <f t="shared" si="19"/>
        <v>44316</v>
      </c>
      <c r="B60" s="9">
        <f t="shared" si="12"/>
        <v>-5.6696887765172637</v>
      </c>
      <c r="C60" s="9">
        <f t="shared" si="13"/>
        <v>12</v>
      </c>
      <c r="D60" s="7">
        <f t="shared" si="15"/>
        <v>0</v>
      </c>
      <c r="E60" s="7">
        <f t="shared" si="16"/>
        <v>1</v>
      </c>
      <c r="F60" s="7">
        <f t="shared" si="17"/>
        <v>0</v>
      </c>
      <c r="G60" s="7">
        <f t="shared" si="18"/>
        <v>1</v>
      </c>
      <c r="H60" s="1">
        <f t="shared" si="2"/>
        <v>1</v>
      </c>
      <c r="I60" s="1">
        <f t="shared" si="3"/>
        <v>0</v>
      </c>
      <c r="J60" s="1">
        <f t="shared" si="4"/>
        <v>0</v>
      </c>
      <c r="K60" s="1">
        <f t="shared" si="5"/>
        <v>0</v>
      </c>
      <c r="L60" s="1" t="str">
        <f t="shared" si="14"/>
        <v>主动去库存</v>
      </c>
      <c r="O60" s="51">
        <v>44316</v>
      </c>
      <c r="P60" s="52">
        <v>-5.6696887765172637</v>
      </c>
      <c r="R60" s="14">
        <v>39447</v>
      </c>
      <c r="S60" s="15">
        <v>16.420000000000002</v>
      </c>
    </row>
    <row r="61" spans="1:19" x14ac:dyDescent="0.3">
      <c r="A61" s="8">
        <f t="shared" si="19"/>
        <v>44286</v>
      </c>
      <c r="B61" s="9">
        <f t="shared" si="12"/>
        <v>-4.4850950530415377</v>
      </c>
      <c r="C61" s="9">
        <f t="shared" si="13"/>
        <v>12.3</v>
      </c>
      <c r="D61" s="7">
        <f t="shared" si="15"/>
        <v>0</v>
      </c>
      <c r="E61" s="7">
        <f t="shared" si="16"/>
        <v>1</v>
      </c>
      <c r="F61" s="7">
        <f t="shared" si="17"/>
        <v>0</v>
      </c>
      <c r="G61" s="7">
        <f t="shared" si="18"/>
        <v>1</v>
      </c>
      <c r="H61" s="1">
        <f t="shared" si="2"/>
        <v>1</v>
      </c>
      <c r="I61" s="1">
        <f t="shared" si="3"/>
        <v>0</v>
      </c>
      <c r="J61" s="1">
        <f t="shared" si="4"/>
        <v>0</v>
      </c>
      <c r="K61" s="1">
        <f t="shared" si="5"/>
        <v>0</v>
      </c>
      <c r="L61" s="1" t="str">
        <f t="shared" si="14"/>
        <v>主动去库存</v>
      </c>
      <c r="O61" s="51">
        <v>44286</v>
      </c>
      <c r="P61" s="52">
        <v>-4.4850950530415377</v>
      </c>
      <c r="R61" s="14">
        <v>39478</v>
      </c>
      <c r="S61" s="15">
        <v>17.53</v>
      </c>
    </row>
    <row r="62" spans="1:19" x14ac:dyDescent="0.3">
      <c r="A62" s="8">
        <f t="shared" si="19"/>
        <v>44255</v>
      </c>
      <c r="B62" s="9">
        <f t="shared" si="12"/>
        <v>-0.12358854567029599</v>
      </c>
      <c r="C62" s="9">
        <f t="shared" si="13"/>
        <v>12.6</v>
      </c>
      <c r="D62" s="7">
        <f t="shared" si="15"/>
        <v>1</v>
      </c>
      <c r="E62" s="7">
        <f t="shared" si="16"/>
        <v>0</v>
      </c>
      <c r="F62" s="7">
        <f t="shared" si="17"/>
        <v>0</v>
      </c>
      <c r="G62" s="7">
        <f t="shared" si="18"/>
        <v>1</v>
      </c>
      <c r="H62" s="1">
        <f t="shared" si="2"/>
        <v>0</v>
      </c>
      <c r="I62" s="1">
        <f t="shared" si="3"/>
        <v>1</v>
      </c>
      <c r="J62" s="1">
        <f t="shared" si="4"/>
        <v>0</v>
      </c>
      <c r="K62" s="1">
        <f t="shared" si="5"/>
        <v>0</v>
      </c>
      <c r="L62" s="1" t="str">
        <f t="shared" si="14"/>
        <v>被动去库存</v>
      </c>
      <c r="O62" s="51">
        <v>44255</v>
      </c>
      <c r="P62" s="52">
        <v>-0.12358854567029599</v>
      </c>
      <c r="R62" s="14">
        <v>39507</v>
      </c>
      <c r="S62" s="15">
        <v>17.05</v>
      </c>
    </row>
    <row r="63" spans="1:19" x14ac:dyDescent="0.3">
      <c r="A63" s="8">
        <f t="shared" si="19"/>
        <v>44227</v>
      </c>
      <c r="B63" s="9">
        <f t="shared" si="12"/>
        <v>2.9966241824681661</v>
      </c>
      <c r="C63" s="9">
        <f t="shared" si="13"/>
        <v>12.5</v>
      </c>
      <c r="D63" s="7">
        <f t="shared" si="15"/>
        <v>0</v>
      </c>
      <c r="E63" s="7">
        <f t="shared" si="16"/>
        <v>1</v>
      </c>
      <c r="F63" s="7">
        <f t="shared" si="17"/>
        <v>0</v>
      </c>
      <c r="G63" s="7">
        <f t="shared" si="18"/>
        <v>1</v>
      </c>
      <c r="H63" s="1">
        <f t="shared" si="2"/>
        <v>1</v>
      </c>
      <c r="I63" s="1">
        <f t="shared" si="3"/>
        <v>0</v>
      </c>
      <c r="J63" s="1">
        <f t="shared" si="4"/>
        <v>0</v>
      </c>
      <c r="K63" s="1">
        <f t="shared" si="5"/>
        <v>0</v>
      </c>
      <c r="L63" s="1" t="str">
        <f t="shared" si="14"/>
        <v>主动去库存</v>
      </c>
      <c r="O63" s="51">
        <v>44227</v>
      </c>
      <c r="P63" s="52">
        <v>2.9966241824681661</v>
      </c>
      <c r="R63" s="14">
        <v>39538</v>
      </c>
      <c r="S63" s="15">
        <v>16.23</v>
      </c>
    </row>
    <row r="64" spans="1:19" x14ac:dyDescent="0.3">
      <c r="A64" s="8">
        <f t="shared" si="19"/>
        <v>44196</v>
      </c>
      <c r="B64" s="9">
        <f t="shared" si="12"/>
        <v>9.6868796808843154</v>
      </c>
      <c r="C64" s="9">
        <f t="shared" si="13"/>
        <v>12.5</v>
      </c>
      <c r="D64" s="7">
        <f t="shared" si="15"/>
        <v>0</v>
      </c>
      <c r="E64" s="7">
        <f t="shared" si="16"/>
        <v>1</v>
      </c>
      <c r="F64" s="7">
        <f t="shared" si="17"/>
        <v>1</v>
      </c>
      <c r="G64" s="7">
        <f t="shared" si="18"/>
        <v>0</v>
      </c>
      <c r="H64" s="1">
        <f t="shared" si="2"/>
        <v>0</v>
      </c>
      <c r="I64" s="1">
        <f t="shared" si="3"/>
        <v>0</v>
      </c>
      <c r="J64" s="1">
        <f t="shared" si="4"/>
        <v>1</v>
      </c>
      <c r="K64" s="1">
        <f t="shared" si="5"/>
        <v>0</v>
      </c>
      <c r="L64" s="1" t="str">
        <f t="shared" si="14"/>
        <v>被动补库存</v>
      </c>
      <c r="O64" s="51">
        <v>44196</v>
      </c>
      <c r="P64" s="52">
        <v>9.6868796808843154</v>
      </c>
      <c r="R64" s="14">
        <v>39568</v>
      </c>
      <c r="S64" s="15">
        <v>16.13</v>
      </c>
    </row>
    <row r="65" spans="1:19" x14ac:dyDescent="0.3">
      <c r="A65" s="8">
        <f t="shared" si="19"/>
        <v>44165</v>
      </c>
      <c r="B65" s="9">
        <f t="shared" si="12"/>
        <v>5.6604232481235979</v>
      </c>
      <c r="C65" s="9">
        <f t="shared" si="13"/>
        <v>12.6</v>
      </c>
      <c r="D65" s="7">
        <f t="shared" si="15"/>
        <v>0</v>
      </c>
      <c r="E65" s="7">
        <f t="shared" si="16"/>
        <v>1</v>
      </c>
      <c r="F65" s="7">
        <f t="shared" si="17"/>
        <v>1</v>
      </c>
      <c r="G65" s="7">
        <f t="shared" si="18"/>
        <v>0</v>
      </c>
      <c r="H65" s="1">
        <f t="shared" si="2"/>
        <v>0</v>
      </c>
      <c r="I65" s="1">
        <f t="shared" si="3"/>
        <v>0</v>
      </c>
      <c r="J65" s="1">
        <f t="shared" si="4"/>
        <v>1</v>
      </c>
      <c r="K65" s="1">
        <f t="shared" si="5"/>
        <v>0</v>
      </c>
      <c r="L65" s="1" t="str">
        <f t="shared" si="14"/>
        <v>被动补库存</v>
      </c>
      <c r="O65" s="51">
        <v>44165</v>
      </c>
      <c r="P65" s="52">
        <v>5.6604232481235979</v>
      </c>
      <c r="R65" s="14">
        <v>39599</v>
      </c>
      <c r="S65" s="15">
        <v>16.22</v>
      </c>
    </row>
    <row r="66" spans="1:19" x14ac:dyDescent="0.3">
      <c r="A66" s="8">
        <f t="shared" si="19"/>
        <v>44135</v>
      </c>
      <c r="B66" s="9">
        <f t="shared" si="12"/>
        <v>5.4671193536221709</v>
      </c>
      <c r="C66" s="9">
        <f t="shared" si="13"/>
        <v>12.8</v>
      </c>
      <c r="D66" s="7">
        <f t="shared" si="15"/>
        <v>0</v>
      </c>
      <c r="E66" s="7">
        <f t="shared" si="16"/>
        <v>1</v>
      </c>
      <c r="F66" s="7">
        <f t="shared" si="17"/>
        <v>0</v>
      </c>
      <c r="G66" s="7">
        <f t="shared" si="18"/>
        <v>1</v>
      </c>
      <c r="H66" s="1">
        <f t="shared" si="2"/>
        <v>1</v>
      </c>
      <c r="I66" s="1">
        <f t="shared" si="3"/>
        <v>0</v>
      </c>
      <c r="J66" s="1">
        <f t="shared" si="4"/>
        <v>0</v>
      </c>
      <c r="K66" s="1">
        <f t="shared" si="5"/>
        <v>0</v>
      </c>
      <c r="L66" s="1" t="str">
        <f t="shared" si="14"/>
        <v>主动去库存</v>
      </c>
      <c r="O66" s="51">
        <v>44135</v>
      </c>
      <c r="P66" s="52">
        <v>5.4671193536221709</v>
      </c>
      <c r="R66" s="14">
        <v>39629</v>
      </c>
      <c r="S66" s="15">
        <v>15.17</v>
      </c>
    </row>
    <row r="67" spans="1:19" x14ac:dyDescent="0.3">
      <c r="A67" s="8">
        <f t="shared" si="19"/>
        <v>44104</v>
      </c>
      <c r="B67" s="9">
        <f t="shared" si="12"/>
        <v>7.264763540667329</v>
      </c>
      <c r="C67" s="9">
        <f t="shared" si="13"/>
        <v>12.8</v>
      </c>
      <c r="D67" s="7">
        <f t="shared" si="15"/>
        <v>0</v>
      </c>
      <c r="E67" s="7">
        <f t="shared" si="16"/>
        <v>1</v>
      </c>
      <c r="F67" s="7">
        <f t="shared" si="17"/>
        <v>0</v>
      </c>
      <c r="G67" s="7">
        <f t="shared" si="18"/>
        <v>1</v>
      </c>
      <c r="H67" s="1">
        <f t="shared" si="2"/>
        <v>1</v>
      </c>
      <c r="I67" s="1">
        <f t="shared" si="3"/>
        <v>0</v>
      </c>
      <c r="J67" s="1">
        <f t="shared" si="4"/>
        <v>0</v>
      </c>
      <c r="K67" s="1">
        <f t="shared" si="5"/>
        <v>0</v>
      </c>
      <c r="L67" s="1" t="str">
        <f t="shared" si="14"/>
        <v>主动去库存</v>
      </c>
      <c r="O67" s="51">
        <v>44104</v>
      </c>
      <c r="P67" s="52">
        <v>7.264763540667329</v>
      </c>
      <c r="R67" s="14">
        <v>39660</v>
      </c>
      <c r="S67" s="15">
        <v>15.46</v>
      </c>
    </row>
    <row r="68" spans="1:19" x14ac:dyDescent="0.3">
      <c r="A68" s="8">
        <f t="shared" si="19"/>
        <v>44074</v>
      </c>
      <c r="B68" s="9">
        <f t="shared" ref="B68:B99" si="20">VLOOKUP(A68,O:P,2,0)</f>
        <v>13.422573940980079</v>
      </c>
      <c r="C68" s="9">
        <f t="shared" ref="C68:C99" si="21">VLOOKUP(A68,R:S,2,0)</f>
        <v>12.8</v>
      </c>
      <c r="D68" s="7">
        <f t="shared" si="15"/>
        <v>0</v>
      </c>
      <c r="E68" s="7">
        <f t="shared" si="16"/>
        <v>1</v>
      </c>
      <c r="F68" s="7">
        <f t="shared" si="17"/>
        <v>0</v>
      </c>
      <c r="G68" s="7">
        <f t="shared" si="18"/>
        <v>1</v>
      </c>
      <c r="H68" s="1">
        <f t="shared" ref="H68:H131" si="22">INT(AND(G68=1,E68=1))</f>
        <v>1</v>
      </c>
      <c r="I68" s="1">
        <f t="shared" ref="I68:I131" si="23">INT(AND(G68=1,D68=1))</f>
        <v>0</v>
      </c>
      <c r="J68" s="1">
        <f t="shared" ref="J68:J131" si="24">INT(AND(F68=1,E68=1))</f>
        <v>0</v>
      </c>
      <c r="K68" s="1">
        <f t="shared" ref="K68:K131" si="25">INT(AND(F68=1,D68=1))</f>
        <v>0</v>
      </c>
      <c r="L68" s="1" t="str">
        <f t="shared" ref="L68:L99" si="26">INDEX($H$3:$K$3,1,MATCH(1,H68:K68,0))</f>
        <v>主动去库存</v>
      </c>
      <c r="O68" s="51">
        <v>44074</v>
      </c>
      <c r="P68" s="52">
        <v>13.422573940980079</v>
      </c>
      <c r="R68" s="14">
        <v>39691</v>
      </c>
      <c r="S68" s="15">
        <v>14.86</v>
      </c>
    </row>
    <row r="69" spans="1:19" x14ac:dyDescent="0.3">
      <c r="A69" s="8">
        <f t="shared" si="19"/>
        <v>44043</v>
      </c>
      <c r="B69" s="9">
        <f t="shared" si="20"/>
        <v>19.666890767086691</v>
      </c>
      <c r="C69" s="9">
        <f t="shared" si="21"/>
        <v>13</v>
      </c>
      <c r="D69" s="7">
        <f t="shared" ref="D69:D100" si="27">IF(C69&gt;C70,1,0)</f>
        <v>0</v>
      </c>
      <c r="E69" s="7">
        <f t="shared" ref="E69:E100" si="28">1-D69</f>
        <v>1</v>
      </c>
      <c r="F69" s="7">
        <f t="shared" ref="F69:F100" si="29">IF(B69&gt;B70,1,0)</f>
        <v>0</v>
      </c>
      <c r="G69" s="7">
        <f t="shared" ref="G69:G100" si="30">1-F69</f>
        <v>1</v>
      </c>
      <c r="H69" s="1">
        <f t="shared" si="22"/>
        <v>1</v>
      </c>
      <c r="I69" s="1">
        <f t="shared" si="23"/>
        <v>0</v>
      </c>
      <c r="J69" s="1">
        <f t="shared" si="24"/>
        <v>0</v>
      </c>
      <c r="K69" s="1">
        <f t="shared" si="25"/>
        <v>0</v>
      </c>
      <c r="L69" s="1" t="str">
        <f t="shared" si="26"/>
        <v>主动去库存</v>
      </c>
      <c r="O69" s="51">
        <v>44043</v>
      </c>
      <c r="P69" s="52">
        <v>19.666890767086691</v>
      </c>
      <c r="R69" s="14">
        <v>39721</v>
      </c>
      <c r="S69" s="15">
        <v>14.73</v>
      </c>
    </row>
    <row r="70" spans="1:19" x14ac:dyDescent="0.3">
      <c r="A70" s="8">
        <f t="shared" ref="A70:A101" si="31">EOMONTH(A69,-1)</f>
        <v>44012</v>
      </c>
      <c r="B70" s="9">
        <f t="shared" si="20"/>
        <v>23.339677074795731</v>
      </c>
      <c r="C70" s="9">
        <f t="shared" si="21"/>
        <v>13</v>
      </c>
      <c r="D70" s="7">
        <f t="shared" si="27"/>
        <v>0</v>
      </c>
      <c r="E70" s="7">
        <f t="shared" si="28"/>
        <v>1</v>
      </c>
      <c r="F70" s="7">
        <f t="shared" si="29"/>
        <v>0</v>
      </c>
      <c r="G70" s="7">
        <f t="shared" si="30"/>
        <v>1</v>
      </c>
      <c r="H70" s="1">
        <f t="shared" si="22"/>
        <v>1</v>
      </c>
      <c r="I70" s="1">
        <f t="shared" si="23"/>
        <v>0</v>
      </c>
      <c r="J70" s="1">
        <f t="shared" si="24"/>
        <v>0</v>
      </c>
      <c r="K70" s="1">
        <f t="shared" si="25"/>
        <v>0</v>
      </c>
      <c r="L70" s="1" t="str">
        <f t="shared" si="26"/>
        <v>主动去库存</v>
      </c>
      <c r="O70" s="51">
        <v>44012</v>
      </c>
      <c r="P70" s="52">
        <v>23.339677074795731</v>
      </c>
      <c r="R70" s="14">
        <v>39752</v>
      </c>
      <c r="S70" s="15">
        <v>14.4</v>
      </c>
    </row>
    <row r="71" spans="1:19" x14ac:dyDescent="0.3">
      <c r="A71" s="8">
        <f t="shared" si="31"/>
        <v>43982</v>
      </c>
      <c r="B71" s="9">
        <f t="shared" si="20"/>
        <v>28.14243607938845</v>
      </c>
      <c r="C71" s="9">
        <f t="shared" si="21"/>
        <v>13</v>
      </c>
      <c r="D71" s="7">
        <f t="shared" si="27"/>
        <v>1</v>
      </c>
      <c r="E71" s="7">
        <f t="shared" si="28"/>
        <v>0</v>
      </c>
      <c r="F71" s="7">
        <f t="shared" si="29"/>
        <v>1</v>
      </c>
      <c r="G71" s="7">
        <f t="shared" si="30"/>
        <v>0</v>
      </c>
      <c r="H71" s="1">
        <f t="shared" si="22"/>
        <v>0</v>
      </c>
      <c r="I71" s="1">
        <f t="shared" si="23"/>
        <v>0</v>
      </c>
      <c r="J71" s="1">
        <f t="shared" si="24"/>
        <v>0</v>
      </c>
      <c r="K71" s="1">
        <f t="shared" si="25"/>
        <v>1</v>
      </c>
      <c r="L71" s="1" t="str">
        <f t="shared" si="26"/>
        <v>主动补库存</v>
      </c>
      <c r="O71" s="51">
        <v>43982</v>
      </c>
      <c r="P71" s="52">
        <v>28.14243607938845</v>
      </c>
      <c r="R71" s="14">
        <v>39782</v>
      </c>
      <c r="S71" s="15">
        <v>15.42</v>
      </c>
    </row>
    <row r="72" spans="1:19" x14ac:dyDescent="0.3">
      <c r="A72" s="8">
        <f t="shared" si="31"/>
        <v>43951</v>
      </c>
      <c r="B72" s="9">
        <f t="shared" si="20"/>
        <v>27.942041121771631</v>
      </c>
      <c r="C72" s="9">
        <f t="shared" si="21"/>
        <v>12.9</v>
      </c>
      <c r="D72" s="7">
        <f t="shared" si="27"/>
        <v>1</v>
      </c>
      <c r="E72" s="7">
        <f t="shared" si="28"/>
        <v>0</v>
      </c>
      <c r="F72" s="7">
        <f t="shared" si="29"/>
        <v>1</v>
      </c>
      <c r="G72" s="7">
        <f t="shared" si="30"/>
        <v>0</v>
      </c>
      <c r="H72" s="1">
        <f t="shared" si="22"/>
        <v>0</v>
      </c>
      <c r="I72" s="1">
        <f t="shared" si="23"/>
        <v>0</v>
      </c>
      <c r="J72" s="1">
        <f t="shared" si="24"/>
        <v>0</v>
      </c>
      <c r="K72" s="1">
        <f t="shared" si="25"/>
        <v>1</v>
      </c>
      <c r="L72" s="1" t="str">
        <f t="shared" si="26"/>
        <v>主动补库存</v>
      </c>
      <c r="O72" s="51">
        <v>43951</v>
      </c>
      <c r="P72" s="52">
        <v>27.942041121771631</v>
      </c>
      <c r="R72" s="14">
        <v>39813</v>
      </c>
      <c r="S72" s="15">
        <v>17.95</v>
      </c>
    </row>
    <row r="73" spans="1:19" x14ac:dyDescent="0.3">
      <c r="A73" s="8">
        <f t="shared" si="31"/>
        <v>43921</v>
      </c>
      <c r="B73" s="9">
        <f t="shared" si="20"/>
        <v>25.639304221043261</v>
      </c>
      <c r="C73" s="9">
        <f t="shared" si="21"/>
        <v>12.3</v>
      </c>
      <c r="D73" s="7">
        <f t="shared" si="27"/>
        <v>1</v>
      </c>
      <c r="E73" s="7">
        <f t="shared" si="28"/>
        <v>0</v>
      </c>
      <c r="F73" s="7">
        <f t="shared" si="29"/>
        <v>1</v>
      </c>
      <c r="G73" s="7">
        <f t="shared" si="30"/>
        <v>0</v>
      </c>
      <c r="H73" s="1">
        <f t="shared" si="22"/>
        <v>0</v>
      </c>
      <c r="I73" s="1">
        <f t="shared" si="23"/>
        <v>0</v>
      </c>
      <c r="J73" s="1">
        <f t="shared" si="24"/>
        <v>0</v>
      </c>
      <c r="K73" s="1">
        <f t="shared" si="25"/>
        <v>1</v>
      </c>
      <c r="L73" s="1" t="str">
        <f t="shared" si="26"/>
        <v>主动补库存</v>
      </c>
      <c r="O73" s="51">
        <v>43921</v>
      </c>
      <c r="P73" s="52">
        <v>25.639304221043261</v>
      </c>
      <c r="R73" s="14">
        <v>39844</v>
      </c>
      <c r="S73" s="15">
        <v>19.78</v>
      </c>
    </row>
    <row r="74" spans="1:19" x14ac:dyDescent="0.3">
      <c r="A74" s="8">
        <f t="shared" si="31"/>
        <v>43890</v>
      </c>
      <c r="B74" s="9">
        <f t="shared" si="20"/>
        <v>24.331336195577862</v>
      </c>
      <c r="C74" s="9">
        <f t="shared" si="21"/>
        <v>11.7</v>
      </c>
      <c r="D74" s="7">
        <f t="shared" si="27"/>
        <v>1</v>
      </c>
      <c r="E74" s="7">
        <f t="shared" si="28"/>
        <v>0</v>
      </c>
      <c r="F74" s="7">
        <f t="shared" si="29"/>
        <v>0</v>
      </c>
      <c r="G74" s="7">
        <f t="shared" si="30"/>
        <v>1</v>
      </c>
      <c r="H74" s="1">
        <f t="shared" si="22"/>
        <v>0</v>
      </c>
      <c r="I74" s="1">
        <f t="shared" si="23"/>
        <v>1</v>
      </c>
      <c r="J74" s="1">
        <f t="shared" si="24"/>
        <v>0</v>
      </c>
      <c r="K74" s="1">
        <f t="shared" si="25"/>
        <v>0</v>
      </c>
      <c r="L74" s="1" t="str">
        <f t="shared" si="26"/>
        <v>被动去库存</v>
      </c>
      <c r="O74" s="51">
        <v>43890</v>
      </c>
      <c r="P74" s="52">
        <v>24.331336195577862</v>
      </c>
      <c r="R74" s="14">
        <v>39872</v>
      </c>
      <c r="S74" s="15">
        <v>21.82</v>
      </c>
    </row>
    <row r="75" spans="1:19" x14ac:dyDescent="0.3">
      <c r="A75" s="8">
        <f t="shared" si="31"/>
        <v>43861</v>
      </c>
      <c r="B75" s="9">
        <f t="shared" si="20"/>
        <v>26.670633788154738</v>
      </c>
      <c r="C75" s="9">
        <f t="shared" si="21"/>
        <v>11.6</v>
      </c>
      <c r="D75" s="7">
        <f t="shared" si="27"/>
        <v>0</v>
      </c>
      <c r="E75" s="7">
        <f t="shared" si="28"/>
        <v>1</v>
      </c>
      <c r="F75" s="7">
        <f t="shared" si="29"/>
        <v>0</v>
      </c>
      <c r="G75" s="7">
        <f t="shared" si="30"/>
        <v>1</v>
      </c>
      <c r="H75" s="1">
        <f t="shared" si="22"/>
        <v>1</v>
      </c>
      <c r="I75" s="1">
        <f t="shared" si="23"/>
        <v>0</v>
      </c>
      <c r="J75" s="1">
        <f t="shared" si="24"/>
        <v>0</v>
      </c>
      <c r="K75" s="1">
        <f t="shared" si="25"/>
        <v>0</v>
      </c>
      <c r="L75" s="1" t="str">
        <f t="shared" si="26"/>
        <v>主动去库存</v>
      </c>
      <c r="O75" s="51">
        <v>43861</v>
      </c>
      <c r="P75" s="52">
        <v>26.670633788154738</v>
      </c>
      <c r="R75" s="14">
        <v>39903</v>
      </c>
      <c r="S75" s="15">
        <v>26.97</v>
      </c>
    </row>
    <row r="76" spans="1:19" x14ac:dyDescent="0.3">
      <c r="A76" s="8">
        <f t="shared" si="31"/>
        <v>43830</v>
      </c>
      <c r="B76" s="9">
        <f t="shared" si="20"/>
        <v>31.77585436197214</v>
      </c>
      <c r="C76" s="9">
        <f t="shared" si="21"/>
        <v>11.9</v>
      </c>
      <c r="D76" s="7">
        <f t="shared" si="27"/>
        <v>0</v>
      </c>
      <c r="E76" s="7">
        <f t="shared" si="28"/>
        <v>1</v>
      </c>
      <c r="F76" s="7">
        <f t="shared" si="29"/>
        <v>0</v>
      </c>
      <c r="G76" s="7">
        <f t="shared" si="30"/>
        <v>1</v>
      </c>
      <c r="H76" s="1">
        <f t="shared" si="22"/>
        <v>1</v>
      </c>
      <c r="I76" s="1">
        <f t="shared" si="23"/>
        <v>0</v>
      </c>
      <c r="J76" s="1">
        <f t="shared" si="24"/>
        <v>0</v>
      </c>
      <c r="K76" s="1">
        <f t="shared" si="25"/>
        <v>0</v>
      </c>
      <c r="L76" s="1" t="str">
        <f t="shared" si="26"/>
        <v>主动去库存</v>
      </c>
      <c r="O76" s="51">
        <v>43830</v>
      </c>
      <c r="P76" s="52">
        <v>31.77585436197214</v>
      </c>
      <c r="R76" s="14">
        <v>39933</v>
      </c>
      <c r="S76" s="15">
        <v>27.06</v>
      </c>
    </row>
    <row r="77" spans="1:19" x14ac:dyDescent="0.3">
      <c r="A77" s="8">
        <f t="shared" si="31"/>
        <v>43799</v>
      </c>
      <c r="B77" s="9">
        <f t="shared" si="20"/>
        <v>39.570233011857788</v>
      </c>
      <c r="C77" s="9">
        <f t="shared" si="21"/>
        <v>11.9</v>
      </c>
      <c r="D77" s="7">
        <f t="shared" si="27"/>
        <v>1</v>
      </c>
      <c r="E77" s="7">
        <f t="shared" si="28"/>
        <v>0</v>
      </c>
      <c r="F77" s="7">
        <f t="shared" si="29"/>
        <v>0</v>
      </c>
      <c r="G77" s="7">
        <f t="shared" si="30"/>
        <v>1</v>
      </c>
      <c r="H77" s="1">
        <f t="shared" si="22"/>
        <v>0</v>
      </c>
      <c r="I77" s="1">
        <f t="shared" si="23"/>
        <v>1</v>
      </c>
      <c r="J77" s="1">
        <f t="shared" si="24"/>
        <v>0</v>
      </c>
      <c r="K77" s="1">
        <f t="shared" si="25"/>
        <v>0</v>
      </c>
      <c r="L77" s="1" t="str">
        <f t="shared" si="26"/>
        <v>被动去库存</v>
      </c>
      <c r="O77" s="51">
        <v>43799</v>
      </c>
      <c r="P77" s="52">
        <v>39.570233011857788</v>
      </c>
      <c r="R77" s="14">
        <v>39964</v>
      </c>
      <c r="S77" s="15">
        <v>28.26</v>
      </c>
    </row>
    <row r="78" spans="1:19" x14ac:dyDescent="0.3">
      <c r="A78" s="8">
        <f t="shared" si="31"/>
        <v>43769</v>
      </c>
      <c r="B78" s="9">
        <f t="shared" si="20"/>
        <v>44.649964669714663</v>
      </c>
      <c r="C78" s="9">
        <f t="shared" si="21"/>
        <v>11.8</v>
      </c>
      <c r="D78" s="7">
        <f t="shared" si="27"/>
        <v>0</v>
      </c>
      <c r="E78" s="7">
        <f t="shared" si="28"/>
        <v>1</v>
      </c>
      <c r="F78" s="7">
        <f t="shared" si="29"/>
        <v>0</v>
      </c>
      <c r="G78" s="7">
        <f t="shared" si="30"/>
        <v>1</v>
      </c>
      <c r="H78" s="1">
        <f t="shared" si="22"/>
        <v>1</v>
      </c>
      <c r="I78" s="1">
        <f t="shared" si="23"/>
        <v>0</v>
      </c>
      <c r="J78" s="1">
        <f t="shared" si="24"/>
        <v>0</v>
      </c>
      <c r="K78" s="1">
        <f t="shared" si="25"/>
        <v>0</v>
      </c>
      <c r="L78" s="1" t="str">
        <f t="shared" si="26"/>
        <v>主动去库存</v>
      </c>
      <c r="O78" s="51">
        <v>43769</v>
      </c>
      <c r="P78" s="52">
        <v>44.649964669714663</v>
      </c>
      <c r="R78" s="14">
        <v>39994</v>
      </c>
      <c r="S78" s="15">
        <v>32.78</v>
      </c>
    </row>
    <row r="79" spans="1:19" x14ac:dyDescent="0.3">
      <c r="A79" s="8">
        <f t="shared" si="31"/>
        <v>43738</v>
      </c>
      <c r="B79" s="9">
        <f t="shared" si="20"/>
        <v>47.249017012817319</v>
      </c>
      <c r="C79" s="9">
        <f t="shared" si="21"/>
        <v>12</v>
      </c>
      <c r="D79" s="7">
        <f t="shared" si="27"/>
        <v>1</v>
      </c>
      <c r="E79" s="7">
        <f t="shared" si="28"/>
        <v>0</v>
      </c>
      <c r="F79" s="7">
        <f t="shared" si="29"/>
        <v>0</v>
      </c>
      <c r="G79" s="7">
        <f t="shared" si="30"/>
        <v>1</v>
      </c>
      <c r="H79" s="1">
        <f t="shared" si="22"/>
        <v>0</v>
      </c>
      <c r="I79" s="1">
        <f t="shared" si="23"/>
        <v>1</v>
      </c>
      <c r="J79" s="1">
        <f t="shared" si="24"/>
        <v>0</v>
      </c>
      <c r="K79" s="1">
        <f t="shared" si="25"/>
        <v>0</v>
      </c>
      <c r="L79" s="1" t="str">
        <f t="shared" si="26"/>
        <v>被动去库存</v>
      </c>
      <c r="O79" s="51">
        <v>43738</v>
      </c>
      <c r="P79" s="52">
        <v>47.249017012817319</v>
      </c>
      <c r="R79" s="14">
        <v>40025</v>
      </c>
      <c r="S79" s="15">
        <v>32.58</v>
      </c>
    </row>
    <row r="80" spans="1:19" x14ac:dyDescent="0.3">
      <c r="A80" s="8">
        <f t="shared" si="31"/>
        <v>43708</v>
      </c>
      <c r="B80" s="9">
        <f t="shared" si="20"/>
        <v>48.979200750307399</v>
      </c>
      <c r="C80" s="9">
        <f t="shared" si="21"/>
        <v>11.9</v>
      </c>
      <c r="D80" s="7">
        <f t="shared" si="27"/>
        <v>0</v>
      </c>
      <c r="E80" s="7">
        <f t="shared" si="28"/>
        <v>1</v>
      </c>
      <c r="F80" s="7">
        <f t="shared" si="29"/>
        <v>0</v>
      </c>
      <c r="G80" s="7">
        <f t="shared" si="30"/>
        <v>1</v>
      </c>
      <c r="H80" s="1">
        <f t="shared" si="22"/>
        <v>1</v>
      </c>
      <c r="I80" s="1">
        <f t="shared" si="23"/>
        <v>0</v>
      </c>
      <c r="J80" s="1">
        <f t="shared" si="24"/>
        <v>0</v>
      </c>
      <c r="K80" s="1">
        <f t="shared" si="25"/>
        <v>0</v>
      </c>
      <c r="L80" s="1" t="str">
        <f t="shared" si="26"/>
        <v>主动去库存</v>
      </c>
      <c r="O80" s="51">
        <v>43708</v>
      </c>
      <c r="P80" s="52">
        <v>48.979200750307399</v>
      </c>
      <c r="R80" s="14">
        <v>40056</v>
      </c>
      <c r="S80" s="15">
        <v>33.299999999999997</v>
      </c>
    </row>
    <row r="81" spans="1:19" x14ac:dyDescent="0.3">
      <c r="A81" s="8">
        <f t="shared" si="31"/>
        <v>43677</v>
      </c>
      <c r="B81" s="9">
        <f t="shared" si="20"/>
        <v>57.139011401484197</v>
      </c>
      <c r="C81" s="9">
        <f t="shared" si="21"/>
        <v>11.9</v>
      </c>
      <c r="D81" s="7">
        <f t="shared" si="27"/>
        <v>0</v>
      </c>
      <c r="E81" s="7">
        <f t="shared" si="28"/>
        <v>1</v>
      </c>
      <c r="F81" s="7">
        <f t="shared" si="29"/>
        <v>0</v>
      </c>
      <c r="G81" s="7">
        <f t="shared" si="30"/>
        <v>1</v>
      </c>
      <c r="H81" s="1">
        <f t="shared" si="22"/>
        <v>1</v>
      </c>
      <c r="I81" s="1">
        <f t="shared" si="23"/>
        <v>0</v>
      </c>
      <c r="J81" s="1">
        <f t="shared" si="24"/>
        <v>0</v>
      </c>
      <c r="K81" s="1">
        <f t="shared" si="25"/>
        <v>0</v>
      </c>
      <c r="L81" s="1" t="str">
        <f t="shared" si="26"/>
        <v>主动去库存</v>
      </c>
      <c r="O81" s="51">
        <v>43677</v>
      </c>
      <c r="P81" s="52">
        <v>57.139011401484197</v>
      </c>
      <c r="R81" s="14">
        <v>40086</v>
      </c>
      <c r="S81" s="15">
        <v>33.93</v>
      </c>
    </row>
    <row r="82" spans="1:19" x14ac:dyDescent="0.3">
      <c r="A82" s="8">
        <f t="shared" si="31"/>
        <v>43646</v>
      </c>
      <c r="B82" s="9">
        <f t="shared" si="20"/>
        <v>62.916721448823253</v>
      </c>
      <c r="C82" s="9">
        <f t="shared" si="21"/>
        <v>12.5</v>
      </c>
      <c r="D82" s="7">
        <f t="shared" si="27"/>
        <v>0</v>
      </c>
      <c r="E82" s="7">
        <f t="shared" si="28"/>
        <v>1</v>
      </c>
      <c r="F82" s="7">
        <f t="shared" si="29"/>
        <v>0</v>
      </c>
      <c r="G82" s="7">
        <f t="shared" si="30"/>
        <v>1</v>
      </c>
      <c r="H82" s="1">
        <f t="shared" si="22"/>
        <v>1</v>
      </c>
      <c r="I82" s="1">
        <f t="shared" si="23"/>
        <v>0</v>
      </c>
      <c r="J82" s="1">
        <f t="shared" si="24"/>
        <v>0</v>
      </c>
      <c r="K82" s="1">
        <f t="shared" si="25"/>
        <v>0</v>
      </c>
      <c r="L82" s="1" t="str">
        <f t="shared" si="26"/>
        <v>主动去库存</v>
      </c>
      <c r="O82" s="51">
        <v>43646</v>
      </c>
      <c r="P82" s="52">
        <v>62.916721448823253</v>
      </c>
      <c r="R82" s="14">
        <v>40117</v>
      </c>
      <c r="S82" s="15">
        <v>34.520000000000003</v>
      </c>
    </row>
    <row r="83" spans="1:19" x14ac:dyDescent="0.3">
      <c r="A83" s="8">
        <f t="shared" si="31"/>
        <v>43616</v>
      </c>
      <c r="B83" s="9">
        <f t="shared" si="20"/>
        <v>72.555269391072102</v>
      </c>
      <c r="C83" s="9">
        <f t="shared" si="21"/>
        <v>12.9</v>
      </c>
      <c r="D83" s="7">
        <f t="shared" si="27"/>
        <v>0</v>
      </c>
      <c r="E83" s="7">
        <f t="shared" si="28"/>
        <v>1</v>
      </c>
      <c r="F83" s="7">
        <f t="shared" si="29"/>
        <v>0</v>
      </c>
      <c r="G83" s="7">
        <f t="shared" si="30"/>
        <v>1</v>
      </c>
      <c r="H83" s="1">
        <f t="shared" si="22"/>
        <v>1</v>
      </c>
      <c r="I83" s="1">
        <f t="shared" si="23"/>
        <v>0</v>
      </c>
      <c r="J83" s="1">
        <f t="shared" si="24"/>
        <v>0</v>
      </c>
      <c r="K83" s="1">
        <f t="shared" si="25"/>
        <v>0</v>
      </c>
      <c r="L83" s="1" t="str">
        <f t="shared" si="26"/>
        <v>主动去库存</v>
      </c>
      <c r="O83" s="51">
        <v>43616</v>
      </c>
      <c r="P83" s="52">
        <v>72.555269391072102</v>
      </c>
      <c r="R83" s="14">
        <v>40147</v>
      </c>
      <c r="S83" s="15">
        <v>34.74</v>
      </c>
    </row>
    <row r="84" spans="1:19" x14ac:dyDescent="0.3">
      <c r="A84" s="8">
        <f t="shared" si="31"/>
        <v>43585</v>
      </c>
      <c r="B84" s="9">
        <f t="shared" si="20"/>
        <v>76.114393908368314</v>
      </c>
      <c r="C84" s="9">
        <f t="shared" si="21"/>
        <v>12.9</v>
      </c>
      <c r="D84" s="7">
        <f t="shared" si="27"/>
        <v>0</v>
      </c>
      <c r="E84" s="7">
        <f t="shared" si="28"/>
        <v>1</v>
      </c>
      <c r="F84" s="7">
        <f t="shared" si="29"/>
        <v>1</v>
      </c>
      <c r="G84" s="7">
        <f t="shared" si="30"/>
        <v>0</v>
      </c>
      <c r="H84" s="1">
        <f t="shared" si="22"/>
        <v>0</v>
      </c>
      <c r="I84" s="1">
        <f t="shared" si="23"/>
        <v>0</v>
      </c>
      <c r="J84" s="1">
        <f t="shared" si="24"/>
        <v>1</v>
      </c>
      <c r="K84" s="1">
        <f t="shared" si="25"/>
        <v>0</v>
      </c>
      <c r="L84" s="1" t="str">
        <f t="shared" si="26"/>
        <v>被动补库存</v>
      </c>
      <c r="O84" s="51">
        <v>43585</v>
      </c>
      <c r="P84" s="52">
        <v>76.114393908368314</v>
      </c>
      <c r="R84" s="14">
        <v>40178</v>
      </c>
      <c r="S84" s="15">
        <v>32.99</v>
      </c>
    </row>
    <row r="85" spans="1:19" x14ac:dyDescent="0.3">
      <c r="A85" s="8">
        <f t="shared" si="31"/>
        <v>43555</v>
      </c>
      <c r="B85" s="9">
        <f t="shared" si="20"/>
        <v>71.325717871192467</v>
      </c>
      <c r="C85" s="9">
        <f t="shared" si="21"/>
        <v>13.3</v>
      </c>
      <c r="D85" s="7">
        <f t="shared" si="27"/>
        <v>1</v>
      </c>
      <c r="E85" s="7">
        <f t="shared" si="28"/>
        <v>0</v>
      </c>
      <c r="F85" s="7">
        <f t="shared" si="29"/>
        <v>1</v>
      </c>
      <c r="G85" s="7">
        <f t="shared" si="30"/>
        <v>0</v>
      </c>
      <c r="H85" s="1">
        <f t="shared" si="22"/>
        <v>0</v>
      </c>
      <c r="I85" s="1">
        <f t="shared" si="23"/>
        <v>0</v>
      </c>
      <c r="J85" s="1">
        <f t="shared" si="24"/>
        <v>0</v>
      </c>
      <c r="K85" s="1">
        <f t="shared" si="25"/>
        <v>1</v>
      </c>
      <c r="L85" s="1" t="str">
        <f t="shared" si="26"/>
        <v>主动补库存</v>
      </c>
      <c r="O85" s="51">
        <v>43555</v>
      </c>
      <c r="P85" s="52">
        <v>71.325717871192467</v>
      </c>
      <c r="R85" s="14">
        <v>40209</v>
      </c>
      <c r="S85" s="15">
        <v>31.02</v>
      </c>
    </row>
    <row r="86" spans="1:19" x14ac:dyDescent="0.3">
      <c r="A86" s="8">
        <f t="shared" si="31"/>
        <v>43524</v>
      </c>
      <c r="B86" s="9">
        <f t="shared" si="20"/>
        <v>68.251427387893784</v>
      </c>
      <c r="C86" s="9">
        <f t="shared" si="21"/>
        <v>12.7</v>
      </c>
      <c r="D86" s="7">
        <f t="shared" si="27"/>
        <v>0</v>
      </c>
      <c r="E86" s="7">
        <f t="shared" si="28"/>
        <v>1</v>
      </c>
      <c r="F86" s="7">
        <f t="shared" si="29"/>
        <v>1</v>
      </c>
      <c r="G86" s="7">
        <f t="shared" si="30"/>
        <v>0</v>
      </c>
      <c r="H86" s="1">
        <f t="shared" si="22"/>
        <v>0</v>
      </c>
      <c r="I86" s="1">
        <f t="shared" si="23"/>
        <v>0</v>
      </c>
      <c r="J86" s="1">
        <f t="shared" si="24"/>
        <v>1</v>
      </c>
      <c r="K86" s="1">
        <f t="shared" si="25"/>
        <v>0</v>
      </c>
      <c r="L86" s="1" t="str">
        <f t="shared" si="26"/>
        <v>被动补库存</v>
      </c>
      <c r="O86" s="51">
        <v>43524</v>
      </c>
      <c r="P86" s="52">
        <v>68.251427387893784</v>
      </c>
      <c r="R86" s="14">
        <v>40237</v>
      </c>
      <c r="S86" s="15">
        <v>29.29</v>
      </c>
    </row>
    <row r="87" spans="1:19" x14ac:dyDescent="0.3">
      <c r="A87" s="8">
        <f t="shared" si="31"/>
        <v>43496</v>
      </c>
      <c r="B87" s="9">
        <f t="shared" si="20"/>
        <v>60.602467410239463</v>
      </c>
      <c r="C87" s="9">
        <f t="shared" si="21"/>
        <v>12.8</v>
      </c>
      <c r="D87" s="7">
        <f t="shared" si="27"/>
        <v>0</v>
      </c>
      <c r="E87" s="7">
        <f t="shared" si="28"/>
        <v>1</v>
      </c>
      <c r="F87" s="7">
        <f t="shared" si="29"/>
        <v>1</v>
      </c>
      <c r="G87" s="7">
        <f t="shared" si="30"/>
        <v>0</v>
      </c>
      <c r="H87" s="1">
        <f t="shared" si="22"/>
        <v>0</v>
      </c>
      <c r="I87" s="1">
        <f t="shared" si="23"/>
        <v>0</v>
      </c>
      <c r="J87" s="1">
        <f t="shared" si="24"/>
        <v>1</v>
      </c>
      <c r="K87" s="1">
        <f t="shared" si="25"/>
        <v>0</v>
      </c>
      <c r="L87" s="1" t="str">
        <f t="shared" si="26"/>
        <v>被动补库存</v>
      </c>
      <c r="O87" s="51">
        <v>43496</v>
      </c>
      <c r="P87" s="52">
        <v>60.602467410239463</v>
      </c>
      <c r="R87" s="14">
        <v>40268</v>
      </c>
      <c r="S87" s="15">
        <v>24.08</v>
      </c>
    </row>
    <row r="88" spans="1:19" x14ac:dyDescent="0.3">
      <c r="A88" s="8">
        <f t="shared" si="31"/>
        <v>43465</v>
      </c>
      <c r="B88" s="9">
        <f t="shared" si="20"/>
        <v>48.705451875716591</v>
      </c>
      <c r="C88" s="9">
        <f t="shared" si="21"/>
        <v>12.9</v>
      </c>
      <c r="D88" s="7">
        <f t="shared" si="27"/>
        <v>1</v>
      </c>
      <c r="E88" s="7">
        <f t="shared" si="28"/>
        <v>0</v>
      </c>
      <c r="F88" s="7">
        <f t="shared" si="29"/>
        <v>1</v>
      </c>
      <c r="G88" s="7">
        <f t="shared" si="30"/>
        <v>0</v>
      </c>
      <c r="H88" s="1">
        <f t="shared" si="22"/>
        <v>0</v>
      </c>
      <c r="I88" s="1">
        <f t="shared" si="23"/>
        <v>0</v>
      </c>
      <c r="J88" s="1">
        <f t="shared" si="24"/>
        <v>0</v>
      </c>
      <c r="K88" s="1">
        <f t="shared" si="25"/>
        <v>1</v>
      </c>
      <c r="L88" s="1" t="str">
        <f t="shared" si="26"/>
        <v>主动补库存</v>
      </c>
      <c r="O88" s="51">
        <v>43465</v>
      </c>
      <c r="P88" s="52">
        <v>48.705451875716591</v>
      </c>
      <c r="R88" s="14">
        <v>40298</v>
      </c>
      <c r="S88" s="15">
        <v>24.11</v>
      </c>
    </row>
    <row r="89" spans="1:19" x14ac:dyDescent="0.3">
      <c r="A89" s="8">
        <f t="shared" si="31"/>
        <v>43434</v>
      </c>
      <c r="B89" s="9">
        <f t="shared" si="20"/>
        <v>45.162692722482028</v>
      </c>
      <c r="C89" s="9">
        <f t="shared" si="21"/>
        <v>12.6</v>
      </c>
      <c r="D89" s="7">
        <f t="shared" si="27"/>
        <v>0</v>
      </c>
      <c r="E89" s="7">
        <f t="shared" si="28"/>
        <v>1</v>
      </c>
      <c r="F89" s="7">
        <f t="shared" si="29"/>
        <v>1</v>
      </c>
      <c r="G89" s="7">
        <f t="shared" si="30"/>
        <v>0</v>
      </c>
      <c r="H89" s="1">
        <f t="shared" si="22"/>
        <v>0</v>
      </c>
      <c r="I89" s="1">
        <f t="shared" si="23"/>
        <v>0</v>
      </c>
      <c r="J89" s="1">
        <f t="shared" si="24"/>
        <v>1</v>
      </c>
      <c r="K89" s="1">
        <f t="shared" si="25"/>
        <v>0</v>
      </c>
      <c r="L89" s="1" t="str">
        <f t="shared" si="26"/>
        <v>被动补库存</v>
      </c>
      <c r="O89" s="51">
        <v>43434</v>
      </c>
      <c r="P89" s="52">
        <v>45.162692722482028</v>
      </c>
      <c r="R89" s="14">
        <v>40329</v>
      </c>
      <c r="S89" s="15">
        <v>23.2</v>
      </c>
    </row>
    <row r="90" spans="1:19" x14ac:dyDescent="0.3">
      <c r="A90" s="8">
        <f t="shared" si="31"/>
        <v>43404</v>
      </c>
      <c r="B90" s="9">
        <f t="shared" si="20"/>
        <v>40.35722673750908</v>
      </c>
      <c r="C90" s="9">
        <f t="shared" si="21"/>
        <v>12.8</v>
      </c>
      <c r="D90" s="7">
        <f t="shared" si="27"/>
        <v>0</v>
      </c>
      <c r="E90" s="7">
        <f t="shared" si="28"/>
        <v>1</v>
      </c>
      <c r="F90" s="7">
        <f t="shared" si="29"/>
        <v>1</v>
      </c>
      <c r="G90" s="7">
        <f t="shared" si="30"/>
        <v>0</v>
      </c>
      <c r="H90" s="1">
        <f t="shared" si="22"/>
        <v>0</v>
      </c>
      <c r="I90" s="1">
        <f t="shared" si="23"/>
        <v>0</v>
      </c>
      <c r="J90" s="1">
        <f t="shared" si="24"/>
        <v>1</v>
      </c>
      <c r="K90" s="1">
        <f t="shared" si="25"/>
        <v>0</v>
      </c>
      <c r="L90" s="1" t="str">
        <f t="shared" si="26"/>
        <v>被动补库存</v>
      </c>
      <c r="O90" s="51">
        <v>43404</v>
      </c>
      <c r="P90" s="52">
        <v>40.35722673750908</v>
      </c>
      <c r="R90" s="14">
        <v>40359</v>
      </c>
      <c r="S90" s="15">
        <v>19.2</v>
      </c>
    </row>
    <row r="91" spans="1:19" x14ac:dyDescent="0.3">
      <c r="A91" s="8">
        <f t="shared" si="31"/>
        <v>43373</v>
      </c>
      <c r="B91" s="9">
        <f t="shared" si="20"/>
        <v>36.09981189575813</v>
      </c>
      <c r="C91" s="9">
        <f t="shared" si="21"/>
        <v>12.8</v>
      </c>
      <c r="D91" s="7">
        <f t="shared" si="27"/>
        <v>0</v>
      </c>
      <c r="E91" s="7">
        <f t="shared" si="28"/>
        <v>1</v>
      </c>
      <c r="F91" s="7">
        <f t="shared" si="29"/>
        <v>1</v>
      </c>
      <c r="G91" s="7">
        <f t="shared" si="30"/>
        <v>0</v>
      </c>
      <c r="H91" s="1">
        <f t="shared" si="22"/>
        <v>0</v>
      </c>
      <c r="I91" s="1">
        <f t="shared" si="23"/>
        <v>0</v>
      </c>
      <c r="J91" s="1">
        <f t="shared" si="24"/>
        <v>1</v>
      </c>
      <c r="K91" s="1">
        <f t="shared" si="25"/>
        <v>0</v>
      </c>
      <c r="L91" s="1" t="str">
        <f t="shared" si="26"/>
        <v>被动补库存</v>
      </c>
      <c r="O91" s="51">
        <v>43373</v>
      </c>
      <c r="P91" s="52">
        <v>36.09981189575813</v>
      </c>
      <c r="R91" s="14">
        <v>40390</v>
      </c>
      <c r="S91" s="15">
        <v>19.100000000000001</v>
      </c>
    </row>
    <row r="92" spans="1:19" x14ac:dyDescent="0.3">
      <c r="A92" s="8">
        <f t="shared" si="31"/>
        <v>43343</v>
      </c>
      <c r="B92" s="9">
        <f t="shared" si="20"/>
        <v>31.298349365532541</v>
      </c>
      <c r="C92" s="9">
        <f t="shared" si="21"/>
        <v>12.8</v>
      </c>
      <c r="D92" s="7">
        <f t="shared" si="27"/>
        <v>1</v>
      </c>
      <c r="E92" s="7">
        <f t="shared" si="28"/>
        <v>0</v>
      </c>
      <c r="F92" s="7">
        <f t="shared" si="29"/>
        <v>1</v>
      </c>
      <c r="G92" s="7">
        <f t="shared" si="30"/>
        <v>0</v>
      </c>
      <c r="H92" s="1">
        <f t="shared" si="22"/>
        <v>0</v>
      </c>
      <c r="I92" s="1">
        <f t="shared" si="23"/>
        <v>0</v>
      </c>
      <c r="J92" s="1">
        <f t="shared" si="24"/>
        <v>0</v>
      </c>
      <c r="K92" s="1">
        <f t="shared" si="25"/>
        <v>1</v>
      </c>
      <c r="L92" s="1" t="str">
        <f t="shared" si="26"/>
        <v>主动补库存</v>
      </c>
      <c r="O92" s="51">
        <v>43343</v>
      </c>
      <c r="P92" s="52">
        <v>31.298349365532541</v>
      </c>
      <c r="R92" s="14">
        <v>40421</v>
      </c>
      <c r="S92" s="15">
        <v>18.899999999999999</v>
      </c>
    </row>
    <row r="93" spans="1:19" x14ac:dyDescent="0.3">
      <c r="A93" s="8">
        <f t="shared" si="31"/>
        <v>43312</v>
      </c>
      <c r="B93" s="9">
        <f t="shared" si="20"/>
        <v>21.39378779109893</v>
      </c>
      <c r="C93" s="9">
        <f t="shared" si="21"/>
        <v>12.7</v>
      </c>
      <c r="D93" s="7">
        <f t="shared" si="27"/>
        <v>1</v>
      </c>
      <c r="E93" s="7">
        <f t="shared" si="28"/>
        <v>0</v>
      </c>
      <c r="F93" s="7">
        <f t="shared" si="29"/>
        <v>1</v>
      </c>
      <c r="G93" s="7">
        <f t="shared" si="30"/>
        <v>0</v>
      </c>
      <c r="H93" s="1">
        <f t="shared" si="22"/>
        <v>0</v>
      </c>
      <c r="I93" s="1">
        <f t="shared" si="23"/>
        <v>0</v>
      </c>
      <c r="J93" s="1">
        <f t="shared" si="24"/>
        <v>0</v>
      </c>
      <c r="K93" s="1">
        <f t="shared" si="25"/>
        <v>1</v>
      </c>
      <c r="L93" s="1" t="str">
        <f t="shared" si="26"/>
        <v>主动补库存</v>
      </c>
      <c r="O93" s="51">
        <v>43312</v>
      </c>
      <c r="P93" s="52">
        <v>21.39378779109893</v>
      </c>
      <c r="R93" s="14">
        <v>40451</v>
      </c>
      <c r="S93" s="15">
        <v>18.7</v>
      </c>
    </row>
    <row r="94" spans="1:19" x14ac:dyDescent="0.3">
      <c r="A94" s="8">
        <f t="shared" si="31"/>
        <v>43281</v>
      </c>
      <c r="B94" s="9">
        <f t="shared" si="20"/>
        <v>10.048070546391999</v>
      </c>
      <c r="C94" s="9">
        <f t="shared" si="21"/>
        <v>12.1</v>
      </c>
      <c r="D94" s="7">
        <f t="shared" si="27"/>
        <v>1</v>
      </c>
      <c r="E94" s="7">
        <f t="shared" si="28"/>
        <v>0</v>
      </c>
      <c r="F94" s="7">
        <f t="shared" si="29"/>
        <v>1</v>
      </c>
      <c r="G94" s="7">
        <f t="shared" si="30"/>
        <v>0</v>
      </c>
      <c r="H94" s="1">
        <f t="shared" si="22"/>
        <v>0</v>
      </c>
      <c r="I94" s="1">
        <f t="shared" si="23"/>
        <v>0</v>
      </c>
      <c r="J94" s="1">
        <f t="shared" si="24"/>
        <v>0</v>
      </c>
      <c r="K94" s="1">
        <f t="shared" si="25"/>
        <v>1</v>
      </c>
      <c r="L94" s="1" t="str">
        <f t="shared" si="26"/>
        <v>主动补库存</v>
      </c>
      <c r="O94" s="51">
        <v>43281</v>
      </c>
      <c r="P94" s="52">
        <v>10.048070546391999</v>
      </c>
      <c r="R94" s="14">
        <v>40482</v>
      </c>
      <c r="S94" s="15">
        <v>19.100000000000001</v>
      </c>
    </row>
    <row r="95" spans="1:19" x14ac:dyDescent="0.3">
      <c r="A95" s="8">
        <f t="shared" si="31"/>
        <v>43251</v>
      </c>
      <c r="B95" s="9">
        <f t="shared" si="20"/>
        <v>-1.58983534431303</v>
      </c>
      <c r="C95" s="9">
        <f t="shared" si="21"/>
        <v>12</v>
      </c>
      <c r="D95" s="7">
        <f t="shared" si="27"/>
        <v>1</v>
      </c>
      <c r="E95" s="7">
        <f t="shared" si="28"/>
        <v>0</v>
      </c>
      <c r="F95" s="7">
        <f t="shared" si="29"/>
        <v>1</v>
      </c>
      <c r="G95" s="7">
        <f t="shared" si="30"/>
        <v>0</v>
      </c>
      <c r="H95" s="1">
        <f t="shared" si="22"/>
        <v>0</v>
      </c>
      <c r="I95" s="1">
        <f t="shared" si="23"/>
        <v>0</v>
      </c>
      <c r="J95" s="1">
        <f t="shared" si="24"/>
        <v>0</v>
      </c>
      <c r="K95" s="1">
        <f t="shared" si="25"/>
        <v>1</v>
      </c>
      <c r="L95" s="1" t="str">
        <f t="shared" si="26"/>
        <v>主动补库存</v>
      </c>
      <c r="O95" s="51">
        <v>43251</v>
      </c>
      <c r="P95" s="52">
        <v>-1.58983534431303</v>
      </c>
      <c r="R95" s="14">
        <v>40512</v>
      </c>
      <c r="S95" s="15">
        <v>19.399999999999999</v>
      </c>
    </row>
    <row r="96" spans="1:19" x14ac:dyDescent="0.3">
      <c r="A96" s="8">
        <f t="shared" si="31"/>
        <v>43220</v>
      </c>
      <c r="B96" s="9">
        <f t="shared" si="20"/>
        <v>-8.4944619341065284</v>
      </c>
      <c r="C96" s="9">
        <f t="shared" si="21"/>
        <v>11.9</v>
      </c>
      <c r="D96" s="7">
        <f t="shared" si="27"/>
        <v>0</v>
      </c>
      <c r="E96" s="7">
        <f t="shared" si="28"/>
        <v>1</v>
      </c>
      <c r="F96" s="7">
        <f t="shared" si="29"/>
        <v>1</v>
      </c>
      <c r="G96" s="7">
        <f t="shared" si="30"/>
        <v>0</v>
      </c>
      <c r="H96" s="1">
        <f t="shared" si="22"/>
        <v>0</v>
      </c>
      <c r="I96" s="1">
        <f t="shared" si="23"/>
        <v>0</v>
      </c>
      <c r="J96" s="1">
        <f t="shared" si="24"/>
        <v>1</v>
      </c>
      <c r="K96" s="1">
        <f t="shared" si="25"/>
        <v>0</v>
      </c>
      <c r="L96" s="1" t="str">
        <f t="shared" si="26"/>
        <v>被动补库存</v>
      </c>
      <c r="O96" s="51">
        <v>43220</v>
      </c>
      <c r="P96" s="52">
        <v>-8.4944619341065284</v>
      </c>
      <c r="R96" s="14">
        <v>40543</v>
      </c>
      <c r="S96" s="15">
        <v>19.7</v>
      </c>
    </row>
    <row r="97" spans="1:19" x14ac:dyDescent="0.3">
      <c r="A97" s="8">
        <f t="shared" si="31"/>
        <v>43190</v>
      </c>
      <c r="B97" s="9">
        <f t="shared" si="20"/>
        <v>-12.680663305771571</v>
      </c>
      <c r="C97" s="9">
        <f t="shared" si="21"/>
        <v>11.9</v>
      </c>
      <c r="D97" s="7">
        <f t="shared" si="27"/>
        <v>0</v>
      </c>
      <c r="E97" s="7">
        <f t="shared" si="28"/>
        <v>1</v>
      </c>
      <c r="F97" s="7">
        <f t="shared" si="29"/>
        <v>1</v>
      </c>
      <c r="G97" s="7">
        <f t="shared" si="30"/>
        <v>0</v>
      </c>
      <c r="H97" s="1">
        <f t="shared" si="22"/>
        <v>0</v>
      </c>
      <c r="I97" s="1">
        <f t="shared" si="23"/>
        <v>0</v>
      </c>
      <c r="J97" s="1">
        <f t="shared" si="24"/>
        <v>1</v>
      </c>
      <c r="K97" s="1">
        <f t="shared" si="25"/>
        <v>0</v>
      </c>
      <c r="L97" s="1" t="str">
        <f t="shared" si="26"/>
        <v>被动补库存</v>
      </c>
      <c r="O97" s="51">
        <v>43190</v>
      </c>
      <c r="P97" s="52">
        <v>-12.680663305771571</v>
      </c>
      <c r="R97" s="14">
        <v>40574</v>
      </c>
      <c r="S97" s="15">
        <v>18.3</v>
      </c>
    </row>
    <row r="98" spans="1:19" x14ac:dyDescent="0.3">
      <c r="A98" s="8">
        <f t="shared" si="31"/>
        <v>43159</v>
      </c>
      <c r="B98" s="9">
        <f t="shared" si="20"/>
        <v>-19.547375498850322</v>
      </c>
      <c r="C98" s="9">
        <f t="shared" si="21"/>
        <v>12.1</v>
      </c>
      <c r="D98" s="7">
        <f t="shared" si="27"/>
        <v>0</v>
      </c>
      <c r="E98" s="7">
        <f t="shared" si="28"/>
        <v>1</v>
      </c>
      <c r="F98" s="7">
        <f t="shared" si="29"/>
        <v>1</v>
      </c>
      <c r="G98" s="7">
        <f t="shared" si="30"/>
        <v>0</v>
      </c>
      <c r="H98" s="1">
        <f t="shared" si="22"/>
        <v>0</v>
      </c>
      <c r="I98" s="1">
        <f t="shared" si="23"/>
        <v>0</v>
      </c>
      <c r="J98" s="1">
        <f t="shared" si="24"/>
        <v>1</v>
      </c>
      <c r="K98" s="1">
        <f t="shared" si="25"/>
        <v>0</v>
      </c>
      <c r="L98" s="1" t="str">
        <f t="shared" si="26"/>
        <v>被动补库存</v>
      </c>
      <c r="O98" s="51">
        <v>43159</v>
      </c>
      <c r="P98" s="52">
        <v>-19.547375498850322</v>
      </c>
      <c r="R98" s="14">
        <v>40602</v>
      </c>
      <c r="S98" s="15">
        <v>17.399999999999999</v>
      </c>
    </row>
    <row r="99" spans="1:19" x14ac:dyDescent="0.3">
      <c r="A99" s="8">
        <f t="shared" si="31"/>
        <v>43131</v>
      </c>
      <c r="B99" s="9">
        <f t="shared" si="20"/>
        <v>-21.879750873413499</v>
      </c>
      <c r="C99" s="9">
        <f t="shared" si="21"/>
        <v>12.6</v>
      </c>
      <c r="D99" s="7">
        <f t="shared" si="27"/>
        <v>1</v>
      </c>
      <c r="E99" s="7">
        <f t="shared" si="28"/>
        <v>0</v>
      </c>
      <c r="F99" s="7">
        <f t="shared" si="29"/>
        <v>1</v>
      </c>
      <c r="G99" s="7">
        <f t="shared" si="30"/>
        <v>0</v>
      </c>
      <c r="H99" s="1">
        <f t="shared" si="22"/>
        <v>0</v>
      </c>
      <c r="I99" s="1">
        <f t="shared" si="23"/>
        <v>0</v>
      </c>
      <c r="J99" s="1">
        <f t="shared" si="24"/>
        <v>0</v>
      </c>
      <c r="K99" s="1">
        <f t="shared" si="25"/>
        <v>1</v>
      </c>
      <c r="L99" s="1" t="str">
        <f t="shared" si="26"/>
        <v>主动补库存</v>
      </c>
      <c r="O99" s="51">
        <v>43131</v>
      </c>
      <c r="P99" s="52">
        <v>-21.879750873413499</v>
      </c>
      <c r="R99" s="14">
        <v>40633</v>
      </c>
      <c r="S99" s="15">
        <v>17.600000000000001</v>
      </c>
    </row>
    <row r="100" spans="1:19" x14ac:dyDescent="0.3">
      <c r="A100" s="8">
        <f t="shared" si="31"/>
        <v>43100</v>
      </c>
      <c r="B100" s="9">
        <f t="shared" ref="B100:B131" si="32">VLOOKUP(A100,O:P,2,0)</f>
        <v>-28.945803216697929</v>
      </c>
      <c r="C100" s="9">
        <f t="shared" ref="C100:C131" si="33">VLOOKUP(A100,R:S,2,0)</f>
        <v>12.1</v>
      </c>
      <c r="D100" s="7">
        <f t="shared" si="27"/>
        <v>0</v>
      </c>
      <c r="E100" s="7">
        <f t="shared" si="28"/>
        <v>1</v>
      </c>
      <c r="F100" s="7">
        <f t="shared" si="29"/>
        <v>1</v>
      </c>
      <c r="G100" s="7">
        <f t="shared" si="30"/>
        <v>0</v>
      </c>
      <c r="H100" s="1">
        <f t="shared" si="22"/>
        <v>0</v>
      </c>
      <c r="I100" s="1">
        <f t="shared" si="23"/>
        <v>0</v>
      </c>
      <c r="J100" s="1">
        <f t="shared" si="24"/>
        <v>1</v>
      </c>
      <c r="K100" s="1">
        <f t="shared" si="25"/>
        <v>0</v>
      </c>
      <c r="L100" s="1" t="str">
        <f t="shared" ref="L100:L131" si="34">INDEX($H$3:$K$3,1,MATCH(1,H100:K100,0))</f>
        <v>被动补库存</v>
      </c>
      <c r="O100" s="51">
        <v>43100</v>
      </c>
      <c r="P100" s="52">
        <v>-28.945803216697929</v>
      </c>
      <c r="R100" s="14">
        <v>40663</v>
      </c>
      <c r="S100" s="15">
        <v>17.2</v>
      </c>
    </row>
    <row r="101" spans="1:19" x14ac:dyDescent="0.3">
      <c r="A101" s="8">
        <f t="shared" si="31"/>
        <v>43069</v>
      </c>
      <c r="B101" s="9">
        <f t="shared" si="32"/>
        <v>-34.538401964913803</v>
      </c>
      <c r="C101" s="9">
        <f t="shared" si="33"/>
        <v>12.6</v>
      </c>
      <c r="D101" s="7">
        <f t="shared" ref="D101:D132" si="35">IF(C101&gt;C102,1,0)</f>
        <v>1</v>
      </c>
      <c r="E101" s="7">
        <f t="shared" ref="E101:E132" si="36">1-D101</f>
        <v>0</v>
      </c>
      <c r="F101" s="7">
        <f t="shared" ref="F101:F132" si="37">IF(B101&gt;B102,1,0)</f>
        <v>1</v>
      </c>
      <c r="G101" s="7">
        <f t="shared" ref="G101:G132" si="38">1-F101</f>
        <v>0</v>
      </c>
      <c r="H101" s="1">
        <f t="shared" si="22"/>
        <v>0</v>
      </c>
      <c r="I101" s="1">
        <f t="shared" si="23"/>
        <v>0</v>
      </c>
      <c r="J101" s="1">
        <f t="shared" si="24"/>
        <v>0</v>
      </c>
      <c r="K101" s="1">
        <f t="shared" si="25"/>
        <v>1</v>
      </c>
      <c r="L101" s="1" t="str">
        <f t="shared" si="34"/>
        <v>主动补库存</v>
      </c>
      <c r="O101" s="51">
        <v>43069</v>
      </c>
      <c r="P101" s="52">
        <v>-34.538401964913803</v>
      </c>
      <c r="R101" s="14">
        <v>40694</v>
      </c>
      <c r="S101" s="15">
        <v>16.899999999999999</v>
      </c>
    </row>
    <row r="102" spans="1:19" x14ac:dyDescent="0.3">
      <c r="A102" s="8">
        <f t="shared" ref="A102:A133" si="39">EOMONTH(A101,-1)</f>
        <v>43039</v>
      </c>
      <c r="B102" s="9">
        <f t="shared" si="32"/>
        <v>-36.333130810965599</v>
      </c>
      <c r="C102" s="9">
        <f t="shared" si="33"/>
        <v>12.4</v>
      </c>
      <c r="D102" s="7">
        <f t="shared" si="35"/>
        <v>0</v>
      </c>
      <c r="E102" s="7">
        <f t="shared" si="36"/>
        <v>1</v>
      </c>
      <c r="F102" s="7">
        <f t="shared" si="37"/>
        <v>0</v>
      </c>
      <c r="G102" s="7">
        <f t="shared" si="38"/>
        <v>1</v>
      </c>
      <c r="H102" s="1">
        <f t="shared" si="22"/>
        <v>1</v>
      </c>
      <c r="I102" s="1">
        <f t="shared" si="23"/>
        <v>0</v>
      </c>
      <c r="J102" s="1">
        <f t="shared" si="24"/>
        <v>0</v>
      </c>
      <c r="K102" s="1">
        <f t="shared" si="25"/>
        <v>0</v>
      </c>
      <c r="L102" s="1" t="str">
        <f t="shared" si="34"/>
        <v>主动去库存</v>
      </c>
      <c r="O102" s="51">
        <v>43039</v>
      </c>
      <c r="P102" s="52">
        <v>-36.333130810965599</v>
      </c>
      <c r="R102" s="14">
        <v>40724</v>
      </c>
      <c r="S102" s="15">
        <v>16.8</v>
      </c>
    </row>
    <row r="103" spans="1:19" x14ac:dyDescent="0.3">
      <c r="A103" s="8">
        <f t="shared" si="39"/>
        <v>43008</v>
      </c>
      <c r="B103" s="9">
        <f t="shared" si="32"/>
        <v>-34.4494214520303</v>
      </c>
      <c r="C103" s="9">
        <f t="shared" si="33"/>
        <v>12.5</v>
      </c>
      <c r="D103" s="7">
        <f t="shared" si="35"/>
        <v>0</v>
      </c>
      <c r="E103" s="7">
        <f t="shared" si="36"/>
        <v>1</v>
      </c>
      <c r="F103" s="7">
        <f t="shared" si="37"/>
        <v>0</v>
      </c>
      <c r="G103" s="7">
        <f t="shared" si="38"/>
        <v>1</v>
      </c>
      <c r="H103" s="1">
        <f t="shared" si="22"/>
        <v>1</v>
      </c>
      <c r="I103" s="1">
        <f t="shared" si="23"/>
        <v>0</v>
      </c>
      <c r="J103" s="1">
        <f t="shared" si="24"/>
        <v>0</v>
      </c>
      <c r="K103" s="1">
        <f t="shared" si="25"/>
        <v>0</v>
      </c>
      <c r="L103" s="1" t="str">
        <f t="shared" si="34"/>
        <v>主动去库存</v>
      </c>
      <c r="O103" s="51">
        <v>43008</v>
      </c>
      <c r="P103" s="52">
        <v>-34.4494214520303</v>
      </c>
      <c r="R103" s="14">
        <v>40755</v>
      </c>
      <c r="S103" s="15">
        <v>16.7</v>
      </c>
    </row>
    <row r="104" spans="1:19" x14ac:dyDescent="0.3">
      <c r="A104" s="8">
        <f t="shared" si="39"/>
        <v>42978</v>
      </c>
      <c r="B104" s="9">
        <f t="shared" si="32"/>
        <v>-32.737525841382499</v>
      </c>
      <c r="C104" s="9">
        <f t="shared" si="33"/>
        <v>12.6</v>
      </c>
      <c r="D104" s="7">
        <f t="shared" si="35"/>
        <v>0</v>
      </c>
      <c r="E104" s="7">
        <f t="shared" si="36"/>
        <v>1</v>
      </c>
      <c r="F104" s="7">
        <f t="shared" si="37"/>
        <v>0</v>
      </c>
      <c r="G104" s="7">
        <f t="shared" si="38"/>
        <v>1</v>
      </c>
      <c r="H104" s="1">
        <f t="shared" si="22"/>
        <v>1</v>
      </c>
      <c r="I104" s="1">
        <f t="shared" si="23"/>
        <v>0</v>
      </c>
      <c r="J104" s="1">
        <f t="shared" si="24"/>
        <v>0</v>
      </c>
      <c r="K104" s="1">
        <f t="shared" si="25"/>
        <v>0</v>
      </c>
      <c r="L104" s="1" t="str">
        <f t="shared" si="34"/>
        <v>主动去库存</v>
      </c>
      <c r="O104" s="51">
        <v>42978</v>
      </c>
      <c r="P104" s="52">
        <v>-32.737525841382499</v>
      </c>
      <c r="R104" s="14">
        <v>40786</v>
      </c>
      <c r="S104" s="15">
        <v>16.5</v>
      </c>
    </row>
    <row r="105" spans="1:19" x14ac:dyDescent="0.3">
      <c r="A105" s="8">
        <f t="shared" si="39"/>
        <v>42947</v>
      </c>
      <c r="B105" s="9">
        <f t="shared" si="32"/>
        <v>-30.523198320884148</v>
      </c>
      <c r="C105" s="9">
        <f t="shared" si="33"/>
        <v>13</v>
      </c>
      <c r="D105" s="7">
        <f t="shared" si="35"/>
        <v>1</v>
      </c>
      <c r="E105" s="7">
        <f t="shared" si="36"/>
        <v>0</v>
      </c>
      <c r="F105" s="7">
        <f t="shared" si="37"/>
        <v>0</v>
      </c>
      <c r="G105" s="7">
        <f t="shared" si="38"/>
        <v>1</v>
      </c>
      <c r="H105" s="1">
        <f t="shared" si="22"/>
        <v>0</v>
      </c>
      <c r="I105" s="1">
        <f t="shared" si="23"/>
        <v>1</v>
      </c>
      <c r="J105" s="1">
        <f t="shared" si="24"/>
        <v>0</v>
      </c>
      <c r="K105" s="1">
        <f t="shared" si="25"/>
        <v>0</v>
      </c>
      <c r="L105" s="1" t="str">
        <f t="shared" si="34"/>
        <v>被动去库存</v>
      </c>
      <c r="O105" s="51">
        <v>42947</v>
      </c>
      <c r="P105" s="52">
        <v>-30.523198320884148</v>
      </c>
      <c r="R105" s="14">
        <v>40816</v>
      </c>
      <c r="S105" s="15">
        <v>16</v>
      </c>
    </row>
    <row r="106" spans="1:19" x14ac:dyDescent="0.3">
      <c r="A106" s="8">
        <f t="shared" si="39"/>
        <v>42916</v>
      </c>
      <c r="B106" s="9">
        <f t="shared" si="32"/>
        <v>-27.039504441327718</v>
      </c>
      <c r="C106" s="9">
        <f t="shared" si="33"/>
        <v>12.7</v>
      </c>
      <c r="D106" s="7">
        <f t="shared" si="35"/>
        <v>0</v>
      </c>
      <c r="E106" s="7">
        <f t="shared" si="36"/>
        <v>1</v>
      </c>
      <c r="F106" s="7">
        <f t="shared" si="37"/>
        <v>0</v>
      </c>
      <c r="G106" s="7">
        <f t="shared" si="38"/>
        <v>1</v>
      </c>
      <c r="H106" s="1">
        <f t="shared" si="22"/>
        <v>1</v>
      </c>
      <c r="I106" s="1">
        <f t="shared" si="23"/>
        <v>0</v>
      </c>
      <c r="J106" s="1">
        <f t="shared" si="24"/>
        <v>0</v>
      </c>
      <c r="K106" s="1">
        <f t="shared" si="25"/>
        <v>0</v>
      </c>
      <c r="L106" s="1" t="str">
        <f t="shared" si="34"/>
        <v>主动去库存</v>
      </c>
      <c r="O106" s="51">
        <v>42916</v>
      </c>
      <c r="P106" s="52">
        <v>-27.039504441327718</v>
      </c>
      <c r="R106" s="14">
        <v>40847</v>
      </c>
      <c r="S106" s="15">
        <v>15.9</v>
      </c>
    </row>
    <row r="107" spans="1:19" x14ac:dyDescent="0.3">
      <c r="A107" s="8">
        <f t="shared" si="39"/>
        <v>42886</v>
      </c>
      <c r="B107" s="9">
        <f t="shared" si="32"/>
        <v>-24.25177549086218</v>
      </c>
      <c r="C107" s="9">
        <f t="shared" si="33"/>
        <v>12.8</v>
      </c>
      <c r="D107" s="7">
        <f t="shared" si="35"/>
        <v>0</v>
      </c>
      <c r="E107" s="7">
        <f t="shared" si="36"/>
        <v>1</v>
      </c>
      <c r="F107" s="7">
        <f t="shared" si="37"/>
        <v>0</v>
      </c>
      <c r="G107" s="7">
        <f t="shared" si="38"/>
        <v>1</v>
      </c>
      <c r="H107" s="1">
        <f t="shared" si="22"/>
        <v>1</v>
      </c>
      <c r="I107" s="1">
        <f t="shared" si="23"/>
        <v>0</v>
      </c>
      <c r="J107" s="1">
        <f t="shared" si="24"/>
        <v>0</v>
      </c>
      <c r="K107" s="1">
        <f t="shared" si="25"/>
        <v>0</v>
      </c>
      <c r="L107" s="1" t="str">
        <f t="shared" si="34"/>
        <v>主动去库存</v>
      </c>
      <c r="O107" s="51">
        <v>42886</v>
      </c>
      <c r="P107" s="52">
        <v>-24.25177549086218</v>
      </c>
      <c r="R107" s="14">
        <v>40877</v>
      </c>
      <c r="S107" s="15">
        <v>15.6</v>
      </c>
    </row>
    <row r="108" spans="1:19" x14ac:dyDescent="0.3">
      <c r="A108" s="8">
        <f t="shared" si="39"/>
        <v>42855</v>
      </c>
      <c r="B108" s="9">
        <f t="shared" si="32"/>
        <v>-19.129313676323381</v>
      </c>
      <c r="C108" s="9">
        <f t="shared" si="33"/>
        <v>12.8</v>
      </c>
      <c r="D108" s="7">
        <f t="shared" si="35"/>
        <v>1</v>
      </c>
      <c r="E108" s="7">
        <f t="shared" si="36"/>
        <v>0</v>
      </c>
      <c r="F108" s="7">
        <f t="shared" si="37"/>
        <v>0</v>
      </c>
      <c r="G108" s="7">
        <f t="shared" si="38"/>
        <v>1</v>
      </c>
      <c r="H108" s="1">
        <f t="shared" si="22"/>
        <v>0</v>
      </c>
      <c r="I108" s="1">
        <f t="shared" si="23"/>
        <v>1</v>
      </c>
      <c r="J108" s="1">
        <f t="shared" si="24"/>
        <v>0</v>
      </c>
      <c r="K108" s="1">
        <f t="shared" si="25"/>
        <v>0</v>
      </c>
      <c r="L108" s="1" t="str">
        <f t="shared" si="34"/>
        <v>被动去库存</v>
      </c>
      <c r="O108" s="51">
        <v>42855</v>
      </c>
      <c r="P108" s="52">
        <v>-19.129313676323381</v>
      </c>
      <c r="R108" s="14">
        <v>40908</v>
      </c>
      <c r="S108" s="15">
        <v>15.7</v>
      </c>
    </row>
    <row r="109" spans="1:19" x14ac:dyDescent="0.3">
      <c r="A109" s="8">
        <f t="shared" si="39"/>
        <v>42825</v>
      </c>
      <c r="B109" s="9">
        <f t="shared" si="32"/>
        <v>-11.21009663094878</v>
      </c>
      <c r="C109" s="9">
        <f t="shared" si="33"/>
        <v>12.3</v>
      </c>
      <c r="D109" s="7">
        <f t="shared" si="35"/>
        <v>0</v>
      </c>
      <c r="E109" s="7">
        <f t="shared" si="36"/>
        <v>1</v>
      </c>
      <c r="F109" s="7">
        <f t="shared" si="37"/>
        <v>0</v>
      </c>
      <c r="G109" s="7">
        <f t="shared" si="38"/>
        <v>1</v>
      </c>
      <c r="H109" s="1">
        <f t="shared" si="22"/>
        <v>1</v>
      </c>
      <c r="I109" s="1">
        <f t="shared" si="23"/>
        <v>0</v>
      </c>
      <c r="J109" s="1">
        <f t="shared" si="24"/>
        <v>0</v>
      </c>
      <c r="K109" s="1">
        <f t="shared" si="25"/>
        <v>0</v>
      </c>
      <c r="L109" s="1" t="str">
        <f t="shared" si="34"/>
        <v>主动去库存</v>
      </c>
      <c r="O109" s="51">
        <v>42825</v>
      </c>
      <c r="P109" s="52">
        <v>-11.21009663094878</v>
      </c>
      <c r="R109" s="14">
        <v>40939</v>
      </c>
      <c r="S109" s="15">
        <v>14.8</v>
      </c>
    </row>
    <row r="110" spans="1:19" x14ac:dyDescent="0.3">
      <c r="A110" s="8">
        <f t="shared" si="39"/>
        <v>42794</v>
      </c>
      <c r="B110" s="9">
        <f t="shared" si="32"/>
        <v>-2.3089481172272208</v>
      </c>
      <c r="C110" s="9">
        <f t="shared" si="33"/>
        <v>12.7</v>
      </c>
      <c r="D110" s="7">
        <f t="shared" si="35"/>
        <v>1</v>
      </c>
      <c r="E110" s="7">
        <f t="shared" si="36"/>
        <v>0</v>
      </c>
      <c r="F110" s="7">
        <f t="shared" si="37"/>
        <v>0</v>
      </c>
      <c r="G110" s="7">
        <f t="shared" si="38"/>
        <v>1</v>
      </c>
      <c r="H110" s="1">
        <f t="shared" si="22"/>
        <v>0</v>
      </c>
      <c r="I110" s="1">
        <f t="shared" si="23"/>
        <v>1</v>
      </c>
      <c r="J110" s="1">
        <f t="shared" si="24"/>
        <v>0</v>
      </c>
      <c r="K110" s="1">
        <f t="shared" si="25"/>
        <v>0</v>
      </c>
      <c r="L110" s="1" t="str">
        <f t="shared" si="34"/>
        <v>被动去库存</v>
      </c>
      <c r="O110" s="51">
        <v>42794</v>
      </c>
      <c r="P110" s="52">
        <v>-2.3089481172272208</v>
      </c>
      <c r="R110" s="14">
        <v>40968</v>
      </c>
      <c r="S110" s="15">
        <v>15</v>
      </c>
    </row>
    <row r="111" spans="1:19" x14ac:dyDescent="0.3">
      <c r="A111" s="8">
        <f t="shared" si="39"/>
        <v>42766</v>
      </c>
      <c r="B111" s="9">
        <f t="shared" si="32"/>
        <v>1.4269823960370269</v>
      </c>
      <c r="C111" s="9">
        <f t="shared" si="33"/>
        <v>12.1</v>
      </c>
      <c r="D111" s="7">
        <f t="shared" si="35"/>
        <v>0</v>
      </c>
      <c r="E111" s="7">
        <f t="shared" si="36"/>
        <v>1</v>
      </c>
      <c r="F111" s="7">
        <f t="shared" si="37"/>
        <v>0</v>
      </c>
      <c r="G111" s="7">
        <f t="shared" si="38"/>
        <v>1</v>
      </c>
      <c r="H111" s="1">
        <f t="shared" si="22"/>
        <v>1</v>
      </c>
      <c r="I111" s="1">
        <f t="shared" si="23"/>
        <v>0</v>
      </c>
      <c r="J111" s="1">
        <f t="shared" si="24"/>
        <v>0</v>
      </c>
      <c r="K111" s="1">
        <f t="shared" si="25"/>
        <v>0</v>
      </c>
      <c r="L111" s="1" t="str">
        <f t="shared" si="34"/>
        <v>主动去库存</v>
      </c>
      <c r="O111" s="51">
        <v>42766</v>
      </c>
      <c r="P111" s="52">
        <v>1.4269823960370269</v>
      </c>
      <c r="R111" s="14">
        <v>40999</v>
      </c>
      <c r="S111" s="15">
        <v>15.5</v>
      </c>
    </row>
    <row r="112" spans="1:19" x14ac:dyDescent="0.3">
      <c r="A112" s="8">
        <f t="shared" si="39"/>
        <v>42735</v>
      </c>
      <c r="B112" s="9">
        <f t="shared" si="32"/>
        <v>19.567916964805939</v>
      </c>
      <c r="C112" s="9">
        <f t="shared" si="33"/>
        <v>12.8</v>
      </c>
      <c r="D112" s="7">
        <f t="shared" si="35"/>
        <v>1</v>
      </c>
      <c r="E112" s="7">
        <f t="shared" si="36"/>
        <v>0</v>
      </c>
      <c r="F112" s="7">
        <f t="shared" si="37"/>
        <v>0</v>
      </c>
      <c r="G112" s="7">
        <f t="shared" si="38"/>
        <v>1</v>
      </c>
      <c r="H112" s="1">
        <f t="shared" si="22"/>
        <v>0</v>
      </c>
      <c r="I112" s="1">
        <f t="shared" si="23"/>
        <v>1</v>
      </c>
      <c r="J112" s="1">
        <f t="shared" si="24"/>
        <v>0</v>
      </c>
      <c r="K112" s="1">
        <f t="shared" si="25"/>
        <v>0</v>
      </c>
      <c r="L112" s="1" t="str">
        <f t="shared" si="34"/>
        <v>被动去库存</v>
      </c>
      <c r="O112" s="51">
        <v>42735</v>
      </c>
      <c r="P112" s="52">
        <v>19.567916964805939</v>
      </c>
      <c r="R112" s="14">
        <v>41029</v>
      </c>
      <c r="S112" s="15">
        <v>15.1</v>
      </c>
    </row>
    <row r="113" spans="1:19" x14ac:dyDescent="0.3">
      <c r="A113" s="8">
        <f t="shared" si="39"/>
        <v>42704</v>
      </c>
      <c r="B113" s="9">
        <f t="shared" si="32"/>
        <v>23.38886821875203</v>
      </c>
      <c r="C113" s="9">
        <f t="shared" si="33"/>
        <v>12.5</v>
      </c>
      <c r="D113" s="7">
        <f t="shared" si="35"/>
        <v>1</v>
      </c>
      <c r="E113" s="7">
        <f t="shared" si="36"/>
        <v>0</v>
      </c>
      <c r="F113" s="7">
        <f t="shared" si="37"/>
        <v>0</v>
      </c>
      <c r="G113" s="7">
        <f t="shared" si="38"/>
        <v>1</v>
      </c>
      <c r="H113" s="1">
        <f t="shared" si="22"/>
        <v>0</v>
      </c>
      <c r="I113" s="1">
        <f t="shared" si="23"/>
        <v>1</v>
      </c>
      <c r="J113" s="1">
        <f t="shared" si="24"/>
        <v>0</v>
      </c>
      <c r="K113" s="1">
        <f t="shared" si="25"/>
        <v>0</v>
      </c>
      <c r="L113" s="1" t="str">
        <f t="shared" si="34"/>
        <v>被动去库存</v>
      </c>
      <c r="O113" s="51">
        <v>42704</v>
      </c>
      <c r="P113" s="52">
        <v>23.38886821875203</v>
      </c>
      <c r="R113" s="14">
        <v>41060</v>
      </c>
      <c r="S113" s="15">
        <v>15.4</v>
      </c>
    </row>
    <row r="114" spans="1:19" x14ac:dyDescent="0.3">
      <c r="A114" s="8">
        <f t="shared" si="39"/>
        <v>42674</v>
      </c>
      <c r="B114" s="9">
        <f t="shared" si="32"/>
        <v>29.544868219371359</v>
      </c>
      <c r="C114" s="9">
        <f t="shared" si="33"/>
        <v>12.3</v>
      </c>
      <c r="D114" s="7">
        <f t="shared" si="35"/>
        <v>1</v>
      </c>
      <c r="E114" s="7">
        <f t="shared" si="36"/>
        <v>0</v>
      </c>
      <c r="F114" s="7">
        <f t="shared" si="37"/>
        <v>0</v>
      </c>
      <c r="G114" s="7">
        <f t="shared" si="38"/>
        <v>1</v>
      </c>
      <c r="H114" s="1">
        <f t="shared" si="22"/>
        <v>0</v>
      </c>
      <c r="I114" s="1">
        <f t="shared" si="23"/>
        <v>1</v>
      </c>
      <c r="J114" s="1">
        <f t="shared" si="24"/>
        <v>0</v>
      </c>
      <c r="K114" s="1">
        <f t="shared" si="25"/>
        <v>0</v>
      </c>
      <c r="L114" s="1" t="str">
        <f t="shared" si="34"/>
        <v>被动去库存</v>
      </c>
      <c r="O114" s="51">
        <v>42674</v>
      </c>
      <c r="P114" s="52">
        <v>29.544868219371359</v>
      </c>
      <c r="R114" s="14">
        <v>41090</v>
      </c>
      <c r="S114" s="15">
        <v>15.9</v>
      </c>
    </row>
    <row r="115" spans="1:19" x14ac:dyDescent="0.3">
      <c r="A115" s="8">
        <f t="shared" si="39"/>
        <v>42643</v>
      </c>
      <c r="B115" s="9">
        <f t="shared" si="32"/>
        <v>32.515141404405398</v>
      </c>
      <c r="C115" s="9">
        <f t="shared" si="33"/>
        <v>12</v>
      </c>
      <c r="D115" s="7">
        <f t="shared" si="35"/>
        <v>1</v>
      </c>
      <c r="E115" s="7">
        <f t="shared" si="36"/>
        <v>0</v>
      </c>
      <c r="F115" s="7">
        <f t="shared" si="37"/>
        <v>1</v>
      </c>
      <c r="G115" s="7">
        <f t="shared" si="38"/>
        <v>0</v>
      </c>
      <c r="H115" s="1">
        <f t="shared" si="22"/>
        <v>0</v>
      </c>
      <c r="I115" s="1">
        <f t="shared" si="23"/>
        <v>0</v>
      </c>
      <c r="J115" s="1">
        <f t="shared" si="24"/>
        <v>0</v>
      </c>
      <c r="K115" s="1">
        <f t="shared" si="25"/>
        <v>1</v>
      </c>
      <c r="L115" s="1" t="str">
        <f t="shared" si="34"/>
        <v>主动补库存</v>
      </c>
      <c r="O115" s="51">
        <v>42643</v>
      </c>
      <c r="P115" s="52">
        <v>32.515141404405398</v>
      </c>
      <c r="R115" s="14">
        <v>41121</v>
      </c>
      <c r="S115" s="15">
        <v>15.9</v>
      </c>
    </row>
    <row r="116" spans="1:19" x14ac:dyDescent="0.3">
      <c r="A116" s="8">
        <f t="shared" si="39"/>
        <v>42613</v>
      </c>
      <c r="B116" s="9">
        <f t="shared" si="32"/>
        <v>30.083924043068901</v>
      </c>
      <c r="C116" s="9">
        <f t="shared" si="33"/>
        <v>11.6</v>
      </c>
      <c r="D116" s="7">
        <f t="shared" si="35"/>
        <v>0</v>
      </c>
      <c r="E116" s="7">
        <f t="shared" si="36"/>
        <v>1</v>
      </c>
      <c r="F116" s="7">
        <f t="shared" si="37"/>
        <v>0</v>
      </c>
      <c r="G116" s="7">
        <f t="shared" si="38"/>
        <v>1</v>
      </c>
      <c r="H116" s="1">
        <f t="shared" si="22"/>
        <v>1</v>
      </c>
      <c r="I116" s="1">
        <f t="shared" si="23"/>
        <v>0</v>
      </c>
      <c r="J116" s="1">
        <f t="shared" si="24"/>
        <v>0</v>
      </c>
      <c r="K116" s="1">
        <f t="shared" si="25"/>
        <v>0</v>
      </c>
      <c r="L116" s="1" t="str">
        <f t="shared" si="34"/>
        <v>主动去库存</v>
      </c>
      <c r="O116" s="51">
        <v>42613</v>
      </c>
      <c r="P116" s="52">
        <v>30.083924043068901</v>
      </c>
      <c r="R116" s="14">
        <v>41152</v>
      </c>
      <c r="S116" s="15">
        <v>16.100000000000001</v>
      </c>
    </row>
    <row r="117" spans="1:19" x14ac:dyDescent="0.3">
      <c r="A117" s="8">
        <f t="shared" si="39"/>
        <v>42582</v>
      </c>
      <c r="B117" s="9">
        <f t="shared" si="32"/>
        <v>32.465218322580327</v>
      </c>
      <c r="C117" s="9">
        <f t="shared" si="33"/>
        <v>11.6</v>
      </c>
      <c r="D117" s="7">
        <f t="shared" si="35"/>
        <v>0</v>
      </c>
      <c r="E117" s="7">
        <f t="shared" si="36"/>
        <v>1</v>
      </c>
      <c r="F117" s="7">
        <f t="shared" si="37"/>
        <v>0</v>
      </c>
      <c r="G117" s="7">
        <f t="shared" si="38"/>
        <v>1</v>
      </c>
      <c r="H117" s="1">
        <f t="shared" si="22"/>
        <v>1</v>
      </c>
      <c r="I117" s="1">
        <f t="shared" si="23"/>
        <v>0</v>
      </c>
      <c r="J117" s="1">
        <f t="shared" si="24"/>
        <v>0</v>
      </c>
      <c r="K117" s="1">
        <f t="shared" si="25"/>
        <v>0</v>
      </c>
      <c r="L117" s="1" t="str">
        <f t="shared" si="34"/>
        <v>主动去库存</v>
      </c>
      <c r="O117" s="51">
        <v>42582</v>
      </c>
      <c r="P117" s="52">
        <v>32.465218322580327</v>
      </c>
      <c r="R117" s="14">
        <v>41182</v>
      </c>
      <c r="S117" s="15">
        <v>16.399999999999999</v>
      </c>
    </row>
    <row r="118" spans="1:19" x14ac:dyDescent="0.3">
      <c r="A118" s="8">
        <f t="shared" si="39"/>
        <v>42551</v>
      </c>
      <c r="B118" s="9">
        <f t="shared" si="32"/>
        <v>40.724093534499509</v>
      </c>
      <c r="C118" s="9">
        <f t="shared" si="33"/>
        <v>13</v>
      </c>
      <c r="D118" s="7">
        <f t="shared" si="35"/>
        <v>0</v>
      </c>
      <c r="E118" s="7">
        <f t="shared" si="36"/>
        <v>1</v>
      </c>
      <c r="F118" s="7">
        <f t="shared" si="37"/>
        <v>0</v>
      </c>
      <c r="G118" s="7">
        <f t="shared" si="38"/>
        <v>1</v>
      </c>
      <c r="H118" s="1">
        <f t="shared" si="22"/>
        <v>1</v>
      </c>
      <c r="I118" s="1">
        <f t="shared" si="23"/>
        <v>0</v>
      </c>
      <c r="J118" s="1">
        <f t="shared" si="24"/>
        <v>0</v>
      </c>
      <c r="K118" s="1">
        <f t="shared" si="25"/>
        <v>0</v>
      </c>
      <c r="L118" s="1" t="str">
        <f t="shared" si="34"/>
        <v>主动去库存</v>
      </c>
      <c r="O118" s="51">
        <v>42551</v>
      </c>
      <c r="P118" s="52">
        <v>40.724093534499509</v>
      </c>
      <c r="R118" s="14">
        <v>41213</v>
      </c>
      <c r="S118" s="15">
        <v>16.2</v>
      </c>
    </row>
    <row r="119" spans="1:19" x14ac:dyDescent="0.3">
      <c r="A119" s="8">
        <f t="shared" si="39"/>
        <v>42521</v>
      </c>
      <c r="B119" s="9">
        <f t="shared" si="32"/>
        <v>55.309829028737717</v>
      </c>
      <c r="C119" s="9">
        <f t="shared" si="33"/>
        <v>13</v>
      </c>
      <c r="D119" s="7">
        <f t="shared" si="35"/>
        <v>0</v>
      </c>
      <c r="E119" s="7">
        <f t="shared" si="36"/>
        <v>1</v>
      </c>
      <c r="F119" s="7">
        <f t="shared" si="37"/>
        <v>0</v>
      </c>
      <c r="G119" s="7">
        <f t="shared" si="38"/>
        <v>1</v>
      </c>
      <c r="H119" s="1">
        <f t="shared" si="22"/>
        <v>1</v>
      </c>
      <c r="I119" s="1">
        <f t="shared" si="23"/>
        <v>0</v>
      </c>
      <c r="J119" s="1">
        <f t="shared" si="24"/>
        <v>0</v>
      </c>
      <c r="K119" s="1">
        <f t="shared" si="25"/>
        <v>0</v>
      </c>
      <c r="L119" s="1" t="str">
        <f t="shared" si="34"/>
        <v>主动去库存</v>
      </c>
      <c r="O119" s="51">
        <v>42521</v>
      </c>
      <c r="P119" s="52">
        <v>55.309829028737717</v>
      </c>
      <c r="R119" s="14">
        <v>41243</v>
      </c>
      <c r="S119" s="15">
        <v>16.100000000000001</v>
      </c>
    </row>
    <row r="120" spans="1:19" x14ac:dyDescent="0.3">
      <c r="A120" s="8">
        <f t="shared" si="39"/>
        <v>42490</v>
      </c>
      <c r="B120" s="9">
        <f t="shared" si="32"/>
        <v>61.234603097930183</v>
      </c>
      <c r="C120" s="9">
        <f t="shared" si="33"/>
        <v>13.1</v>
      </c>
      <c r="D120" s="7">
        <f t="shared" si="35"/>
        <v>0</v>
      </c>
      <c r="E120" s="7">
        <f t="shared" si="36"/>
        <v>1</v>
      </c>
      <c r="F120" s="7">
        <f t="shared" si="37"/>
        <v>1</v>
      </c>
      <c r="G120" s="7">
        <f t="shared" si="38"/>
        <v>0</v>
      </c>
      <c r="H120" s="1">
        <f t="shared" si="22"/>
        <v>0</v>
      </c>
      <c r="I120" s="1">
        <f t="shared" si="23"/>
        <v>0</v>
      </c>
      <c r="J120" s="1">
        <f t="shared" si="24"/>
        <v>1</v>
      </c>
      <c r="K120" s="1">
        <f t="shared" si="25"/>
        <v>0</v>
      </c>
      <c r="L120" s="1" t="str">
        <f t="shared" si="34"/>
        <v>被动补库存</v>
      </c>
      <c r="O120" s="51">
        <v>42490</v>
      </c>
      <c r="P120" s="52">
        <v>61.234603097930183</v>
      </c>
      <c r="R120" s="14">
        <v>41274</v>
      </c>
      <c r="S120" s="15">
        <v>15.6</v>
      </c>
    </row>
    <row r="121" spans="1:19" x14ac:dyDescent="0.3">
      <c r="A121" s="8">
        <f t="shared" si="39"/>
        <v>42460</v>
      </c>
      <c r="B121" s="9">
        <f t="shared" si="32"/>
        <v>60.607160697576987</v>
      </c>
      <c r="C121" s="9">
        <f t="shared" si="33"/>
        <v>13.4</v>
      </c>
      <c r="D121" s="7">
        <f t="shared" si="35"/>
        <v>0</v>
      </c>
      <c r="E121" s="7">
        <f t="shared" si="36"/>
        <v>1</v>
      </c>
      <c r="F121" s="7">
        <f t="shared" si="37"/>
        <v>1</v>
      </c>
      <c r="G121" s="7">
        <f t="shared" si="38"/>
        <v>0</v>
      </c>
      <c r="H121" s="1">
        <f t="shared" si="22"/>
        <v>0</v>
      </c>
      <c r="I121" s="1">
        <f t="shared" si="23"/>
        <v>0</v>
      </c>
      <c r="J121" s="1">
        <f t="shared" si="24"/>
        <v>1</v>
      </c>
      <c r="K121" s="1">
        <f t="shared" si="25"/>
        <v>0</v>
      </c>
      <c r="L121" s="1" t="str">
        <f t="shared" si="34"/>
        <v>被动补库存</v>
      </c>
      <c r="O121" s="51">
        <v>42460</v>
      </c>
      <c r="P121" s="52">
        <v>60.607160697576987</v>
      </c>
      <c r="R121" s="14">
        <v>41305</v>
      </c>
      <c r="S121" s="15">
        <v>16.399999999999999</v>
      </c>
    </row>
    <row r="122" spans="1:19" x14ac:dyDescent="0.3">
      <c r="A122" s="8">
        <f t="shared" si="39"/>
        <v>42429</v>
      </c>
      <c r="B122" s="9">
        <f t="shared" si="32"/>
        <v>60.38475503378492</v>
      </c>
      <c r="C122" s="9">
        <f t="shared" si="33"/>
        <v>13.6</v>
      </c>
      <c r="D122" s="7">
        <f t="shared" si="35"/>
        <v>0</v>
      </c>
      <c r="E122" s="7">
        <f t="shared" si="36"/>
        <v>1</v>
      </c>
      <c r="F122" s="7">
        <f t="shared" si="37"/>
        <v>0</v>
      </c>
      <c r="G122" s="7">
        <f t="shared" si="38"/>
        <v>1</v>
      </c>
      <c r="H122" s="1">
        <f t="shared" si="22"/>
        <v>1</v>
      </c>
      <c r="I122" s="1">
        <f t="shared" si="23"/>
        <v>0</v>
      </c>
      <c r="J122" s="1">
        <f t="shared" si="24"/>
        <v>0</v>
      </c>
      <c r="K122" s="1">
        <f t="shared" si="25"/>
        <v>0</v>
      </c>
      <c r="L122" s="1" t="str">
        <f t="shared" si="34"/>
        <v>主动去库存</v>
      </c>
      <c r="O122" s="51">
        <v>42429</v>
      </c>
      <c r="P122" s="52">
        <v>60.38475503378492</v>
      </c>
      <c r="R122" s="14">
        <v>41333</v>
      </c>
      <c r="S122" s="15">
        <v>16.100000000000001</v>
      </c>
    </row>
    <row r="123" spans="1:19" x14ac:dyDescent="0.3">
      <c r="A123" s="8">
        <f t="shared" si="39"/>
        <v>42400</v>
      </c>
      <c r="B123" s="9">
        <f t="shared" si="32"/>
        <v>64.456029600864923</v>
      </c>
      <c r="C123" s="9">
        <f t="shared" si="33"/>
        <v>14.1</v>
      </c>
      <c r="D123" s="7">
        <f t="shared" si="35"/>
        <v>1</v>
      </c>
      <c r="E123" s="7">
        <f t="shared" si="36"/>
        <v>0</v>
      </c>
      <c r="F123" s="7">
        <f t="shared" si="37"/>
        <v>1</v>
      </c>
      <c r="G123" s="7">
        <f t="shared" si="38"/>
        <v>0</v>
      </c>
      <c r="H123" s="1">
        <f t="shared" si="22"/>
        <v>0</v>
      </c>
      <c r="I123" s="1">
        <f t="shared" si="23"/>
        <v>0</v>
      </c>
      <c r="J123" s="1">
        <f t="shared" si="24"/>
        <v>0</v>
      </c>
      <c r="K123" s="1">
        <f t="shared" si="25"/>
        <v>1</v>
      </c>
      <c r="L123" s="1" t="str">
        <f t="shared" si="34"/>
        <v>主动补库存</v>
      </c>
      <c r="O123" s="51">
        <v>42400</v>
      </c>
      <c r="P123" s="52">
        <v>64.456029600864923</v>
      </c>
      <c r="R123" s="14">
        <v>41364</v>
      </c>
      <c r="S123" s="15">
        <v>16</v>
      </c>
    </row>
    <row r="124" spans="1:19" x14ac:dyDescent="0.3">
      <c r="A124" s="8">
        <f t="shared" si="39"/>
        <v>42369</v>
      </c>
      <c r="B124" s="9">
        <f t="shared" si="32"/>
        <v>56.863028768836941</v>
      </c>
      <c r="C124" s="9">
        <f t="shared" si="33"/>
        <v>13.4</v>
      </c>
      <c r="D124" s="7">
        <f t="shared" si="35"/>
        <v>0</v>
      </c>
      <c r="E124" s="7">
        <f t="shared" si="36"/>
        <v>1</v>
      </c>
      <c r="F124" s="7">
        <f t="shared" si="37"/>
        <v>1</v>
      </c>
      <c r="G124" s="7">
        <f t="shared" si="38"/>
        <v>0</v>
      </c>
      <c r="H124" s="1">
        <f t="shared" si="22"/>
        <v>0</v>
      </c>
      <c r="I124" s="1">
        <f t="shared" si="23"/>
        <v>0</v>
      </c>
      <c r="J124" s="1">
        <f t="shared" si="24"/>
        <v>1</v>
      </c>
      <c r="K124" s="1">
        <f t="shared" si="25"/>
        <v>0</v>
      </c>
      <c r="L124" s="1" t="str">
        <f t="shared" si="34"/>
        <v>被动补库存</v>
      </c>
      <c r="O124" s="51">
        <v>42369</v>
      </c>
      <c r="P124" s="52">
        <v>56.863028768836941</v>
      </c>
      <c r="R124" s="14">
        <v>41394</v>
      </c>
      <c r="S124" s="15">
        <v>16.100000000000001</v>
      </c>
    </row>
    <row r="125" spans="1:19" x14ac:dyDescent="0.3">
      <c r="A125" s="8">
        <f t="shared" si="39"/>
        <v>42338</v>
      </c>
      <c r="B125" s="9">
        <f t="shared" si="32"/>
        <v>51.738067528749731</v>
      </c>
      <c r="C125" s="9">
        <f t="shared" si="33"/>
        <v>13.9</v>
      </c>
      <c r="D125" s="7">
        <f t="shared" si="35"/>
        <v>0</v>
      </c>
      <c r="E125" s="7">
        <f t="shared" si="36"/>
        <v>1</v>
      </c>
      <c r="F125" s="7">
        <f t="shared" si="37"/>
        <v>0</v>
      </c>
      <c r="G125" s="7">
        <f t="shared" si="38"/>
        <v>1</v>
      </c>
      <c r="H125" s="1">
        <f t="shared" si="22"/>
        <v>1</v>
      </c>
      <c r="I125" s="1">
        <f t="shared" si="23"/>
        <v>0</v>
      </c>
      <c r="J125" s="1">
        <f t="shared" si="24"/>
        <v>0</v>
      </c>
      <c r="K125" s="1">
        <f t="shared" si="25"/>
        <v>0</v>
      </c>
      <c r="L125" s="1" t="str">
        <f t="shared" si="34"/>
        <v>主动去库存</v>
      </c>
      <c r="O125" s="51">
        <v>42338</v>
      </c>
      <c r="P125" s="52">
        <v>51.738067528749731</v>
      </c>
      <c r="R125" s="14">
        <v>41425</v>
      </c>
      <c r="S125" s="15">
        <v>15.6</v>
      </c>
    </row>
    <row r="126" spans="1:19" x14ac:dyDescent="0.3">
      <c r="A126" s="8">
        <f t="shared" si="39"/>
        <v>42308</v>
      </c>
      <c r="B126" s="9">
        <f t="shared" si="32"/>
        <v>59.738104669318069</v>
      </c>
      <c r="C126" s="9">
        <f t="shared" si="33"/>
        <v>14.4</v>
      </c>
      <c r="D126" s="7">
        <f t="shared" si="35"/>
        <v>1</v>
      </c>
      <c r="E126" s="7">
        <f t="shared" si="36"/>
        <v>0</v>
      </c>
      <c r="F126" s="7">
        <f t="shared" si="37"/>
        <v>0</v>
      </c>
      <c r="G126" s="7">
        <f t="shared" si="38"/>
        <v>1</v>
      </c>
      <c r="H126" s="1">
        <f t="shared" si="22"/>
        <v>0</v>
      </c>
      <c r="I126" s="1">
        <f t="shared" si="23"/>
        <v>1</v>
      </c>
      <c r="J126" s="1">
        <f t="shared" si="24"/>
        <v>0</v>
      </c>
      <c r="K126" s="1">
        <f t="shared" si="25"/>
        <v>0</v>
      </c>
      <c r="L126" s="1" t="str">
        <f t="shared" si="34"/>
        <v>被动去库存</v>
      </c>
      <c r="O126" s="51">
        <v>42308</v>
      </c>
      <c r="P126" s="52">
        <v>59.738104669318069</v>
      </c>
      <c r="R126" s="14">
        <v>41455</v>
      </c>
      <c r="S126" s="15">
        <v>15.1</v>
      </c>
    </row>
    <row r="127" spans="1:19" x14ac:dyDescent="0.3">
      <c r="A127" s="8">
        <f t="shared" si="39"/>
        <v>42277</v>
      </c>
      <c r="B127" s="9">
        <f t="shared" si="32"/>
        <v>59.866371609249093</v>
      </c>
      <c r="C127" s="9">
        <f t="shared" si="33"/>
        <v>12.4</v>
      </c>
      <c r="D127" s="7">
        <f t="shared" si="35"/>
        <v>0</v>
      </c>
      <c r="E127" s="7">
        <f t="shared" si="36"/>
        <v>1</v>
      </c>
      <c r="F127" s="7">
        <f t="shared" si="37"/>
        <v>0</v>
      </c>
      <c r="G127" s="7">
        <f t="shared" si="38"/>
        <v>1</v>
      </c>
      <c r="H127" s="1">
        <f t="shared" si="22"/>
        <v>1</v>
      </c>
      <c r="I127" s="1">
        <f t="shared" si="23"/>
        <v>0</v>
      </c>
      <c r="J127" s="1">
        <f t="shared" si="24"/>
        <v>0</v>
      </c>
      <c r="K127" s="1">
        <f t="shared" si="25"/>
        <v>0</v>
      </c>
      <c r="L127" s="1" t="str">
        <f t="shared" si="34"/>
        <v>主动去库存</v>
      </c>
      <c r="O127" s="51">
        <v>42277</v>
      </c>
      <c r="P127" s="52">
        <v>59.866371609249093</v>
      </c>
      <c r="R127" s="14">
        <v>41486</v>
      </c>
      <c r="S127" s="15">
        <v>15</v>
      </c>
    </row>
    <row r="128" spans="1:19" x14ac:dyDescent="0.3">
      <c r="A128" s="8">
        <f t="shared" si="39"/>
        <v>42247</v>
      </c>
      <c r="B128" s="9">
        <f t="shared" si="32"/>
        <v>64.014843644418676</v>
      </c>
      <c r="C128" s="9">
        <f t="shared" si="33"/>
        <v>14.7</v>
      </c>
      <c r="D128" s="7">
        <f t="shared" si="35"/>
        <v>1</v>
      </c>
      <c r="E128" s="7">
        <f t="shared" si="36"/>
        <v>0</v>
      </c>
      <c r="F128" s="7">
        <f t="shared" si="37"/>
        <v>0</v>
      </c>
      <c r="G128" s="7">
        <f t="shared" si="38"/>
        <v>1</v>
      </c>
      <c r="H128" s="1">
        <f t="shared" si="22"/>
        <v>0</v>
      </c>
      <c r="I128" s="1">
        <f t="shared" si="23"/>
        <v>1</v>
      </c>
      <c r="J128" s="1">
        <f t="shared" si="24"/>
        <v>0</v>
      </c>
      <c r="K128" s="1">
        <f t="shared" si="25"/>
        <v>0</v>
      </c>
      <c r="L128" s="1" t="str">
        <f t="shared" si="34"/>
        <v>被动去库存</v>
      </c>
      <c r="O128" s="51">
        <v>42247</v>
      </c>
      <c r="P128" s="52">
        <v>64.014843644418676</v>
      </c>
      <c r="R128" s="14">
        <v>41517</v>
      </c>
      <c r="S128" s="15">
        <v>14.6</v>
      </c>
    </row>
    <row r="129" spans="1:19" x14ac:dyDescent="0.3">
      <c r="A129" s="8">
        <f t="shared" si="39"/>
        <v>42216</v>
      </c>
      <c r="B129" s="9">
        <f t="shared" si="32"/>
        <v>70.013050708316669</v>
      </c>
      <c r="C129" s="9">
        <f t="shared" si="33"/>
        <v>14.4</v>
      </c>
      <c r="D129" s="7">
        <f t="shared" si="35"/>
        <v>1</v>
      </c>
      <c r="E129" s="7">
        <f t="shared" si="36"/>
        <v>0</v>
      </c>
      <c r="F129" s="7">
        <f t="shared" si="37"/>
        <v>0</v>
      </c>
      <c r="G129" s="7">
        <f t="shared" si="38"/>
        <v>1</v>
      </c>
      <c r="H129" s="1">
        <f t="shared" si="22"/>
        <v>0</v>
      </c>
      <c r="I129" s="1">
        <f t="shared" si="23"/>
        <v>1</v>
      </c>
      <c r="J129" s="1">
        <f t="shared" si="24"/>
        <v>0</v>
      </c>
      <c r="K129" s="1">
        <f t="shared" si="25"/>
        <v>0</v>
      </c>
      <c r="L129" s="1" t="str">
        <f t="shared" si="34"/>
        <v>被动去库存</v>
      </c>
      <c r="O129" s="51">
        <v>42216</v>
      </c>
      <c r="P129" s="52">
        <v>70.013050708316669</v>
      </c>
      <c r="R129" s="14">
        <v>41547</v>
      </c>
      <c r="S129" s="15">
        <v>14.6</v>
      </c>
    </row>
    <row r="130" spans="1:19" x14ac:dyDescent="0.3">
      <c r="A130" s="8">
        <f t="shared" si="39"/>
        <v>42185</v>
      </c>
      <c r="B130" s="9">
        <f t="shared" si="32"/>
        <v>71.681830934379775</v>
      </c>
      <c r="C130" s="9">
        <f t="shared" si="33"/>
        <v>12.5</v>
      </c>
      <c r="D130" s="7">
        <f t="shared" si="35"/>
        <v>0</v>
      </c>
      <c r="E130" s="7">
        <f t="shared" si="36"/>
        <v>1</v>
      </c>
      <c r="F130" s="7">
        <f t="shared" si="37"/>
        <v>1</v>
      </c>
      <c r="G130" s="7">
        <f t="shared" si="38"/>
        <v>0</v>
      </c>
      <c r="H130" s="1">
        <f t="shared" si="22"/>
        <v>0</v>
      </c>
      <c r="I130" s="1">
        <f t="shared" si="23"/>
        <v>0</v>
      </c>
      <c r="J130" s="1">
        <f t="shared" si="24"/>
        <v>1</v>
      </c>
      <c r="K130" s="1">
        <f t="shared" si="25"/>
        <v>0</v>
      </c>
      <c r="L130" s="1" t="str">
        <f t="shared" si="34"/>
        <v>被动补库存</v>
      </c>
      <c r="O130" s="51">
        <v>42185</v>
      </c>
      <c r="P130" s="52">
        <v>71.681830934379775</v>
      </c>
      <c r="R130" s="14">
        <v>41578</v>
      </c>
      <c r="S130" s="15">
        <v>14.3</v>
      </c>
    </row>
    <row r="131" spans="1:19" x14ac:dyDescent="0.3">
      <c r="A131" s="8">
        <f t="shared" si="39"/>
        <v>42155</v>
      </c>
      <c r="B131" s="9">
        <f t="shared" si="32"/>
        <v>61.78848965236368</v>
      </c>
      <c r="C131" s="9">
        <f t="shared" si="33"/>
        <v>13.1</v>
      </c>
      <c r="D131" s="7">
        <f t="shared" si="35"/>
        <v>0</v>
      </c>
      <c r="E131" s="7">
        <f t="shared" si="36"/>
        <v>1</v>
      </c>
      <c r="F131" s="7">
        <f t="shared" si="37"/>
        <v>0</v>
      </c>
      <c r="G131" s="7">
        <f t="shared" si="38"/>
        <v>1</v>
      </c>
      <c r="H131" s="1">
        <f t="shared" si="22"/>
        <v>1</v>
      </c>
      <c r="I131" s="1">
        <f t="shared" si="23"/>
        <v>0</v>
      </c>
      <c r="J131" s="1">
        <f t="shared" si="24"/>
        <v>0</v>
      </c>
      <c r="K131" s="1">
        <f t="shared" si="25"/>
        <v>0</v>
      </c>
      <c r="L131" s="1" t="str">
        <f t="shared" si="34"/>
        <v>主动去库存</v>
      </c>
      <c r="O131" s="51">
        <v>42155</v>
      </c>
      <c r="P131" s="52">
        <v>61.78848965236368</v>
      </c>
      <c r="R131" s="14">
        <v>41608</v>
      </c>
      <c r="S131" s="15">
        <v>14.2</v>
      </c>
    </row>
    <row r="132" spans="1:19" x14ac:dyDescent="0.3">
      <c r="A132" s="8">
        <f t="shared" si="39"/>
        <v>42124</v>
      </c>
      <c r="B132" s="9">
        <f t="shared" ref="B132:B163" si="40">VLOOKUP(A132,O:P,2,0)</f>
        <v>63.147974375535703</v>
      </c>
      <c r="C132" s="9">
        <f t="shared" ref="C132:C163" si="41">VLOOKUP(A132,R:S,2,0)</f>
        <v>13.4</v>
      </c>
      <c r="D132" s="7">
        <f t="shared" si="35"/>
        <v>1</v>
      </c>
      <c r="E132" s="7">
        <f t="shared" si="36"/>
        <v>0</v>
      </c>
      <c r="F132" s="7">
        <f t="shared" si="37"/>
        <v>0</v>
      </c>
      <c r="G132" s="7">
        <f t="shared" si="38"/>
        <v>1</v>
      </c>
      <c r="H132" s="1">
        <f t="shared" ref="H132:H176" si="42">INT(AND(G132=1,E132=1))</f>
        <v>0</v>
      </c>
      <c r="I132" s="1">
        <f t="shared" ref="I132:I176" si="43">INT(AND(G132=1,D132=1))</f>
        <v>1</v>
      </c>
      <c r="J132" s="1">
        <f t="shared" ref="J132:J176" si="44">INT(AND(F132=1,E132=1))</f>
        <v>0</v>
      </c>
      <c r="K132" s="1">
        <f t="shared" ref="K132:K176" si="45">INT(AND(F132=1,D132=1))</f>
        <v>0</v>
      </c>
      <c r="L132" s="1" t="str">
        <f t="shared" ref="L132:L163" si="46">INDEX($H$3:$K$3,1,MATCH(1,H132:K132,0))</f>
        <v>被动去库存</v>
      </c>
      <c r="O132" s="51">
        <v>42124</v>
      </c>
      <c r="P132" s="52">
        <v>63.147974375535703</v>
      </c>
      <c r="R132" s="14">
        <v>41639</v>
      </c>
      <c r="S132" s="15">
        <v>13.9</v>
      </c>
    </row>
    <row r="133" spans="1:19" x14ac:dyDescent="0.3">
      <c r="A133" s="8">
        <f t="shared" si="39"/>
        <v>42094</v>
      </c>
      <c r="B133" s="9">
        <f t="shared" si="40"/>
        <v>63.350369795822587</v>
      </c>
      <c r="C133" s="9">
        <f t="shared" si="41"/>
        <v>13.3</v>
      </c>
      <c r="D133" s="7">
        <f t="shared" ref="D133:D176" si="47">IF(C133&gt;C134,1,0)</f>
        <v>0</v>
      </c>
      <c r="E133" s="7">
        <f t="shared" ref="E133:E176" si="48">1-D133</f>
        <v>1</v>
      </c>
      <c r="F133" s="7">
        <f t="shared" ref="F133:F176" si="49">IF(B133&gt;B134,1,0)</f>
        <v>0</v>
      </c>
      <c r="G133" s="7">
        <f t="shared" ref="G133:G176" si="50">1-F133</f>
        <v>1</v>
      </c>
      <c r="H133" s="1">
        <f t="shared" si="42"/>
        <v>1</v>
      </c>
      <c r="I133" s="1">
        <f t="shared" si="43"/>
        <v>0</v>
      </c>
      <c r="J133" s="1">
        <f t="shared" si="44"/>
        <v>0</v>
      </c>
      <c r="K133" s="1">
        <f t="shared" si="45"/>
        <v>0</v>
      </c>
      <c r="L133" s="1" t="str">
        <f t="shared" si="46"/>
        <v>主动去库存</v>
      </c>
      <c r="O133" s="51">
        <v>42094</v>
      </c>
      <c r="P133" s="52">
        <v>63.350369795822587</v>
      </c>
      <c r="R133" s="14">
        <v>41670</v>
      </c>
      <c r="S133" s="15">
        <v>14</v>
      </c>
    </row>
    <row r="134" spans="1:19" x14ac:dyDescent="0.3">
      <c r="A134" s="8">
        <f t="shared" ref="A134:A176" si="51">EOMONTH(A133,-1)</f>
        <v>42063</v>
      </c>
      <c r="B134" s="9">
        <f t="shared" si="40"/>
        <v>65.307148193893354</v>
      </c>
      <c r="C134" s="9">
        <f t="shared" si="41"/>
        <v>13.8</v>
      </c>
      <c r="D134" s="7">
        <f t="shared" si="47"/>
        <v>1</v>
      </c>
      <c r="E134" s="7">
        <f t="shared" si="48"/>
        <v>0</v>
      </c>
      <c r="F134" s="7">
        <f t="shared" si="49"/>
        <v>1</v>
      </c>
      <c r="G134" s="7">
        <f t="shared" si="50"/>
        <v>0</v>
      </c>
      <c r="H134" s="1">
        <f t="shared" si="42"/>
        <v>0</v>
      </c>
      <c r="I134" s="1">
        <f t="shared" si="43"/>
        <v>0</v>
      </c>
      <c r="J134" s="1">
        <f t="shared" si="44"/>
        <v>0</v>
      </c>
      <c r="K134" s="1">
        <f t="shared" si="45"/>
        <v>1</v>
      </c>
      <c r="L134" s="1" t="str">
        <f t="shared" si="46"/>
        <v>主动补库存</v>
      </c>
      <c r="O134" s="51">
        <v>42063</v>
      </c>
      <c r="P134" s="52">
        <v>65.307148193893354</v>
      </c>
      <c r="R134" s="14">
        <v>41698</v>
      </c>
      <c r="S134" s="15">
        <v>13.9</v>
      </c>
    </row>
    <row r="135" spans="1:19" x14ac:dyDescent="0.3">
      <c r="A135" s="8">
        <f t="shared" si="51"/>
        <v>42035</v>
      </c>
      <c r="B135" s="9">
        <f t="shared" si="40"/>
        <v>60.321182553688502</v>
      </c>
      <c r="C135" s="9">
        <f t="shared" si="41"/>
        <v>13.7</v>
      </c>
      <c r="D135" s="7">
        <f t="shared" si="47"/>
        <v>1</v>
      </c>
      <c r="E135" s="7">
        <f t="shared" si="48"/>
        <v>0</v>
      </c>
      <c r="F135" s="7">
        <f t="shared" si="49"/>
        <v>1</v>
      </c>
      <c r="G135" s="7">
        <f t="shared" si="50"/>
        <v>0</v>
      </c>
      <c r="H135" s="1">
        <f t="shared" si="42"/>
        <v>0</v>
      </c>
      <c r="I135" s="1">
        <f t="shared" si="43"/>
        <v>0</v>
      </c>
      <c r="J135" s="1">
        <f t="shared" si="44"/>
        <v>0</v>
      </c>
      <c r="K135" s="1">
        <f t="shared" si="45"/>
        <v>1</v>
      </c>
      <c r="L135" s="1" t="str">
        <f t="shared" si="46"/>
        <v>主动补库存</v>
      </c>
      <c r="O135" s="51">
        <v>42035</v>
      </c>
      <c r="P135" s="52">
        <v>60.321182553688502</v>
      </c>
      <c r="R135" s="14">
        <v>41729</v>
      </c>
      <c r="S135" s="15">
        <v>13.7</v>
      </c>
    </row>
    <row r="136" spans="1:19" x14ac:dyDescent="0.3">
      <c r="A136" s="8">
        <f t="shared" si="51"/>
        <v>42004</v>
      </c>
      <c r="B136" s="9">
        <f t="shared" si="40"/>
        <v>48.86909257936103</v>
      </c>
      <c r="C136" s="9">
        <f t="shared" si="41"/>
        <v>13.3</v>
      </c>
      <c r="D136" s="7">
        <f t="shared" si="47"/>
        <v>1</v>
      </c>
      <c r="E136" s="7">
        <f t="shared" si="48"/>
        <v>0</v>
      </c>
      <c r="F136" s="7">
        <f t="shared" si="49"/>
        <v>0</v>
      </c>
      <c r="G136" s="7">
        <f t="shared" si="50"/>
        <v>1</v>
      </c>
      <c r="H136" s="1">
        <f t="shared" si="42"/>
        <v>0</v>
      </c>
      <c r="I136" s="1">
        <f t="shared" si="43"/>
        <v>1</v>
      </c>
      <c r="J136" s="1">
        <f t="shared" si="44"/>
        <v>0</v>
      </c>
      <c r="K136" s="1">
        <f t="shared" si="45"/>
        <v>0</v>
      </c>
      <c r="L136" s="1" t="str">
        <f t="shared" si="46"/>
        <v>被动去库存</v>
      </c>
      <c r="O136" s="51">
        <v>42004</v>
      </c>
      <c r="P136" s="52">
        <v>48.86909257936103</v>
      </c>
      <c r="R136" s="14">
        <v>41759</v>
      </c>
      <c r="S136" s="15">
        <v>13.4</v>
      </c>
    </row>
    <row r="137" spans="1:19" x14ac:dyDescent="0.3">
      <c r="A137" s="8">
        <f t="shared" si="51"/>
        <v>41973</v>
      </c>
      <c r="B137" s="9">
        <f t="shared" si="40"/>
        <v>52.267391302182368</v>
      </c>
      <c r="C137" s="9">
        <f t="shared" si="41"/>
        <v>13</v>
      </c>
      <c r="D137" s="7">
        <f t="shared" si="47"/>
        <v>1</v>
      </c>
      <c r="E137" s="7">
        <f t="shared" si="48"/>
        <v>0</v>
      </c>
      <c r="F137" s="7">
        <f t="shared" si="49"/>
        <v>1</v>
      </c>
      <c r="G137" s="7">
        <f t="shared" si="50"/>
        <v>0</v>
      </c>
      <c r="H137" s="1">
        <f t="shared" si="42"/>
        <v>0</v>
      </c>
      <c r="I137" s="1">
        <f t="shared" si="43"/>
        <v>0</v>
      </c>
      <c r="J137" s="1">
        <f t="shared" si="44"/>
        <v>0</v>
      </c>
      <c r="K137" s="1">
        <f t="shared" si="45"/>
        <v>1</v>
      </c>
      <c r="L137" s="1" t="str">
        <f t="shared" si="46"/>
        <v>主动补库存</v>
      </c>
      <c r="O137" s="51">
        <v>41973</v>
      </c>
      <c r="P137" s="52">
        <v>52.267391302182368</v>
      </c>
      <c r="R137" s="14">
        <v>41790</v>
      </c>
      <c r="S137" s="15">
        <v>13.6</v>
      </c>
    </row>
    <row r="138" spans="1:19" x14ac:dyDescent="0.3">
      <c r="A138" s="8">
        <f t="shared" si="51"/>
        <v>41943</v>
      </c>
      <c r="B138" s="9">
        <f t="shared" si="40"/>
        <v>41.54019205134508</v>
      </c>
      <c r="C138" s="9">
        <f t="shared" si="41"/>
        <v>12.9</v>
      </c>
      <c r="D138" s="7">
        <f t="shared" si="47"/>
        <v>0</v>
      </c>
      <c r="E138" s="7">
        <f t="shared" si="48"/>
        <v>1</v>
      </c>
      <c r="F138" s="7">
        <f t="shared" si="49"/>
        <v>1</v>
      </c>
      <c r="G138" s="7">
        <f t="shared" si="50"/>
        <v>0</v>
      </c>
      <c r="H138" s="1">
        <f t="shared" si="42"/>
        <v>0</v>
      </c>
      <c r="I138" s="1">
        <f t="shared" si="43"/>
        <v>0</v>
      </c>
      <c r="J138" s="1">
        <f t="shared" si="44"/>
        <v>1</v>
      </c>
      <c r="K138" s="1">
        <f t="shared" si="45"/>
        <v>0</v>
      </c>
      <c r="L138" s="1" t="str">
        <f t="shared" si="46"/>
        <v>被动补库存</v>
      </c>
      <c r="O138" s="51">
        <v>41943</v>
      </c>
      <c r="P138" s="52">
        <v>41.54019205134508</v>
      </c>
      <c r="R138" s="14">
        <v>41820</v>
      </c>
      <c r="S138" s="15">
        <v>13.7</v>
      </c>
    </row>
    <row r="139" spans="1:19" x14ac:dyDescent="0.3">
      <c r="A139" s="8">
        <f t="shared" si="51"/>
        <v>41912</v>
      </c>
      <c r="B139" s="9">
        <f t="shared" si="40"/>
        <v>31.001084319037449</v>
      </c>
      <c r="C139" s="9">
        <f t="shared" si="41"/>
        <v>13</v>
      </c>
      <c r="D139" s="7">
        <f t="shared" si="47"/>
        <v>0</v>
      </c>
      <c r="E139" s="7">
        <f t="shared" si="48"/>
        <v>1</v>
      </c>
      <c r="F139" s="7">
        <f t="shared" si="49"/>
        <v>1</v>
      </c>
      <c r="G139" s="7">
        <f t="shared" si="50"/>
        <v>0</v>
      </c>
      <c r="H139" s="1">
        <f t="shared" si="42"/>
        <v>0</v>
      </c>
      <c r="I139" s="1">
        <f t="shared" si="43"/>
        <v>0</v>
      </c>
      <c r="J139" s="1">
        <f t="shared" si="44"/>
        <v>1</v>
      </c>
      <c r="K139" s="1">
        <f t="shared" si="45"/>
        <v>0</v>
      </c>
      <c r="L139" s="1" t="str">
        <f t="shared" si="46"/>
        <v>被动补库存</v>
      </c>
      <c r="O139" s="51">
        <v>41912</v>
      </c>
      <c r="P139" s="52">
        <v>31.001084319037449</v>
      </c>
      <c r="R139" s="14">
        <v>41851</v>
      </c>
      <c r="S139" s="15">
        <v>13.3</v>
      </c>
    </row>
    <row r="140" spans="1:19" x14ac:dyDescent="0.3">
      <c r="A140" s="8">
        <f t="shared" si="51"/>
        <v>41882</v>
      </c>
      <c r="B140" s="9">
        <f t="shared" si="40"/>
        <v>18.094920750175309</v>
      </c>
      <c r="C140" s="9">
        <f t="shared" si="41"/>
        <v>13.2</v>
      </c>
      <c r="D140" s="7">
        <f t="shared" si="47"/>
        <v>0</v>
      </c>
      <c r="E140" s="7">
        <f t="shared" si="48"/>
        <v>1</v>
      </c>
      <c r="F140" s="7">
        <f t="shared" si="49"/>
        <v>1</v>
      </c>
      <c r="G140" s="7">
        <f t="shared" si="50"/>
        <v>0</v>
      </c>
      <c r="H140" s="1">
        <f t="shared" si="42"/>
        <v>0</v>
      </c>
      <c r="I140" s="1">
        <f t="shared" si="43"/>
        <v>0</v>
      </c>
      <c r="J140" s="1">
        <f t="shared" si="44"/>
        <v>1</v>
      </c>
      <c r="K140" s="1">
        <f t="shared" si="45"/>
        <v>0</v>
      </c>
      <c r="L140" s="1" t="str">
        <f t="shared" si="46"/>
        <v>被动补库存</v>
      </c>
      <c r="O140" s="51">
        <v>41882</v>
      </c>
      <c r="P140" s="52">
        <v>18.094920750175309</v>
      </c>
      <c r="R140" s="14">
        <v>41882</v>
      </c>
      <c r="S140" s="15">
        <v>13.2</v>
      </c>
    </row>
    <row r="141" spans="1:19" x14ac:dyDescent="0.3">
      <c r="A141" s="8">
        <f t="shared" si="51"/>
        <v>41851</v>
      </c>
      <c r="B141" s="9">
        <f t="shared" si="40"/>
        <v>6.7926289325367852</v>
      </c>
      <c r="C141" s="9">
        <f t="shared" si="41"/>
        <v>13.3</v>
      </c>
      <c r="D141" s="7">
        <f t="shared" si="47"/>
        <v>0</v>
      </c>
      <c r="E141" s="7">
        <f t="shared" si="48"/>
        <v>1</v>
      </c>
      <c r="F141" s="7">
        <f t="shared" si="49"/>
        <v>1</v>
      </c>
      <c r="G141" s="7">
        <f t="shared" si="50"/>
        <v>0</v>
      </c>
      <c r="H141" s="1">
        <f t="shared" si="42"/>
        <v>0</v>
      </c>
      <c r="I141" s="1">
        <f t="shared" si="43"/>
        <v>0</v>
      </c>
      <c r="J141" s="1">
        <f t="shared" si="44"/>
        <v>1</v>
      </c>
      <c r="K141" s="1">
        <f t="shared" si="45"/>
        <v>0</v>
      </c>
      <c r="L141" s="1" t="str">
        <f t="shared" si="46"/>
        <v>被动补库存</v>
      </c>
      <c r="O141" s="51">
        <v>41851</v>
      </c>
      <c r="P141" s="52">
        <v>6.7926289325367852</v>
      </c>
      <c r="R141" s="14">
        <v>41912</v>
      </c>
      <c r="S141" s="15">
        <v>13</v>
      </c>
    </row>
    <row r="142" spans="1:19" x14ac:dyDescent="0.3">
      <c r="A142" s="8">
        <f t="shared" si="51"/>
        <v>41820</v>
      </c>
      <c r="B142" s="9">
        <f t="shared" si="40"/>
        <v>-5.3922686578061736</v>
      </c>
      <c r="C142" s="9">
        <f t="shared" si="41"/>
        <v>13.7</v>
      </c>
      <c r="D142" s="7">
        <f t="shared" si="47"/>
        <v>1</v>
      </c>
      <c r="E142" s="7">
        <f t="shared" si="48"/>
        <v>0</v>
      </c>
      <c r="F142" s="7">
        <f t="shared" si="49"/>
        <v>1</v>
      </c>
      <c r="G142" s="7">
        <f t="shared" si="50"/>
        <v>0</v>
      </c>
      <c r="H142" s="1">
        <f t="shared" si="42"/>
        <v>0</v>
      </c>
      <c r="I142" s="1">
        <f t="shared" si="43"/>
        <v>0</v>
      </c>
      <c r="J142" s="1">
        <f t="shared" si="44"/>
        <v>0</v>
      </c>
      <c r="K142" s="1">
        <f t="shared" si="45"/>
        <v>1</v>
      </c>
      <c r="L142" s="1" t="str">
        <f t="shared" si="46"/>
        <v>主动补库存</v>
      </c>
      <c r="O142" s="51">
        <v>41820</v>
      </c>
      <c r="P142" s="52">
        <v>-5.3922686578061736</v>
      </c>
      <c r="R142" s="14">
        <v>41943</v>
      </c>
      <c r="S142" s="15">
        <v>12.9</v>
      </c>
    </row>
    <row r="143" spans="1:19" x14ac:dyDescent="0.3">
      <c r="A143" s="8">
        <f t="shared" si="51"/>
        <v>41790</v>
      </c>
      <c r="B143" s="9">
        <f t="shared" si="40"/>
        <v>-11.74238882690387</v>
      </c>
      <c r="C143" s="9">
        <f t="shared" si="41"/>
        <v>13.6</v>
      </c>
      <c r="D143" s="7">
        <f t="shared" si="47"/>
        <v>1</v>
      </c>
      <c r="E143" s="7">
        <f t="shared" si="48"/>
        <v>0</v>
      </c>
      <c r="F143" s="7">
        <f t="shared" si="49"/>
        <v>1</v>
      </c>
      <c r="G143" s="7">
        <f t="shared" si="50"/>
        <v>0</v>
      </c>
      <c r="H143" s="1">
        <f t="shared" si="42"/>
        <v>0</v>
      </c>
      <c r="I143" s="1">
        <f t="shared" si="43"/>
        <v>0</v>
      </c>
      <c r="J143" s="1">
        <f t="shared" si="44"/>
        <v>0</v>
      </c>
      <c r="K143" s="1">
        <f t="shared" si="45"/>
        <v>1</v>
      </c>
      <c r="L143" s="1" t="str">
        <f t="shared" si="46"/>
        <v>主动补库存</v>
      </c>
      <c r="O143" s="51">
        <v>41790</v>
      </c>
      <c r="P143" s="52">
        <v>-11.74238882690387</v>
      </c>
      <c r="R143" s="14">
        <v>41973</v>
      </c>
      <c r="S143" s="15">
        <v>13</v>
      </c>
    </row>
    <row r="144" spans="1:19" x14ac:dyDescent="0.3">
      <c r="A144" s="8">
        <f t="shared" si="51"/>
        <v>41759</v>
      </c>
      <c r="B144" s="9">
        <f t="shared" si="40"/>
        <v>-15.11670457469519</v>
      </c>
      <c r="C144" s="9">
        <f t="shared" si="41"/>
        <v>13.4</v>
      </c>
      <c r="D144" s="7">
        <f t="shared" si="47"/>
        <v>0</v>
      </c>
      <c r="E144" s="7">
        <f t="shared" si="48"/>
        <v>1</v>
      </c>
      <c r="F144" s="7">
        <f t="shared" si="49"/>
        <v>0</v>
      </c>
      <c r="G144" s="7">
        <f t="shared" si="50"/>
        <v>1</v>
      </c>
      <c r="H144" s="1">
        <f t="shared" si="42"/>
        <v>1</v>
      </c>
      <c r="I144" s="1">
        <f t="shared" si="43"/>
        <v>0</v>
      </c>
      <c r="J144" s="1">
        <f t="shared" si="44"/>
        <v>0</v>
      </c>
      <c r="K144" s="1">
        <f t="shared" si="45"/>
        <v>0</v>
      </c>
      <c r="L144" s="1" t="str">
        <f t="shared" si="46"/>
        <v>主动去库存</v>
      </c>
      <c r="O144" s="51">
        <v>41759</v>
      </c>
      <c r="P144" s="52">
        <v>-15.11670457469519</v>
      </c>
      <c r="R144" s="14">
        <v>42004</v>
      </c>
      <c r="S144" s="15">
        <v>13.3</v>
      </c>
    </row>
    <row r="145" spans="1:19" x14ac:dyDescent="0.3">
      <c r="A145" s="8">
        <f t="shared" si="51"/>
        <v>41729</v>
      </c>
      <c r="B145" s="9">
        <f t="shared" si="40"/>
        <v>-12.470288754964651</v>
      </c>
      <c r="C145" s="9">
        <f t="shared" si="41"/>
        <v>13.7</v>
      </c>
      <c r="D145" s="7">
        <f t="shared" si="47"/>
        <v>0</v>
      </c>
      <c r="E145" s="7">
        <f t="shared" si="48"/>
        <v>1</v>
      </c>
      <c r="F145" s="7">
        <f t="shared" si="49"/>
        <v>0</v>
      </c>
      <c r="G145" s="7">
        <f t="shared" si="50"/>
        <v>1</v>
      </c>
      <c r="H145" s="1">
        <f t="shared" si="42"/>
        <v>1</v>
      </c>
      <c r="I145" s="1">
        <f t="shared" si="43"/>
        <v>0</v>
      </c>
      <c r="J145" s="1">
        <f t="shared" si="44"/>
        <v>0</v>
      </c>
      <c r="K145" s="1">
        <f t="shared" si="45"/>
        <v>0</v>
      </c>
      <c r="L145" s="1" t="str">
        <f t="shared" si="46"/>
        <v>主动去库存</v>
      </c>
      <c r="O145" s="51">
        <v>41729</v>
      </c>
      <c r="P145" s="52">
        <v>-12.470288754964651</v>
      </c>
      <c r="R145" s="14">
        <v>42035</v>
      </c>
      <c r="S145" s="15">
        <v>13.7</v>
      </c>
    </row>
    <row r="146" spans="1:19" x14ac:dyDescent="0.3">
      <c r="A146" s="8">
        <f t="shared" si="51"/>
        <v>41698</v>
      </c>
      <c r="B146" s="9">
        <f t="shared" si="40"/>
        <v>-9.3066734329391583</v>
      </c>
      <c r="C146" s="9">
        <f t="shared" si="41"/>
        <v>13.9</v>
      </c>
      <c r="D146" s="7">
        <f t="shared" si="47"/>
        <v>0</v>
      </c>
      <c r="E146" s="7">
        <f t="shared" si="48"/>
        <v>1</v>
      </c>
      <c r="F146" s="7">
        <f t="shared" si="49"/>
        <v>0</v>
      </c>
      <c r="G146" s="7">
        <f t="shared" si="50"/>
        <v>1</v>
      </c>
      <c r="H146" s="1">
        <f t="shared" si="42"/>
        <v>1</v>
      </c>
      <c r="I146" s="1">
        <f t="shared" si="43"/>
        <v>0</v>
      </c>
      <c r="J146" s="1">
        <f t="shared" si="44"/>
        <v>0</v>
      </c>
      <c r="K146" s="1">
        <f t="shared" si="45"/>
        <v>0</v>
      </c>
      <c r="L146" s="1" t="str">
        <f t="shared" si="46"/>
        <v>主动去库存</v>
      </c>
      <c r="O146" s="51">
        <v>41698</v>
      </c>
      <c r="P146" s="52">
        <v>-9.3066734329391583</v>
      </c>
      <c r="R146" s="14">
        <v>42063</v>
      </c>
      <c r="S146" s="15">
        <v>13.8</v>
      </c>
    </row>
    <row r="147" spans="1:19" x14ac:dyDescent="0.3">
      <c r="A147" s="8">
        <f t="shared" si="51"/>
        <v>41670</v>
      </c>
      <c r="B147" s="9">
        <f t="shared" si="40"/>
        <v>-6.8850188115132509</v>
      </c>
      <c r="C147" s="9">
        <f t="shared" si="41"/>
        <v>14</v>
      </c>
      <c r="D147" s="7">
        <f t="shared" si="47"/>
        <v>1</v>
      </c>
      <c r="E147" s="7">
        <f t="shared" si="48"/>
        <v>0</v>
      </c>
      <c r="F147" s="7">
        <f t="shared" si="49"/>
        <v>0</v>
      </c>
      <c r="G147" s="7">
        <f t="shared" si="50"/>
        <v>1</v>
      </c>
      <c r="H147" s="1">
        <f t="shared" si="42"/>
        <v>0</v>
      </c>
      <c r="I147" s="1">
        <f t="shared" si="43"/>
        <v>1</v>
      </c>
      <c r="J147" s="1">
        <f t="shared" si="44"/>
        <v>0</v>
      </c>
      <c r="K147" s="1">
        <f t="shared" si="45"/>
        <v>0</v>
      </c>
      <c r="L147" s="1" t="str">
        <f t="shared" si="46"/>
        <v>被动去库存</v>
      </c>
      <c r="O147" s="51">
        <v>41670</v>
      </c>
      <c r="P147" s="52">
        <v>-6.8850188115132509</v>
      </c>
      <c r="R147" s="14">
        <v>42094</v>
      </c>
      <c r="S147" s="15">
        <v>13.3</v>
      </c>
    </row>
    <row r="148" spans="1:19" x14ac:dyDescent="0.3">
      <c r="A148" s="8">
        <f t="shared" si="51"/>
        <v>41639</v>
      </c>
      <c r="B148" s="9">
        <f t="shared" si="40"/>
        <v>-4.1072292010469118</v>
      </c>
      <c r="C148" s="9">
        <f t="shared" si="41"/>
        <v>13.9</v>
      </c>
      <c r="D148" s="7">
        <f t="shared" si="47"/>
        <v>0</v>
      </c>
      <c r="E148" s="7">
        <f t="shared" si="48"/>
        <v>1</v>
      </c>
      <c r="F148" s="7">
        <f t="shared" si="49"/>
        <v>1</v>
      </c>
      <c r="G148" s="7">
        <f t="shared" si="50"/>
        <v>0</v>
      </c>
      <c r="H148" s="1">
        <f t="shared" si="42"/>
        <v>0</v>
      </c>
      <c r="I148" s="1">
        <f t="shared" si="43"/>
        <v>0</v>
      </c>
      <c r="J148" s="1">
        <f t="shared" si="44"/>
        <v>1</v>
      </c>
      <c r="K148" s="1">
        <f t="shared" si="45"/>
        <v>0</v>
      </c>
      <c r="L148" s="1" t="str">
        <f t="shared" si="46"/>
        <v>被动补库存</v>
      </c>
      <c r="O148" s="51">
        <v>41639</v>
      </c>
      <c r="P148" s="52">
        <v>-4.1072292010469118</v>
      </c>
      <c r="R148" s="14">
        <v>42124</v>
      </c>
      <c r="S148" s="15">
        <v>13.4</v>
      </c>
    </row>
    <row r="149" spans="1:19" x14ac:dyDescent="0.3">
      <c r="A149" s="8">
        <f t="shared" si="51"/>
        <v>41608</v>
      </c>
      <c r="B149" s="9">
        <f t="shared" si="40"/>
        <v>-10.097504885095031</v>
      </c>
      <c r="C149" s="9">
        <f t="shared" si="41"/>
        <v>14.2</v>
      </c>
      <c r="D149" s="7">
        <f t="shared" si="47"/>
        <v>0</v>
      </c>
      <c r="E149" s="7">
        <f t="shared" si="48"/>
        <v>1</v>
      </c>
      <c r="F149" s="7">
        <f t="shared" si="49"/>
        <v>1</v>
      </c>
      <c r="G149" s="7">
        <f t="shared" si="50"/>
        <v>0</v>
      </c>
      <c r="H149" s="1">
        <f t="shared" si="42"/>
        <v>0</v>
      </c>
      <c r="I149" s="1">
        <f t="shared" si="43"/>
        <v>0</v>
      </c>
      <c r="J149" s="1">
        <f t="shared" si="44"/>
        <v>1</v>
      </c>
      <c r="K149" s="1">
        <f t="shared" si="45"/>
        <v>0</v>
      </c>
      <c r="L149" s="1" t="str">
        <f t="shared" si="46"/>
        <v>被动补库存</v>
      </c>
      <c r="O149" s="51">
        <v>41608</v>
      </c>
      <c r="P149" s="52">
        <v>-10.097504885095031</v>
      </c>
      <c r="R149" s="14">
        <v>42155</v>
      </c>
      <c r="S149" s="15">
        <v>13.1</v>
      </c>
    </row>
    <row r="150" spans="1:19" x14ac:dyDescent="0.3">
      <c r="A150" s="8">
        <f t="shared" si="51"/>
        <v>41578</v>
      </c>
      <c r="B150" s="9">
        <f t="shared" si="40"/>
        <v>-12.41022411215075</v>
      </c>
      <c r="C150" s="9">
        <f t="shared" si="41"/>
        <v>14.3</v>
      </c>
      <c r="D150" s="7">
        <f t="shared" si="47"/>
        <v>0</v>
      </c>
      <c r="E150" s="7">
        <f t="shared" si="48"/>
        <v>1</v>
      </c>
      <c r="F150" s="7">
        <f t="shared" si="49"/>
        <v>0</v>
      </c>
      <c r="G150" s="7">
        <f t="shared" si="50"/>
        <v>1</v>
      </c>
      <c r="H150" s="1">
        <f t="shared" si="42"/>
        <v>1</v>
      </c>
      <c r="I150" s="1">
        <f t="shared" si="43"/>
        <v>0</v>
      </c>
      <c r="J150" s="1">
        <f t="shared" si="44"/>
        <v>0</v>
      </c>
      <c r="K150" s="1">
        <f t="shared" si="45"/>
        <v>0</v>
      </c>
      <c r="L150" s="1" t="str">
        <f t="shared" si="46"/>
        <v>主动去库存</v>
      </c>
      <c r="O150" s="51">
        <v>41578</v>
      </c>
      <c r="P150" s="52">
        <v>-12.41022411215075</v>
      </c>
      <c r="R150" s="14">
        <v>42185</v>
      </c>
      <c r="S150" s="15">
        <v>12.5</v>
      </c>
    </row>
    <row r="151" spans="1:19" x14ac:dyDescent="0.3">
      <c r="A151" s="8">
        <f t="shared" si="51"/>
        <v>41547</v>
      </c>
      <c r="B151" s="9">
        <f t="shared" si="40"/>
        <v>-12.133201577317489</v>
      </c>
      <c r="C151" s="9">
        <f t="shared" si="41"/>
        <v>14.6</v>
      </c>
      <c r="D151" s="7">
        <f t="shared" si="47"/>
        <v>0</v>
      </c>
      <c r="E151" s="7">
        <f t="shared" si="48"/>
        <v>1</v>
      </c>
      <c r="F151" s="7">
        <f t="shared" si="49"/>
        <v>1</v>
      </c>
      <c r="G151" s="7">
        <f t="shared" si="50"/>
        <v>0</v>
      </c>
      <c r="H151" s="1">
        <f t="shared" si="42"/>
        <v>0</v>
      </c>
      <c r="I151" s="1">
        <f t="shared" si="43"/>
        <v>0</v>
      </c>
      <c r="J151" s="1">
        <f t="shared" si="44"/>
        <v>1</v>
      </c>
      <c r="K151" s="1">
        <f t="shared" si="45"/>
        <v>0</v>
      </c>
      <c r="L151" s="1" t="str">
        <f t="shared" si="46"/>
        <v>被动补库存</v>
      </c>
      <c r="O151" s="51">
        <v>41547</v>
      </c>
      <c r="P151" s="52">
        <v>-12.133201577317489</v>
      </c>
      <c r="R151" s="14">
        <v>42216</v>
      </c>
      <c r="S151" s="15">
        <v>14.4</v>
      </c>
    </row>
    <row r="152" spans="1:19" x14ac:dyDescent="0.3">
      <c r="A152" s="8">
        <f t="shared" si="51"/>
        <v>41517</v>
      </c>
      <c r="B152" s="9">
        <f t="shared" si="40"/>
        <v>-13.6270198121025</v>
      </c>
      <c r="C152" s="9">
        <f t="shared" si="41"/>
        <v>14.6</v>
      </c>
      <c r="D152" s="7">
        <f t="shared" si="47"/>
        <v>0</v>
      </c>
      <c r="E152" s="7">
        <f t="shared" si="48"/>
        <v>1</v>
      </c>
      <c r="F152" s="7">
        <f t="shared" si="49"/>
        <v>0</v>
      </c>
      <c r="G152" s="7">
        <f t="shared" si="50"/>
        <v>1</v>
      </c>
      <c r="H152" s="1">
        <f t="shared" si="42"/>
        <v>1</v>
      </c>
      <c r="I152" s="1">
        <f t="shared" si="43"/>
        <v>0</v>
      </c>
      <c r="J152" s="1">
        <f t="shared" si="44"/>
        <v>0</v>
      </c>
      <c r="K152" s="1">
        <f t="shared" si="45"/>
        <v>0</v>
      </c>
      <c r="L152" s="1" t="str">
        <f t="shared" si="46"/>
        <v>主动去库存</v>
      </c>
      <c r="O152" s="51">
        <v>41517</v>
      </c>
      <c r="P152" s="52">
        <v>-13.6270198121025</v>
      </c>
      <c r="R152" s="14">
        <v>42247</v>
      </c>
      <c r="S152" s="15">
        <v>14.7</v>
      </c>
    </row>
    <row r="153" spans="1:19" x14ac:dyDescent="0.3">
      <c r="A153" s="8">
        <f t="shared" si="51"/>
        <v>41486</v>
      </c>
      <c r="B153" s="9">
        <f t="shared" si="40"/>
        <v>-8.4409559539657568</v>
      </c>
      <c r="C153" s="9">
        <f t="shared" si="41"/>
        <v>15</v>
      </c>
      <c r="D153" s="7">
        <f t="shared" si="47"/>
        <v>0</v>
      </c>
      <c r="E153" s="7">
        <f t="shared" si="48"/>
        <v>1</v>
      </c>
      <c r="F153" s="7">
        <f t="shared" si="49"/>
        <v>0</v>
      </c>
      <c r="G153" s="7">
        <f t="shared" si="50"/>
        <v>1</v>
      </c>
      <c r="H153" s="1">
        <f t="shared" si="42"/>
        <v>1</v>
      </c>
      <c r="I153" s="1">
        <f t="shared" si="43"/>
        <v>0</v>
      </c>
      <c r="J153" s="1">
        <f t="shared" si="44"/>
        <v>0</v>
      </c>
      <c r="K153" s="1">
        <f t="shared" si="45"/>
        <v>0</v>
      </c>
      <c r="L153" s="1" t="str">
        <f t="shared" si="46"/>
        <v>主动去库存</v>
      </c>
      <c r="O153" s="51">
        <v>41486</v>
      </c>
      <c r="P153" s="52">
        <v>-8.4409559539657568</v>
      </c>
      <c r="R153" s="14">
        <v>42277</v>
      </c>
      <c r="S153" s="15">
        <v>12.4</v>
      </c>
    </row>
    <row r="154" spans="1:19" x14ac:dyDescent="0.3">
      <c r="A154" s="8">
        <f t="shared" si="51"/>
        <v>41455</v>
      </c>
      <c r="B154" s="9">
        <f t="shared" si="40"/>
        <v>2.264042713179375</v>
      </c>
      <c r="C154" s="9">
        <f t="shared" si="41"/>
        <v>15.1</v>
      </c>
      <c r="D154" s="7">
        <f t="shared" si="47"/>
        <v>0</v>
      </c>
      <c r="E154" s="7">
        <f t="shared" si="48"/>
        <v>1</v>
      </c>
      <c r="F154" s="7">
        <f t="shared" si="49"/>
        <v>0</v>
      </c>
      <c r="G154" s="7">
        <f t="shared" si="50"/>
        <v>1</v>
      </c>
      <c r="H154" s="1">
        <f t="shared" si="42"/>
        <v>1</v>
      </c>
      <c r="I154" s="1">
        <f t="shared" si="43"/>
        <v>0</v>
      </c>
      <c r="J154" s="1">
        <f t="shared" si="44"/>
        <v>0</v>
      </c>
      <c r="K154" s="1">
        <f t="shared" si="45"/>
        <v>0</v>
      </c>
      <c r="L154" s="1" t="str">
        <f t="shared" si="46"/>
        <v>主动去库存</v>
      </c>
      <c r="O154" s="51">
        <v>41455</v>
      </c>
      <c r="P154" s="52">
        <v>2.264042713179375</v>
      </c>
      <c r="R154" s="14">
        <v>42308</v>
      </c>
      <c r="S154" s="15">
        <v>14.4</v>
      </c>
    </row>
    <row r="155" spans="1:19" x14ac:dyDescent="0.3">
      <c r="A155" s="8">
        <f t="shared" si="51"/>
        <v>41425</v>
      </c>
      <c r="B155" s="9">
        <f t="shared" si="40"/>
        <v>7.3057222851685042</v>
      </c>
      <c r="C155" s="9">
        <f t="shared" si="41"/>
        <v>15.6</v>
      </c>
      <c r="D155" s="7">
        <f t="shared" si="47"/>
        <v>0</v>
      </c>
      <c r="E155" s="7">
        <f t="shared" si="48"/>
        <v>1</v>
      </c>
      <c r="F155" s="7">
        <f t="shared" si="49"/>
        <v>0</v>
      </c>
      <c r="G155" s="7">
        <f t="shared" si="50"/>
        <v>1</v>
      </c>
      <c r="H155" s="1">
        <f t="shared" si="42"/>
        <v>1</v>
      </c>
      <c r="I155" s="1">
        <f t="shared" si="43"/>
        <v>0</v>
      </c>
      <c r="J155" s="1">
        <f t="shared" si="44"/>
        <v>0</v>
      </c>
      <c r="K155" s="1">
        <f t="shared" si="45"/>
        <v>0</v>
      </c>
      <c r="L155" s="1" t="str">
        <f t="shared" si="46"/>
        <v>主动去库存</v>
      </c>
      <c r="O155" s="51">
        <v>41425</v>
      </c>
      <c r="P155" s="52">
        <v>7.3057222851685042</v>
      </c>
      <c r="R155" s="14">
        <v>42338</v>
      </c>
      <c r="S155" s="15">
        <v>13.9</v>
      </c>
    </row>
    <row r="156" spans="1:19" x14ac:dyDescent="0.3">
      <c r="A156" s="8">
        <f t="shared" si="51"/>
        <v>41394</v>
      </c>
      <c r="B156" s="9">
        <f t="shared" si="40"/>
        <v>15.391031277727601</v>
      </c>
      <c r="C156" s="9">
        <f t="shared" si="41"/>
        <v>16.100000000000001</v>
      </c>
      <c r="D156" s="7">
        <f t="shared" si="47"/>
        <v>1</v>
      </c>
      <c r="E156" s="7">
        <f t="shared" si="48"/>
        <v>0</v>
      </c>
      <c r="F156" s="7">
        <f t="shared" si="49"/>
        <v>0</v>
      </c>
      <c r="G156" s="7">
        <f t="shared" si="50"/>
        <v>1</v>
      </c>
      <c r="H156" s="1">
        <f t="shared" si="42"/>
        <v>0</v>
      </c>
      <c r="I156" s="1">
        <f t="shared" si="43"/>
        <v>1</v>
      </c>
      <c r="J156" s="1">
        <f t="shared" si="44"/>
        <v>0</v>
      </c>
      <c r="K156" s="1">
        <f t="shared" si="45"/>
        <v>0</v>
      </c>
      <c r="L156" s="1" t="str">
        <f t="shared" si="46"/>
        <v>被动去库存</v>
      </c>
      <c r="O156" s="51">
        <v>41394</v>
      </c>
      <c r="P156" s="52">
        <v>15.391031277727601</v>
      </c>
      <c r="R156" s="14">
        <v>42369</v>
      </c>
      <c r="S156" s="15">
        <v>13.4</v>
      </c>
    </row>
    <row r="157" spans="1:19" x14ac:dyDescent="0.3">
      <c r="A157" s="8">
        <f t="shared" si="51"/>
        <v>41364</v>
      </c>
      <c r="B157" s="9">
        <f t="shared" si="40"/>
        <v>21.58051740405314</v>
      </c>
      <c r="C157" s="9">
        <f t="shared" si="41"/>
        <v>16</v>
      </c>
      <c r="D157" s="7">
        <f t="shared" si="47"/>
        <v>0</v>
      </c>
      <c r="E157" s="7">
        <f t="shared" si="48"/>
        <v>1</v>
      </c>
      <c r="F157" s="7">
        <f t="shared" si="49"/>
        <v>0</v>
      </c>
      <c r="G157" s="7">
        <f t="shared" si="50"/>
        <v>1</v>
      </c>
      <c r="H157" s="1">
        <f t="shared" si="42"/>
        <v>1</v>
      </c>
      <c r="I157" s="1">
        <f t="shared" si="43"/>
        <v>0</v>
      </c>
      <c r="J157" s="1">
        <f t="shared" si="44"/>
        <v>0</v>
      </c>
      <c r="K157" s="1">
        <f t="shared" si="45"/>
        <v>0</v>
      </c>
      <c r="L157" s="1" t="str">
        <f t="shared" si="46"/>
        <v>主动去库存</v>
      </c>
      <c r="O157" s="51">
        <v>41364</v>
      </c>
      <c r="P157" s="52">
        <v>21.58051740405314</v>
      </c>
      <c r="R157" s="14">
        <v>42400</v>
      </c>
      <c r="S157" s="15">
        <v>14.1</v>
      </c>
    </row>
    <row r="158" spans="1:19" x14ac:dyDescent="0.3">
      <c r="A158" s="8">
        <f t="shared" si="51"/>
        <v>41333</v>
      </c>
      <c r="B158" s="9">
        <f t="shared" si="40"/>
        <v>24.68216597998823</v>
      </c>
      <c r="C158" s="9">
        <f t="shared" si="41"/>
        <v>16.100000000000001</v>
      </c>
      <c r="D158" s="7">
        <f t="shared" si="47"/>
        <v>0</v>
      </c>
      <c r="E158" s="7">
        <f t="shared" si="48"/>
        <v>1</v>
      </c>
      <c r="F158" s="7">
        <f t="shared" si="49"/>
        <v>0</v>
      </c>
      <c r="G158" s="7">
        <f t="shared" si="50"/>
        <v>1</v>
      </c>
      <c r="H158" s="1">
        <f t="shared" si="42"/>
        <v>1</v>
      </c>
      <c r="I158" s="1">
        <f t="shared" si="43"/>
        <v>0</v>
      </c>
      <c r="J158" s="1">
        <f t="shared" si="44"/>
        <v>0</v>
      </c>
      <c r="K158" s="1">
        <f t="shared" si="45"/>
        <v>0</v>
      </c>
      <c r="L158" s="1" t="str">
        <f t="shared" si="46"/>
        <v>主动去库存</v>
      </c>
      <c r="O158" s="51">
        <v>41333</v>
      </c>
      <c r="P158" s="52">
        <v>24.68216597998823</v>
      </c>
      <c r="R158" s="14">
        <v>42429</v>
      </c>
      <c r="S158" s="15">
        <v>13.6</v>
      </c>
    </row>
    <row r="159" spans="1:19" x14ac:dyDescent="0.3">
      <c r="A159" s="8">
        <f t="shared" si="51"/>
        <v>41305</v>
      </c>
      <c r="B159" s="9">
        <f t="shared" si="40"/>
        <v>32.55864121409428</v>
      </c>
      <c r="C159" s="9">
        <f t="shared" si="41"/>
        <v>16.399999999999999</v>
      </c>
      <c r="D159" s="7">
        <f t="shared" si="47"/>
        <v>1</v>
      </c>
      <c r="E159" s="7">
        <f t="shared" si="48"/>
        <v>0</v>
      </c>
      <c r="F159" s="7">
        <f t="shared" si="49"/>
        <v>0</v>
      </c>
      <c r="G159" s="7">
        <f t="shared" si="50"/>
        <v>1</v>
      </c>
      <c r="H159" s="1">
        <f t="shared" si="42"/>
        <v>0</v>
      </c>
      <c r="I159" s="1">
        <f t="shared" si="43"/>
        <v>1</v>
      </c>
      <c r="J159" s="1">
        <f t="shared" si="44"/>
        <v>0</v>
      </c>
      <c r="K159" s="1">
        <f t="shared" si="45"/>
        <v>0</v>
      </c>
      <c r="L159" s="1" t="str">
        <f t="shared" si="46"/>
        <v>被动去库存</v>
      </c>
      <c r="O159" s="51">
        <v>41305</v>
      </c>
      <c r="P159" s="52">
        <v>32.55864121409428</v>
      </c>
      <c r="R159" s="14">
        <v>42460</v>
      </c>
      <c r="S159" s="15">
        <v>13.4</v>
      </c>
    </row>
    <row r="160" spans="1:19" x14ac:dyDescent="0.3">
      <c r="A160" s="8">
        <f t="shared" si="51"/>
        <v>41274</v>
      </c>
      <c r="B160" s="9">
        <f t="shared" si="40"/>
        <v>35.10071440614368</v>
      </c>
      <c r="C160" s="9">
        <f t="shared" si="41"/>
        <v>15.6</v>
      </c>
      <c r="D160" s="7">
        <f t="shared" si="47"/>
        <v>0</v>
      </c>
      <c r="E160" s="7">
        <f t="shared" si="48"/>
        <v>1</v>
      </c>
      <c r="F160" s="7">
        <f t="shared" si="49"/>
        <v>0</v>
      </c>
      <c r="G160" s="7">
        <f t="shared" si="50"/>
        <v>1</v>
      </c>
      <c r="H160" s="1">
        <f t="shared" si="42"/>
        <v>1</v>
      </c>
      <c r="I160" s="1">
        <f t="shared" si="43"/>
        <v>0</v>
      </c>
      <c r="J160" s="1">
        <f t="shared" si="44"/>
        <v>0</v>
      </c>
      <c r="K160" s="1">
        <f t="shared" si="45"/>
        <v>0</v>
      </c>
      <c r="L160" s="1" t="str">
        <f t="shared" si="46"/>
        <v>主动去库存</v>
      </c>
      <c r="O160" s="51">
        <v>41274</v>
      </c>
      <c r="P160" s="52">
        <v>35.10071440614368</v>
      </c>
      <c r="R160" s="14">
        <v>42490</v>
      </c>
      <c r="S160" s="15">
        <v>13.1</v>
      </c>
    </row>
    <row r="161" spans="1:19" x14ac:dyDescent="0.3">
      <c r="A161" s="8">
        <f t="shared" si="51"/>
        <v>41243</v>
      </c>
      <c r="B161" s="9">
        <f t="shared" si="40"/>
        <v>52.92110196776045</v>
      </c>
      <c r="C161" s="9">
        <f t="shared" si="41"/>
        <v>16.100000000000001</v>
      </c>
      <c r="D161" s="7">
        <f t="shared" si="47"/>
        <v>0</v>
      </c>
      <c r="E161" s="7">
        <f t="shared" si="48"/>
        <v>1</v>
      </c>
      <c r="F161" s="7">
        <f t="shared" si="49"/>
        <v>0</v>
      </c>
      <c r="G161" s="7">
        <f t="shared" si="50"/>
        <v>1</v>
      </c>
      <c r="H161" s="1">
        <f t="shared" si="42"/>
        <v>1</v>
      </c>
      <c r="I161" s="1">
        <f t="shared" si="43"/>
        <v>0</v>
      </c>
      <c r="J161" s="1">
        <f t="shared" si="44"/>
        <v>0</v>
      </c>
      <c r="K161" s="1">
        <f t="shared" si="45"/>
        <v>0</v>
      </c>
      <c r="L161" s="1" t="str">
        <f t="shared" si="46"/>
        <v>主动去库存</v>
      </c>
      <c r="O161" s="51">
        <v>41243</v>
      </c>
      <c r="P161" s="52">
        <v>52.92110196776045</v>
      </c>
      <c r="R161" s="14">
        <v>42521</v>
      </c>
      <c r="S161" s="15">
        <v>13</v>
      </c>
    </row>
    <row r="162" spans="1:19" x14ac:dyDescent="0.3">
      <c r="A162" s="8">
        <f t="shared" si="51"/>
        <v>41213</v>
      </c>
      <c r="B162" s="9">
        <f t="shared" si="40"/>
        <v>59.39948807161943</v>
      </c>
      <c r="C162" s="9">
        <f t="shared" si="41"/>
        <v>16.2</v>
      </c>
      <c r="D162" s="7">
        <f t="shared" si="47"/>
        <v>0</v>
      </c>
      <c r="E162" s="7">
        <f t="shared" si="48"/>
        <v>1</v>
      </c>
      <c r="F162" s="7">
        <f t="shared" si="49"/>
        <v>1</v>
      </c>
      <c r="G162" s="7">
        <f t="shared" si="50"/>
        <v>0</v>
      </c>
      <c r="H162" s="1">
        <f t="shared" si="42"/>
        <v>0</v>
      </c>
      <c r="I162" s="1">
        <f t="shared" si="43"/>
        <v>0</v>
      </c>
      <c r="J162" s="1">
        <f t="shared" si="44"/>
        <v>1</v>
      </c>
      <c r="K162" s="1">
        <f t="shared" si="45"/>
        <v>0</v>
      </c>
      <c r="L162" s="1" t="str">
        <f t="shared" si="46"/>
        <v>被动补库存</v>
      </c>
      <c r="O162" s="51">
        <v>41213</v>
      </c>
      <c r="P162" s="52">
        <v>59.39948807161943</v>
      </c>
      <c r="R162" s="14">
        <v>42551</v>
      </c>
      <c r="S162" s="15">
        <v>13</v>
      </c>
    </row>
    <row r="163" spans="1:19" x14ac:dyDescent="0.3">
      <c r="A163" s="8">
        <f t="shared" si="51"/>
        <v>41182</v>
      </c>
      <c r="B163" s="9">
        <f t="shared" si="40"/>
        <v>56.820690974931161</v>
      </c>
      <c r="C163" s="9">
        <f t="shared" si="41"/>
        <v>16.399999999999999</v>
      </c>
      <c r="D163" s="7">
        <f t="shared" si="47"/>
        <v>1</v>
      </c>
      <c r="E163" s="7">
        <f t="shared" si="48"/>
        <v>0</v>
      </c>
      <c r="F163" s="7">
        <f t="shared" si="49"/>
        <v>0</v>
      </c>
      <c r="G163" s="7">
        <f t="shared" si="50"/>
        <v>1</v>
      </c>
      <c r="H163" s="1">
        <f t="shared" si="42"/>
        <v>0</v>
      </c>
      <c r="I163" s="1">
        <f t="shared" si="43"/>
        <v>1</v>
      </c>
      <c r="J163" s="1">
        <f t="shared" si="44"/>
        <v>0</v>
      </c>
      <c r="K163" s="1">
        <f t="shared" si="45"/>
        <v>0</v>
      </c>
      <c r="L163" s="1" t="str">
        <f t="shared" si="46"/>
        <v>被动去库存</v>
      </c>
      <c r="O163" s="51">
        <v>41182</v>
      </c>
      <c r="P163" s="52">
        <v>56.820690974931161</v>
      </c>
      <c r="R163" s="14">
        <v>42582</v>
      </c>
      <c r="S163" s="15">
        <v>11.6</v>
      </c>
    </row>
    <row r="164" spans="1:19" x14ac:dyDescent="0.3">
      <c r="A164" s="8">
        <f t="shared" si="51"/>
        <v>41152</v>
      </c>
      <c r="B164" s="9">
        <f t="shared" ref="B164:B176" si="52">VLOOKUP(A164,O:P,2,0)</f>
        <v>68.993689690080757</v>
      </c>
      <c r="C164" s="9">
        <f t="shared" ref="C164:C176" si="53">VLOOKUP(A164,R:S,2,0)</f>
        <v>16.100000000000001</v>
      </c>
      <c r="D164" s="7">
        <f t="shared" si="47"/>
        <v>1</v>
      </c>
      <c r="E164" s="7">
        <f t="shared" si="48"/>
        <v>0</v>
      </c>
      <c r="F164" s="7">
        <f t="shared" si="49"/>
        <v>0</v>
      </c>
      <c r="G164" s="7">
        <f t="shared" si="50"/>
        <v>1</v>
      </c>
      <c r="H164" s="1">
        <f t="shared" si="42"/>
        <v>0</v>
      </c>
      <c r="I164" s="1">
        <f t="shared" si="43"/>
        <v>1</v>
      </c>
      <c r="J164" s="1">
        <f t="shared" si="44"/>
        <v>0</v>
      </c>
      <c r="K164" s="1">
        <f t="shared" si="45"/>
        <v>0</v>
      </c>
      <c r="L164" s="1" t="str">
        <f t="shared" ref="L164:L176" si="54">INDEX($H$3:$K$3,1,MATCH(1,H164:K164,0))</f>
        <v>被动去库存</v>
      </c>
      <c r="O164" s="51">
        <v>41152</v>
      </c>
      <c r="P164" s="52">
        <v>68.993689690080757</v>
      </c>
      <c r="R164" s="14">
        <v>42613</v>
      </c>
      <c r="S164" s="15">
        <v>11.6</v>
      </c>
    </row>
    <row r="165" spans="1:19" x14ac:dyDescent="0.3">
      <c r="A165" s="8">
        <f t="shared" si="51"/>
        <v>41121</v>
      </c>
      <c r="B165" s="9">
        <f t="shared" si="52"/>
        <v>70.641235197307196</v>
      </c>
      <c r="C165" s="9">
        <f t="shared" si="53"/>
        <v>15.9</v>
      </c>
      <c r="D165" s="7">
        <f t="shared" si="47"/>
        <v>0</v>
      </c>
      <c r="E165" s="7">
        <f t="shared" si="48"/>
        <v>1</v>
      </c>
      <c r="F165" s="7">
        <f t="shared" si="49"/>
        <v>1</v>
      </c>
      <c r="G165" s="7">
        <f t="shared" si="50"/>
        <v>0</v>
      </c>
      <c r="H165" s="1">
        <f t="shared" si="42"/>
        <v>0</v>
      </c>
      <c r="I165" s="1">
        <f t="shared" si="43"/>
        <v>0</v>
      </c>
      <c r="J165" s="1">
        <f t="shared" si="44"/>
        <v>1</v>
      </c>
      <c r="K165" s="1">
        <f t="shared" si="45"/>
        <v>0</v>
      </c>
      <c r="L165" s="1" t="str">
        <f t="shared" si="54"/>
        <v>被动补库存</v>
      </c>
      <c r="O165" s="51">
        <v>41121</v>
      </c>
      <c r="P165" s="52">
        <v>70.641235197307196</v>
      </c>
      <c r="R165" s="14">
        <v>42643</v>
      </c>
      <c r="S165" s="15">
        <v>12</v>
      </c>
    </row>
    <row r="166" spans="1:19" x14ac:dyDescent="0.3">
      <c r="A166" s="8">
        <f t="shared" si="51"/>
        <v>41090</v>
      </c>
      <c r="B166" s="9">
        <f t="shared" si="52"/>
        <v>67.52717351314601</v>
      </c>
      <c r="C166" s="9">
        <f t="shared" si="53"/>
        <v>15.9</v>
      </c>
      <c r="D166" s="7">
        <f t="shared" si="47"/>
        <v>1</v>
      </c>
      <c r="E166" s="7">
        <f t="shared" si="48"/>
        <v>0</v>
      </c>
      <c r="F166" s="7">
        <f t="shared" si="49"/>
        <v>0</v>
      </c>
      <c r="G166" s="7">
        <f t="shared" si="50"/>
        <v>1</v>
      </c>
      <c r="H166" s="1">
        <f t="shared" si="42"/>
        <v>0</v>
      </c>
      <c r="I166" s="1">
        <f t="shared" si="43"/>
        <v>1</v>
      </c>
      <c r="J166" s="1">
        <f t="shared" si="44"/>
        <v>0</v>
      </c>
      <c r="K166" s="1">
        <f t="shared" si="45"/>
        <v>0</v>
      </c>
      <c r="L166" s="1" t="str">
        <f t="shared" si="54"/>
        <v>被动去库存</v>
      </c>
      <c r="O166" s="51">
        <v>41090</v>
      </c>
      <c r="P166" s="52">
        <v>67.52717351314601</v>
      </c>
      <c r="R166" s="14">
        <v>42674</v>
      </c>
      <c r="S166" s="15">
        <v>12.3</v>
      </c>
    </row>
    <row r="167" spans="1:19" x14ac:dyDescent="0.3">
      <c r="A167" s="8">
        <f t="shared" si="51"/>
        <v>41060</v>
      </c>
      <c r="B167" s="9">
        <f t="shared" si="52"/>
        <v>68.117185989016335</v>
      </c>
      <c r="C167" s="9">
        <f t="shared" si="53"/>
        <v>15.4</v>
      </c>
      <c r="D167" s="7">
        <f t="shared" si="47"/>
        <v>1</v>
      </c>
      <c r="E167" s="7">
        <f t="shared" si="48"/>
        <v>0</v>
      </c>
      <c r="F167" s="7">
        <f t="shared" si="49"/>
        <v>1</v>
      </c>
      <c r="G167" s="7">
        <f t="shared" si="50"/>
        <v>0</v>
      </c>
      <c r="H167" s="1">
        <f t="shared" si="42"/>
        <v>0</v>
      </c>
      <c r="I167" s="1">
        <f t="shared" si="43"/>
        <v>0</v>
      </c>
      <c r="J167" s="1">
        <f t="shared" si="44"/>
        <v>0</v>
      </c>
      <c r="K167" s="1">
        <f t="shared" si="45"/>
        <v>1</v>
      </c>
      <c r="L167" s="1" t="str">
        <f t="shared" si="54"/>
        <v>主动补库存</v>
      </c>
      <c r="O167" s="51">
        <v>41060</v>
      </c>
      <c r="P167" s="52">
        <v>68.117185989016335</v>
      </c>
      <c r="R167" s="14">
        <v>42704</v>
      </c>
      <c r="S167" s="15">
        <v>12.5</v>
      </c>
    </row>
    <row r="168" spans="1:19" x14ac:dyDescent="0.3">
      <c r="A168" s="8">
        <f t="shared" si="51"/>
        <v>41029</v>
      </c>
      <c r="B168" s="9">
        <f t="shared" si="52"/>
        <v>57.429183050597963</v>
      </c>
      <c r="C168" s="9">
        <f t="shared" si="53"/>
        <v>15.1</v>
      </c>
      <c r="D168" s="7">
        <f t="shared" si="47"/>
        <v>0</v>
      </c>
      <c r="E168" s="7">
        <f t="shared" si="48"/>
        <v>1</v>
      </c>
      <c r="F168" s="7">
        <f t="shared" si="49"/>
        <v>1</v>
      </c>
      <c r="G168" s="7">
        <f t="shared" si="50"/>
        <v>0</v>
      </c>
      <c r="H168" s="1">
        <f t="shared" si="42"/>
        <v>0</v>
      </c>
      <c r="I168" s="1">
        <f t="shared" si="43"/>
        <v>0</v>
      </c>
      <c r="J168" s="1">
        <f t="shared" si="44"/>
        <v>1</v>
      </c>
      <c r="K168" s="1">
        <f t="shared" si="45"/>
        <v>0</v>
      </c>
      <c r="L168" s="1" t="str">
        <f t="shared" si="54"/>
        <v>被动补库存</v>
      </c>
      <c r="O168" s="51">
        <v>41029</v>
      </c>
      <c r="P168" s="52">
        <v>57.429183050597963</v>
      </c>
      <c r="R168" s="14">
        <v>42735</v>
      </c>
      <c r="S168" s="15">
        <v>12.8</v>
      </c>
    </row>
    <row r="169" spans="1:19" x14ac:dyDescent="0.3">
      <c r="A169" s="8">
        <f t="shared" si="51"/>
        <v>40999</v>
      </c>
      <c r="B169" s="9">
        <f t="shared" si="52"/>
        <v>42.859564219368927</v>
      </c>
      <c r="C169" s="9">
        <f t="shared" si="53"/>
        <v>15.5</v>
      </c>
      <c r="D169" s="7">
        <f t="shared" si="47"/>
        <v>1</v>
      </c>
      <c r="E169" s="7">
        <f t="shared" si="48"/>
        <v>0</v>
      </c>
      <c r="F169" s="7">
        <f t="shared" si="49"/>
        <v>1</v>
      </c>
      <c r="G169" s="7">
        <f t="shared" si="50"/>
        <v>0</v>
      </c>
      <c r="H169" s="1">
        <f t="shared" si="42"/>
        <v>0</v>
      </c>
      <c r="I169" s="1">
        <f t="shared" si="43"/>
        <v>0</v>
      </c>
      <c r="J169" s="1">
        <f t="shared" si="44"/>
        <v>0</v>
      </c>
      <c r="K169" s="1">
        <f t="shared" si="45"/>
        <v>1</v>
      </c>
      <c r="L169" s="1" t="str">
        <f t="shared" si="54"/>
        <v>主动补库存</v>
      </c>
      <c r="O169" s="51">
        <v>40999</v>
      </c>
      <c r="P169" s="52">
        <v>42.859564219368927</v>
      </c>
      <c r="R169" s="14">
        <v>42766</v>
      </c>
      <c r="S169" s="15">
        <v>12.1</v>
      </c>
    </row>
    <row r="170" spans="1:19" x14ac:dyDescent="0.3">
      <c r="A170" s="8">
        <f t="shared" si="51"/>
        <v>40968</v>
      </c>
      <c r="B170" s="9">
        <f t="shared" si="52"/>
        <v>21.517810378752252</v>
      </c>
      <c r="C170" s="9">
        <f t="shared" si="53"/>
        <v>15</v>
      </c>
      <c r="D170" s="7">
        <f t="shared" si="47"/>
        <v>1</v>
      </c>
      <c r="E170" s="7">
        <f t="shared" si="48"/>
        <v>0</v>
      </c>
      <c r="F170" s="7">
        <f t="shared" si="49"/>
        <v>1</v>
      </c>
      <c r="G170" s="7">
        <f t="shared" si="50"/>
        <v>0</v>
      </c>
      <c r="H170" s="1">
        <f t="shared" si="42"/>
        <v>0</v>
      </c>
      <c r="I170" s="1">
        <f t="shared" si="43"/>
        <v>0</v>
      </c>
      <c r="J170" s="1">
        <f t="shared" si="44"/>
        <v>0</v>
      </c>
      <c r="K170" s="1">
        <f t="shared" si="45"/>
        <v>1</v>
      </c>
      <c r="L170" s="1" t="str">
        <f t="shared" si="54"/>
        <v>主动补库存</v>
      </c>
      <c r="O170" s="51">
        <v>40968</v>
      </c>
      <c r="P170" s="52">
        <v>21.517810378752252</v>
      </c>
      <c r="R170" s="14">
        <v>42794</v>
      </c>
      <c r="S170" s="15">
        <v>12.7</v>
      </c>
    </row>
    <row r="171" spans="1:19" x14ac:dyDescent="0.3">
      <c r="A171" s="8">
        <f t="shared" si="51"/>
        <v>40939</v>
      </c>
      <c r="B171" s="9">
        <f t="shared" si="52"/>
        <v>7.5773023371650492</v>
      </c>
      <c r="C171" s="9">
        <f t="shared" si="53"/>
        <v>14.8</v>
      </c>
      <c r="D171" s="7">
        <f t="shared" si="47"/>
        <v>0</v>
      </c>
      <c r="E171" s="7">
        <f t="shared" si="48"/>
        <v>1</v>
      </c>
      <c r="F171" s="7">
        <f t="shared" si="49"/>
        <v>1</v>
      </c>
      <c r="G171" s="7">
        <f t="shared" si="50"/>
        <v>0</v>
      </c>
      <c r="H171" s="1">
        <f t="shared" si="42"/>
        <v>0</v>
      </c>
      <c r="I171" s="1">
        <f t="shared" si="43"/>
        <v>0</v>
      </c>
      <c r="J171" s="1">
        <f t="shared" si="44"/>
        <v>1</v>
      </c>
      <c r="K171" s="1">
        <f t="shared" si="45"/>
        <v>0</v>
      </c>
      <c r="L171" s="1" t="str">
        <f t="shared" si="54"/>
        <v>被动补库存</v>
      </c>
      <c r="O171" s="51">
        <v>40939</v>
      </c>
      <c r="P171" s="52">
        <v>7.5773023371650492</v>
      </c>
      <c r="R171" s="14">
        <v>42825</v>
      </c>
      <c r="S171" s="15">
        <v>12.3</v>
      </c>
    </row>
    <row r="172" spans="1:19" x14ac:dyDescent="0.3">
      <c r="A172" s="8">
        <f t="shared" si="51"/>
        <v>40908</v>
      </c>
      <c r="B172" s="9">
        <f t="shared" si="52"/>
        <v>2.0920691321757299</v>
      </c>
      <c r="C172" s="9">
        <f t="shared" si="53"/>
        <v>15.7</v>
      </c>
      <c r="D172" s="7">
        <f t="shared" si="47"/>
        <v>1</v>
      </c>
      <c r="E172" s="7">
        <f t="shared" si="48"/>
        <v>0</v>
      </c>
      <c r="F172" s="7">
        <f t="shared" si="49"/>
        <v>1</v>
      </c>
      <c r="G172" s="7">
        <f t="shared" si="50"/>
        <v>0</v>
      </c>
      <c r="H172" s="1">
        <f t="shared" si="42"/>
        <v>0</v>
      </c>
      <c r="I172" s="1">
        <f t="shared" si="43"/>
        <v>0</v>
      </c>
      <c r="J172" s="1">
        <f t="shared" si="44"/>
        <v>0</v>
      </c>
      <c r="K172" s="1">
        <f t="shared" si="45"/>
        <v>1</v>
      </c>
      <c r="L172" s="1" t="str">
        <f t="shared" si="54"/>
        <v>主动补库存</v>
      </c>
      <c r="O172" s="51">
        <v>40908</v>
      </c>
      <c r="P172" s="52">
        <v>2.0920691321757299</v>
      </c>
      <c r="R172" s="14">
        <v>42855</v>
      </c>
      <c r="S172" s="15">
        <v>12.8</v>
      </c>
    </row>
    <row r="173" spans="1:19" x14ac:dyDescent="0.3">
      <c r="A173" s="8">
        <f t="shared" si="51"/>
        <v>40877</v>
      </c>
      <c r="B173" s="9">
        <f t="shared" si="52"/>
        <v>-6.549295684524</v>
      </c>
      <c r="C173" s="9">
        <f t="shared" si="53"/>
        <v>15.6</v>
      </c>
      <c r="D173" s="7">
        <f t="shared" si="47"/>
        <v>0</v>
      </c>
      <c r="E173" s="7">
        <f t="shared" si="48"/>
        <v>1</v>
      </c>
      <c r="F173" s="7">
        <f t="shared" si="49"/>
        <v>1</v>
      </c>
      <c r="G173" s="7">
        <f t="shared" si="50"/>
        <v>0</v>
      </c>
      <c r="H173" s="1">
        <f t="shared" si="42"/>
        <v>0</v>
      </c>
      <c r="I173" s="1">
        <f t="shared" si="43"/>
        <v>0</v>
      </c>
      <c r="J173" s="1">
        <f t="shared" si="44"/>
        <v>1</v>
      </c>
      <c r="K173" s="1">
        <f t="shared" si="45"/>
        <v>0</v>
      </c>
      <c r="L173" s="1" t="str">
        <f t="shared" si="54"/>
        <v>被动补库存</v>
      </c>
      <c r="O173" s="51">
        <v>40877</v>
      </c>
      <c r="P173" s="52">
        <v>-6.549295684524</v>
      </c>
      <c r="R173" s="14">
        <v>42886</v>
      </c>
      <c r="S173" s="15">
        <v>12.8</v>
      </c>
    </row>
    <row r="174" spans="1:19" x14ac:dyDescent="0.3">
      <c r="A174" s="8">
        <f t="shared" si="51"/>
        <v>40847</v>
      </c>
      <c r="B174" s="9">
        <f t="shared" si="52"/>
        <v>-9.6591330709735104</v>
      </c>
      <c r="C174" s="9">
        <f t="shared" si="53"/>
        <v>15.9</v>
      </c>
      <c r="D174" s="7">
        <f t="shared" si="47"/>
        <v>0</v>
      </c>
      <c r="E174" s="7">
        <f t="shared" si="48"/>
        <v>1</v>
      </c>
      <c r="F174" s="7">
        <f t="shared" si="49"/>
        <v>0</v>
      </c>
      <c r="G174" s="7">
        <f t="shared" si="50"/>
        <v>1</v>
      </c>
      <c r="H174" s="1">
        <f t="shared" si="42"/>
        <v>1</v>
      </c>
      <c r="I174" s="1">
        <f t="shared" si="43"/>
        <v>0</v>
      </c>
      <c r="J174" s="1">
        <f t="shared" si="44"/>
        <v>0</v>
      </c>
      <c r="K174" s="1">
        <f t="shared" si="45"/>
        <v>0</v>
      </c>
      <c r="L174" s="1" t="str">
        <f t="shared" si="54"/>
        <v>主动去库存</v>
      </c>
      <c r="O174" s="51">
        <v>40847</v>
      </c>
      <c r="P174" s="52">
        <v>-9.6591330709735104</v>
      </c>
      <c r="R174" s="14">
        <v>42916</v>
      </c>
      <c r="S174" s="15">
        <v>12.7</v>
      </c>
    </row>
    <row r="175" spans="1:19" x14ac:dyDescent="0.3">
      <c r="A175" s="8">
        <f t="shared" si="51"/>
        <v>40816</v>
      </c>
      <c r="B175" s="9">
        <f t="shared" si="52"/>
        <v>-5.2213893433786014</v>
      </c>
      <c r="C175" s="9">
        <f t="shared" si="53"/>
        <v>16</v>
      </c>
      <c r="D175" s="7">
        <f t="shared" si="47"/>
        <v>0</v>
      </c>
      <c r="E175" s="7">
        <f t="shared" si="48"/>
        <v>1</v>
      </c>
      <c r="F175" s="7">
        <f t="shared" si="49"/>
        <v>1</v>
      </c>
      <c r="G175" s="7">
        <f t="shared" si="50"/>
        <v>0</v>
      </c>
      <c r="H175" s="1">
        <f t="shared" si="42"/>
        <v>0</v>
      </c>
      <c r="I175" s="1">
        <f t="shared" si="43"/>
        <v>0</v>
      </c>
      <c r="J175" s="1">
        <f t="shared" si="44"/>
        <v>1</v>
      </c>
      <c r="K175" s="1">
        <f t="shared" si="45"/>
        <v>0</v>
      </c>
      <c r="L175" s="1" t="str">
        <f t="shared" si="54"/>
        <v>被动补库存</v>
      </c>
      <c r="O175" s="51">
        <v>40816</v>
      </c>
      <c r="P175" s="52">
        <v>-5.2213893433786014</v>
      </c>
      <c r="R175" s="14">
        <v>42947</v>
      </c>
      <c r="S175" s="15">
        <v>13</v>
      </c>
    </row>
    <row r="176" spans="1:19" x14ac:dyDescent="0.3">
      <c r="A176" s="8">
        <f t="shared" si="51"/>
        <v>40786</v>
      </c>
      <c r="B176" s="9">
        <f t="shared" si="52"/>
        <v>-9.2385926662433953</v>
      </c>
      <c r="C176" s="9">
        <f t="shared" si="53"/>
        <v>16.5</v>
      </c>
      <c r="D176" s="7">
        <f t="shared" si="47"/>
        <v>1</v>
      </c>
      <c r="E176" s="7">
        <f t="shared" si="48"/>
        <v>0</v>
      </c>
      <c r="F176" s="7">
        <f t="shared" si="49"/>
        <v>0</v>
      </c>
      <c r="G176" s="7">
        <f t="shared" si="50"/>
        <v>1</v>
      </c>
      <c r="H176" s="1">
        <f t="shared" si="42"/>
        <v>0</v>
      </c>
      <c r="I176" s="1">
        <f t="shared" si="43"/>
        <v>1</v>
      </c>
      <c r="J176" s="1">
        <f t="shared" si="44"/>
        <v>0</v>
      </c>
      <c r="K176" s="1">
        <f t="shared" si="45"/>
        <v>0</v>
      </c>
      <c r="L176" s="1" t="str">
        <f t="shared" si="54"/>
        <v>被动去库存</v>
      </c>
      <c r="O176" s="51">
        <v>40786</v>
      </c>
      <c r="P176" s="52">
        <v>-9.2385926662433953</v>
      </c>
      <c r="R176" s="14">
        <v>42978</v>
      </c>
      <c r="S176" s="15">
        <v>12.6</v>
      </c>
    </row>
    <row r="177" spans="1:19" x14ac:dyDescent="0.3">
      <c r="A177" s="8"/>
      <c r="B177" s="9"/>
      <c r="C177" s="9"/>
      <c r="O177" s="51">
        <v>40755</v>
      </c>
      <c r="P177" s="52">
        <v>-15.76066953925389</v>
      </c>
      <c r="R177" s="14">
        <v>43008</v>
      </c>
      <c r="S177" s="15">
        <v>12.5</v>
      </c>
    </row>
    <row r="178" spans="1:19" x14ac:dyDescent="0.3">
      <c r="A178" s="8"/>
      <c r="B178" s="9"/>
      <c r="C178" s="9"/>
      <c r="O178" s="51">
        <v>40724</v>
      </c>
      <c r="P178" s="52">
        <v>-21.604997735905648</v>
      </c>
      <c r="R178" s="14">
        <v>43039</v>
      </c>
      <c r="S178" s="15">
        <v>12.4</v>
      </c>
    </row>
    <row r="179" spans="1:19" x14ac:dyDescent="0.3">
      <c r="A179" s="8"/>
      <c r="B179" s="9"/>
      <c r="C179" s="9"/>
      <c r="O179" s="51">
        <v>40694</v>
      </c>
      <c r="P179" s="52">
        <v>-27.774219379835309</v>
      </c>
      <c r="R179" s="14">
        <v>43069</v>
      </c>
      <c r="S179" s="15">
        <v>12.6</v>
      </c>
    </row>
    <row r="180" spans="1:19" x14ac:dyDescent="0.3">
      <c r="A180" s="8"/>
      <c r="B180" s="9"/>
      <c r="C180" s="9"/>
      <c r="O180" s="51">
        <v>40663</v>
      </c>
      <c r="P180" s="52">
        <v>-29.410028552889159</v>
      </c>
      <c r="R180" s="14">
        <v>43100</v>
      </c>
      <c r="S180" s="15">
        <v>12.1</v>
      </c>
    </row>
    <row r="181" spans="1:19" x14ac:dyDescent="0.3">
      <c r="A181" s="8"/>
      <c r="B181" s="9"/>
      <c r="C181" s="9"/>
      <c r="O181" s="51">
        <v>40633</v>
      </c>
      <c r="P181" s="52">
        <v>-29.695698630028161</v>
      </c>
      <c r="R181" s="14">
        <v>43131</v>
      </c>
      <c r="S181" s="15">
        <v>12.6</v>
      </c>
    </row>
    <row r="182" spans="1:19" x14ac:dyDescent="0.3">
      <c r="A182" s="8"/>
      <c r="B182" s="9"/>
      <c r="C182" s="9"/>
      <c r="O182" s="51">
        <v>40602</v>
      </c>
      <c r="P182" s="52">
        <v>-33.90073066462066</v>
      </c>
      <c r="R182" s="14">
        <v>43159</v>
      </c>
      <c r="S182" s="15">
        <v>12.1</v>
      </c>
    </row>
    <row r="183" spans="1:19" x14ac:dyDescent="0.3">
      <c r="A183" s="8"/>
      <c r="B183" s="9"/>
      <c r="C183" s="9"/>
      <c r="O183" s="51">
        <v>40574</v>
      </c>
      <c r="P183" s="52">
        <v>-35.909986065406891</v>
      </c>
      <c r="R183" s="14">
        <v>43190</v>
      </c>
      <c r="S183" s="15">
        <v>11.9</v>
      </c>
    </row>
    <row r="184" spans="1:19" x14ac:dyDescent="0.3">
      <c r="A184" s="8"/>
      <c r="B184" s="9"/>
      <c r="C184" s="9"/>
      <c r="O184" s="51">
        <v>40543</v>
      </c>
      <c r="P184" s="52">
        <v>-37.885445562155979</v>
      </c>
      <c r="R184" s="14">
        <v>43220</v>
      </c>
      <c r="S184" s="15">
        <v>11.9</v>
      </c>
    </row>
    <row r="185" spans="1:19" x14ac:dyDescent="0.3">
      <c r="A185" s="8"/>
      <c r="B185" s="9"/>
      <c r="C185" s="9"/>
      <c r="O185" s="51">
        <v>40512</v>
      </c>
      <c r="P185" s="52">
        <v>-37.401729189740223</v>
      </c>
      <c r="R185" s="14">
        <v>43251</v>
      </c>
      <c r="S185" s="15">
        <v>12</v>
      </c>
    </row>
    <row r="186" spans="1:19" x14ac:dyDescent="0.3">
      <c r="A186" s="8"/>
      <c r="B186" s="9"/>
      <c r="C186" s="9"/>
      <c r="O186" s="51">
        <v>40482</v>
      </c>
      <c r="P186" s="52">
        <v>-39.474395383099981</v>
      </c>
      <c r="R186" s="14">
        <v>43281</v>
      </c>
      <c r="S186" s="15">
        <v>12.1</v>
      </c>
    </row>
    <row r="187" spans="1:19" x14ac:dyDescent="0.3">
      <c r="A187" s="8"/>
      <c r="B187" s="9"/>
      <c r="C187" s="9"/>
      <c r="O187" s="51">
        <v>40451</v>
      </c>
      <c r="P187" s="52">
        <v>-43.863648823666367</v>
      </c>
      <c r="R187" s="14">
        <v>43312</v>
      </c>
      <c r="S187" s="15">
        <v>12.7</v>
      </c>
    </row>
    <row r="188" spans="1:19" x14ac:dyDescent="0.3">
      <c r="A188" s="8"/>
      <c r="B188" s="9"/>
      <c r="C188" s="9"/>
      <c r="O188" s="51">
        <v>40421</v>
      </c>
      <c r="P188" s="52">
        <v>-47.17793947961313</v>
      </c>
      <c r="R188" s="14">
        <v>43343</v>
      </c>
      <c r="S188" s="15">
        <v>12.8</v>
      </c>
    </row>
    <row r="189" spans="1:19" x14ac:dyDescent="0.3">
      <c r="A189" s="8"/>
      <c r="B189" s="9"/>
      <c r="C189" s="9"/>
      <c r="O189" s="51">
        <v>40390</v>
      </c>
      <c r="P189" s="52">
        <v>-50.829999322093272</v>
      </c>
      <c r="R189" s="14">
        <v>43373</v>
      </c>
      <c r="S189" s="15">
        <v>12.8</v>
      </c>
    </row>
    <row r="190" spans="1:19" x14ac:dyDescent="0.3">
      <c r="A190" s="8"/>
      <c r="B190" s="9"/>
      <c r="C190" s="9"/>
      <c r="O190" s="51">
        <v>40359</v>
      </c>
      <c r="P190" s="52">
        <v>-52.31133572879066</v>
      </c>
      <c r="R190" s="14">
        <v>43404</v>
      </c>
      <c r="S190" s="15">
        <v>12.8</v>
      </c>
    </row>
    <row r="191" spans="1:19" x14ac:dyDescent="0.3">
      <c r="A191" s="8"/>
      <c r="B191" s="9"/>
      <c r="C191" s="9"/>
      <c r="O191" s="51">
        <v>40329</v>
      </c>
      <c r="P191" s="52">
        <v>-49.01285195885054</v>
      </c>
      <c r="R191" s="14">
        <v>43434</v>
      </c>
      <c r="S191" s="15">
        <v>12.6</v>
      </c>
    </row>
    <row r="192" spans="1:19" x14ac:dyDescent="0.3">
      <c r="A192" s="8"/>
      <c r="B192" s="9"/>
      <c r="C192" s="9"/>
      <c r="O192" s="51">
        <v>40298</v>
      </c>
      <c r="P192" s="52">
        <v>-48.834499724415537</v>
      </c>
      <c r="R192" s="14">
        <v>43465</v>
      </c>
      <c r="S192" s="15">
        <v>12.9</v>
      </c>
    </row>
    <row r="193" spans="1:19" x14ac:dyDescent="0.3">
      <c r="A193" s="8"/>
      <c r="B193" s="9"/>
      <c r="C193" s="9"/>
      <c r="O193" s="51">
        <v>40268</v>
      </c>
      <c r="P193" s="52">
        <v>-48.325844979792727</v>
      </c>
      <c r="R193" s="14">
        <v>43496</v>
      </c>
      <c r="S193" s="15">
        <v>12.8</v>
      </c>
    </row>
    <row r="194" spans="1:19" x14ac:dyDescent="0.3">
      <c r="A194" s="8"/>
      <c r="B194" s="9"/>
      <c r="C194" s="9"/>
      <c r="O194" s="51">
        <v>40237</v>
      </c>
      <c r="P194" s="52">
        <v>-33.225265669537222</v>
      </c>
      <c r="R194" s="14">
        <v>43524</v>
      </c>
      <c r="S194" s="15">
        <v>12.7</v>
      </c>
    </row>
    <row r="195" spans="1:19" x14ac:dyDescent="0.3">
      <c r="A195" s="8"/>
      <c r="B195" s="9"/>
      <c r="C195" s="9"/>
      <c r="O195" s="51">
        <v>40209</v>
      </c>
      <c r="P195" s="52">
        <v>-13.60693776127372</v>
      </c>
      <c r="R195" s="14">
        <v>43555</v>
      </c>
      <c r="S195" s="15">
        <v>13.3</v>
      </c>
    </row>
    <row r="196" spans="1:19" x14ac:dyDescent="0.3">
      <c r="A196" s="8"/>
      <c r="B196" s="9"/>
      <c r="C196" s="9"/>
      <c r="O196" s="51">
        <v>40178</v>
      </c>
      <c r="P196" s="52">
        <v>23.709855782696842</v>
      </c>
      <c r="R196" s="14">
        <v>43585</v>
      </c>
      <c r="S196" s="15">
        <v>12.9</v>
      </c>
    </row>
    <row r="197" spans="1:19" x14ac:dyDescent="0.3">
      <c r="A197" s="8"/>
      <c r="B197" s="9"/>
      <c r="C197" s="9"/>
      <c r="O197" s="51">
        <v>40147</v>
      </c>
      <c r="P197" s="52">
        <v>45.721872070584972</v>
      </c>
      <c r="R197" s="14">
        <v>43616</v>
      </c>
      <c r="S197" s="15">
        <v>12.9</v>
      </c>
    </row>
    <row r="198" spans="1:19" x14ac:dyDescent="0.3">
      <c r="A198" s="8"/>
      <c r="B198" s="9"/>
      <c r="C198" s="9"/>
      <c r="O198" s="51">
        <v>40117</v>
      </c>
      <c r="P198" s="52">
        <v>73.353234837303205</v>
      </c>
      <c r="R198" s="14">
        <v>43646</v>
      </c>
      <c r="S198" s="15">
        <v>12.5</v>
      </c>
    </row>
    <row r="199" spans="1:19" x14ac:dyDescent="0.3">
      <c r="O199" s="51">
        <v>40086</v>
      </c>
      <c r="P199" s="52">
        <v>94.802910758335344</v>
      </c>
      <c r="R199" s="14">
        <v>43677</v>
      </c>
      <c r="S199" s="15">
        <v>11.9</v>
      </c>
    </row>
    <row r="200" spans="1:19" x14ac:dyDescent="0.3">
      <c r="O200" s="51">
        <v>40056</v>
      </c>
      <c r="P200" s="52">
        <v>123.17311433229609</v>
      </c>
      <c r="R200" s="14">
        <v>43708</v>
      </c>
      <c r="S200" s="15">
        <v>11.9</v>
      </c>
    </row>
    <row r="201" spans="1:19" x14ac:dyDescent="0.3">
      <c r="O201" s="51">
        <v>40025</v>
      </c>
      <c r="P201" s="52">
        <v>152.08652226242279</v>
      </c>
      <c r="R201" s="14">
        <v>43738</v>
      </c>
      <c r="S201" s="15">
        <v>12</v>
      </c>
    </row>
    <row r="202" spans="1:19" x14ac:dyDescent="0.3">
      <c r="O202" s="51">
        <v>39994</v>
      </c>
      <c r="P202" s="52">
        <v>182.48450506344071</v>
      </c>
      <c r="R202" s="14">
        <v>43769</v>
      </c>
      <c r="S202" s="15">
        <v>11.8</v>
      </c>
    </row>
    <row r="203" spans="1:19" x14ac:dyDescent="0.3">
      <c r="O203" s="51">
        <v>39964</v>
      </c>
      <c r="P203" s="52">
        <v>174.89631830375609</v>
      </c>
      <c r="R203" s="14">
        <v>43799</v>
      </c>
      <c r="S203" s="15">
        <v>11.9</v>
      </c>
    </row>
    <row r="204" spans="1:19" x14ac:dyDescent="0.3">
      <c r="O204" s="51">
        <v>39933</v>
      </c>
      <c r="P204" s="52">
        <v>174.989559930664</v>
      </c>
      <c r="R204" s="14">
        <v>43830</v>
      </c>
      <c r="S204" s="15">
        <v>11.9</v>
      </c>
    </row>
    <row r="205" spans="1:19" x14ac:dyDescent="0.3">
      <c r="O205" s="51">
        <v>39903</v>
      </c>
      <c r="P205" s="52">
        <v>183.6528968649699</v>
      </c>
      <c r="R205" s="14">
        <v>43861</v>
      </c>
      <c r="S205" s="15">
        <v>11.6</v>
      </c>
    </row>
    <row r="206" spans="1:19" x14ac:dyDescent="0.3">
      <c r="O206" s="51">
        <v>39872</v>
      </c>
      <c r="P206" s="52">
        <v>146.8344916144344</v>
      </c>
      <c r="R206" s="14">
        <v>43890</v>
      </c>
      <c r="S206" s="15">
        <v>11.7</v>
      </c>
    </row>
    <row r="207" spans="1:19" x14ac:dyDescent="0.3">
      <c r="O207" s="51">
        <v>39844</v>
      </c>
      <c r="P207" s="52">
        <v>96.31999840030025</v>
      </c>
      <c r="R207" s="14">
        <v>43921</v>
      </c>
      <c r="S207" s="15">
        <v>12.3</v>
      </c>
    </row>
    <row r="208" spans="1:19" x14ac:dyDescent="0.3">
      <c r="O208" s="51">
        <v>39813</v>
      </c>
      <c r="P208" s="52">
        <v>50.406730498429127</v>
      </c>
      <c r="R208" s="14">
        <v>43951</v>
      </c>
      <c r="S208" s="15">
        <v>12.9</v>
      </c>
    </row>
    <row r="209" spans="15:19" x14ac:dyDescent="0.3">
      <c r="O209" s="51">
        <v>39782</v>
      </c>
      <c r="P209" s="52">
        <v>24.702278919214791</v>
      </c>
      <c r="R209" s="14">
        <v>43982</v>
      </c>
      <c r="S209" s="15">
        <v>13</v>
      </c>
    </row>
    <row r="210" spans="15:19" x14ac:dyDescent="0.3">
      <c r="O210" s="51">
        <v>39752</v>
      </c>
      <c r="P210" s="52">
        <v>3.711070407643541</v>
      </c>
      <c r="R210" s="14">
        <v>44012</v>
      </c>
      <c r="S210" s="15">
        <v>13</v>
      </c>
    </row>
    <row r="211" spans="15:19" x14ac:dyDescent="0.3">
      <c r="O211" s="51">
        <v>39721</v>
      </c>
      <c r="P211" s="52">
        <v>-8.4572664168747913</v>
      </c>
      <c r="R211" s="14">
        <v>44043</v>
      </c>
      <c r="S211" s="15">
        <v>13</v>
      </c>
    </row>
    <row r="212" spans="15:19" x14ac:dyDescent="0.3">
      <c r="O212" s="51">
        <v>39691</v>
      </c>
      <c r="P212" s="52">
        <v>-17.60360572112095</v>
      </c>
      <c r="R212" s="14">
        <v>44074</v>
      </c>
      <c r="S212" s="15">
        <v>12.8</v>
      </c>
    </row>
    <row r="213" spans="15:19" x14ac:dyDescent="0.3">
      <c r="O213" s="51">
        <v>39660</v>
      </c>
      <c r="P213" s="52">
        <v>-20.787189220781769</v>
      </c>
      <c r="R213" s="14">
        <v>44104</v>
      </c>
      <c r="S213" s="15">
        <v>12.8</v>
      </c>
    </row>
    <row r="214" spans="15:19" x14ac:dyDescent="0.3">
      <c r="O214" s="51">
        <v>39629</v>
      </c>
      <c r="P214" s="52">
        <v>-26.33451122065037</v>
      </c>
      <c r="R214" s="14">
        <v>44135</v>
      </c>
      <c r="S214" s="15">
        <v>12.8</v>
      </c>
    </row>
    <row r="215" spans="15:19" x14ac:dyDescent="0.3">
      <c r="O215" s="51">
        <v>39599</v>
      </c>
      <c r="P215" s="52">
        <v>-28.76214746930426</v>
      </c>
      <c r="R215" s="14">
        <v>44165</v>
      </c>
      <c r="S215" s="15">
        <v>12.6</v>
      </c>
    </row>
    <row r="216" spans="15:19" x14ac:dyDescent="0.3">
      <c r="O216" s="51">
        <v>39568</v>
      </c>
      <c r="P216" s="52">
        <v>-31.124541981318789</v>
      </c>
      <c r="R216" s="14">
        <v>44196</v>
      </c>
      <c r="S216" s="15">
        <v>12.5</v>
      </c>
    </row>
    <row r="217" spans="15:19" x14ac:dyDescent="0.3">
      <c r="O217" s="51">
        <v>39538</v>
      </c>
      <c r="P217" s="52">
        <v>-33.394215577434011</v>
      </c>
      <c r="R217" s="14">
        <v>44227</v>
      </c>
      <c r="S217" s="15">
        <v>12.5</v>
      </c>
    </row>
    <row r="218" spans="15:19" x14ac:dyDescent="0.3">
      <c r="O218" s="51">
        <v>39507</v>
      </c>
      <c r="P218" s="52">
        <v>-31.856407056855751</v>
      </c>
      <c r="R218" s="14">
        <v>44255</v>
      </c>
      <c r="S218" s="15">
        <v>12.6</v>
      </c>
    </row>
    <row r="219" spans="15:19" x14ac:dyDescent="0.3">
      <c r="O219" s="51">
        <v>39478</v>
      </c>
      <c r="P219" s="52">
        <v>-27.417398357373202</v>
      </c>
      <c r="R219" s="14">
        <v>44286</v>
      </c>
      <c r="S219" s="15">
        <v>12.3</v>
      </c>
    </row>
    <row r="220" spans="15:19" x14ac:dyDescent="0.3">
      <c r="O220" s="51">
        <v>39447</v>
      </c>
      <c r="P220" s="52">
        <v>-25.6140377347979</v>
      </c>
      <c r="R220" s="14">
        <v>44316</v>
      </c>
      <c r="S220" s="15">
        <v>12</v>
      </c>
    </row>
    <row r="221" spans="15:19" x14ac:dyDescent="0.3">
      <c r="O221" s="51">
        <v>39355</v>
      </c>
      <c r="P221" s="52">
        <v>-10.41869268155085</v>
      </c>
      <c r="R221" s="14">
        <v>44347</v>
      </c>
      <c r="S221" s="15">
        <v>11.8</v>
      </c>
    </row>
    <row r="222" spans="15:19" x14ac:dyDescent="0.3">
      <c r="O222" s="51">
        <v>39263</v>
      </c>
      <c r="P222" s="52">
        <v>-11.07848287348388</v>
      </c>
      <c r="R222" s="14">
        <v>44377</v>
      </c>
      <c r="S222" s="15">
        <v>11.9</v>
      </c>
    </row>
    <row r="223" spans="15:19" x14ac:dyDescent="0.3">
      <c r="O223" s="51">
        <v>39172</v>
      </c>
      <c r="P223" s="52">
        <v>-6.6008243398606607</v>
      </c>
      <c r="R223" s="14">
        <v>44408</v>
      </c>
      <c r="S223" s="15">
        <v>11.8</v>
      </c>
    </row>
    <row r="224" spans="15:19" x14ac:dyDescent="0.3">
      <c r="O224" s="51">
        <v>39082</v>
      </c>
      <c r="P224" s="52">
        <v>6.1650477660897112</v>
      </c>
      <c r="R224" s="14">
        <v>44439</v>
      </c>
      <c r="S224" s="15">
        <v>11.7</v>
      </c>
    </row>
    <row r="225" spans="15:19" x14ac:dyDescent="0.3">
      <c r="O225" s="51">
        <v>38990</v>
      </c>
      <c r="P225" s="52">
        <v>13.50305643594395</v>
      </c>
      <c r="R225" s="14">
        <v>44469</v>
      </c>
      <c r="S225" s="15">
        <v>11.4</v>
      </c>
    </row>
    <row r="226" spans="15:19" x14ac:dyDescent="0.3">
      <c r="O226" s="51">
        <v>38898</v>
      </c>
      <c r="P226" s="52">
        <v>40.051128432741017</v>
      </c>
      <c r="R226" s="14">
        <v>44500</v>
      </c>
      <c r="S226" s="15">
        <v>11.4</v>
      </c>
    </row>
    <row r="227" spans="15:19" x14ac:dyDescent="0.3">
      <c r="O227" s="51">
        <v>38807</v>
      </c>
      <c r="P227" s="52">
        <v>53.552641510183491</v>
      </c>
      <c r="R227" s="14">
        <v>44530</v>
      </c>
      <c r="S227" s="15">
        <v>11.4</v>
      </c>
    </row>
    <row r="228" spans="15:19" x14ac:dyDescent="0.3">
      <c r="O228" s="51">
        <v>38717</v>
      </c>
      <c r="P228" s="52">
        <v>40.877927691393012</v>
      </c>
      <c r="R228" s="14">
        <v>44561</v>
      </c>
      <c r="S228" s="15">
        <v>11.3</v>
      </c>
    </row>
    <row r="229" spans="15:19" x14ac:dyDescent="0.3">
      <c r="R229" s="14">
        <v>44592</v>
      </c>
      <c r="S229" s="15">
        <v>11.2</v>
      </c>
    </row>
    <row r="230" spans="15:19" x14ac:dyDescent="0.3">
      <c r="R230" s="14">
        <v>44620</v>
      </c>
      <c r="S230" s="15">
        <v>11.1</v>
      </c>
    </row>
    <row r="231" spans="15:19" x14ac:dyDescent="0.3">
      <c r="R231" s="14">
        <v>44651</v>
      </c>
      <c r="S231" s="15">
        <v>11</v>
      </c>
    </row>
    <row r="232" spans="15:19" x14ac:dyDescent="0.3">
      <c r="R232" s="14">
        <v>44681</v>
      </c>
      <c r="S232" s="15">
        <v>10.6</v>
      </c>
    </row>
    <row r="233" spans="15:19" x14ac:dyDescent="0.3">
      <c r="R233" s="14">
        <v>44712</v>
      </c>
      <c r="S233" s="15">
        <v>10.7</v>
      </c>
    </row>
    <row r="234" spans="15:19" x14ac:dyDescent="0.3">
      <c r="R234" s="14">
        <v>44742</v>
      </c>
      <c r="S234" s="15">
        <v>10.8</v>
      </c>
    </row>
    <row r="235" spans="15:19" x14ac:dyDescent="0.3">
      <c r="R235" s="14">
        <v>44773</v>
      </c>
      <c r="S235" s="15">
        <v>10.5</v>
      </c>
    </row>
    <row r="236" spans="15:19" x14ac:dyDescent="0.3">
      <c r="R236" s="14">
        <v>44804</v>
      </c>
      <c r="S236" s="15">
        <v>10.4</v>
      </c>
    </row>
    <row r="237" spans="15:19" x14ac:dyDescent="0.3">
      <c r="R237" s="14">
        <v>44834</v>
      </c>
      <c r="S237" s="15">
        <v>10.7</v>
      </c>
    </row>
    <row r="238" spans="15:19" x14ac:dyDescent="0.3">
      <c r="R238" s="14">
        <v>44865</v>
      </c>
      <c r="S238" s="15">
        <v>10.5</v>
      </c>
    </row>
    <row r="239" spans="15:19" x14ac:dyDescent="0.3">
      <c r="R239" s="14">
        <v>44895</v>
      </c>
      <c r="S239" s="15">
        <v>10.4</v>
      </c>
    </row>
    <row r="240" spans="15:19" x14ac:dyDescent="0.3">
      <c r="R240" s="14">
        <v>44926</v>
      </c>
      <c r="S240" s="15">
        <v>10.4</v>
      </c>
    </row>
    <row r="241" spans="18:19" x14ac:dyDescent="0.3">
      <c r="R241" s="14">
        <v>44957</v>
      </c>
      <c r="S241" s="15">
        <v>10.6</v>
      </c>
    </row>
    <row r="242" spans="18:19" x14ac:dyDescent="0.3">
      <c r="R242" s="14">
        <v>44985</v>
      </c>
      <c r="S242" s="15">
        <v>10.8</v>
      </c>
    </row>
    <row r="243" spans="18:19" x14ac:dyDescent="0.3">
      <c r="R243" s="14">
        <v>45016</v>
      </c>
      <c r="S243" s="15">
        <v>11.1</v>
      </c>
    </row>
    <row r="244" spans="18:19" x14ac:dyDescent="0.3">
      <c r="R244" s="14">
        <v>45046</v>
      </c>
      <c r="S244" s="15">
        <v>10.9</v>
      </c>
    </row>
    <row r="245" spans="18:19" x14ac:dyDescent="0.3">
      <c r="R245" s="14">
        <v>45077</v>
      </c>
      <c r="S245" s="15">
        <v>10.6</v>
      </c>
    </row>
    <row r="246" spans="18:19" x14ac:dyDescent="0.3">
      <c r="R246" s="14">
        <v>45107</v>
      </c>
      <c r="S246" s="15">
        <v>10.6</v>
      </c>
    </row>
    <row r="247" spans="18:19" x14ac:dyDescent="0.3">
      <c r="R247" s="14">
        <v>45138</v>
      </c>
      <c r="S247" s="15">
        <v>10.5</v>
      </c>
    </row>
    <row r="248" spans="18:19" x14ac:dyDescent="0.3">
      <c r="R248" s="14">
        <v>45169</v>
      </c>
      <c r="S248" s="15">
        <v>10.5</v>
      </c>
    </row>
    <row r="249" spans="18:19" x14ac:dyDescent="0.3">
      <c r="R249" s="14">
        <v>45199</v>
      </c>
      <c r="S249" s="15">
        <v>10.199999999999999</v>
      </c>
    </row>
    <row r="250" spans="18:19" x14ac:dyDescent="0.3">
      <c r="R250" s="14">
        <v>45230</v>
      </c>
      <c r="S250" s="15">
        <v>10.3</v>
      </c>
    </row>
    <row r="251" spans="18:19" x14ac:dyDescent="0.3">
      <c r="R251" s="14">
        <v>45260</v>
      </c>
      <c r="S251" s="15">
        <v>10.199999999999999</v>
      </c>
    </row>
    <row r="252" spans="18:19" x14ac:dyDescent="0.3">
      <c r="R252" s="14">
        <v>45291</v>
      </c>
      <c r="S252" s="15">
        <v>10.1</v>
      </c>
    </row>
    <row r="253" spans="18:19" x14ac:dyDescent="0.3">
      <c r="R253" s="14">
        <v>45322</v>
      </c>
      <c r="S253" s="15">
        <v>10</v>
      </c>
    </row>
    <row r="254" spans="18:19" x14ac:dyDescent="0.3">
      <c r="R254" s="14">
        <v>45351</v>
      </c>
      <c r="S254" s="15">
        <v>9.6999999999999993</v>
      </c>
    </row>
    <row r="255" spans="18:19" x14ac:dyDescent="0.3">
      <c r="R255" s="14">
        <v>45382</v>
      </c>
      <c r="S255" s="15">
        <v>9.1999999999999993</v>
      </c>
    </row>
    <row r="256" spans="18:19" x14ac:dyDescent="0.3">
      <c r="R256" s="14">
        <v>45412</v>
      </c>
      <c r="S256" s="15">
        <v>9.1</v>
      </c>
    </row>
    <row r="257" spans="18:19" x14ac:dyDescent="0.3">
      <c r="R257" s="14">
        <v>45443</v>
      </c>
      <c r="S257" s="15">
        <v>8.9</v>
      </c>
    </row>
    <row r="258" spans="18:19" x14ac:dyDescent="0.3">
      <c r="R258" s="14">
        <v>45473</v>
      </c>
      <c r="S258" s="15">
        <v>8.3000000000000007</v>
      </c>
    </row>
    <row r="259" spans="18:19" x14ac:dyDescent="0.3">
      <c r="R259" s="14">
        <v>45504</v>
      </c>
      <c r="S259" s="15">
        <v>8.3000000000000007</v>
      </c>
    </row>
    <row r="260" spans="18:19" x14ac:dyDescent="0.3">
      <c r="R260" s="14">
        <v>45535</v>
      </c>
      <c r="S260" s="15">
        <v>8</v>
      </c>
    </row>
    <row r="261" spans="18:19" x14ac:dyDescent="0.3">
      <c r="R261" s="14">
        <v>45565</v>
      </c>
      <c r="S261" s="15">
        <v>7.6</v>
      </c>
    </row>
    <row r="262" spans="18:19" x14ac:dyDescent="0.3">
      <c r="R262" s="14">
        <v>45596</v>
      </c>
      <c r="S262" s="15">
        <v>7.5</v>
      </c>
    </row>
    <row r="263" spans="18:19" x14ac:dyDescent="0.3">
      <c r="R263" s="14">
        <v>45626</v>
      </c>
      <c r="S263" s="15">
        <v>7.3</v>
      </c>
    </row>
    <row r="264" spans="18:19" x14ac:dyDescent="0.3">
      <c r="R264" s="14">
        <v>45657</v>
      </c>
      <c r="S264" s="15">
        <v>7.2</v>
      </c>
    </row>
    <row r="265" spans="18:19" x14ac:dyDescent="0.3">
      <c r="R265" s="14">
        <v>45688</v>
      </c>
      <c r="S265" s="15">
        <v>7</v>
      </c>
    </row>
    <row r="266" spans="18:19" x14ac:dyDescent="0.3">
      <c r="R266" s="14">
        <v>45716</v>
      </c>
      <c r="S266" s="15">
        <v>6.8</v>
      </c>
    </row>
    <row r="267" spans="18:19" x14ac:dyDescent="0.3">
      <c r="R267" s="14">
        <v>45747</v>
      </c>
      <c r="S267" s="15">
        <v>6.9</v>
      </c>
    </row>
    <row r="268" spans="18:19" x14ac:dyDescent="0.3">
      <c r="R268" s="14">
        <v>45777</v>
      </c>
      <c r="S268" s="15">
        <v>6.8</v>
      </c>
    </row>
    <row r="269" spans="18:19" x14ac:dyDescent="0.3">
      <c r="R269" s="14">
        <v>45808</v>
      </c>
      <c r="S269" s="15">
        <v>6.7</v>
      </c>
    </row>
    <row r="270" spans="18:19" x14ac:dyDescent="0.3">
      <c r="R270" s="14">
        <v>45838</v>
      </c>
      <c r="S270" s="15">
        <v>6.8</v>
      </c>
    </row>
    <row r="271" spans="18:19" x14ac:dyDescent="0.3">
      <c r="R271" s="14">
        <v>45869</v>
      </c>
      <c r="S271" s="15">
        <v>6.7</v>
      </c>
    </row>
    <row r="272" spans="18:19" x14ac:dyDescent="0.3">
      <c r="R272" s="14">
        <v>45900</v>
      </c>
      <c r="S272" s="15">
        <v>6.6</v>
      </c>
    </row>
    <row r="273" spans="18:19" x14ac:dyDescent="0.3">
      <c r="R273" s="14">
        <v>45930</v>
      </c>
      <c r="S273" s="15">
        <v>6.5</v>
      </c>
    </row>
    <row r="274" spans="18:19" x14ac:dyDescent="0.3">
      <c r="R274" s="14">
        <v>45961</v>
      </c>
      <c r="S274" s="15">
        <v>6.3</v>
      </c>
    </row>
    <row r="275" spans="18:19" x14ac:dyDescent="0.3">
      <c r="R275" s="14">
        <v>45991</v>
      </c>
      <c r="S275" s="15">
        <v>6.3</v>
      </c>
    </row>
    <row r="276" spans="18:19" x14ac:dyDescent="0.3">
      <c r="R276" s="14">
        <v>46022</v>
      </c>
      <c r="S276" s="15">
        <v>6.2</v>
      </c>
    </row>
    <row r="277" spans="18:19" x14ac:dyDescent="0.3">
      <c r="R277" s="14"/>
      <c r="S277" s="15"/>
    </row>
    <row r="278" spans="18:19" x14ac:dyDescent="0.3">
      <c r="R278" s="14"/>
      <c r="S278" s="15"/>
    </row>
    <row r="279" spans="18:19" x14ac:dyDescent="0.3">
      <c r="R279" s="14"/>
      <c r="S279" s="15"/>
    </row>
    <row r="280" spans="18:19" x14ac:dyDescent="0.3">
      <c r="R280" s="14"/>
      <c r="S280" s="15"/>
    </row>
    <row r="281" spans="18:19" x14ac:dyDescent="0.3">
      <c r="R281" s="14"/>
      <c r="S281" s="15"/>
    </row>
    <row r="282" spans="18:19" x14ac:dyDescent="0.3">
      <c r="R282" s="14"/>
      <c r="S282" s="15"/>
    </row>
    <row r="283" spans="18:19" x14ac:dyDescent="0.3">
      <c r="R283" s="14"/>
      <c r="S283" s="15"/>
    </row>
    <row r="284" spans="18:19" x14ac:dyDescent="0.3">
      <c r="R284" s="14"/>
      <c r="S284" s="15"/>
    </row>
    <row r="285" spans="18:19" x14ac:dyDescent="0.3">
      <c r="R285" s="14"/>
      <c r="S285" s="15"/>
    </row>
    <row r="286" spans="18:19" x14ac:dyDescent="0.3">
      <c r="R286" s="14"/>
      <c r="S286" s="15"/>
    </row>
    <row r="287" spans="18:19" x14ac:dyDescent="0.3">
      <c r="R287" s="14"/>
      <c r="S287" s="15"/>
    </row>
    <row r="288" spans="18:19" x14ac:dyDescent="0.3">
      <c r="R288" s="14"/>
      <c r="S288" s="15"/>
    </row>
    <row r="289" spans="18:19" x14ac:dyDescent="0.3">
      <c r="R289" s="16"/>
      <c r="S289" s="17"/>
    </row>
    <row r="290" spans="18:19" x14ac:dyDescent="0.3">
      <c r="R290" s="16"/>
      <c r="S290" s="17"/>
    </row>
    <row r="291" spans="18:19" x14ac:dyDescent="0.3">
      <c r="R291" s="16"/>
      <c r="S291" s="17"/>
    </row>
    <row r="292" spans="18:19" x14ac:dyDescent="0.3">
      <c r="R292" s="16"/>
      <c r="S292" s="17"/>
    </row>
    <row r="293" spans="18:19" x14ac:dyDescent="0.3">
      <c r="R293" s="16"/>
      <c r="S293" s="17"/>
    </row>
    <row r="294" spans="18:19" x14ac:dyDescent="0.3">
      <c r="R294" s="16"/>
      <c r="S294" s="17"/>
    </row>
    <row r="295" spans="18:19" x14ac:dyDescent="0.3">
      <c r="R295" s="16"/>
      <c r="S295" s="17"/>
    </row>
    <row r="296" spans="18:19" x14ac:dyDescent="0.3">
      <c r="R296" s="16"/>
      <c r="S296" s="17"/>
    </row>
    <row r="297" spans="18:19" x14ac:dyDescent="0.3">
      <c r="R297" s="16"/>
      <c r="S297" s="17"/>
    </row>
    <row r="298" spans="18:19" x14ac:dyDescent="0.3">
      <c r="R298" s="16"/>
      <c r="S298" s="17"/>
    </row>
    <row r="299" spans="18:19" x14ac:dyDescent="0.3">
      <c r="R299" s="16"/>
      <c r="S299" s="17"/>
    </row>
    <row r="300" spans="18:19" x14ac:dyDescent="0.3">
      <c r="R300" s="16"/>
      <c r="S300" s="17"/>
    </row>
    <row r="301" spans="18:19" x14ac:dyDescent="0.3">
      <c r="R301" s="16"/>
      <c r="S301" s="17"/>
    </row>
    <row r="302" spans="18:19" x14ac:dyDescent="0.3">
      <c r="R302" s="16"/>
      <c r="S302" s="17"/>
    </row>
    <row r="303" spans="18:19" x14ac:dyDescent="0.3">
      <c r="R303" s="16"/>
      <c r="S303" s="17"/>
    </row>
    <row r="304" spans="18:19" x14ac:dyDescent="0.3">
      <c r="R304" s="16"/>
      <c r="S304" s="17"/>
    </row>
    <row r="305" spans="18:19" x14ac:dyDescent="0.3">
      <c r="R305" s="16"/>
      <c r="S305" s="17"/>
    </row>
    <row r="306" spans="18:19" x14ac:dyDescent="0.3">
      <c r="R306" s="16"/>
      <c r="S306" s="17"/>
    </row>
    <row r="307" spans="18:19" x14ac:dyDescent="0.3">
      <c r="R307" s="16"/>
      <c r="S307" s="17"/>
    </row>
    <row r="308" spans="18:19" x14ac:dyDescent="0.3">
      <c r="R308" s="16"/>
      <c r="S308" s="17"/>
    </row>
    <row r="309" spans="18:19" x14ac:dyDescent="0.3">
      <c r="R309" s="16"/>
      <c r="S309" s="17"/>
    </row>
    <row r="310" spans="18:19" x14ac:dyDescent="0.3">
      <c r="R310" s="16"/>
      <c r="S310" s="17"/>
    </row>
    <row r="311" spans="18:19" x14ac:dyDescent="0.3">
      <c r="R311" s="16"/>
      <c r="S311" s="17"/>
    </row>
    <row r="312" spans="18:19" x14ac:dyDescent="0.3">
      <c r="R312" s="16"/>
      <c r="S312" s="17"/>
    </row>
    <row r="313" spans="18:19" x14ac:dyDescent="0.3">
      <c r="R313" s="16"/>
      <c r="S313" s="17"/>
    </row>
    <row r="314" spans="18:19" x14ac:dyDescent="0.3">
      <c r="R314" s="16"/>
      <c r="S314" s="17"/>
    </row>
    <row r="315" spans="18:19" x14ac:dyDescent="0.3">
      <c r="R315" s="16"/>
      <c r="S315" s="17"/>
    </row>
    <row r="316" spans="18:19" x14ac:dyDescent="0.3">
      <c r="R316" s="16"/>
      <c r="S316" s="17"/>
    </row>
    <row r="317" spans="18:19" x14ac:dyDescent="0.3">
      <c r="R317" s="16"/>
      <c r="S317" s="17"/>
    </row>
    <row r="318" spans="18:19" x14ac:dyDescent="0.3">
      <c r="R318" s="16"/>
      <c r="S318" s="17"/>
    </row>
    <row r="319" spans="18:19" x14ac:dyDescent="0.3">
      <c r="R319" s="16"/>
      <c r="S319" s="17"/>
    </row>
    <row r="320" spans="18:19" x14ac:dyDescent="0.3">
      <c r="R320" s="16"/>
      <c r="S320" s="17"/>
    </row>
    <row r="321" spans="18:19" x14ac:dyDescent="0.3">
      <c r="R321" s="16"/>
      <c r="S321" s="17"/>
    </row>
    <row r="322" spans="18:19" x14ac:dyDescent="0.3">
      <c r="R322" s="16"/>
      <c r="S322" s="17"/>
    </row>
    <row r="323" spans="18:19" x14ac:dyDescent="0.3">
      <c r="R323" s="16"/>
      <c r="S323" s="17"/>
    </row>
    <row r="324" spans="18:19" x14ac:dyDescent="0.3">
      <c r="R324" s="16"/>
      <c r="S324" s="17"/>
    </row>
    <row r="325" spans="18:19" x14ac:dyDescent="0.3">
      <c r="R325" s="16"/>
      <c r="S325" s="17"/>
    </row>
    <row r="326" spans="18:19" x14ac:dyDescent="0.3">
      <c r="R326" s="16"/>
      <c r="S326" s="17"/>
    </row>
    <row r="327" spans="18:19" x14ac:dyDescent="0.3">
      <c r="R327" s="16"/>
      <c r="S327" s="17"/>
    </row>
    <row r="328" spans="18:19" x14ac:dyDescent="0.3">
      <c r="R328" s="16"/>
      <c r="S328" s="17"/>
    </row>
    <row r="329" spans="18:19" x14ac:dyDescent="0.3">
      <c r="R329" s="16"/>
      <c r="S329" s="17"/>
    </row>
    <row r="330" spans="18:19" x14ac:dyDescent="0.3">
      <c r="R330" s="16"/>
      <c r="S330" s="17"/>
    </row>
    <row r="331" spans="18:19" x14ac:dyDescent="0.3">
      <c r="R331" s="16"/>
      <c r="S331" s="17"/>
    </row>
    <row r="332" spans="18:19" x14ac:dyDescent="0.3">
      <c r="R332" s="16"/>
      <c r="S332" s="17"/>
    </row>
    <row r="333" spans="18:19" x14ac:dyDescent="0.3">
      <c r="R333" s="16"/>
      <c r="S333" s="17"/>
    </row>
    <row r="334" spans="18:19" x14ac:dyDescent="0.3">
      <c r="R334" s="16"/>
      <c r="S334" s="17"/>
    </row>
    <row r="335" spans="18:19" x14ac:dyDescent="0.3">
      <c r="R335" s="16"/>
      <c r="S335" s="17"/>
    </row>
    <row r="336" spans="18:19" x14ac:dyDescent="0.3">
      <c r="R336" s="16"/>
      <c r="S336" s="17"/>
    </row>
    <row r="337" spans="18:19" x14ac:dyDescent="0.3">
      <c r="R337" s="16"/>
      <c r="S337" s="17"/>
    </row>
    <row r="338" spans="18:19" x14ac:dyDescent="0.3">
      <c r="R338" s="16"/>
      <c r="S338" s="17"/>
    </row>
    <row r="339" spans="18:19" x14ac:dyDescent="0.3">
      <c r="R339" s="16"/>
      <c r="S339" s="17"/>
    </row>
    <row r="340" spans="18:19" x14ac:dyDescent="0.3">
      <c r="R340" s="16"/>
      <c r="S340" s="17"/>
    </row>
    <row r="341" spans="18:19" x14ac:dyDescent="0.3">
      <c r="R341" s="16"/>
      <c r="S341" s="17"/>
    </row>
    <row r="342" spans="18:19" x14ac:dyDescent="0.3">
      <c r="R342" s="16"/>
      <c r="S342" s="17"/>
    </row>
    <row r="343" spans="18:19" x14ac:dyDescent="0.3">
      <c r="R343" s="16"/>
      <c r="S343" s="17"/>
    </row>
    <row r="344" spans="18:19" x14ac:dyDescent="0.3">
      <c r="R344" s="16"/>
      <c r="S344" s="17"/>
    </row>
    <row r="345" spans="18:19" x14ac:dyDescent="0.3">
      <c r="R345" s="16"/>
      <c r="S345" s="17"/>
    </row>
    <row r="346" spans="18:19" x14ac:dyDescent="0.3">
      <c r="R346" s="16"/>
      <c r="S346" s="17"/>
    </row>
    <row r="347" spans="18:19" x14ac:dyDescent="0.3">
      <c r="R347" s="16"/>
      <c r="S347" s="17"/>
    </row>
    <row r="348" spans="18:19" x14ac:dyDescent="0.3">
      <c r="R348" s="16"/>
      <c r="S348" s="17"/>
    </row>
    <row r="349" spans="18:19" x14ac:dyDescent="0.3">
      <c r="R349" s="16"/>
      <c r="S349" s="17"/>
    </row>
    <row r="350" spans="18:19" x14ac:dyDescent="0.3">
      <c r="R350" s="16"/>
      <c r="S350" s="17"/>
    </row>
    <row r="351" spans="18:19" x14ac:dyDescent="0.3">
      <c r="R351" s="16"/>
      <c r="S351" s="17"/>
    </row>
    <row r="352" spans="18:19" x14ac:dyDescent="0.3">
      <c r="R352" s="16"/>
      <c r="S352" s="17"/>
    </row>
    <row r="353" spans="18:19" x14ac:dyDescent="0.3">
      <c r="R353" s="16"/>
      <c r="S353" s="17"/>
    </row>
    <row r="354" spans="18:19" x14ac:dyDescent="0.3">
      <c r="R354" s="16"/>
      <c r="S354" s="17"/>
    </row>
    <row r="355" spans="18:19" x14ac:dyDescent="0.3">
      <c r="R355" s="16"/>
      <c r="S355" s="17"/>
    </row>
    <row r="356" spans="18:19" x14ac:dyDescent="0.3">
      <c r="R356" s="16"/>
      <c r="S356" s="17"/>
    </row>
    <row r="357" spans="18:19" x14ac:dyDescent="0.3">
      <c r="R357" s="16"/>
      <c r="S357" s="17"/>
    </row>
    <row r="358" spans="18:19" x14ac:dyDescent="0.3">
      <c r="R358" s="16"/>
      <c r="S358" s="17"/>
    </row>
    <row r="359" spans="18:19" x14ac:dyDescent="0.3">
      <c r="R359" s="16"/>
      <c r="S359" s="17"/>
    </row>
    <row r="360" spans="18:19" x14ac:dyDescent="0.3">
      <c r="R360" s="16"/>
      <c r="S360" s="17"/>
    </row>
    <row r="361" spans="18:19" x14ac:dyDescent="0.3">
      <c r="R361" s="16"/>
      <c r="S361" s="17"/>
    </row>
    <row r="362" spans="18:19" x14ac:dyDescent="0.3">
      <c r="R362" s="16"/>
      <c r="S362" s="17"/>
    </row>
    <row r="363" spans="18:19" x14ac:dyDescent="0.3">
      <c r="R363" s="16"/>
      <c r="S363" s="17"/>
    </row>
    <row r="364" spans="18:19" x14ac:dyDescent="0.3">
      <c r="R364" s="16"/>
      <c r="S364" s="17"/>
    </row>
    <row r="365" spans="18:19" x14ac:dyDescent="0.3">
      <c r="R365" s="16"/>
      <c r="S365" s="17"/>
    </row>
    <row r="366" spans="18:19" x14ac:dyDescent="0.3">
      <c r="R366" s="16"/>
      <c r="S366" s="17"/>
    </row>
    <row r="367" spans="18:19" x14ac:dyDescent="0.3">
      <c r="R367" s="16"/>
      <c r="S367" s="17"/>
    </row>
    <row r="368" spans="18:19" x14ac:dyDescent="0.3">
      <c r="R368" s="16"/>
      <c r="S368" s="17"/>
    </row>
    <row r="369" spans="18:19" x14ac:dyDescent="0.3">
      <c r="R369" s="16"/>
      <c r="S369" s="17"/>
    </row>
    <row r="370" spans="18:19" x14ac:dyDescent="0.3">
      <c r="R370" s="16"/>
      <c r="S370" s="17"/>
    </row>
    <row r="371" spans="18:19" x14ac:dyDescent="0.3">
      <c r="R371" s="16"/>
      <c r="S371" s="17"/>
    </row>
    <row r="372" spans="18:19" x14ac:dyDescent="0.3">
      <c r="R372" s="16"/>
      <c r="S372" s="17"/>
    </row>
    <row r="373" spans="18:19" x14ac:dyDescent="0.3">
      <c r="R373" s="16"/>
      <c r="S373" s="17"/>
    </row>
    <row r="374" spans="18:19" x14ac:dyDescent="0.3">
      <c r="R374" s="16"/>
      <c r="S374" s="17"/>
    </row>
    <row r="375" spans="18:19" x14ac:dyDescent="0.3">
      <c r="R375" s="16"/>
      <c r="S375" s="17"/>
    </row>
    <row r="376" spans="18:19" x14ac:dyDescent="0.3">
      <c r="R376" s="16"/>
      <c r="S376" s="17"/>
    </row>
    <row r="377" spans="18:19" x14ac:dyDescent="0.3">
      <c r="R377" s="16"/>
      <c r="S377" s="17"/>
    </row>
    <row r="378" spans="18:19" x14ac:dyDescent="0.3">
      <c r="R378" s="16"/>
      <c r="S378" s="17"/>
    </row>
    <row r="379" spans="18:19" x14ac:dyDescent="0.3">
      <c r="R379" s="16"/>
      <c r="S379" s="17"/>
    </row>
    <row r="380" spans="18:19" x14ac:dyDescent="0.3">
      <c r="R380" s="16"/>
      <c r="S380" s="17"/>
    </row>
    <row r="381" spans="18:19" x14ac:dyDescent="0.3">
      <c r="R381" s="16"/>
      <c r="S381" s="17"/>
    </row>
    <row r="382" spans="18:19" x14ac:dyDescent="0.3">
      <c r="R382" s="16"/>
      <c r="S382" s="17"/>
    </row>
    <row r="383" spans="18:19" x14ac:dyDescent="0.3">
      <c r="R383" s="16"/>
      <c r="S383" s="17"/>
    </row>
    <row r="384" spans="18:19" x14ac:dyDescent="0.3">
      <c r="R384" s="16"/>
      <c r="S384" s="17"/>
    </row>
    <row r="385" spans="18:19" x14ac:dyDescent="0.3">
      <c r="R385" s="16"/>
      <c r="S385" s="17"/>
    </row>
    <row r="386" spans="18:19" x14ac:dyDescent="0.3">
      <c r="R386" s="16"/>
      <c r="S386" s="17"/>
    </row>
    <row r="387" spans="18:19" x14ac:dyDescent="0.3">
      <c r="R387" s="16"/>
      <c r="S387" s="17"/>
    </row>
    <row r="388" spans="18:19" x14ac:dyDescent="0.3">
      <c r="R388" s="16"/>
      <c r="S388" s="17"/>
    </row>
    <row r="389" spans="18:19" x14ac:dyDescent="0.3">
      <c r="R389" s="16"/>
      <c r="S389" s="17"/>
    </row>
    <row r="390" spans="18:19" x14ac:dyDescent="0.3">
      <c r="R390" s="16"/>
      <c r="S390" s="17"/>
    </row>
    <row r="391" spans="18:19" x14ac:dyDescent="0.3">
      <c r="R391" s="16"/>
      <c r="S391" s="17"/>
    </row>
    <row r="392" spans="18:19" x14ac:dyDescent="0.3">
      <c r="R392" s="16"/>
      <c r="S392" s="17"/>
    </row>
    <row r="393" spans="18:19" x14ac:dyDescent="0.3">
      <c r="R393" s="16"/>
      <c r="S393" s="17"/>
    </row>
    <row r="394" spans="18:19" x14ac:dyDescent="0.3">
      <c r="R394" s="16"/>
      <c r="S394" s="17"/>
    </row>
    <row r="395" spans="18:19" x14ac:dyDescent="0.3">
      <c r="R395" s="16"/>
      <c r="S395" s="17"/>
    </row>
    <row r="396" spans="18:19" x14ac:dyDescent="0.3">
      <c r="R396" s="16"/>
      <c r="S396" s="17"/>
    </row>
    <row r="397" spans="18:19" x14ac:dyDescent="0.3">
      <c r="R397" s="16"/>
      <c r="S397" s="17"/>
    </row>
    <row r="398" spans="18:19" x14ac:dyDescent="0.3">
      <c r="R398" s="16"/>
      <c r="S398" s="17"/>
    </row>
    <row r="399" spans="18:19" x14ac:dyDescent="0.3">
      <c r="R399" s="16"/>
      <c r="S399" s="17"/>
    </row>
    <row r="400" spans="18:19" x14ac:dyDescent="0.3">
      <c r="R400" s="16"/>
      <c r="S400" s="17"/>
    </row>
    <row r="401" spans="18:19" x14ac:dyDescent="0.3">
      <c r="R401" s="16"/>
      <c r="S401" s="17"/>
    </row>
    <row r="402" spans="18:19" x14ac:dyDescent="0.3">
      <c r="R402" s="16"/>
      <c r="S402" s="17"/>
    </row>
  </sheetData>
  <mergeCells count="2">
    <mergeCell ref="A1:L1"/>
    <mergeCell ref="O1:P1"/>
  </mergeCells>
  <phoneticPr fontId="23" type="noConversion"/>
  <pageMargins left="0.7" right="0.7" top="0.75" bottom="0.75" header="0.3" footer="0.3"/>
  <pageSetup paperSize="9" orientation="portrait"/>
  <customProperties>
    <customPr name="SheetID" r:id="rId1"/>
  </customProperties>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dimension ref="A11:R111"/>
  <sheetViews>
    <sheetView workbookViewId="0">
      <selection activeCell="H6" sqref="H6"/>
    </sheetView>
  </sheetViews>
  <sheetFormatPr defaultColWidth="9" defaultRowHeight="15" x14ac:dyDescent="0.35"/>
  <cols>
    <col min="1" max="1" width="9.35546875" style="31"/>
    <col min="2" max="2" width="13.78515625" style="32"/>
    <col min="3" max="3" width="14.35546875" style="32" customWidth="1"/>
    <col min="4" max="4" width="16.640625" style="32" customWidth="1"/>
    <col min="5" max="5" width="13.85546875" style="32"/>
    <col min="6" max="6" width="13.2109375" style="1" customWidth="1"/>
    <col min="7" max="7" width="12.78515625" style="1"/>
    <col min="8" max="8" width="12.2109375" style="1" customWidth="1"/>
    <col min="9" max="9" width="13.140625" style="1" customWidth="1"/>
    <col min="10" max="15" width="9" style="1"/>
    <col min="16" max="16" width="9" style="7"/>
    <col min="17" max="17" width="13.78515625" style="1" customWidth="1"/>
    <col min="18" max="18" width="12.42578125" style="1" customWidth="1"/>
    <col min="19" max="19" width="13.2109375" style="1" customWidth="1"/>
    <col min="20" max="20" width="12.78515625" style="1"/>
    <col min="21" max="21" width="12.2109375" style="1" customWidth="1"/>
    <col min="22" max="22" width="13.140625" style="1" customWidth="1"/>
    <col min="23" max="16384" width="9" style="1"/>
  </cols>
  <sheetData>
    <row r="11" spans="1:18" ht="28.3" x14ac:dyDescent="0.3">
      <c r="A11" s="33" t="s">
        <v>89</v>
      </c>
      <c r="B11" s="34" t="s">
        <v>125</v>
      </c>
      <c r="C11" s="34"/>
      <c r="D11" s="35"/>
      <c r="E11" s="35" t="s">
        <v>32</v>
      </c>
      <c r="F11" s="1" t="s">
        <v>70</v>
      </c>
      <c r="G11" s="1" t="s">
        <v>71</v>
      </c>
      <c r="H11" s="1" t="s">
        <v>90</v>
      </c>
      <c r="I11" s="1" t="s">
        <v>91</v>
      </c>
      <c r="J11" s="1" t="s">
        <v>92</v>
      </c>
      <c r="K11" s="1" t="s">
        <v>93</v>
      </c>
      <c r="L11" s="1" t="s">
        <v>94</v>
      </c>
      <c r="M11" s="1" t="s">
        <v>95</v>
      </c>
      <c r="P11" s="44"/>
      <c r="Q11" s="46"/>
      <c r="R11" s="46"/>
    </row>
    <row r="12" spans="1:18" x14ac:dyDescent="0.3">
      <c r="A12" s="36">
        <v>45716</v>
      </c>
      <c r="B12" s="37">
        <v>5.7629000000000001</v>
      </c>
      <c r="C12" s="37"/>
      <c r="E12" s="38">
        <v>116.559874364029</v>
      </c>
      <c r="F12" s="1">
        <f>IF(E12&gt;E13,1,0)</f>
        <v>0</v>
      </c>
      <c r="G12" s="1">
        <f>1-F12</f>
        <v>1</v>
      </c>
      <c r="H12" s="1">
        <f>IF(E12&gt;E13,1,0)</f>
        <v>0</v>
      </c>
      <c r="I12" s="1">
        <f>1-H12</f>
        <v>1</v>
      </c>
      <c r="J12" s="1">
        <f t="shared" ref="J12:J75" si="0">INT(AND(F12=1,H12=1))</f>
        <v>0</v>
      </c>
      <c r="K12" s="1">
        <f t="shared" ref="K12:K75" si="1">INT(AND(F12=1,I12=1))</f>
        <v>0</v>
      </c>
      <c r="L12" s="1">
        <f t="shared" ref="L12:L75" si="2">INT(AND(G12=1,H12=1))</f>
        <v>0</v>
      </c>
      <c r="M12" s="1">
        <f t="shared" ref="M12:M75" si="3">INT(AND(G12=1,I12=1))</f>
        <v>1</v>
      </c>
      <c r="N12" s="1" t="str">
        <f t="shared" ref="N12:N75" si="4">INDEX($J$11:$M$11,1,MATCH(1,J12:M12,0))</f>
        <v>双紧</v>
      </c>
      <c r="P12" s="45"/>
      <c r="Q12" s="47"/>
      <c r="R12" s="48"/>
    </row>
    <row r="13" spans="1:18" x14ac:dyDescent="0.3">
      <c r="A13" s="36">
        <v>45688</v>
      </c>
      <c r="B13" s="37">
        <v>3.3959999999999999</v>
      </c>
      <c r="C13" s="37"/>
      <c r="E13" s="38">
        <v>117.074869611682</v>
      </c>
      <c r="F13" s="1">
        <f t="shared" ref="F13:F44" si="5">IF(E13&gt;E14,1,0)</f>
        <v>0</v>
      </c>
      <c r="G13" s="1">
        <f t="shared" ref="G13:G44" si="6">1-F13</f>
        <v>1</v>
      </c>
      <c r="H13" s="1">
        <f t="shared" ref="H13:H76" si="7">IF(E13&gt;E14,1,0)</f>
        <v>0</v>
      </c>
      <c r="I13" s="1">
        <f t="shared" ref="I13:I44" si="8">1-H13</f>
        <v>1</v>
      </c>
      <c r="J13" s="1">
        <f t="shared" si="0"/>
        <v>0</v>
      </c>
      <c r="K13" s="1">
        <f t="shared" si="1"/>
        <v>0</v>
      </c>
      <c r="L13" s="1">
        <f t="shared" si="2"/>
        <v>0</v>
      </c>
      <c r="M13" s="1">
        <f t="shared" si="3"/>
        <v>1</v>
      </c>
      <c r="N13" s="1" t="str">
        <f t="shared" si="4"/>
        <v>双紧</v>
      </c>
      <c r="P13" s="45"/>
      <c r="Q13" s="47"/>
      <c r="R13" s="48"/>
    </row>
    <row r="14" spans="1:18" x14ac:dyDescent="0.3">
      <c r="A14" s="36">
        <v>45657</v>
      </c>
      <c r="B14" s="37">
        <v>3.3959999999999999</v>
      </c>
      <c r="C14" s="37"/>
      <c r="E14" s="38">
        <v>117.610745591699</v>
      </c>
      <c r="F14" s="1">
        <f t="shared" si="5"/>
        <v>1</v>
      </c>
      <c r="G14" s="1">
        <f t="shared" si="6"/>
        <v>0</v>
      </c>
      <c r="H14" s="1">
        <f t="shared" si="7"/>
        <v>1</v>
      </c>
      <c r="I14" s="1">
        <f t="shared" si="8"/>
        <v>0</v>
      </c>
      <c r="J14" s="1">
        <f t="shared" si="0"/>
        <v>1</v>
      </c>
      <c r="K14" s="1">
        <f t="shared" si="1"/>
        <v>0</v>
      </c>
      <c r="L14" s="1">
        <f t="shared" si="2"/>
        <v>0</v>
      </c>
      <c r="M14" s="1">
        <f t="shared" si="3"/>
        <v>0</v>
      </c>
      <c r="N14" s="1" t="str">
        <f t="shared" si="4"/>
        <v>双宽</v>
      </c>
      <c r="P14" s="45"/>
      <c r="Q14" s="47"/>
      <c r="R14" s="48"/>
    </row>
    <row r="15" spans="1:18" x14ac:dyDescent="0.3">
      <c r="A15" s="36">
        <v>45626</v>
      </c>
      <c r="B15" s="37">
        <v>2.6364645764197401</v>
      </c>
      <c r="C15" s="37"/>
      <c r="E15" s="38">
        <v>117.12596050294501</v>
      </c>
      <c r="F15" s="1">
        <f t="shared" si="5"/>
        <v>0</v>
      </c>
      <c r="G15" s="1">
        <f t="shared" si="6"/>
        <v>1</v>
      </c>
      <c r="H15" s="1">
        <f t="shared" si="7"/>
        <v>0</v>
      </c>
      <c r="I15" s="1">
        <f t="shared" si="8"/>
        <v>1</v>
      </c>
      <c r="J15" s="1">
        <f t="shared" si="0"/>
        <v>0</v>
      </c>
      <c r="K15" s="1">
        <f t="shared" si="1"/>
        <v>0</v>
      </c>
      <c r="L15" s="1">
        <f t="shared" si="2"/>
        <v>0</v>
      </c>
      <c r="M15" s="1">
        <f t="shared" si="3"/>
        <v>1</v>
      </c>
      <c r="N15" s="1" t="str">
        <f t="shared" si="4"/>
        <v>双紧</v>
      </c>
      <c r="P15" s="45"/>
      <c r="Q15" s="47"/>
      <c r="R15" s="48"/>
    </row>
    <row r="16" spans="1:18" x14ac:dyDescent="0.3">
      <c r="A16" s="36">
        <v>45596</v>
      </c>
      <c r="B16" s="37">
        <v>2.2878453781598198</v>
      </c>
      <c r="C16" s="37"/>
      <c r="E16" s="38">
        <v>117.236526683945</v>
      </c>
      <c r="F16" s="1">
        <f t="shared" si="5"/>
        <v>1</v>
      </c>
      <c r="G16" s="1">
        <f t="shared" si="6"/>
        <v>0</v>
      </c>
      <c r="H16" s="1">
        <f t="shared" si="7"/>
        <v>1</v>
      </c>
      <c r="I16" s="1">
        <f t="shared" si="8"/>
        <v>0</v>
      </c>
      <c r="J16" s="1">
        <f t="shared" si="0"/>
        <v>1</v>
      </c>
      <c r="K16" s="1">
        <f t="shared" si="1"/>
        <v>0</v>
      </c>
      <c r="L16" s="1">
        <f t="shared" si="2"/>
        <v>0</v>
      </c>
      <c r="M16" s="1">
        <f t="shared" si="3"/>
        <v>0</v>
      </c>
      <c r="N16" s="1" t="str">
        <f t="shared" si="4"/>
        <v>双宽</v>
      </c>
      <c r="P16" s="45"/>
      <c r="Q16" s="47"/>
      <c r="R16" s="48"/>
    </row>
    <row r="17" spans="1:18" x14ac:dyDescent="0.3">
      <c r="A17" s="36">
        <v>45565</v>
      </c>
      <c r="B17" s="37">
        <v>-0.13661834808543899</v>
      </c>
      <c r="C17" s="37"/>
      <c r="E17" s="38">
        <v>115.371684159945</v>
      </c>
      <c r="F17" s="1">
        <f t="shared" si="5"/>
        <v>1</v>
      </c>
      <c r="G17" s="1">
        <f t="shared" si="6"/>
        <v>0</v>
      </c>
      <c r="H17" s="1">
        <f t="shared" si="7"/>
        <v>1</v>
      </c>
      <c r="I17" s="1">
        <f t="shared" si="8"/>
        <v>0</v>
      </c>
      <c r="J17" s="1">
        <f t="shared" si="0"/>
        <v>1</v>
      </c>
      <c r="K17" s="1">
        <f t="shared" si="1"/>
        <v>0</v>
      </c>
      <c r="L17" s="1">
        <f t="shared" si="2"/>
        <v>0</v>
      </c>
      <c r="M17" s="1">
        <f t="shared" si="3"/>
        <v>0</v>
      </c>
      <c r="N17" s="1" t="str">
        <f t="shared" si="4"/>
        <v>双宽</v>
      </c>
      <c r="P17" s="45"/>
      <c r="Q17" s="47"/>
      <c r="R17" s="48"/>
    </row>
    <row r="18" spans="1:18" x14ac:dyDescent="0.3">
      <c r="A18" s="36">
        <v>45535</v>
      </c>
      <c r="B18" s="37">
        <v>-2.5172143642336602</v>
      </c>
      <c r="C18" s="37"/>
      <c r="E18" s="38">
        <v>114.848263620945</v>
      </c>
      <c r="F18" s="1">
        <f t="shared" si="5"/>
        <v>1</v>
      </c>
      <c r="G18" s="1">
        <f t="shared" si="6"/>
        <v>0</v>
      </c>
      <c r="H18" s="1">
        <f t="shared" si="7"/>
        <v>1</v>
      </c>
      <c r="I18" s="1">
        <f t="shared" si="8"/>
        <v>0</v>
      </c>
      <c r="J18" s="1">
        <f t="shared" si="0"/>
        <v>1</v>
      </c>
      <c r="K18" s="1">
        <f t="shared" si="1"/>
        <v>0</v>
      </c>
      <c r="L18" s="1">
        <f t="shared" si="2"/>
        <v>0</v>
      </c>
      <c r="M18" s="1">
        <f t="shared" si="3"/>
        <v>0</v>
      </c>
      <c r="N18" s="1" t="str">
        <f t="shared" si="4"/>
        <v>双宽</v>
      </c>
      <c r="P18" s="45"/>
      <c r="Q18" s="47"/>
      <c r="R18" s="48"/>
    </row>
    <row r="19" spans="1:18" x14ac:dyDescent="0.3">
      <c r="A19" s="36">
        <v>45504</v>
      </c>
      <c r="B19" s="37">
        <v>-1.3441056108452101</v>
      </c>
      <c r="C19" s="39"/>
      <c r="D19" s="40"/>
      <c r="E19" s="38">
        <v>114.62108105987799</v>
      </c>
      <c r="F19" s="1">
        <f t="shared" si="5"/>
        <v>1</v>
      </c>
      <c r="G19" s="1">
        <f t="shared" si="6"/>
        <v>0</v>
      </c>
      <c r="H19" s="1">
        <f t="shared" si="7"/>
        <v>1</v>
      </c>
      <c r="I19" s="1">
        <f t="shared" si="8"/>
        <v>0</v>
      </c>
      <c r="J19" s="1">
        <f t="shared" si="0"/>
        <v>1</v>
      </c>
      <c r="K19" s="1">
        <f t="shared" si="1"/>
        <v>0</v>
      </c>
      <c r="L19" s="1">
        <f t="shared" si="2"/>
        <v>0</v>
      </c>
      <c r="M19" s="1">
        <f t="shared" si="3"/>
        <v>0</v>
      </c>
      <c r="N19" s="1" t="str">
        <f t="shared" si="4"/>
        <v>双宽</v>
      </c>
      <c r="P19" s="45"/>
      <c r="Q19" s="47"/>
      <c r="R19" s="48"/>
    </row>
    <row r="20" spans="1:18" x14ac:dyDescent="0.3">
      <c r="A20" s="36">
        <v>45473</v>
      </c>
      <c r="B20" s="37">
        <v>-3.2479652497332601</v>
      </c>
      <c r="C20" s="39"/>
      <c r="D20" s="40"/>
      <c r="E20" s="38">
        <v>113.562021647112</v>
      </c>
      <c r="F20" s="1">
        <f t="shared" si="5"/>
        <v>0</v>
      </c>
      <c r="G20" s="1">
        <f t="shared" si="6"/>
        <v>1</v>
      </c>
      <c r="H20" s="1">
        <f t="shared" si="7"/>
        <v>0</v>
      </c>
      <c r="I20" s="1">
        <f t="shared" si="8"/>
        <v>1</v>
      </c>
      <c r="J20" s="1">
        <f t="shared" si="0"/>
        <v>0</v>
      </c>
      <c r="K20" s="1">
        <f t="shared" si="1"/>
        <v>0</v>
      </c>
      <c r="L20" s="1">
        <f t="shared" si="2"/>
        <v>0</v>
      </c>
      <c r="M20" s="1">
        <f t="shared" si="3"/>
        <v>1</v>
      </c>
      <c r="N20" s="1" t="str">
        <f t="shared" si="4"/>
        <v>双紧</v>
      </c>
      <c r="P20" s="45"/>
      <c r="Q20" s="47"/>
      <c r="R20" s="48"/>
    </row>
    <row r="21" spans="1:18" x14ac:dyDescent="0.3">
      <c r="A21" s="36">
        <v>45443</v>
      </c>
      <c r="B21" s="37">
        <v>-1.8224767202527501</v>
      </c>
      <c r="C21" s="39"/>
      <c r="D21" s="40"/>
      <c r="E21" s="38">
        <v>113.719892210303</v>
      </c>
      <c r="F21" s="1">
        <f t="shared" si="5"/>
        <v>1</v>
      </c>
      <c r="G21" s="1">
        <f t="shared" si="6"/>
        <v>0</v>
      </c>
      <c r="H21" s="1">
        <f t="shared" si="7"/>
        <v>1</v>
      </c>
      <c r="I21" s="1">
        <f t="shared" si="8"/>
        <v>0</v>
      </c>
      <c r="J21" s="1">
        <f t="shared" si="0"/>
        <v>1</v>
      </c>
      <c r="K21" s="1">
        <f t="shared" si="1"/>
        <v>0</v>
      </c>
      <c r="L21" s="1">
        <f t="shared" si="2"/>
        <v>0</v>
      </c>
      <c r="M21" s="1">
        <f t="shared" si="3"/>
        <v>0</v>
      </c>
      <c r="N21" s="1" t="str">
        <f t="shared" si="4"/>
        <v>双宽</v>
      </c>
      <c r="P21" s="45"/>
      <c r="Q21" s="47"/>
      <c r="R21" s="48"/>
    </row>
    <row r="22" spans="1:18" x14ac:dyDescent="0.3">
      <c r="A22" s="36">
        <v>45412</v>
      </c>
      <c r="B22" s="37">
        <v>-2.23067102566579</v>
      </c>
      <c r="C22" s="39"/>
      <c r="D22" s="40"/>
      <c r="E22" s="38">
        <v>113.555857611132</v>
      </c>
      <c r="F22" s="1">
        <f t="shared" si="5"/>
        <v>1</v>
      </c>
      <c r="G22" s="1">
        <f t="shared" si="6"/>
        <v>0</v>
      </c>
      <c r="H22" s="1">
        <f t="shared" si="7"/>
        <v>1</v>
      </c>
      <c r="I22" s="1">
        <f t="shared" si="8"/>
        <v>0</v>
      </c>
      <c r="J22" s="1">
        <f t="shared" si="0"/>
        <v>1</v>
      </c>
      <c r="K22" s="1">
        <f t="shared" si="1"/>
        <v>0</v>
      </c>
      <c r="L22" s="1">
        <f t="shared" si="2"/>
        <v>0</v>
      </c>
      <c r="M22" s="1">
        <f t="shared" si="3"/>
        <v>0</v>
      </c>
      <c r="N22" s="1" t="str">
        <f t="shared" si="4"/>
        <v>双宽</v>
      </c>
      <c r="P22" s="45"/>
      <c r="Q22" s="47"/>
      <c r="R22" s="48"/>
    </row>
    <row r="23" spans="1:18" x14ac:dyDescent="0.3">
      <c r="A23" s="36">
        <v>45382</v>
      </c>
      <c r="B23" s="37">
        <v>-3.11838943798955</v>
      </c>
      <c r="C23" s="39"/>
      <c r="D23" s="40"/>
      <c r="E23" s="38">
        <v>113.547393580841</v>
      </c>
      <c r="F23" s="1">
        <f t="shared" si="5"/>
        <v>0</v>
      </c>
      <c r="G23" s="1">
        <f t="shared" si="6"/>
        <v>1</v>
      </c>
      <c r="H23" s="1">
        <f t="shared" si="7"/>
        <v>0</v>
      </c>
      <c r="I23" s="1">
        <f t="shared" si="8"/>
        <v>1</v>
      </c>
      <c r="J23" s="1">
        <f t="shared" si="0"/>
        <v>0</v>
      </c>
      <c r="K23" s="1">
        <f t="shared" si="1"/>
        <v>0</v>
      </c>
      <c r="L23" s="1">
        <f t="shared" si="2"/>
        <v>0</v>
      </c>
      <c r="M23" s="1">
        <f t="shared" si="3"/>
        <v>1</v>
      </c>
      <c r="N23" s="1" t="str">
        <f t="shared" si="4"/>
        <v>双紧</v>
      </c>
      <c r="P23" s="45"/>
      <c r="Q23" s="47"/>
      <c r="R23" s="48"/>
    </row>
    <row r="24" spans="1:18" x14ac:dyDescent="0.3">
      <c r="A24" s="36">
        <v>45351</v>
      </c>
      <c r="B24" s="37">
        <v>1.8630716241668199</v>
      </c>
      <c r="C24" s="37"/>
      <c r="E24" s="38">
        <v>113.644830741943</v>
      </c>
      <c r="F24" s="1">
        <f t="shared" si="5"/>
        <v>1</v>
      </c>
      <c r="G24" s="1">
        <f t="shared" si="6"/>
        <v>0</v>
      </c>
      <c r="H24" s="1">
        <f t="shared" si="7"/>
        <v>1</v>
      </c>
      <c r="I24" s="1">
        <f t="shared" si="8"/>
        <v>0</v>
      </c>
      <c r="J24" s="1">
        <f t="shared" si="0"/>
        <v>1</v>
      </c>
      <c r="K24" s="1">
        <f t="shared" si="1"/>
        <v>0</v>
      </c>
      <c r="L24" s="1">
        <f t="shared" si="2"/>
        <v>0</v>
      </c>
      <c r="M24" s="1">
        <f t="shared" si="3"/>
        <v>0</v>
      </c>
      <c r="N24" s="1" t="str">
        <f t="shared" si="4"/>
        <v>双宽</v>
      </c>
      <c r="P24" s="45"/>
      <c r="Q24" s="47"/>
      <c r="R24" s="48"/>
    </row>
    <row r="25" spans="1:18" x14ac:dyDescent="0.3">
      <c r="A25" s="36">
        <v>45322</v>
      </c>
      <c r="B25" s="37">
        <v>1.3401286482180399</v>
      </c>
      <c r="C25" s="37"/>
      <c r="E25" s="38">
        <v>113.136151948999</v>
      </c>
      <c r="F25" s="1">
        <f t="shared" si="5"/>
        <v>1</v>
      </c>
      <c r="G25" s="1">
        <f t="shared" si="6"/>
        <v>0</v>
      </c>
      <c r="H25" s="1">
        <f t="shared" si="7"/>
        <v>1</v>
      </c>
      <c r="I25" s="1">
        <f t="shared" si="8"/>
        <v>0</v>
      </c>
      <c r="J25" s="1">
        <f t="shared" si="0"/>
        <v>1</v>
      </c>
      <c r="K25" s="1">
        <f t="shared" si="1"/>
        <v>0</v>
      </c>
      <c r="L25" s="1">
        <f t="shared" si="2"/>
        <v>0</v>
      </c>
      <c r="M25" s="1">
        <f t="shared" si="3"/>
        <v>0</v>
      </c>
      <c r="N25" s="1" t="str">
        <f t="shared" si="4"/>
        <v>双宽</v>
      </c>
      <c r="P25" s="45"/>
      <c r="Q25" s="47"/>
      <c r="R25" s="48"/>
    </row>
    <row r="26" spans="1:18" x14ac:dyDescent="0.3">
      <c r="A26" s="36">
        <v>45291</v>
      </c>
      <c r="B26" s="37">
        <v>1.3401286482180399</v>
      </c>
      <c r="C26" s="37"/>
      <c r="E26" s="38">
        <v>112.951738205732</v>
      </c>
      <c r="F26" s="1">
        <f t="shared" si="5"/>
        <v>1</v>
      </c>
      <c r="G26" s="1">
        <f t="shared" si="6"/>
        <v>0</v>
      </c>
      <c r="H26" s="1">
        <f t="shared" si="7"/>
        <v>1</v>
      </c>
      <c r="I26" s="1">
        <f t="shared" si="8"/>
        <v>0</v>
      </c>
      <c r="J26" s="1">
        <f t="shared" si="0"/>
        <v>1</v>
      </c>
      <c r="K26" s="1">
        <f t="shared" si="1"/>
        <v>0</v>
      </c>
      <c r="L26" s="1">
        <f t="shared" si="2"/>
        <v>0</v>
      </c>
      <c r="M26" s="1">
        <f t="shared" si="3"/>
        <v>0</v>
      </c>
      <c r="N26" s="1" t="str">
        <f t="shared" si="4"/>
        <v>双宽</v>
      </c>
      <c r="P26" s="45"/>
      <c r="Q26" s="47"/>
      <c r="R26" s="48"/>
    </row>
    <row r="27" spans="1:18" x14ac:dyDescent="0.3">
      <c r="A27" s="36">
        <v>45260</v>
      </c>
      <c r="B27" s="37">
        <v>-1.3032354165623099</v>
      </c>
      <c r="C27" s="41"/>
      <c r="D27" s="38"/>
      <c r="E27" s="38">
        <v>112.347611105338</v>
      </c>
      <c r="F27" s="1">
        <f t="shared" si="5"/>
        <v>1</v>
      </c>
      <c r="G27" s="1">
        <f t="shared" si="6"/>
        <v>0</v>
      </c>
      <c r="H27" s="1">
        <f t="shared" si="7"/>
        <v>1</v>
      </c>
      <c r="I27" s="1">
        <f t="shared" si="8"/>
        <v>0</v>
      </c>
      <c r="J27" s="1">
        <f t="shared" si="0"/>
        <v>1</v>
      </c>
      <c r="K27" s="1">
        <f t="shared" si="1"/>
        <v>0</v>
      </c>
      <c r="L27" s="1">
        <f t="shared" si="2"/>
        <v>0</v>
      </c>
      <c r="M27" s="1">
        <f t="shared" si="3"/>
        <v>0</v>
      </c>
      <c r="N27" s="1" t="str">
        <f t="shared" si="4"/>
        <v>双宽</v>
      </c>
      <c r="P27" s="45"/>
      <c r="Q27" s="47"/>
      <c r="R27" s="48"/>
    </row>
    <row r="28" spans="1:18" x14ac:dyDescent="0.3">
      <c r="A28" s="36">
        <v>45230</v>
      </c>
      <c r="B28" s="37">
        <v>-2.5914534250976402</v>
      </c>
      <c r="C28" s="41"/>
      <c r="D28" s="38"/>
      <c r="E28" s="38">
        <v>111.957354006572</v>
      </c>
      <c r="F28" s="1">
        <f t="shared" si="5"/>
        <v>1</v>
      </c>
      <c r="G28" s="1">
        <f t="shared" si="6"/>
        <v>0</v>
      </c>
      <c r="H28" s="1">
        <f t="shared" si="7"/>
        <v>1</v>
      </c>
      <c r="I28" s="1">
        <f t="shared" si="8"/>
        <v>0</v>
      </c>
      <c r="J28" s="1">
        <f t="shared" si="0"/>
        <v>1</v>
      </c>
      <c r="K28" s="1">
        <f t="shared" si="1"/>
        <v>0</v>
      </c>
      <c r="L28" s="1">
        <f t="shared" si="2"/>
        <v>0</v>
      </c>
      <c r="M28" s="1">
        <f t="shared" si="3"/>
        <v>0</v>
      </c>
      <c r="N28" s="1" t="str">
        <f t="shared" si="4"/>
        <v>双宽</v>
      </c>
      <c r="P28" s="45"/>
      <c r="Q28" s="47"/>
      <c r="R28" s="48"/>
    </row>
    <row r="29" spans="1:18" x14ac:dyDescent="0.3">
      <c r="A29" s="36">
        <v>45199</v>
      </c>
      <c r="B29" s="37">
        <v>-4.54819518984357</v>
      </c>
      <c r="C29" s="41"/>
      <c r="D29" s="38"/>
      <c r="E29" s="38">
        <v>111.405580436511</v>
      </c>
      <c r="F29" s="1">
        <f t="shared" si="5"/>
        <v>0</v>
      </c>
      <c r="G29" s="1">
        <f t="shared" si="6"/>
        <v>1</v>
      </c>
      <c r="H29" s="1">
        <f t="shared" si="7"/>
        <v>0</v>
      </c>
      <c r="I29" s="1">
        <f t="shared" si="8"/>
        <v>1</v>
      </c>
      <c r="J29" s="1">
        <f t="shared" si="0"/>
        <v>0</v>
      </c>
      <c r="K29" s="1">
        <f t="shared" si="1"/>
        <v>0</v>
      </c>
      <c r="L29" s="1">
        <f t="shared" si="2"/>
        <v>0</v>
      </c>
      <c r="M29" s="1">
        <f t="shared" si="3"/>
        <v>1</v>
      </c>
      <c r="N29" s="1" t="str">
        <f t="shared" si="4"/>
        <v>双紧</v>
      </c>
      <c r="P29" s="45"/>
      <c r="Q29" s="47"/>
      <c r="R29" s="48"/>
    </row>
    <row r="30" spans="1:18" x14ac:dyDescent="0.3">
      <c r="A30" s="36">
        <v>45169</v>
      </c>
      <c r="B30" s="37">
        <v>-6.2449863989609504</v>
      </c>
      <c r="C30" s="41"/>
      <c r="D30" s="38"/>
      <c r="E30" s="38">
        <v>111.488900044668</v>
      </c>
      <c r="F30" s="1">
        <f t="shared" si="5"/>
        <v>1</v>
      </c>
      <c r="G30" s="1">
        <f t="shared" si="6"/>
        <v>0</v>
      </c>
      <c r="H30" s="1">
        <f t="shared" si="7"/>
        <v>1</v>
      </c>
      <c r="I30" s="1">
        <f t="shared" si="8"/>
        <v>0</v>
      </c>
      <c r="J30" s="1">
        <f t="shared" si="0"/>
        <v>1</v>
      </c>
      <c r="K30" s="1">
        <f t="shared" si="1"/>
        <v>0</v>
      </c>
      <c r="L30" s="1">
        <f t="shared" si="2"/>
        <v>0</v>
      </c>
      <c r="M30" s="1">
        <f t="shared" si="3"/>
        <v>0</v>
      </c>
      <c r="N30" s="1" t="str">
        <f t="shared" si="4"/>
        <v>双宽</v>
      </c>
      <c r="P30" s="45"/>
      <c r="Q30" s="47"/>
      <c r="R30" s="48"/>
    </row>
    <row r="31" spans="1:18" x14ac:dyDescent="0.3">
      <c r="A31" s="36">
        <v>45138</v>
      </c>
      <c r="B31" s="37">
        <v>-7.9369412567150599</v>
      </c>
      <c r="C31" s="41"/>
      <c r="D31" s="38"/>
      <c r="E31" s="38">
        <v>110.924969994671</v>
      </c>
      <c r="F31" s="1">
        <f t="shared" si="5"/>
        <v>1</v>
      </c>
      <c r="G31" s="1">
        <f t="shared" si="6"/>
        <v>0</v>
      </c>
      <c r="H31" s="1">
        <f t="shared" si="7"/>
        <v>1</v>
      </c>
      <c r="I31" s="1">
        <f t="shared" si="8"/>
        <v>0</v>
      </c>
      <c r="J31" s="1">
        <f t="shared" si="0"/>
        <v>1</v>
      </c>
      <c r="K31" s="1">
        <f t="shared" si="1"/>
        <v>0</v>
      </c>
      <c r="L31" s="1">
        <f t="shared" si="2"/>
        <v>0</v>
      </c>
      <c r="M31" s="1">
        <f t="shared" si="3"/>
        <v>0</v>
      </c>
      <c r="N31" s="1" t="str">
        <f t="shared" si="4"/>
        <v>双宽</v>
      </c>
      <c r="P31" s="45"/>
      <c r="Q31" s="47"/>
      <c r="R31" s="48"/>
    </row>
    <row r="32" spans="1:18" x14ac:dyDescent="0.3">
      <c r="A32" s="36">
        <v>45107</v>
      </c>
      <c r="B32" s="37">
        <v>-7.4799200633064702</v>
      </c>
      <c r="C32" s="41"/>
      <c r="D32" s="38"/>
      <c r="E32" s="38">
        <v>110.85863600543099</v>
      </c>
      <c r="F32" s="1">
        <f t="shared" si="5"/>
        <v>1</v>
      </c>
      <c r="G32" s="1">
        <f t="shared" si="6"/>
        <v>0</v>
      </c>
      <c r="H32" s="1">
        <f t="shared" si="7"/>
        <v>1</v>
      </c>
      <c r="I32" s="1">
        <f t="shared" si="8"/>
        <v>0</v>
      </c>
      <c r="J32" s="1">
        <f t="shared" si="0"/>
        <v>1</v>
      </c>
      <c r="K32" s="1">
        <f t="shared" si="1"/>
        <v>0</v>
      </c>
      <c r="L32" s="1">
        <f t="shared" si="2"/>
        <v>0</v>
      </c>
      <c r="M32" s="1">
        <f t="shared" si="3"/>
        <v>0</v>
      </c>
      <c r="N32" s="1" t="str">
        <f t="shared" si="4"/>
        <v>双宽</v>
      </c>
      <c r="P32" s="45"/>
      <c r="Q32" s="47"/>
      <c r="R32" s="48"/>
    </row>
    <row r="33" spans="1:18" x14ac:dyDescent="0.3">
      <c r="A33" s="36">
        <v>45077</v>
      </c>
      <c r="B33" s="37">
        <v>-5.3171183592085098</v>
      </c>
      <c r="C33" s="41"/>
      <c r="D33" s="38"/>
      <c r="E33" s="38">
        <v>110.02908126416</v>
      </c>
      <c r="F33" s="1">
        <f t="shared" si="5"/>
        <v>1</v>
      </c>
      <c r="G33" s="1">
        <f t="shared" si="6"/>
        <v>0</v>
      </c>
      <c r="H33" s="1">
        <f t="shared" si="7"/>
        <v>1</v>
      </c>
      <c r="I33" s="1">
        <f t="shared" si="8"/>
        <v>0</v>
      </c>
      <c r="J33" s="1">
        <f t="shared" si="0"/>
        <v>1</v>
      </c>
      <c r="K33" s="1">
        <f t="shared" si="1"/>
        <v>0</v>
      </c>
      <c r="L33" s="1">
        <f t="shared" si="2"/>
        <v>0</v>
      </c>
      <c r="M33" s="1">
        <f t="shared" si="3"/>
        <v>0</v>
      </c>
      <c r="N33" s="1" t="str">
        <f t="shared" si="4"/>
        <v>双宽</v>
      </c>
      <c r="P33" s="45"/>
      <c r="Q33" s="47"/>
      <c r="R33" s="48"/>
    </row>
    <row r="34" spans="1:18" x14ac:dyDescent="0.3">
      <c r="A34" s="36">
        <v>45046</v>
      </c>
      <c r="B34" s="37">
        <v>-2.9497875904251498</v>
      </c>
      <c r="C34" s="42"/>
      <c r="D34" s="43"/>
      <c r="E34" s="38">
        <v>109.799678517389</v>
      </c>
      <c r="F34" s="1">
        <f t="shared" si="5"/>
        <v>1</v>
      </c>
      <c r="G34" s="1">
        <f t="shared" si="6"/>
        <v>0</v>
      </c>
      <c r="H34" s="1">
        <f t="shared" si="7"/>
        <v>1</v>
      </c>
      <c r="I34" s="1">
        <f t="shared" si="8"/>
        <v>0</v>
      </c>
      <c r="J34" s="1">
        <f t="shared" si="0"/>
        <v>1</v>
      </c>
      <c r="K34" s="1">
        <f t="shared" si="1"/>
        <v>0</v>
      </c>
      <c r="L34" s="1">
        <f t="shared" si="2"/>
        <v>0</v>
      </c>
      <c r="M34" s="1">
        <f t="shared" si="3"/>
        <v>0</v>
      </c>
      <c r="N34" s="1" t="str">
        <f t="shared" si="4"/>
        <v>双宽</v>
      </c>
      <c r="P34" s="45"/>
      <c r="Q34" s="47"/>
      <c r="R34" s="48"/>
    </row>
    <row r="35" spans="1:18" x14ac:dyDescent="0.3">
      <c r="A35" s="36">
        <v>45016</v>
      </c>
      <c r="B35" s="37">
        <v>3.4252020908250702</v>
      </c>
      <c r="C35" s="42"/>
      <c r="D35" s="43"/>
      <c r="E35" s="38">
        <v>109.666042435211</v>
      </c>
      <c r="F35" s="1">
        <f t="shared" si="5"/>
        <v>1</v>
      </c>
      <c r="G35" s="1">
        <f t="shared" si="6"/>
        <v>0</v>
      </c>
      <c r="H35" s="1">
        <f t="shared" si="7"/>
        <v>1</v>
      </c>
      <c r="I35" s="1">
        <f t="shared" si="8"/>
        <v>0</v>
      </c>
      <c r="J35" s="1">
        <f t="shared" si="0"/>
        <v>1</v>
      </c>
      <c r="K35" s="1">
        <f t="shared" si="1"/>
        <v>0</v>
      </c>
      <c r="L35" s="1">
        <f t="shared" si="2"/>
        <v>0</v>
      </c>
      <c r="M35" s="1">
        <f t="shared" si="3"/>
        <v>0</v>
      </c>
      <c r="N35" s="1" t="str">
        <f t="shared" si="4"/>
        <v>双宽</v>
      </c>
      <c r="P35" s="45"/>
      <c r="Q35" s="47"/>
      <c r="R35" s="48"/>
    </row>
    <row r="36" spans="1:18" x14ac:dyDescent="0.3">
      <c r="A36" s="36">
        <v>44985</v>
      </c>
      <c r="B36" s="37">
        <v>4.9832984219337799</v>
      </c>
      <c r="C36" s="42"/>
      <c r="D36" s="43"/>
      <c r="E36" s="38">
        <v>109.302390403705</v>
      </c>
      <c r="F36" s="1">
        <f t="shared" si="5"/>
        <v>0</v>
      </c>
      <c r="G36" s="1">
        <f t="shared" si="6"/>
        <v>1</v>
      </c>
      <c r="H36" s="1">
        <f t="shared" si="7"/>
        <v>0</v>
      </c>
      <c r="I36" s="1">
        <f t="shared" si="8"/>
        <v>1</v>
      </c>
      <c r="J36" s="1">
        <f t="shared" si="0"/>
        <v>0</v>
      </c>
      <c r="K36" s="1">
        <f t="shared" si="1"/>
        <v>0</v>
      </c>
      <c r="L36" s="1">
        <f t="shared" si="2"/>
        <v>0</v>
      </c>
      <c r="M36" s="1">
        <f t="shared" si="3"/>
        <v>1</v>
      </c>
      <c r="N36" s="1" t="str">
        <f t="shared" si="4"/>
        <v>双紧</v>
      </c>
      <c r="P36" s="45"/>
      <c r="Q36" s="47"/>
      <c r="R36" s="48"/>
    </row>
    <row r="37" spans="1:18" x14ac:dyDescent="0.3">
      <c r="A37" s="36">
        <v>44957</v>
      </c>
      <c r="B37" s="37">
        <v>1.8932474994210701E-2</v>
      </c>
      <c r="C37" s="42"/>
      <c r="D37" s="43"/>
      <c r="E37" s="38">
        <v>109.51383534263501</v>
      </c>
      <c r="F37" s="1">
        <f t="shared" si="5"/>
        <v>1</v>
      </c>
      <c r="G37" s="1">
        <f t="shared" si="6"/>
        <v>0</v>
      </c>
      <c r="H37" s="1">
        <f t="shared" si="7"/>
        <v>1</v>
      </c>
      <c r="I37" s="1">
        <f t="shared" si="8"/>
        <v>0</v>
      </c>
      <c r="J37" s="1">
        <f t="shared" si="0"/>
        <v>1</v>
      </c>
      <c r="K37" s="1">
        <f t="shared" si="1"/>
        <v>0</v>
      </c>
      <c r="L37" s="1">
        <f t="shared" si="2"/>
        <v>0</v>
      </c>
      <c r="M37" s="1">
        <f t="shared" si="3"/>
        <v>0</v>
      </c>
      <c r="N37" s="1" t="str">
        <f t="shared" si="4"/>
        <v>双宽</v>
      </c>
      <c r="P37" s="45"/>
      <c r="Q37" s="47"/>
      <c r="R37" s="48"/>
    </row>
    <row r="38" spans="1:18" x14ac:dyDescent="0.3">
      <c r="A38" s="36">
        <v>44926</v>
      </c>
      <c r="B38" s="37">
        <v>1.8932474994210701E-2</v>
      </c>
      <c r="C38" s="42"/>
      <c r="D38" s="43"/>
      <c r="E38" s="38">
        <v>109.30961846069</v>
      </c>
      <c r="F38" s="1">
        <f t="shared" si="5"/>
        <v>1</v>
      </c>
      <c r="G38" s="1">
        <f t="shared" si="6"/>
        <v>0</v>
      </c>
      <c r="H38" s="1">
        <f t="shared" si="7"/>
        <v>1</v>
      </c>
      <c r="I38" s="1">
        <f t="shared" si="8"/>
        <v>0</v>
      </c>
      <c r="J38" s="1">
        <f t="shared" si="0"/>
        <v>1</v>
      </c>
      <c r="K38" s="1">
        <f t="shared" si="1"/>
        <v>0</v>
      </c>
      <c r="L38" s="1">
        <f t="shared" si="2"/>
        <v>0</v>
      </c>
      <c r="M38" s="1">
        <f t="shared" si="3"/>
        <v>0</v>
      </c>
      <c r="N38" s="1" t="str">
        <f t="shared" si="4"/>
        <v>双宽</v>
      </c>
      <c r="P38" s="45"/>
      <c r="Q38" s="47"/>
      <c r="R38" s="48"/>
    </row>
    <row r="39" spans="1:18" x14ac:dyDescent="0.3">
      <c r="A39" s="36">
        <v>44895</v>
      </c>
      <c r="B39" s="37">
        <v>4.4153572659656204</v>
      </c>
      <c r="C39" s="42"/>
      <c r="D39" s="43"/>
      <c r="E39" s="38">
        <v>109.08688318170501</v>
      </c>
      <c r="F39" s="1">
        <f t="shared" si="5"/>
        <v>0</v>
      </c>
      <c r="G39" s="1">
        <f t="shared" si="6"/>
        <v>1</v>
      </c>
      <c r="H39" s="1">
        <f t="shared" si="7"/>
        <v>0</v>
      </c>
      <c r="I39" s="1">
        <f t="shared" si="8"/>
        <v>1</v>
      </c>
      <c r="J39" s="1">
        <f t="shared" si="0"/>
        <v>0</v>
      </c>
      <c r="K39" s="1">
        <f t="shared" si="1"/>
        <v>0</v>
      </c>
      <c r="L39" s="1">
        <f t="shared" si="2"/>
        <v>0</v>
      </c>
      <c r="M39" s="1">
        <f t="shared" si="3"/>
        <v>1</v>
      </c>
      <c r="N39" s="1" t="str">
        <f t="shared" si="4"/>
        <v>双紧</v>
      </c>
      <c r="P39" s="45"/>
      <c r="Q39" s="47"/>
      <c r="R39" s="48"/>
    </row>
    <row r="40" spans="1:18" x14ac:dyDescent="0.3">
      <c r="A40" s="36">
        <v>44865</v>
      </c>
      <c r="B40" s="37">
        <v>6.8052782768118796</v>
      </c>
      <c r="C40" s="42"/>
      <c r="D40" s="43"/>
      <c r="E40" s="38">
        <v>109.541541965842</v>
      </c>
      <c r="F40" s="1">
        <f t="shared" si="5"/>
        <v>1</v>
      </c>
      <c r="G40" s="1">
        <f t="shared" si="6"/>
        <v>0</v>
      </c>
      <c r="H40" s="1">
        <f t="shared" si="7"/>
        <v>1</v>
      </c>
      <c r="I40" s="1">
        <f t="shared" si="8"/>
        <v>0</v>
      </c>
      <c r="J40" s="1">
        <f t="shared" si="0"/>
        <v>1</v>
      </c>
      <c r="K40" s="1">
        <f t="shared" si="1"/>
        <v>0</v>
      </c>
      <c r="L40" s="1">
        <f t="shared" si="2"/>
        <v>0</v>
      </c>
      <c r="M40" s="1">
        <f t="shared" si="3"/>
        <v>0</v>
      </c>
      <c r="N40" s="1" t="str">
        <f t="shared" si="4"/>
        <v>双宽</v>
      </c>
      <c r="P40" s="45"/>
      <c r="Q40" s="47"/>
      <c r="R40" s="48"/>
    </row>
    <row r="41" spans="1:18" x14ac:dyDescent="0.3">
      <c r="A41" s="36">
        <v>44834</v>
      </c>
      <c r="B41" s="37">
        <v>8.8029170219663602</v>
      </c>
      <c r="C41" s="42"/>
      <c r="D41" s="43"/>
      <c r="E41" s="38">
        <v>109.522887421679</v>
      </c>
      <c r="F41" s="1">
        <f t="shared" si="5"/>
        <v>0</v>
      </c>
      <c r="G41" s="1">
        <f t="shared" si="6"/>
        <v>1</v>
      </c>
      <c r="H41" s="1">
        <f t="shared" si="7"/>
        <v>0</v>
      </c>
      <c r="I41" s="1">
        <f t="shared" si="8"/>
        <v>1</v>
      </c>
      <c r="J41" s="1">
        <f t="shared" si="0"/>
        <v>0</v>
      </c>
      <c r="K41" s="1">
        <f t="shared" si="1"/>
        <v>0</v>
      </c>
      <c r="L41" s="1">
        <f t="shared" si="2"/>
        <v>0</v>
      </c>
      <c r="M41" s="1">
        <f t="shared" si="3"/>
        <v>1</v>
      </c>
      <c r="N41" s="1" t="str">
        <f t="shared" si="4"/>
        <v>双紧</v>
      </c>
      <c r="P41" s="45"/>
      <c r="Q41" s="47"/>
      <c r="R41" s="48"/>
    </row>
    <row r="42" spans="1:18" x14ac:dyDescent="0.3">
      <c r="A42" s="36">
        <v>44804</v>
      </c>
      <c r="B42" s="37">
        <v>11.576684542289399</v>
      </c>
      <c r="C42" s="42"/>
      <c r="D42" s="43"/>
      <c r="E42" s="38">
        <v>109.874486576561</v>
      </c>
      <c r="F42" s="1">
        <f t="shared" si="5"/>
        <v>1</v>
      </c>
      <c r="G42" s="1">
        <f t="shared" si="6"/>
        <v>0</v>
      </c>
      <c r="H42" s="1">
        <f t="shared" si="7"/>
        <v>1</v>
      </c>
      <c r="I42" s="1">
        <f t="shared" si="8"/>
        <v>0</v>
      </c>
      <c r="J42" s="1">
        <f t="shared" si="0"/>
        <v>1</v>
      </c>
      <c r="K42" s="1">
        <f t="shared" si="1"/>
        <v>0</v>
      </c>
      <c r="L42" s="1">
        <f t="shared" si="2"/>
        <v>0</v>
      </c>
      <c r="M42" s="1">
        <f t="shared" si="3"/>
        <v>0</v>
      </c>
      <c r="N42" s="1" t="str">
        <f t="shared" si="4"/>
        <v>双宽</v>
      </c>
      <c r="P42" s="45"/>
      <c r="Q42" s="47"/>
      <c r="R42" s="48"/>
    </row>
    <row r="43" spans="1:18" x14ac:dyDescent="0.3">
      <c r="A43" s="36">
        <v>44773</v>
      </c>
      <c r="B43" s="37">
        <v>14.031861678622599</v>
      </c>
      <c r="C43" s="42"/>
      <c r="D43" s="43"/>
      <c r="E43" s="38">
        <v>109.03342020780801</v>
      </c>
      <c r="F43" s="1">
        <f t="shared" si="5"/>
        <v>1</v>
      </c>
      <c r="G43" s="1">
        <f t="shared" si="6"/>
        <v>0</v>
      </c>
      <c r="H43" s="1">
        <f t="shared" si="7"/>
        <v>1</v>
      </c>
      <c r="I43" s="1">
        <f t="shared" si="8"/>
        <v>0</v>
      </c>
      <c r="J43" s="1">
        <f t="shared" si="0"/>
        <v>1</v>
      </c>
      <c r="K43" s="1">
        <f t="shared" si="1"/>
        <v>0</v>
      </c>
      <c r="L43" s="1">
        <f t="shared" si="2"/>
        <v>0</v>
      </c>
      <c r="M43" s="1">
        <f t="shared" si="3"/>
        <v>0</v>
      </c>
      <c r="N43" s="1" t="str">
        <f t="shared" si="4"/>
        <v>双宽</v>
      </c>
      <c r="P43" s="45"/>
      <c r="Q43" s="47"/>
      <c r="R43" s="48"/>
    </row>
    <row r="44" spans="1:18" x14ac:dyDescent="0.3">
      <c r="A44" s="36">
        <v>44742</v>
      </c>
      <c r="B44" s="37">
        <v>15.317587616860701</v>
      </c>
      <c r="C44" s="42"/>
      <c r="D44" s="43"/>
      <c r="E44" s="38">
        <v>108.793644854832</v>
      </c>
      <c r="F44" s="1">
        <f t="shared" si="5"/>
        <v>0</v>
      </c>
      <c r="G44" s="1">
        <f t="shared" si="6"/>
        <v>1</v>
      </c>
      <c r="H44" s="1">
        <f t="shared" si="7"/>
        <v>0</v>
      </c>
      <c r="I44" s="1">
        <f t="shared" si="8"/>
        <v>1</v>
      </c>
      <c r="J44" s="1">
        <f t="shared" si="0"/>
        <v>0</v>
      </c>
      <c r="K44" s="1">
        <f t="shared" si="1"/>
        <v>0</v>
      </c>
      <c r="L44" s="1">
        <f t="shared" si="2"/>
        <v>0</v>
      </c>
      <c r="M44" s="1">
        <f t="shared" si="3"/>
        <v>1</v>
      </c>
      <c r="N44" s="1" t="str">
        <f t="shared" si="4"/>
        <v>双紧</v>
      </c>
      <c r="P44" s="45"/>
      <c r="Q44" s="47"/>
      <c r="R44" s="48"/>
    </row>
    <row r="45" spans="1:18" x14ac:dyDescent="0.3">
      <c r="A45" s="36">
        <v>44712</v>
      </c>
      <c r="B45" s="37">
        <v>16.164447278977001</v>
      </c>
      <c r="C45" s="42"/>
      <c r="D45" s="43"/>
      <c r="E45" s="38">
        <v>108.837478316492</v>
      </c>
      <c r="F45" s="1">
        <f t="shared" ref="F45:F76" si="9">IF(E45&gt;E46,1,0)</f>
        <v>1</v>
      </c>
      <c r="G45" s="1">
        <f t="shared" ref="G45:G76" si="10">1-F45</f>
        <v>0</v>
      </c>
      <c r="H45" s="1">
        <f t="shared" si="7"/>
        <v>1</v>
      </c>
      <c r="I45" s="1">
        <f t="shared" ref="I45:I76" si="11">1-H45</f>
        <v>0</v>
      </c>
      <c r="J45" s="1">
        <f t="shared" si="0"/>
        <v>1</v>
      </c>
      <c r="K45" s="1">
        <f t="shared" si="1"/>
        <v>0</v>
      </c>
      <c r="L45" s="1">
        <f t="shared" si="2"/>
        <v>0</v>
      </c>
      <c r="M45" s="1">
        <f t="shared" si="3"/>
        <v>0</v>
      </c>
      <c r="N45" s="1" t="str">
        <f t="shared" si="4"/>
        <v>双宽</v>
      </c>
      <c r="P45" s="45"/>
      <c r="Q45" s="47"/>
      <c r="R45" s="48"/>
    </row>
    <row r="46" spans="1:18" x14ac:dyDescent="0.3">
      <c r="A46" s="36">
        <v>44681</v>
      </c>
      <c r="B46" s="37">
        <v>14.376042339140399</v>
      </c>
      <c r="C46" s="41"/>
      <c r="D46" s="38"/>
      <c r="E46" s="38">
        <v>108.482235882569</v>
      </c>
      <c r="F46" s="1">
        <f t="shared" si="9"/>
        <v>1</v>
      </c>
      <c r="G46" s="1">
        <f t="shared" si="10"/>
        <v>0</v>
      </c>
      <c r="H46" s="1">
        <f t="shared" si="7"/>
        <v>1</v>
      </c>
      <c r="I46" s="1">
        <f t="shared" si="11"/>
        <v>0</v>
      </c>
      <c r="J46" s="1">
        <f t="shared" si="0"/>
        <v>1</v>
      </c>
      <c r="K46" s="1">
        <f t="shared" si="1"/>
        <v>0</v>
      </c>
      <c r="L46" s="1">
        <f t="shared" si="2"/>
        <v>0</v>
      </c>
      <c r="M46" s="1">
        <f t="shared" si="3"/>
        <v>0</v>
      </c>
      <c r="N46" s="1" t="str">
        <f t="shared" si="4"/>
        <v>双宽</v>
      </c>
      <c r="P46" s="45"/>
      <c r="Q46" s="47"/>
      <c r="R46" s="48"/>
    </row>
    <row r="47" spans="1:18" x14ac:dyDescent="0.3">
      <c r="A47" s="36">
        <v>44651</v>
      </c>
      <c r="B47" s="37">
        <v>7.5799622801028503</v>
      </c>
      <c r="C47" s="41"/>
      <c r="D47" s="38"/>
      <c r="E47" s="38">
        <v>107.896545099226</v>
      </c>
      <c r="F47" s="1">
        <f t="shared" si="9"/>
        <v>0</v>
      </c>
      <c r="G47" s="1">
        <f t="shared" si="10"/>
        <v>1</v>
      </c>
      <c r="H47" s="1">
        <f t="shared" si="7"/>
        <v>0</v>
      </c>
      <c r="I47" s="1">
        <f t="shared" si="11"/>
        <v>1</v>
      </c>
      <c r="J47" s="1">
        <f t="shared" si="0"/>
        <v>0</v>
      </c>
      <c r="K47" s="1">
        <f t="shared" si="1"/>
        <v>0</v>
      </c>
      <c r="L47" s="1">
        <f t="shared" si="2"/>
        <v>0</v>
      </c>
      <c r="M47" s="1">
        <f t="shared" si="3"/>
        <v>1</v>
      </c>
      <c r="N47" s="1" t="str">
        <f t="shared" si="4"/>
        <v>双紧</v>
      </c>
      <c r="P47" s="45"/>
      <c r="Q47" s="47"/>
      <c r="R47" s="48"/>
    </row>
    <row r="48" spans="1:18" x14ac:dyDescent="0.3">
      <c r="A48" s="36">
        <v>44620</v>
      </c>
      <c r="B48" s="37">
        <v>4.6574489889156796</v>
      </c>
      <c r="C48" s="41"/>
      <c r="D48" s="38"/>
      <c r="E48" s="38">
        <v>107.98283987328399</v>
      </c>
      <c r="F48" s="1">
        <f t="shared" si="9"/>
        <v>0</v>
      </c>
      <c r="G48" s="1">
        <f t="shared" si="10"/>
        <v>1</v>
      </c>
      <c r="H48" s="1">
        <f t="shared" si="7"/>
        <v>0</v>
      </c>
      <c r="I48" s="1">
        <f t="shared" si="11"/>
        <v>1</v>
      </c>
      <c r="J48" s="1">
        <f t="shared" si="0"/>
        <v>0</v>
      </c>
      <c r="K48" s="1">
        <f t="shared" si="1"/>
        <v>0</v>
      </c>
      <c r="L48" s="1">
        <f t="shared" si="2"/>
        <v>0</v>
      </c>
      <c r="M48" s="1">
        <f t="shared" si="3"/>
        <v>1</v>
      </c>
      <c r="N48" s="1" t="str">
        <f t="shared" si="4"/>
        <v>双紧</v>
      </c>
      <c r="P48" s="45"/>
      <c r="Q48" s="47"/>
      <c r="R48" s="48"/>
    </row>
    <row r="49" spans="1:18" x14ac:dyDescent="0.3">
      <c r="A49" s="36">
        <v>44592</v>
      </c>
      <c r="B49" s="37">
        <v>-2.8211053397243</v>
      </c>
      <c r="C49" s="41"/>
      <c r="D49" s="38"/>
      <c r="E49" s="38">
        <v>108.037876056014</v>
      </c>
      <c r="F49" s="1">
        <f t="shared" si="9"/>
        <v>1</v>
      </c>
      <c r="G49" s="1">
        <f t="shared" si="10"/>
        <v>0</v>
      </c>
      <c r="H49" s="1">
        <f t="shared" si="7"/>
        <v>1</v>
      </c>
      <c r="I49" s="1">
        <f t="shared" si="11"/>
        <v>0</v>
      </c>
      <c r="J49" s="1">
        <f t="shared" si="0"/>
        <v>1</v>
      </c>
      <c r="K49" s="1">
        <f t="shared" si="1"/>
        <v>0</v>
      </c>
      <c r="L49" s="1">
        <f t="shared" si="2"/>
        <v>0</v>
      </c>
      <c r="M49" s="1">
        <f t="shared" si="3"/>
        <v>0</v>
      </c>
      <c r="N49" s="1" t="str">
        <f t="shared" si="4"/>
        <v>双宽</v>
      </c>
      <c r="P49" s="45"/>
      <c r="Q49" s="47"/>
      <c r="R49" s="48"/>
    </row>
    <row r="50" spans="1:18" x14ac:dyDescent="0.3">
      <c r="A50" s="36">
        <v>44561</v>
      </c>
      <c r="B50" s="37">
        <v>-2.8211053397243</v>
      </c>
      <c r="C50" s="41"/>
      <c r="D50" s="38"/>
      <c r="E50" s="38">
        <v>107.075948904667</v>
      </c>
      <c r="F50" s="1">
        <f t="shared" si="9"/>
        <v>0</v>
      </c>
      <c r="G50" s="1">
        <f t="shared" si="10"/>
        <v>1</v>
      </c>
      <c r="H50" s="1">
        <f t="shared" si="7"/>
        <v>0</v>
      </c>
      <c r="I50" s="1">
        <f t="shared" si="11"/>
        <v>1</v>
      </c>
      <c r="J50" s="1">
        <f t="shared" si="0"/>
        <v>0</v>
      </c>
      <c r="K50" s="1">
        <f t="shared" si="1"/>
        <v>0</v>
      </c>
      <c r="L50" s="1">
        <f t="shared" si="2"/>
        <v>0</v>
      </c>
      <c r="M50" s="1">
        <f t="shared" si="3"/>
        <v>1</v>
      </c>
      <c r="N50" s="1" t="str">
        <f t="shared" si="4"/>
        <v>双紧</v>
      </c>
      <c r="P50" s="45"/>
      <c r="Q50" s="47"/>
      <c r="R50" s="48"/>
    </row>
    <row r="51" spans="1:18" x14ac:dyDescent="0.3">
      <c r="A51" s="36">
        <v>44530</v>
      </c>
      <c r="B51" s="37">
        <v>-1.3554514738774099</v>
      </c>
      <c r="C51" s="41"/>
      <c r="D51" s="38"/>
      <c r="E51" s="38">
        <v>107.325015003019</v>
      </c>
      <c r="F51" s="1">
        <f t="shared" si="9"/>
        <v>0</v>
      </c>
      <c r="G51" s="1">
        <f t="shared" si="10"/>
        <v>1</v>
      </c>
      <c r="H51" s="1">
        <f t="shared" si="7"/>
        <v>0</v>
      </c>
      <c r="I51" s="1">
        <f t="shared" si="11"/>
        <v>1</v>
      </c>
      <c r="J51" s="1">
        <f t="shared" si="0"/>
        <v>0</v>
      </c>
      <c r="K51" s="1">
        <f t="shared" si="1"/>
        <v>0</v>
      </c>
      <c r="L51" s="1">
        <f t="shared" si="2"/>
        <v>0</v>
      </c>
      <c r="M51" s="1">
        <f t="shared" si="3"/>
        <v>1</v>
      </c>
      <c r="N51" s="1" t="str">
        <f t="shared" si="4"/>
        <v>双紧</v>
      </c>
      <c r="P51" s="45"/>
      <c r="Q51" s="47"/>
      <c r="R51" s="48"/>
    </row>
    <row r="52" spans="1:18" x14ac:dyDescent="0.3">
      <c r="A52" s="36">
        <v>44500</v>
      </c>
      <c r="B52" s="37">
        <v>-3.7040261865267001</v>
      </c>
      <c r="C52" s="41"/>
      <c r="D52" s="38"/>
      <c r="E52" s="38">
        <v>107.374387067133</v>
      </c>
      <c r="F52" s="1">
        <f t="shared" si="9"/>
        <v>1</v>
      </c>
      <c r="G52" s="1">
        <f t="shared" si="10"/>
        <v>0</v>
      </c>
      <c r="H52" s="1">
        <f t="shared" si="7"/>
        <v>1</v>
      </c>
      <c r="I52" s="1">
        <f t="shared" si="11"/>
        <v>0</v>
      </c>
      <c r="J52" s="1">
        <f t="shared" si="0"/>
        <v>1</v>
      </c>
      <c r="K52" s="1">
        <f t="shared" si="1"/>
        <v>0</v>
      </c>
      <c r="L52" s="1">
        <f t="shared" si="2"/>
        <v>0</v>
      </c>
      <c r="M52" s="1">
        <f t="shared" si="3"/>
        <v>0</v>
      </c>
      <c r="N52" s="1" t="str">
        <f t="shared" si="4"/>
        <v>双宽</v>
      </c>
      <c r="P52" s="45"/>
      <c r="Q52" s="47"/>
      <c r="R52" s="48"/>
    </row>
    <row r="53" spans="1:18" x14ac:dyDescent="0.3">
      <c r="A53" s="36">
        <v>44469</v>
      </c>
      <c r="B53" s="37">
        <v>-5.2397245591466897</v>
      </c>
      <c r="C53" s="41"/>
      <c r="D53" s="38"/>
      <c r="E53" s="38">
        <v>107.113133392493</v>
      </c>
      <c r="F53" s="1">
        <f t="shared" si="9"/>
        <v>1</v>
      </c>
      <c r="G53" s="1">
        <f t="shared" si="10"/>
        <v>0</v>
      </c>
      <c r="H53" s="1">
        <f t="shared" si="7"/>
        <v>1</v>
      </c>
      <c r="I53" s="1">
        <f t="shared" si="11"/>
        <v>0</v>
      </c>
      <c r="J53" s="1">
        <f t="shared" si="0"/>
        <v>1</v>
      </c>
      <c r="K53" s="1">
        <f t="shared" si="1"/>
        <v>0</v>
      </c>
      <c r="L53" s="1">
        <f t="shared" si="2"/>
        <v>0</v>
      </c>
      <c r="M53" s="1">
        <f t="shared" si="3"/>
        <v>0</v>
      </c>
      <c r="N53" s="1" t="str">
        <f t="shared" si="4"/>
        <v>双宽</v>
      </c>
      <c r="P53" s="45"/>
      <c r="Q53" s="47"/>
      <c r="R53" s="48"/>
    </row>
    <row r="54" spans="1:18" x14ac:dyDescent="0.3">
      <c r="A54" s="36">
        <v>44439</v>
      </c>
      <c r="B54" s="37">
        <v>-5.6529838130599899</v>
      </c>
      <c r="C54" s="41"/>
      <c r="D54" s="38"/>
      <c r="E54" s="38">
        <v>107.113065431481</v>
      </c>
      <c r="F54" s="1">
        <f t="shared" si="9"/>
        <v>1</v>
      </c>
      <c r="G54" s="1">
        <f t="shared" si="10"/>
        <v>0</v>
      </c>
      <c r="H54" s="1">
        <f t="shared" si="7"/>
        <v>1</v>
      </c>
      <c r="I54" s="1">
        <f t="shared" si="11"/>
        <v>0</v>
      </c>
      <c r="J54" s="1">
        <f t="shared" si="0"/>
        <v>1</v>
      </c>
      <c r="K54" s="1">
        <f t="shared" si="1"/>
        <v>0</v>
      </c>
      <c r="L54" s="1">
        <f t="shared" si="2"/>
        <v>0</v>
      </c>
      <c r="M54" s="1">
        <f t="shared" si="3"/>
        <v>0</v>
      </c>
      <c r="N54" s="1" t="str">
        <f t="shared" si="4"/>
        <v>双宽</v>
      </c>
      <c r="P54" s="45"/>
      <c r="Q54" s="47"/>
      <c r="R54" s="48"/>
    </row>
    <row r="55" spans="1:18" x14ac:dyDescent="0.3">
      <c r="A55" s="36">
        <v>44408</v>
      </c>
      <c r="B55" s="37">
        <v>-7.67426572891081</v>
      </c>
      <c r="C55" s="42"/>
      <c r="D55" s="43"/>
      <c r="E55" s="38">
        <v>107.064692519121</v>
      </c>
      <c r="F55" s="1">
        <f t="shared" si="9"/>
        <v>1</v>
      </c>
      <c r="G55" s="1">
        <f t="shared" si="10"/>
        <v>0</v>
      </c>
      <c r="H55" s="1">
        <f t="shared" si="7"/>
        <v>1</v>
      </c>
      <c r="I55" s="1">
        <f t="shared" si="11"/>
        <v>0</v>
      </c>
      <c r="J55" s="1">
        <f t="shared" si="0"/>
        <v>1</v>
      </c>
      <c r="K55" s="1">
        <f t="shared" si="1"/>
        <v>0</v>
      </c>
      <c r="L55" s="1">
        <f t="shared" si="2"/>
        <v>0</v>
      </c>
      <c r="M55" s="1">
        <f t="shared" si="3"/>
        <v>0</v>
      </c>
      <c r="N55" s="1" t="str">
        <f t="shared" si="4"/>
        <v>双宽</v>
      </c>
      <c r="P55" s="45"/>
      <c r="Q55" s="47"/>
      <c r="R55" s="48"/>
    </row>
    <row r="56" spans="1:18" x14ac:dyDescent="0.3">
      <c r="A56" s="36">
        <v>44377</v>
      </c>
      <c r="B56" s="37">
        <v>-8.9152573966734394</v>
      </c>
      <c r="C56" s="42"/>
      <c r="D56" s="43"/>
      <c r="E56" s="38">
        <v>106.81915500077901</v>
      </c>
      <c r="F56" s="1">
        <f t="shared" si="9"/>
        <v>1</v>
      </c>
      <c r="G56" s="1">
        <f t="shared" si="10"/>
        <v>0</v>
      </c>
      <c r="H56" s="1">
        <f t="shared" si="7"/>
        <v>1</v>
      </c>
      <c r="I56" s="1">
        <f t="shared" si="11"/>
        <v>0</v>
      </c>
      <c r="J56" s="1">
        <f t="shared" si="0"/>
        <v>1</v>
      </c>
      <c r="K56" s="1">
        <f t="shared" si="1"/>
        <v>0</v>
      </c>
      <c r="L56" s="1">
        <f t="shared" si="2"/>
        <v>0</v>
      </c>
      <c r="M56" s="1">
        <f t="shared" si="3"/>
        <v>0</v>
      </c>
      <c r="N56" s="1" t="str">
        <f t="shared" si="4"/>
        <v>双宽</v>
      </c>
      <c r="P56" s="45"/>
      <c r="Q56" s="47"/>
      <c r="R56" s="48"/>
    </row>
    <row r="57" spans="1:18" x14ac:dyDescent="0.3">
      <c r="A57" s="36">
        <v>44347</v>
      </c>
      <c r="B57" s="37">
        <v>-11.8398042951417</v>
      </c>
      <c r="C57" s="42"/>
      <c r="D57" s="43"/>
      <c r="E57" s="38">
        <v>106.769950472128</v>
      </c>
      <c r="F57" s="1">
        <f t="shared" si="9"/>
        <v>1</v>
      </c>
      <c r="G57" s="1">
        <f t="shared" si="10"/>
        <v>0</v>
      </c>
      <c r="H57" s="1">
        <f t="shared" si="7"/>
        <v>1</v>
      </c>
      <c r="I57" s="1">
        <f t="shared" si="11"/>
        <v>0</v>
      </c>
      <c r="J57" s="1">
        <f t="shared" si="0"/>
        <v>1</v>
      </c>
      <c r="K57" s="1">
        <f t="shared" si="1"/>
        <v>0</v>
      </c>
      <c r="L57" s="1">
        <f t="shared" si="2"/>
        <v>0</v>
      </c>
      <c r="M57" s="1">
        <f t="shared" si="3"/>
        <v>0</v>
      </c>
      <c r="N57" s="1" t="str">
        <f t="shared" si="4"/>
        <v>双宽</v>
      </c>
      <c r="P57" s="45"/>
      <c r="Q57" s="47"/>
      <c r="R57" s="48"/>
    </row>
    <row r="58" spans="1:18" x14ac:dyDescent="0.3">
      <c r="A58" s="36">
        <v>44316</v>
      </c>
      <c r="B58" s="37">
        <v>-15.553922309948099</v>
      </c>
      <c r="C58" s="42"/>
      <c r="D58" s="43"/>
      <c r="E58" s="38">
        <v>106.76314794552</v>
      </c>
      <c r="F58" s="1">
        <f t="shared" si="9"/>
        <v>1</v>
      </c>
      <c r="G58" s="1">
        <f t="shared" si="10"/>
        <v>0</v>
      </c>
      <c r="H58" s="1">
        <f t="shared" si="7"/>
        <v>1</v>
      </c>
      <c r="I58" s="1">
        <f t="shared" si="11"/>
        <v>0</v>
      </c>
      <c r="J58" s="1">
        <f t="shared" si="0"/>
        <v>1</v>
      </c>
      <c r="K58" s="1">
        <f t="shared" si="1"/>
        <v>0</v>
      </c>
      <c r="L58" s="1">
        <f t="shared" si="2"/>
        <v>0</v>
      </c>
      <c r="M58" s="1">
        <f t="shared" si="3"/>
        <v>0</v>
      </c>
      <c r="N58" s="1" t="str">
        <f t="shared" si="4"/>
        <v>双宽</v>
      </c>
      <c r="P58" s="45"/>
      <c r="Q58" s="47"/>
      <c r="R58" s="48"/>
    </row>
    <row r="59" spans="1:18" x14ac:dyDescent="0.3">
      <c r="A59" s="36">
        <v>44286</v>
      </c>
      <c r="B59" s="37">
        <v>-16.837721085113099</v>
      </c>
      <c r="C59" s="39"/>
      <c r="D59" s="40"/>
      <c r="E59" s="38">
        <v>106.73305568542</v>
      </c>
      <c r="F59" s="1">
        <f t="shared" si="9"/>
        <v>0</v>
      </c>
      <c r="G59" s="1">
        <f t="shared" si="10"/>
        <v>1</v>
      </c>
      <c r="H59" s="1">
        <f t="shared" si="7"/>
        <v>0</v>
      </c>
      <c r="I59" s="1">
        <f t="shared" si="11"/>
        <v>1</v>
      </c>
      <c r="J59" s="1">
        <f t="shared" si="0"/>
        <v>0</v>
      </c>
      <c r="K59" s="1">
        <f t="shared" si="1"/>
        <v>0</v>
      </c>
      <c r="L59" s="1">
        <f t="shared" si="2"/>
        <v>0</v>
      </c>
      <c r="M59" s="1">
        <f t="shared" si="3"/>
        <v>1</v>
      </c>
      <c r="N59" s="1" t="str">
        <f t="shared" si="4"/>
        <v>双紧</v>
      </c>
      <c r="P59" s="45"/>
      <c r="Q59" s="47"/>
      <c r="R59" s="48"/>
    </row>
    <row r="60" spans="1:18" x14ac:dyDescent="0.3">
      <c r="A60" s="36">
        <v>44255</v>
      </c>
      <c r="B60" s="37">
        <v>-14.276622392624899</v>
      </c>
      <c r="C60" s="39"/>
      <c r="D60" s="40"/>
      <c r="E60" s="38">
        <v>106.815910822025</v>
      </c>
      <c r="F60" s="1">
        <f t="shared" si="9"/>
        <v>1</v>
      </c>
      <c r="G60" s="1">
        <f t="shared" si="10"/>
        <v>0</v>
      </c>
      <c r="H60" s="1">
        <f t="shared" si="7"/>
        <v>1</v>
      </c>
      <c r="I60" s="1">
        <f t="shared" si="11"/>
        <v>0</v>
      </c>
      <c r="J60" s="1">
        <f t="shared" si="0"/>
        <v>1</v>
      </c>
      <c r="K60" s="1">
        <f t="shared" si="1"/>
        <v>0</v>
      </c>
      <c r="L60" s="1">
        <f t="shared" si="2"/>
        <v>0</v>
      </c>
      <c r="M60" s="1">
        <f t="shared" si="3"/>
        <v>0</v>
      </c>
      <c r="N60" s="1" t="str">
        <f t="shared" si="4"/>
        <v>双宽</v>
      </c>
      <c r="P60" s="45"/>
      <c r="Q60" s="47"/>
      <c r="R60" s="48"/>
    </row>
    <row r="61" spans="1:18" x14ac:dyDescent="0.3">
      <c r="A61" s="36">
        <v>44227</v>
      </c>
      <c r="B61" s="37">
        <v>-1.3699766863951801</v>
      </c>
      <c r="C61" s="39"/>
      <c r="D61" s="40"/>
      <c r="E61" s="38">
        <v>105.649356329008</v>
      </c>
      <c r="F61" s="1">
        <f t="shared" si="9"/>
        <v>0</v>
      </c>
      <c r="G61" s="1">
        <f t="shared" si="10"/>
        <v>1</v>
      </c>
      <c r="H61" s="1">
        <f t="shared" si="7"/>
        <v>0</v>
      </c>
      <c r="I61" s="1">
        <f t="shared" si="11"/>
        <v>1</v>
      </c>
      <c r="J61" s="1">
        <f t="shared" si="0"/>
        <v>0</v>
      </c>
      <c r="K61" s="1">
        <f t="shared" si="1"/>
        <v>0</v>
      </c>
      <c r="L61" s="1">
        <f t="shared" si="2"/>
        <v>0</v>
      </c>
      <c r="M61" s="1">
        <f t="shared" si="3"/>
        <v>1</v>
      </c>
      <c r="N61" s="1" t="str">
        <f t="shared" si="4"/>
        <v>双紧</v>
      </c>
      <c r="P61" s="45"/>
      <c r="Q61" s="47"/>
      <c r="R61" s="48"/>
    </row>
    <row r="62" spans="1:18" x14ac:dyDescent="0.3">
      <c r="A62" s="36">
        <v>44196</v>
      </c>
      <c r="B62" s="37">
        <v>-1.3699766863951801</v>
      </c>
      <c r="C62" s="39"/>
      <c r="D62" s="40"/>
      <c r="E62" s="38">
        <v>107.043956359776</v>
      </c>
      <c r="F62" s="1">
        <f t="shared" si="9"/>
        <v>1</v>
      </c>
      <c r="G62" s="1">
        <f t="shared" si="10"/>
        <v>0</v>
      </c>
      <c r="H62" s="1">
        <f t="shared" si="7"/>
        <v>1</v>
      </c>
      <c r="I62" s="1">
        <f t="shared" si="11"/>
        <v>0</v>
      </c>
      <c r="J62" s="1">
        <f t="shared" si="0"/>
        <v>1</v>
      </c>
      <c r="K62" s="1">
        <f t="shared" si="1"/>
        <v>0</v>
      </c>
      <c r="L62" s="1">
        <f t="shared" si="2"/>
        <v>0</v>
      </c>
      <c r="M62" s="1">
        <f t="shared" si="3"/>
        <v>0</v>
      </c>
      <c r="N62" s="1" t="str">
        <f t="shared" si="4"/>
        <v>双宽</v>
      </c>
      <c r="P62" s="45"/>
      <c r="Q62" s="47"/>
      <c r="R62" s="48"/>
    </row>
    <row r="63" spans="1:18" x14ac:dyDescent="0.3">
      <c r="A63" s="36">
        <v>44165</v>
      </c>
      <c r="B63" s="37">
        <v>-2.2089304478460301</v>
      </c>
      <c r="C63" s="39"/>
      <c r="D63" s="40"/>
      <c r="E63" s="38">
        <v>106.257045993334</v>
      </c>
      <c r="F63" s="1">
        <f t="shared" si="9"/>
        <v>1</v>
      </c>
      <c r="G63" s="1">
        <f t="shared" si="10"/>
        <v>0</v>
      </c>
      <c r="H63" s="1">
        <f t="shared" si="7"/>
        <v>1</v>
      </c>
      <c r="I63" s="1">
        <f t="shared" si="11"/>
        <v>0</v>
      </c>
      <c r="J63" s="1">
        <f t="shared" si="0"/>
        <v>1</v>
      </c>
      <c r="K63" s="1">
        <f t="shared" si="1"/>
        <v>0</v>
      </c>
      <c r="L63" s="1">
        <f t="shared" si="2"/>
        <v>0</v>
      </c>
      <c r="M63" s="1">
        <f t="shared" si="3"/>
        <v>0</v>
      </c>
      <c r="N63" s="1" t="str">
        <f t="shared" si="4"/>
        <v>双宽</v>
      </c>
      <c r="P63" s="45"/>
      <c r="Q63" s="47"/>
      <c r="R63" s="48"/>
    </row>
    <row r="64" spans="1:18" x14ac:dyDescent="0.3">
      <c r="A64" s="36">
        <v>44135</v>
      </c>
      <c r="B64" s="37">
        <v>-2.8402349600242198</v>
      </c>
      <c r="C64" s="39"/>
      <c r="D64" s="40"/>
      <c r="E64" s="38">
        <v>106.15828651560101</v>
      </c>
      <c r="F64" s="1">
        <f t="shared" si="9"/>
        <v>0</v>
      </c>
      <c r="G64" s="1">
        <f t="shared" si="10"/>
        <v>1</v>
      </c>
      <c r="H64" s="1">
        <f t="shared" si="7"/>
        <v>0</v>
      </c>
      <c r="I64" s="1">
        <f t="shared" si="11"/>
        <v>1</v>
      </c>
      <c r="J64" s="1">
        <f t="shared" si="0"/>
        <v>0</v>
      </c>
      <c r="K64" s="1">
        <f t="shared" si="1"/>
        <v>0</v>
      </c>
      <c r="L64" s="1">
        <f t="shared" si="2"/>
        <v>0</v>
      </c>
      <c r="M64" s="1">
        <f t="shared" si="3"/>
        <v>1</v>
      </c>
      <c r="N64" s="1" t="str">
        <f t="shared" si="4"/>
        <v>双紧</v>
      </c>
      <c r="P64" s="45"/>
      <c r="Q64" s="47"/>
      <c r="R64" s="48"/>
    </row>
    <row r="65" spans="1:18" x14ac:dyDescent="0.3">
      <c r="A65" s="36">
        <v>44104</v>
      </c>
      <c r="B65" s="37">
        <v>-3.1144559870536699</v>
      </c>
      <c r="C65" s="41"/>
      <c r="D65" s="38"/>
      <c r="E65" s="38">
        <v>106.507552511014</v>
      </c>
      <c r="F65" s="1">
        <f t="shared" si="9"/>
        <v>1</v>
      </c>
      <c r="G65" s="1">
        <f t="shared" si="10"/>
        <v>0</v>
      </c>
      <c r="H65" s="1">
        <f t="shared" si="7"/>
        <v>1</v>
      </c>
      <c r="I65" s="1">
        <f t="shared" si="11"/>
        <v>0</v>
      </c>
      <c r="J65" s="1">
        <f t="shared" si="0"/>
        <v>1</v>
      </c>
      <c r="K65" s="1">
        <f t="shared" si="1"/>
        <v>0</v>
      </c>
      <c r="L65" s="1">
        <f t="shared" si="2"/>
        <v>0</v>
      </c>
      <c r="M65" s="1">
        <f t="shared" si="3"/>
        <v>0</v>
      </c>
      <c r="N65" s="1" t="str">
        <f t="shared" si="4"/>
        <v>双宽</v>
      </c>
      <c r="P65" s="45"/>
      <c r="Q65" s="47"/>
      <c r="R65" s="48"/>
    </row>
    <row r="66" spans="1:18" x14ac:dyDescent="0.3">
      <c r="A66" s="36">
        <v>44074</v>
      </c>
      <c r="B66" s="37">
        <v>-2.3258203003157898</v>
      </c>
      <c r="C66" s="41"/>
      <c r="D66" s="38"/>
      <c r="E66" s="38">
        <v>106.353440114862</v>
      </c>
      <c r="F66" s="1">
        <f t="shared" si="9"/>
        <v>0</v>
      </c>
      <c r="G66" s="1">
        <f t="shared" si="10"/>
        <v>1</v>
      </c>
      <c r="H66" s="1">
        <f t="shared" si="7"/>
        <v>0</v>
      </c>
      <c r="I66" s="1">
        <f t="shared" si="11"/>
        <v>1</v>
      </c>
      <c r="J66" s="1">
        <f t="shared" si="0"/>
        <v>0</v>
      </c>
      <c r="K66" s="1">
        <f t="shared" si="1"/>
        <v>0</v>
      </c>
      <c r="L66" s="1">
        <f t="shared" si="2"/>
        <v>0</v>
      </c>
      <c r="M66" s="1">
        <f t="shared" si="3"/>
        <v>1</v>
      </c>
      <c r="N66" s="1" t="str">
        <f t="shared" si="4"/>
        <v>双紧</v>
      </c>
      <c r="P66" s="45"/>
      <c r="Q66" s="47"/>
      <c r="R66" s="48"/>
    </row>
    <row r="67" spans="1:18" x14ac:dyDescent="0.3">
      <c r="A67" s="36">
        <v>44043</v>
      </c>
      <c r="B67" s="37">
        <v>-2.26381786422969</v>
      </c>
      <c r="C67" s="41"/>
      <c r="D67" s="38"/>
      <c r="E67" s="38">
        <v>106.465070503372</v>
      </c>
      <c r="F67" s="1">
        <f t="shared" si="9"/>
        <v>0</v>
      </c>
      <c r="G67" s="1">
        <f t="shared" si="10"/>
        <v>1</v>
      </c>
      <c r="H67" s="1">
        <f t="shared" si="7"/>
        <v>0</v>
      </c>
      <c r="I67" s="1">
        <f t="shared" si="11"/>
        <v>1</v>
      </c>
      <c r="J67" s="1">
        <f t="shared" si="0"/>
        <v>0</v>
      </c>
      <c r="K67" s="1">
        <f t="shared" si="1"/>
        <v>0</v>
      </c>
      <c r="L67" s="1">
        <f t="shared" si="2"/>
        <v>0</v>
      </c>
      <c r="M67" s="1">
        <f t="shared" si="3"/>
        <v>1</v>
      </c>
      <c r="N67" s="1" t="str">
        <f t="shared" si="4"/>
        <v>双紧</v>
      </c>
      <c r="P67" s="45"/>
      <c r="Q67" s="47"/>
      <c r="R67" s="48"/>
    </row>
    <row r="68" spans="1:18" x14ac:dyDescent="0.3">
      <c r="A68" s="36">
        <v>44012</v>
      </c>
      <c r="B68" s="37">
        <v>-2.3305616657570898</v>
      </c>
      <c r="C68" s="41"/>
      <c r="D68" s="38"/>
      <c r="E68" s="38">
        <v>106.78871107435999</v>
      </c>
      <c r="F68" s="1">
        <f t="shared" si="9"/>
        <v>0</v>
      </c>
      <c r="G68" s="1">
        <f t="shared" si="10"/>
        <v>1</v>
      </c>
      <c r="H68" s="1">
        <f t="shared" si="7"/>
        <v>0</v>
      </c>
      <c r="I68" s="1">
        <f t="shared" si="11"/>
        <v>1</v>
      </c>
      <c r="J68" s="1">
        <f t="shared" si="0"/>
        <v>0</v>
      </c>
      <c r="K68" s="1">
        <f t="shared" si="1"/>
        <v>0</v>
      </c>
      <c r="L68" s="1">
        <f t="shared" si="2"/>
        <v>0</v>
      </c>
      <c r="M68" s="1">
        <f t="shared" si="3"/>
        <v>1</v>
      </c>
      <c r="N68" s="1" t="str">
        <f t="shared" si="4"/>
        <v>双紧</v>
      </c>
      <c r="P68" s="45"/>
      <c r="Q68" s="47"/>
      <c r="R68" s="48"/>
    </row>
    <row r="69" spans="1:18" x14ac:dyDescent="0.3">
      <c r="A69" s="36">
        <v>43982</v>
      </c>
      <c r="B69" s="37">
        <v>3.4687972697403899</v>
      </c>
      <c r="C69" s="42"/>
      <c r="D69" s="43"/>
      <c r="E69" s="38">
        <v>107.274756659529</v>
      </c>
      <c r="F69" s="1">
        <f t="shared" si="9"/>
        <v>0</v>
      </c>
      <c r="G69" s="1">
        <f t="shared" si="10"/>
        <v>1</v>
      </c>
      <c r="H69" s="1">
        <f t="shared" si="7"/>
        <v>0</v>
      </c>
      <c r="I69" s="1">
        <f t="shared" si="11"/>
        <v>1</v>
      </c>
      <c r="J69" s="1">
        <f t="shared" si="0"/>
        <v>0</v>
      </c>
      <c r="K69" s="1">
        <f t="shared" si="1"/>
        <v>0</v>
      </c>
      <c r="L69" s="1">
        <f t="shared" si="2"/>
        <v>0</v>
      </c>
      <c r="M69" s="1">
        <f t="shared" si="3"/>
        <v>1</v>
      </c>
      <c r="N69" s="1" t="str">
        <f t="shared" si="4"/>
        <v>双紧</v>
      </c>
      <c r="P69" s="45"/>
      <c r="Q69" s="47"/>
      <c r="R69" s="48"/>
    </row>
    <row r="70" spans="1:18" x14ac:dyDescent="0.3">
      <c r="A70" s="36">
        <v>43951</v>
      </c>
      <c r="B70" s="37">
        <v>6.13976226062106</v>
      </c>
      <c r="C70" s="42"/>
      <c r="D70" s="43"/>
      <c r="E70" s="38">
        <v>107.54445678384801</v>
      </c>
      <c r="F70" s="1">
        <f t="shared" si="9"/>
        <v>1</v>
      </c>
      <c r="G70" s="1">
        <f t="shared" si="10"/>
        <v>0</v>
      </c>
      <c r="H70" s="1">
        <f t="shared" si="7"/>
        <v>1</v>
      </c>
      <c r="I70" s="1">
        <f t="shared" si="11"/>
        <v>0</v>
      </c>
      <c r="J70" s="1">
        <f t="shared" si="0"/>
        <v>1</v>
      </c>
      <c r="K70" s="1">
        <f t="shared" si="1"/>
        <v>0</v>
      </c>
      <c r="L70" s="1">
        <f t="shared" si="2"/>
        <v>0</v>
      </c>
      <c r="M70" s="1">
        <f t="shared" si="3"/>
        <v>0</v>
      </c>
      <c r="N70" s="1" t="str">
        <f t="shared" si="4"/>
        <v>双宽</v>
      </c>
      <c r="P70" s="45"/>
      <c r="Q70" s="47"/>
      <c r="R70" s="48"/>
    </row>
    <row r="71" spans="1:18" x14ac:dyDescent="0.3">
      <c r="A71" s="36">
        <v>43921</v>
      </c>
      <c r="B71" s="37">
        <v>3.7626877431843302</v>
      </c>
      <c r="C71" s="42"/>
      <c r="D71" s="43"/>
      <c r="E71" s="38">
        <v>105.74325733340901</v>
      </c>
      <c r="F71" s="1">
        <f t="shared" si="9"/>
        <v>0</v>
      </c>
      <c r="G71" s="1">
        <f t="shared" si="10"/>
        <v>1</v>
      </c>
      <c r="H71" s="1">
        <f t="shared" si="7"/>
        <v>0</v>
      </c>
      <c r="I71" s="1">
        <f t="shared" si="11"/>
        <v>1</v>
      </c>
      <c r="J71" s="1">
        <f t="shared" si="0"/>
        <v>0</v>
      </c>
      <c r="K71" s="1">
        <f t="shared" si="1"/>
        <v>0</v>
      </c>
      <c r="L71" s="1">
        <f t="shared" si="2"/>
        <v>0</v>
      </c>
      <c r="M71" s="1">
        <f t="shared" si="3"/>
        <v>1</v>
      </c>
      <c r="N71" s="1" t="str">
        <f t="shared" si="4"/>
        <v>双紧</v>
      </c>
      <c r="P71" s="45"/>
      <c r="Q71" s="47"/>
      <c r="R71" s="48"/>
    </row>
    <row r="72" spans="1:18" x14ac:dyDescent="0.3">
      <c r="A72" s="36">
        <v>43890</v>
      </c>
      <c r="B72" s="37">
        <v>2.9121675556646802</v>
      </c>
      <c r="C72" s="42"/>
      <c r="D72" s="43"/>
      <c r="E72" s="38">
        <v>105.74325733340901</v>
      </c>
      <c r="F72" s="1">
        <f t="shared" si="9"/>
        <v>1</v>
      </c>
      <c r="G72" s="1">
        <f t="shared" si="10"/>
        <v>0</v>
      </c>
      <c r="H72" s="1">
        <f t="shared" si="7"/>
        <v>1</v>
      </c>
      <c r="I72" s="1">
        <f t="shared" si="11"/>
        <v>0</v>
      </c>
      <c r="J72" s="1">
        <f t="shared" si="0"/>
        <v>1</v>
      </c>
      <c r="K72" s="1">
        <f t="shared" si="1"/>
        <v>0</v>
      </c>
      <c r="L72" s="1">
        <f t="shared" si="2"/>
        <v>0</v>
      </c>
      <c r="M72" s="1">
        <f t="shared" si="3"/>
        <v>0</v>
      </c>
      <c r="N72" s="1" t="str">
        <f t="shared" si="4"/>
        <v>双宽</v>
      </c>
      <c r="P72" s="45"/>
      <c r="Q72" s="47"/>
      <c r="R72" s="48"/>
    </row>
    <row r="73" spans="1:18" x14ac:dyDescent="0.3">
      <c r="A73" s="36">
        <v>43861</v>
      </c>
      <c r="B73" s="37">
        <v>-5.0203904259293699</v>
      </c>
      <c r="C73" s="42"/>
      <c r="D73" s="43"/>
      <c r="E73" s="38">
        <v>104.199037794737</v>
      </c>
      <c r="F73" s="1">
        <f t="shared" si="9"/>
        <v>0</v>
      </c>
      <c r="G73" s="1">
        <f t="shared" si="10"/>
        <v>1</v>
      </c>
      <c r="H73" s="1">
        <f t="shared" si="7"/>
        <v>0</v>
      </c>
      <c r="I73" s="1">
        <f t="shared" si="11"/>
        <v>1</v>
      </c>
      <c r="J73" s="1">
        <f t="shared" si="0"/>
        <v>0</v>
      </c>
      <c r="K73" s="1">
        <f t="shared" si="1"/>
        <v>0</v>
      </c>
      <c r="L73" s="1">
        <f t="shared" si="2"/>
        <v>0</v>
      </c>
      <c r="M73" s="1">
        <f t="shared" si="3"/>
        <v>1</v>
      </c>
      <c r="N73" s="1" t="str">
        <f t="shared" si="4"/>
        <v>双紧</v>
      </c>
      <c r="P73" s="45"/>
      <c r="Q73" s="47"/>
      <c r="R73" s="48"/>
    </row>
    <row r="74" spans="1:18" x14ac:dyDescent="0.3">
      <c r="A74" s="36">
        <v>43830</v>
      </c>
      <c r="B74" s="37">
        <v>-5.0203904259293699</v>
      </c>
      <c r="C74" s="42"/>
      <c r="D74" s="43"/>
      <c r="E74" s="38">
        <v>104.282677300041</v>
      </c>
      <c r="F74" s="1">
        <f t="shared" si="9"/>
        <v>1</v>
      </c>
      <c r="G74" s="1">
        <f t="shared" si="10"/>
        <v>0</v>
      </c>
      <c r="H74" s="1">
        <f t="shared" si="7"/>
        <v>1</v>
      </c>
      <c r="I74" s="1">
        <f t="shared" si="11"/>
        <v>0</v>
      </c>
      <c r="J74" s="1">
        <f t="shared" si="0"/>
        <v>1</v>
      </c>
      <c r="K74" s="1">
        <f t="shared" si="1"/>
        <v>0</v>
      </c>
      <c r="L74" s="1">
        <f t="shared" si="2"/>
        <v>0</v>
      </c>
      <c r="M74" s="1">
        <f t="shared" si="3"/>
        <v>0</v>
      </c>
      <c r="N74" s="1" t="str">
        <f t="shared" si="4"/>
        <v>双宽</v>
      </c>
      <c r="P74" s="45"/>
      <c r="Q74" s="47"/>
      <c r="R74" s="48"/>
    </row>
    <row r="75" spans="1:18" x14ac:dyDescent="0.3">
      <c r="A75" s="36">
        <v>43799</v>
      </c>
      <c r="B75" s="37">
        <v>-4.4531189686983197</v>
      </c>
      <c r="C75" s="42"/>
      <c r="D75" s="43"/>
      <c r="E75" s="38">
        <v>103.61990576294301</v>
      </c>
      <c r="F75" s="1">
        <f t="shared" si="9"/>
        <v>1</v>
      </c>
      <c r="G75" s="1">
        <f t="shared" si="10"/>
        <v>0</v>
      </c>
      <c r="H75" s="1">
        <f t="shared" si="7"/>
        <v>1</v>
      </c>
      <c r="I75" s="1">
        <f t="shared" si="11"/>
        <v>0</v>
      </c>
      <c r="J75" s="1">
        <f t="shared" si="0"/>
        <v>1</v>
      </c>
      <c r="K75" s="1">
        <f t="shared" si="1"/>
        <v>0</v>
      </c>
      <c r="L75" s="1">
        <f t="shared" si="2"/>
        <v>0</v>
      </c>
      <c r="M75" s="1">
        <f t="shared" si="3"/>
        <v>0</v>
      </c>
      <c r="N75" s="1" t="str">
        <f t="shared" si="4"/>
        <v>双宽</v>
      </c>
      <c r="P75" s="45"/>
      <c r="Q75" s="47"/>
      <c r="R75" s="48"/>
    </row>
    <row r="76" spans="1:18" x14ac:dyDescent="0.3">
      <c r="A76" s="36">
        <v>43769</v>
      </c>
      <c r="B76" s="37">
        <v>-2.5119944017867302</v>
      </c>
      <c r="C76" s="42"/>
      <c r="D76" s="43"/>
      <c r="E76" s="38">
        <v>102.813194434667</v>
      </c>
      <c r="F76" s="1">
        <f t="shared" si="9"/>
        <v>1</v>
      </c>
      <c r="G76" s="1">
        <f t="shared" si="10"/>
        <v>0</v>
      </c>
      <c r="H76" s="1">
        <f t="shared" si="7"/>
        <v>1</v>
      </c>
      <c r="I76" s="1">
        <f t="shared" si="11"/>
        <v>0</v>
      </c>
      <c r="J76" s="1">
        <f t="shared" ref="J76:J97" si="12">INT(AND(F76=1,H76=1))</f>
        <v>1</v>
      </c>
      <c r="K76" s="1">
        <f t="shared" ref="K76:K97" si="13">INT(AND(F76=1,I76=1))</f>
        <v>0</v>
      </c>
      <c r="L76" s="1">
        <f t="shared" ref="L76:L97" si="14">INT(AND(G76=1,H76=1))</f>
        <v>0</v>
      </c>
      <c r="M76" s="1">
        <f t="shared" ref="M76:M97" si="15">INT(AND(G76=1,I76=1))</f>
        <v>0</v>
      </c>
      <c r="N76" s="1" t="str">
        <f t="shared" ref="N76:N97" si="16">INDEX($J$11:$M$11,1,MATCH(1,J76:M76,0))</f>
        <v>双宽</v>
      </c>
      <c r="P76" s="45"/>
      <c r="Q76" s="47"/>
      <c r="R76" s="48"/>
    </row>
    <row r="77" spans="1:18" x14ac:dyDescent="0.3">
      <c r="A77" s="36">
        <v>43738</v>
      </c>
      <c r="B77" s="37">
        <v>-0.62480719295439202</v>
      </c>
      <c r="C77" s="42"/>
      <c r="D77" s="43"/>
      <c r="E77" s="38">
        <v>102.716385717158</v>
      </c>
      <c r="F77" s="1">
        <f t="shared" ref="F77:F97" si="17">IF(E77&gt;E78,1,0)</f>
        <v>1</v>
      </c>
      <c r="G77" s="1">
        <f t="shared" ref="G77:G97" si="18">1-F77</f>
        <v>0</v>
      </c>
      <c r="H77" s="1">
        <f t="shared" ref="H77:H97" si="19">IF(E77&gt;E78,1,0)</f>
        <v>1</v>
      </c>
      <c r="I77" s="1">
        <f t="shared" ref="I77:I97" si="20">1-H77</f>
        <v>0</v>
      </c>
      <c r="J77" s="1">
        <f t="shared" si="12"/>
        <v>1</v>
      </c>
      <c r="K77" s="1">
        <f t="shared" si="13"/>
        <v>0</v>
      </c>
      <c r="L77" s="1">
        <f t="shared" si="14"/>
        <v>0</v>
      </c>
      <c r="M77" s="1">
        <f t="shared" si="15"/>
        <v>0</v>
      </c>
      <c r="N77" s="1" t="str">
        <f t="shared" si="16"/>
        <v>双宽</v>
      </c>
      <c r="P77" s="45"/>
      <c r="Q77" s="47"/>
      <c r="R77" s="48"/>
    </row>
    <row r="78" spans="1:18" x14ac:dyDescent="0.3">
      <c r="A78" s="36">
        <v>43708</v>
      </c>
      <c r="B78" s="37">
        <v>0.55722610923190696</v>
      </c>
      <c r="C78" s="42"/>
      <c r="D78" s="43"/>
      <c r="E78" s="38">
        <v>102.356344701163</v>
      </c>
      <c r="F78" s="1">
        <f t="shared" si="17"/>
        <v>0</v>
      </c>
      <c r="G78" s="1">
        <f t="shared" si="18"/>
        <v>1</v>
      </c>
      <c r="H78" s="1">
        <f t="shared" si="19"/>
        <v>0</v>
      </c>
      <c r="I78" s="1">
        <f t="shared" si="20"/>
        <v>1</v>
      </c>
      <c r="J78" s="1">
        <f t="shared" si="12"/>
        <v>0</v>
      </c>
      <c r="K78" s="1">
        <f t="shared" si="13"/>
        <v>0</v>
      </c>
      <c r="L78" s="1">
        <f t="shared" si="14"/>
        <v>0</v>
      </c>
      <c r="M78" s="1">
        <f t="shared" si="15"/>
        <v>1</v>
      </c>
      <c r="N78" s="1" t="str">
        <f t="shared" si="16"/>
        <v>双紧</v>
      </c>
      <c r="P78" s="45"/>
      <c r="Q78" s="47"/>
      <c r="R78" s="48"/>
    </row>
    <row r="79" spans="1:18" x14ac:dyDescent="0.3">
      <c r="A79" s="36">
        <v>43677</v>
      </c>
      <c r="B79" s="37">
        <v>3.0636028639131698</v>
      </c>
      <c r="C79" s="42"/>
      <c r="D79" s="43"/>
      <c r="E79" s="38">
        <v>102.372737684439</v>
      </c>
      <c r="F79" s="1">
        <f t="shared" si="17"/>
        <v>0</v>
      </c>
      <c r="G79" s="1">
        <f t="shared" si="18"/>
        <v>1</v>
      </c>
      <c r="H79" s="1">
        <f t="shared" si="19"/>
        <v>0</v>
      </c>
      <c r="I79" s="1">
        <f t="shared" si="20"/>
        <v>1</v>
      </c>
      <c r="J79" s="1">
        <f t="shared" si="12"/>
        <v>0</v>
      </c>
      <c r="K79" s="1">
        <f t="shared" si="13"/>
        <v>0</v>
      </c>
      <c r="L79" s="1">
        <f t="shared" si="14"/>
        <v>0</v>
      </c>
      <c r="M79" s="1">
        <f t="shared" si="15"/>
        <v>1</v>
      </c>
      <c r="N79" s="1" t="str">
        <f t="shared" si="16"/>
        <v>双紧</v>
      </c>
      <c r="P79" s="45"/>
      <c r="Q79" s="47"/>
      <c r="R79" s="48"/>
    </row>
    <row r="80" spans="1:18" x14ac:dyDescent="0.3">
      <c r="A80" s="36">
        <v>43646</v>
      </c>
      <c r="B80" s="37">
        <v>4.5337676983678898</v>
      </c>
      <c r="C80" s="42"/>
      <c r="D80" s="43"/>
      <c r="E80" s="38">
        <v>103.250987490431</v>
      </c>
      <c r="F80" s="1">
        <f t="shared" si="17"/>
        <v>1</v>
      </c>
      <c r="G80" s="1">
        <f t="shared" si="18"/>
        <v>0</v>
      </c>
      <c r="H80" s="1">
        <f t="shared" si="19"/>
        <v>1</v>
      </c>
      <c r="I80" s="1">
        <f t="shared" si="20"/>
        <v>0</v>
      </c>
      <c r="J80" s="1">
        <f t="shared" si="12"/>
        <v>1</v>
      </c>
      <c r="K80" s="1">
        <f t="shared" si="13"/>
        <v>0</v>
      </c>
      <c r="L80" s="1">
        <f t="shared" si="14"/>
        <v>0</v>
      </c>
      <c r="M80" s="1">
        <f t="shared" si="15"/>
        <v>0</v>
      </c>
      <c r="N80" s="1" t="str">
        <f t="shared" si="16"/>
        <v>双宽</v>
      </c>
      <c r="P80" s="45"/>
      <c r="Q80" s="47"/>
      <c r="R80" s="48"/>
    </row>
    <row r="81" spans="1:18" x14ac:dyDescent="0.3">
      <c r="A81" s="36">
        <v>43616</v>
      </c>
      <c r="B81" s="37">
        <v>7.1854004842658998</v>
      </c>
      <c r="C81" s="42"/>
      <c r="D81" s="43"/>
      <c r="E81" s="38">
        <v>102.771095176516</v>
      </c>
      <c r="F81" s="1">
        <f t="shared" si="17"/>
        <v>1</v>
      </c>
      <c r="G81" s="1">
        <f t="shared" si="18"/>
        <v>0</v>
      </c>
      <c r="H81" s="1">
        <f t="shared" si="19"/>
        <v>1</v>
      </c>
      <c r="I81" s="1">
        <f t="shared" si="20"/>
        <v>0</v>
      </c>
      <c r="J81" s="1">
        <f t="shared" si="12"/>
        <v>1</v>
      </c>
      <c r="K81" s="1">
        <f t="shared" si="13"/>
        <v>0</v>
      </c>
      <c r="L81" s="1">
        <f t="shared" si="14"/>
        <v>0</v>
      </c>
      <c r="M81" s="1">
        <f t="shared" si="15"/>
        <v>0</v>
      </c>
      <c r="N81" s="1" t="str">
        <f t="shared" si="16"/>
        <v>双宽</v>
      </c>
      <c r="P81" s="45"/>
      <c r="Q81" s="47"/>
      <c r="R81" s="48"/>
    </row>
    <row r="82" spans="1:18" x14ac:dyDescent="0.3">
      <c r="A82" s="36">
        <v>43585</v>
      </c>
      <c r="B82" s="37">
        <v>9.2843912250140708</v>
      </c>
      <c r="C82" s="42"/>
      <c r="D82" s="43"/>
      <c r="E82" s="38">
        <v>102.33468886172599</v>
      </c>
      <c r="F82" s="1">
        <f t="shared" si="17"/>
        <v>0</v>
      </c>
      <c r="G82" s="1">
        <f t="shared" si="18"/>
        <v>1</v>
      </c>
      <c r="H82" s="1">
        <f t="shared" si="19"/>
        <v>0</v>
      </c>
      <c r="I82" s="1">
        <f t="shared" si="20"/>
        <v>1</v>
      </c>
      <c r="J82" s="1">
        <f t="shared" si="12"/>
        <v>0</v>
      </c>
      <c r="K82" s="1">
        <f t="shared" si="13"/>
        <v>0</v>
      </c>
      <c r="L82" s="1">
        <f t="shared" si="14"/>
        <v>0</v>
      </c>
      <c r="M82" s="1">
        <f t="shared" si="15"/>
        <v>1</v>
      </c>
      <c r="N82" s="1" t="str">
        <f t="shared" si="16"/>
        <v>双紧</v>
      </c>
      <c r="P82" s="45"/>
      <c r="Q82" s="47"/>
      <c r="R82" s="48"/>
    </row>
    <row r="83" spans="1:18" x14ac:dyDescent="0.3">
      <c r="A83" s="36">
        <v>43555</v>
      </c>
      <c r="B83" s="37">
        <v>10.678734934458101</v>
      </c>
      <c r="C83" s="42"/>
      <c r="D83" s="43"/>
      <c r="E83" s="38">
        <v>102.523868880108</v>
      </c>
      <c r="F83" s="1">
        <f t="shared" si="17"/>
        <v>0</v>
      </c>
      <c r="G83" s="1">
        <f t="shared" si="18"/>
        <v>1</v>
      </c>
      <c r="H83" s="1">
        <f t="shared" si="19"/>
        <v>0</v>
      </c>
      <c r="I83" s="1">
        <f t="shared" si="20"/>
        <v>1</v>
      </c>
      <c r="J83" s="1">
        <f t="shared" si="12"/>
        <v>0</v>
      </c>
      <c r="K83" s="1">
        <f t="shared" si="13"/>
        <v>0</v>
      </c>
      <c r="L83" s="1">
        <f t="shared" si="14"/>
        <v>0</v>
      </c>
      <c r="M83" s="1">
        <f t="shared" si="15"/>
        <v>1</v>
      </c>
      <c r="N83" s="1" t="str">
        <f t="shared" si="16"/>
        <v>双紧</v>
      </c>
      <c r="P83" s="45"/>
      <c r="Q83" s="47"/>
      <c r="R83" s="48"/>
    </row>
    <row r="84" spans="1:18" x14ac:dyDescent="0.3">
      <c r="A84" s="36">
        <v>43524</v>
      </c>
      <c r="B84" s="37">
        <v>13.2189502599504</v>
      </c>
      <c r="C84" s="39"/>
      <c r="D84" s="40"/>
      <c r="E84" s="38">
        <v>103.20264973859599</v>
      </c>
      <c r="F84" s="1">
        <f t="shared" si="17"/>
        <v>0</v>
      </c>
      <c r="G84" s="1">
        <f t="shared" si="18"/>
        <v>1</v>
      </c>
      <c r="H84" s="1">
        <f t="shared" si="19"/>
        <v>0</v>
      </c>
      <c r="I84" s="1">
        <f t="shared" si="20"/>
        <v>1</v>
      </c>
      <c r="J84" s="1">
        <f t="shared" si="12"/>
        <v>0</v>
      </c>
      <c r="K84" s="1">
        <f t="shared" si="13"/>
        <v>0</v>
      </c>
      <c r="L84" s="1">
        <f t="shared" si="14"/>
        <v>0</v>
      </c>
      <c r="M84" s="1">
        <f t="shared" si="15"/>
        <v>1</v>
      </c>
      <c r="N84" s="1" t="str">
        <f t="shared" si="16"/>
        <v>双紧</v>
      </c>
      <c r="P84" s="45"/>
      <c r="Q84" s="47"/>
      <c r="R84" s="48"/>
    </row>
    <row r="85" spans="1:18" x14ac:dyDescent="0.3">
      <c r="A85" s="36">
        <v>43496</v>
      </c>
      <c r="B85" s="37">
        <v>5.1340748249025498</v>
      </c>
      <c r="C85" s="39"/>
      <c r="D85" s="40"/>
      <c r="E85" s="38">
        <v>103.23227002462301</v>
      </c>
      <c r="F85" s="1">
        <f t="shared" si="17"/>
        <v>1</v>
      </c>
      <c r="G85" s="1">
        <f t="shared" si="18"/>
        <v>0</v>
      </c>
      <c r="H85" s="1">
        <f t="shared" si="19"/>
        <v>1</v>
      </c>
      <c r="I85" s="1">
        <f t="shared" si="20"/>
        <v>0</v>
      </c>
      <c r="J85" s="1">
        <f t="shared" si="12"/>
        <v>1</v>
      </c>
      <c r="K85" s="1">
        <f t="shared" si="13"/>
        <v>0</v>
      </c>
      <c r="L85" s="1">
        <f t="shared" si="14"/>
        <v>0</v>
      </c>
      <c r="M85" s="1">
        <f t="shared" si="15"/>
        <v>0</v>
      </c>
      <c r="N85" s="1" t="str">
        <f t="shared" si="16"/>
        <v>双宽</v>
      </c>
      <c r="P85" s="45"/>
      <c r="Q85" s="47"/>
      <c r="R85" s="48"/>
    </row>
    <row r="86" spans="1:18" x14ac:dyDescent="0.3">
      <c r="A86" s="36">
        <v>43465</v>
      </c>
      <c r="B86" s="37">
        <v>5.1340748249025498</v>
      </c>
      <c r="C86" s="39"/>
      <c r="D86" s="40"/>
      <c r="E86" s="38">
        <v>102.68902778028</v>
      </c>
      <c r="F86" s="1">
        <f t="shared" si="17"/>
        <v>0</v>
      </c>
      <c r="G86" s="1">
        <f t="shared" si="18"/>
        <v>1</v>
      </c>
      <c r="H86" s="1">
        <f t="shared" si="19"/>
        <v>0</v>
      </c>
      <c r="I86" s="1">
        <f t="shared" si="20"/>
        <v>1</v>
      </c>
      <c r="J86" s="1">
        <f t="shared" si="12"/>
        <v>0</v>
      </c>
      <c r="K86" s="1">
        <f t="shared" si="13"/>
        <v>0</v>
      </c>
      <c r="L86" s="1">
        <f t="shared" si="14"/>
        <v>0</v>
      </c>
      <c r="M86" s="1">
        <f t="shared" si="15"/>
        <v>1</v>
      </c>
      <c r="N86" s="1" t="str">
        <f t="shared" si="16"/>
        <v>双紧</v>
      </c>
      <c r="P86" s="45"/>
      <c r="Q86" s="47"/>
      <c r="R86" s="48"/>
    </row>
    <row r="87" spans="1:18" x14ac:dyDescent="0.3">
      <c r="A87" s="36">
        <v>43434</v>
      </c>
      <c r="B87" s="37">
        <v>1.7460493926225999</v>
      </c>
      <c r="C87" s="39"/>
      <c r="D87" s="40"/>
      <c r="E87" s="38">
        <v>103.010099084076</v>
      </c>
      <c r="F87" s="1">
        <f t="shared" si="17"/>
        <v>0</v>
      </c>
      <c r="G87" s="1">
        <f t="shared" si="18"/>
        <v>1</v>
      </c>
      <c r="H87" s="1">
        <f t="shared" si="19"/>
        <v>0</v>
      </c>
      <c r="I87" s="1">
        <f t="shared" si="20"/>
        <v>1</v>
      </c>
      <c r="J87" s="1">
        <f t="shared" si="12"/>
        <v>0</v>
      </c>
      <c r="K87" s="1">
        <f t="shared" si="13"/>
        <v>0</v>
      </c>
      <c r="L87" s="1">
        <f t="shared" si="14"/>
        <v>0</v>
      </c>
      <c r="M87" s="1">
        <f t="shared" si="15"/>
        <v>1</v>
      </c>
      <c r="N87" s="1" t="str">
        <f t="shared" si="16"/>
        <v>双紧</v>
      </c>
      <c r="P87" s="45"/>
      <c r="Q87" s="47"/>
      <c r="R87" s="48"/>
    </row>
    <row r="88" spans="1:18" x14ac:dyDescent="0.3">
      <c r="A88" s="36">
        <v>43404</v>
      </c>
      <c r="B88" s="37">
        <v>1.3467447774975001</v>
      </c>
      <c r="C88" s="39"/>
      <c r="D88" s="40"/>
      <c r="E88" s="38">
        <v>103.336283868694</v>
      </c>
      <c r="F88" s="1">
        <f t="shared" si="17"/>
        <v>1</v>
      </c>
      <c r="G88" s="1">
        <f t="shared" si="18"/>
        <v>0</v>
      </c>
      <c r="H88" s="1">
        <f t="shared" si="19"/>
        <v>1</v>
      </c>
      <c r="I88" s="1">
        <f t="shared" si="20"/>
        <v>0</v>
      </c>
      <c r="J88" s="1">
        <f t="shared" si="12"/>
        <v>1</v>
      </c>
      <c r="K88" s="1">
        <f t="shared" si="13"/>
        <v>0</v>
      </c>
      <c r="L88" s="1">
        <f t="shared" si="14"/>
        <v>0</v>
      </c>
      <c r="M88" s="1">
        <f t="shared" si="15"/>
        <v>0</v>
      </c>
      <c r="N88" s="1" t="str">
        <f t="shared" si="16"/>
        <v>双宽</v>
      </c>
      <c r="P88" s="45"/>
      <c r="Q88" s="47"/>
      <c r="R88" s="48"/>
    </row>
    <row r="89" spans="1:18" x14ac:dyDescent="0.3">
      <c r="A89" s="36">
        <v>43373</v>
      </c>
      <c r="B89" s="37">
        <v>-1.42084229762745</v>
      </c>
      <c r="C89" s="39"/>
      <c r="D89" s="40"/>
      <c r="E89" s="38">
        <v>102.205690957511</v>
      </c>
      <c r="F89" s="1">
        <f t="shared" si="17"/>
        <v>0</v>
      </c>
      <c r="G89" s="1">
        <f t="shared" si="18"/>
        <v>1</v>
      </c>
      <c r="H89" s="1">
        <f t="shared" si="19"/>
        <v>0</v>
      </c>
      <c r="I89" s="1">
        <f t="shared" si="20"/>
        <v>1</v>
      </c>
      <c r="J89" s="1">
        <f t="shared" si="12"/>
        <v>0</v>
      </c>
      <c r="K89" s="1">
        <f t="shared" si="13"/>
        <v>0</v>
      </c>
      <c r="L89" s="1">
        <f t="shared" si="14"/>
        <v>0</v>
      </c>
      <c r="M89" s="1">
        <f t="shared" si="15"/>
        <v>1</v>
      </c>
      <c r="N89" s="1" t="str">
        <f t="shared" si="16"/>
        <v>双紧</v>
      </c>
      <c r="P89" s="45"/>
      <c r="Q89" s="47"/>
      <c r="R89" s="48"/>
    </row>
    <row r="90" spans="1:18" x14ac:dyDescent="0.3">
      <c r="A90" s="36">
        <v>43343</v>
      </c>
      <c r="B90" s="37">
        <v>-4.8616992293598802</v>
      </c>
      <c r="C90" s="41"/>
      <c r="D90" s="38"/>
      <c r="E90" s="38">
        <v>102.362231799029</v>
      </c>
      <c r="F90" s="1">
        <f t="shared" si="17"/>
        <v>1</v>
      </c>
      <c r="G90" s="1">
        <f t="shared" si="18"/>
        <v>0</v>
      </c>
      <c r="H90" s="1">
        <f t="shared" si="19"/>
        <v>1</v>
      </c>
      <c r="I90" s="1">
        <f t="shared" si="20"/>
        <v>0</v>
      </c>
      <c r="J90" s="1">
        <f t="shared" si="12"/>
        <v>1</v>
      </c>
      <c r="K90" s="1">
        <f t="shared" si="13"/>
        <v>0</v>
      </c>
      <c r="L90" s="1">
        <f t="shared" si="14"/>
        <v>0</v>
      </c>
      <c r="M90" s="1">
        <f t="shared" si="15"/>
        <v>0</v>
      </c>
      <c r="N90" s="1" t="str">
        <f t="shared" si="16"/>
        <v>双宽</v>
      </c>
      <c r="P90" s="45"/>
      <c r="Q90" s="47"/>
      <c r="R90" s="48"/>
    </row>
    <row r="91" spans="1:18" x14ac:dyDescent="0.3">
      <c r="A91" s="36">
        <v>43312</v>
      </c>
      <c r="B91" s="37">
        <v>-5.13940529025367</v>
      </c>
      <c r="C91" s="41"/>
      <c r="D91" s="38"/>
      <c r="E91" s="38">
        <v>102.13213168362699</v>
      </c>
      <c r="F91" s="1">
        <f t="shared" si="17"/>
        <v>1</v>
      </c>
      <c r="G91" s="1">
        <f t="shared" si="18"/>
        <v>0</v>
      </c>
      <c r="H91" s="1">
        <f t="shared" si="19"/>
        <v>1</v>
      </c>
      <c r="I91" s="1">
        <f t="shared" si="20"/>
        <v>0</v>
      </c>
      <c r="J91" s="1">
        <f t="shared" si="12"/>
        <v>1</v>
      </c>
      <c r="K91" s="1">
        <f t="shared" si="13"/>
        <v>0</v>
      </c>
      <c r="L91" s="1">
        <f t="shared" si="14"/>
        <v>0</v>
      </c>
      <c r="M91" s="1">
        <f t="shared" si="15"/>
        <v>0</v>
      </c>
      <c r="N91" s="1" t="str">
        <f t="shared" si="16"/>
        <v>双宽</v>
      </c>
      <c r="P91" s="45"/>
      <c r="Q91" s="47"/>
      <c r="R91" s="48"/>
    </row>
    <row r="92" spans="1:18" x14ac:dyDescent="0.3">
      <c r="A92" s="36">
        <v>43281</v>
      </c>
      <c r="B92" s="37">
        <v>-6.7472770124624901</v>
      </c>
      <c r="C92" s="41"/>
      <c r="D92" s="38"/>
      <c r="E92" s="38">
        <v>100.719558469654</v>
      </c>
      <c r="F92" s="1">
        <f t="shared" si="17"/>
        <v>0</v>
      </c>
      <c r="G92" s="1">
        <f t="shared" si="18"/>
        <v>1</v>
      </c>
      <c r="H92" s="1">
        <f t="shared" si="19"/>
        <v>0</v>
      </c>
      <c r="I92" s="1">
        <f t="shared" si="20"/>
        <v>1</v>
      </c>
      <c r="J92" s="1">
        <f t="shared" si="12"/>
        <v>0</v>
      </c>
      <c r="K92" s="1">
        <f t="shared" si="13"/>
        <v>0</v>
      </c>
      <c r="L92" s="1">
        <f t="shared" si="14"/>
        <v>0</v>
      </c>
      <c r="M92" s="1">
        <f t="shared" si="15"/>
        <v>1</v>
      </c>
      <c r="N92" s="1" t="str">
        <f t="shared" si="16"/>
        <v>双紧</v>
      </c>
      <c r="P92" s="45"/>
      <c r="Q92" s="47"/>
      <c r="R92" s="48"/>
    </row>
    <row r="93" spans="1:18" x14ac:dyDescent="0.3">
      <c r="A93" s="36">
        <v>43251</v>
      </c>
      <c r="B93" s="37">
        <v>-9.1770603872791305</v>
      </c>
      <c r="C93" s="41"/>
      <c r="D93" s="38"/>
      <c r="E93" s="38">
        <v>100.834176809041</v>
      </c>
      <c r="F93" s="1">
        <f t="shared" si="17"/>
        <v>1</v>
      </c>
      <c r="G93" s="1">
        <f t="shared" si="18"/>
        <v>0</v>
      </c>
      <c r="H93" s="1">
        <f t="shared" si="19"/>
        <v>1</v>
      </c>
      <c r="I93" s="1">
        <f t="shared" si="20"/>
        <v>0</v>
      </c>
      <c r="J93" s="1">
        <f t="shared" si="12"/>
        <v>1</v>
      </c>
      <c r="K93" s="1">
        <f t="shared" si="13"/>
        <v>0</v>
      </c>
      <c r="L93" s="1">
        <f t="shared" si="14"/>
        <v>0</v>
      </c>
      <c r="M93" s="1">
        <f t="shared" si="15"/>
        <v>0</v>
      </c>
      <c r="N93" s="1" t="str">
        <f t="shared" si="16"/>
        <v>双宽</v>
      </c>
      <c r="P93" s="45"/>
      <c r="Q93" s="47"/>
      <c r="R93" s="48"/>
    </row>
    <row r="94" spans="1:18" x14ac:dyDescent="0.3">
      <c r="A94" s="36">
        <v>43220</v>
      </c>
      <c r="B94" s="37">
        <v>-7.7705022174323304</v>
      </c>
      <c r="C94" s="42"/>
      <c r="D94" s="43"/>
      <c r="E94" s="38">
        <v>99.806642988435499</v>
      </c>
      <c r="F94" s="1">
        <f t="shared" si="17"/>
        <v>1</v>
      </c>
      <c r="G94" s="1">
        <f t="shared" si="18"/>
        <v>0</v>
      </c>
      <c r="H94" s="1">
        <f t="shared" si="19"/>
        <v>1</v>
      </c>
      <c r="I94" s="1">
        <f t="shared" si="20"/>
        <v>0</v>
      </c>
      <c r="J94" s="1">
        <f t="shared" si="12"/>
        <v>1</v>
      </c>
      <c r="K94" s="1">
        <f t="shared" si="13"/>
        <v>0</v>
      </c>
      <c r="L94" s="1">
        <f t="shared" si="14"/>
        <v>0</v>
      </c>
      <c r="M94" s="1">
        <f t="shared" si="15"/>
        <v>0</v>
      </c>
      <c r="N94" s="1" t="str">
        <f t="shared" si="16"/>
        <v>双宽</v>
      </c>
      <c r="P94" s="45"/>
      <c r="Q94" s="47"/>
      <c r="R94" s="48"/>
    </row>
    <row r="95" spans="1:18" x14ac:dyDescent="0.3">
      <c r="A95" s="36">
        <v>43190</v>
      </c>
      <c r="B95" s="37">
        <v>-9.0776617396784101</v>
      </c>
      <c r="C95" s="42"/>
      <c r="D95" s="43"/>
      <c r="E95" s="38">
        <v>99.225443562640393</v>
      </c>
      <c r="F95" s="1">
        <f t="shared" si="17"/>
        <v>0</v>
      </c>
      <c r="G95" s="1">
        <f t="shared" si="18"/>
        <v>1</v>
      </c>
      <c r="H95" s="1">
        <f t="shared" si="19"/>
        <v>0</v>
      </c>
      <c r="I95" s="1">
        <f t="shared" si="20"/>
        <v>1</v>
      </c>
      <c r="J95" s="1">
        <f t="shared" si="12"/>
        <v>0</v>
      </c>
      <c r="K95" s="1">
        <f t="shared" si="13"/>
        <v>0</v>
      </c>
      <c r="L95" s="1">
        <f t="shared" si="14"/>
        <v>0</v>
      </c>
      <c r="M95" s="1">
        <f t="shared" si="15"/>
        <v>1</v>
      </c>
      <c r="N95" s="1" t="str">
        <f t="shared" si="16"/>
        <v>双紧</v>
      </c>
      <c r="P95" s="45"/>
      <c r="Q95" s="47"/>
      <c r="R95" s="48"/>
    </row>
    <row r="96" spans="1:18" x14ac:dyDescent="0.3">
      <c r="A96" s="36">
        <v>43159</v>
      </c>
      <c r="B96" s="37">
        <v>-8.6215183792859698</v>
      </c>
      <c r="C96" s="42"/>
      <c r="D96" s="43"/>
      <c r="E96" s="38">
        <v>100.00546663391501</v>
      </c>
      <c r="F96" s="1">
        <f t="shared" si="17"/>
        <v>1</v>
      </c>
      <c r="G96" s="1">
        <f t="shared" si="18"/>
        <v>0</v>
      </c>
      <c r="H96" s="1">
        <f t="shared" si="19"/>
        <v>1</v>
      </c>
      <c r="I96" s="1">
        <f t="shared" si="20"/>
        <v>0</v>
      </c>
      <c r="J96" s="1">
        <f t="shared" si="12"/>
        <v>1</v>
      </c>
      <c r="K96" s="1">
        <f t="shared" si="13"/>
        <v>0</v>
      </c>
      <c r="L96" s="1">
        <f t="shared" si="14"/>
        <v>0</v>
      </c>
      <c r="M96" s="1">
        <f t="shared" si="15"/>
        <v>0</v>
      </c>
      <c r="N96" s="1" t="str">
        <f t="shared" si="16"/>
        <v>双宽</v>
      </c>
      <c r="P96" s="45"/>
      <c r="Q96" s="47"/>
      <c r="R96" s="48"/>
    </row>
    <row r="97" spans="1:18" x14ac:dyDescent="0.3">
      <c r="A97" s="36">
        <v>43131</v>
      </c>
      <c r="B97" s="37">
        <v>-16.264423303475201</v>
      </c>
      <c r="C97" s="42"/>
      <c r="D97" s="43"/>
      <c r="E97" s="38">
        <v>99.793058481145493</v>
      </c>
      <c r="F97" s="1">
        <f t="shared" si="17"/>
        <v>1</v>
      </c>
      <c r="G97" s="1">
        <f t="shared" si="18"/>
        <v>0</v>
      </c>
      <c r="H97" s="1">
        <f t="shared" si="19"/>
        <v>1</v>
      </c>
      <c r="I97" s="1">
        <f t="shared" si="20"/>
        <v>0</v>
      </c>
      <c r="J97" s="1">
        <f t="shared" si="12"/>
        <v>1</v>
      </c>
      <c r="K97" s="1">
        <f t="shared" si="13"/>
        <v>0</v>
      </c>
      <c r="L97" s="1">
        <f t="shared" si="14"/>
        <v>0</v>
      </c>
      <c r="M97" s="1">
        <f t="shared" si="15"/>
        <v>0</v>
      </c>
      <c r="N97" s="1" t="str">
        <f t="shared" si="16"/>
        <v>双宽</v>
      </c>
      <c r="P97" s="45"/>
      <c r="Q97" s="47"/>
      <c r="R97" s="48"/>
    </row>
    <row r="98" spans="1:18" x14ac:dyDescent="0.3">
      <c r="A98" s="36"/>
      <c r="B98" s="42"/>
      <c r="C98" s="42"/>
      <c r="D98" s="43"/>
      <c r="E98" s="38"/>
      <c r="P98" s="45"/>
      <c r="Q98" s="47"/>
      <c r="R98" s="48"/>
    </row>
    <row r="99" spans="1:18" x14ac:dyDescent="0.3">
      <c r="A99" s="36"/>
      <c r="B99" s="42"/>
      <c r="C99" s="42"/>
      <c r="D99" s="43"/>
      <c r="E99" s="38"/>
      <c r="P99" s="45"/>
      <c r="Q99" s="47"/>
      <c r="R99" s="48"/>
    </row>
    <row r="100" spans="1:18" x14ac:dyDescent="0.3">
      <c r="A100" s="36"/>
      <c r="B100" s="37"/>
      <c r="C100" s="37"/>
      <c r="E100" s="38"/>
      <c r="P100" s="45"/>
      <c r="Q100" s="47"/>
      <c r="R100" s="48"/>
    </row>
    <row r="101" spans="1:18" x14ac:dyDescent="0.3">
      <c r="A101" s="36"/>
      <c r="B101" s="37"/>
      <c r="C101" s="37"/>
      <c r="E101" s="38"/>
      <c r="P101" s="45"/>
      <c r="Q101" s="47"/>
      <c r="R101" s="48"/>
    </row>
    <row r="102" spans="1:18" x14ac:dyDescent="0.3">
      <c r="A102" s="36"/>
      <c r="E102" s="38"/>
      <c r="P102" s="45"/>
      <c r="Q102" s="47"/>
      <c r="R102" s="48"/>
    </row>
    <row r="103" spans="1:18" x14ac:dyDescent="0.3">
      <c r="A103" s="36"/>
      <c r="P103" s="45"/>
      <c r="Q103" s="47"/>
      <c r="R103" s="48"/>
    </row>
    <row r="104" spans="1:18" x14ac:dyDescent="0.3">
      <c r="A104" s="36"/>
    </row>
    <row r="111" spans="1:18" x14ac:dyDescent="0.35">
      <c r="E111" s="1"/>
    </row>
  </sheetData>
  <phoneticPr fontId="23" type="noConversion"/>
  <pageMargins left="0.75" right="0.75" top="1" bottom="1" header="0.5" footer="0.5"/>
  <pageSetup paperSize="9" orientation="portrait" r:id="rId1"/>
  <customProperties>
    <customPr name="SheetID" r:id="rId2"/>
  </customPropertie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2:AP436"/>
  <sheetViews>
    <sheetView workbookViewId="0">
      <selection activeCell="V8" sqref="V8"/>
    </sheetView>
  </sheetViews>
  <sheetFormatPr defaultColWidth="8.640625" defaultRowHeight="14.15" x14ac:dyDescent="0.35"/>
  <cols>
    <col min="2" max="5" width="8.640625" style="19"/>
    <col min="33" max="33" width="14.140625" customWidth="1"/>
  </cols>
  <sheetData>
    <row r="2" spans="1:42" x14ac:dyDescent="0.35">
      <c r="B2"/>
      <c r="C2"/>
      <c r="D2"/>
    </row>
    <row r="3" spans="1:42" x14ac:dyDescent="0.35">
      <c r="A3" s="20" t="str">
        <f>[2]!edb()</f>
        <v>Wind</v>
      </c>
      <c r="N3" s="141"/>
      <c r="O3" s="141"/>
      <c r="P3" s="141"/>
      <c r="Q3" s="141"/>
      <c r="R3" s="141"/>
      <c r="S3" s="142" t="s">
        <v>96</v>
      </c>
      <c r="T3" s="142"/>
      <c r="U3" s="142"/>
      <c r="V3" s="142"/>
      <c r="W3" s="142"/>
      <c r="X3" s="143"/>
      <c r="Y3" s="143"/>
      <c r="Z3" s="143"/>
      <c r="AA3" s="143"/>
      <c r="AB3" s="143"/>
    </row>
    <row r="4" spans="1:42" ht="70.75" x14ac:dyDescent="0.35">
      <c r="A4" s="144" t="s">
        <v>158</v>
      </c>
      <c r="B4" s="144" t="s">
        <v>121</v>
      </c>
      <c r="C4" s="144" t="s">
        <v>123</v>
      </c>
      <c r="D4" s="144" t="s">
        <v>122</v>
      </c>
      <c r="E4" s="21" t="s">
        <v>97</v>
      </c>
      <c r="F4" s="21" t="s">
        <v>98</v>
      </c>
      <c r="G4" s="21" t="s">
        <v>99</v>
      </c>
      <c r="H4" s="21"/>
      <c r="I4" s="21"/>
      <c r="J4" s="21" t="s">
        <v>100</v>
      </c>
      <c r="K4" s="21" t="s">
        <v>101</v>
      </c>
      <c r="L4" s="21"/>
      <c r="M4" s="21"/>
      <c r="N4" s="24"/>
      <c r="O4" s="24"/>
      <c r="P4" s="24"/>
      <c r="Q4" s="24"/>
      <c r="R4" s="24"/>
      <c r="S4" s="25" t="s">
        <v>52</v>
      </c>
      <c r="T4" s="25" t="s">
        <v>57</v>
      </c>
      <c r="U4" s="25" t="s">
        <v>47</v>
      </c>
      <c r="V4" s="25" t="s">
        <v>51</v>
      </c>
      <c r="W4" s="25" t="s">
        <v>124</v>
      </c>
      <c r="X4" s="26"/>
      <c r="Y4" s="26"/>
      <c r="Z4" s="26"/>
      <c r="AA4" s="26"/>
      <c r="AB4" s="26"/>
      <c r="AE4" s="27"/>
      <c r="AF4" s="28"/>
      <c r="AG4" s="28"/>
      <c r="AH4" s="21"/>
      <c r="AI4" s="21"/>
      <c r="AJ4" s="21"/>
      <c r="AK4" s="21"/>
      <c r="AL4" s="26"/>
      <c r="AM4" s="26"/>
      <c r="AN4" s="26"/>
      <c r="AO4" s="26"/>
      <c r="AP4" s="26"/>
    </row>
    <row r="5" spans="1:42" x14ac:dyDescent="0.35">
      <c r="A5" s="22">
        <v>46022</v>
      </c>
      <c r="B5" s="23">
        <v>5.2</v>
      </c>
      <c r="C5" s="23">
        <v>5.9</v>
      </c>
      <c r="D5" s="23">
        <v>-1.9</v>
      </c>
      <c r="E5" s="19">
        <v>5.9</v>
      </c>
      <c r="F5">
        <v>0</v>
      </c>
      <c r="G5">
        <v>1</v>
      </c>
      <c r="J5">
        <v>1</v>
      </c>
      <c r="K5">
        <v>0</v>
      </c>
      <c r="R5" s="1"/>
      <c r="S5">
        <f t="shared" ref="S5:S68" si="0">IF(F5=1,IF(J5=0,1,0),0)</f>
        <v>0</v>
      </c>
      <c r="T5">
        <f t="shared" ref="T5:T68" si="1">IF(F5=1,IF(J5=1,1,0),0)</f>
        <v>0</v>
      </c>
      <c r="U5">
        <f t="shared" ref="U5:U68" si="2">IF(F5=0,IF(J5=1,1,0),0)</f>
        <v>1</v>
      </c>
      <c r="V5">
        <f t="shared" ref="V5:V68" si="3">IF(F5=0,IF(J5=0,1,0),0)</f>
        <v>0</v>
      </c>
      <c r="W5" s="1" t="str">
        <f t="shared" ref="W5:W68" si="4">INDEX($S$4:$V$4,1,MATCH(1,S5:V5,0))</f>
        <v>滞涨</v>
      </c>
      <c r="AB5" s="1"/>
      <c r="AE5" s="22"/>
      <c r="AF5" s="29"/>
      <c r="AG5" s="29"/>
      <c r="AP5" s="1"/>
    </row>
    <row r="6" spans="1:42" x14ac:dyDescent="0.35">
      <c r="A6" s="22">
        <v>45991</v>
      </c>
      <c r="B6" s="23">
        <v>4.8</v>
      </c>
      <c r="C6" s="23">
        <v>6</v>
      </c>
      <c r="D6" s="23">
        <v>-2.2000000000000002</v>
      </c>
      <c r="E6" s="19">
        <v>5.9</v>
      </c>
      <c r="F6">
        <v>0</v>
      </c>
      <c r="G6">
        <v>1</v>
      </c>
      <c r="J6">
        <v>0</v>
      </c>
      <c r="K6">
        <v>1</v>
      </c>
      <c r="R6" s="1"/>
      <c r="S6">
        <f t="shared" si="0"/>
        <v>0</v>
      </c>
      <c r="T6">
        <f t="shared" si="1"/>
        <v>0</v>
      </c>
      <c r="U6">
        <f t="shared" si="2"/>
        <v>0</v>
      </c>
      <c r="V6">
        <f t="shared" si="3"/>
        <v>1</v>
      </c>
      <c r="W6" s="1" t="str">
        <f t="shared" si="4"/>
        <v>衰退</v>
      </c>
      <c r="AB6" s="1"/>
      <c r="AE6" s="22"/>
      <c r="AF6" s="29"/>
      <c r="AG6" s="29"/>
      <c r="AP6" s="1"/>
    </row>
    <row r="7" spans="1:42" x14ac:dyDescent="0.35">
      <c r="A7" s="22">
        <v>45961</v>
      </c>
      <c r="B7" s="23">
        <v>4.9000000000000004</v>
      </c>
      <c r="C7" s="23">
        <v>6.1</v>
      </c>
      <c r="D7" s="23">
        <v>-2.1</v>
      </c>
      <c r="E7" s="19">
        <v>6.2</v>
      </c>
      <c r="F7">
        <v>1</v>
      </c>
      <c r="G7">
        <v>0</v>
      </c>
      <c r="J7">
        <v>1</v>
      </c>
      <c r="K7">
        <v>0</v>
      </c>
      <c r="R7" s="1"/>
      <c r="S7">
        <f t="shared" si="0"/>
        <v>0</v>
      </c>
      <c r="T7">
        <f t="shared" si="1"/>
        <v>1</v>
      </c>
      <c r="U7">
        <f t="shared" si="2"/>
        <v>0</v>
      </c>
      <c r="V7">
        <f t="shared" si="3"/>
        <v>0</v>
      </c>
      <c r="W7" s="1" t="str">
        <f t="shared" si="4"/>
        <v>过热</v>
      </c>
      <c r="AB7" s="1"/>
      <c r="AE7" s="22"/>
      <c r="AF7" s="29"/>
      <c r="AG7" s="29"/>
      <c r="AP7" s="1"/>
    </row>
    <row r="8" spans="1:42" x14ac:dyDescent="0.35">
      <c r="A8" s="22">
        <v>45930</v>
      </c>
      <c r="B8" s="23">
        <v>6.5</v>
      </c>
      <c r="C8" s="23">
        <v>6.2</v>
      </c>
      <c r="D8" s="23">
        <v>-2.2999999999999998</v>
      </c>
      <c r="E8" s="19">
        <v>5.4</v>
      </c>
      <c r="F8">
        <v>1</v>
      </c>
      <c r="G8">
        <v>0</v>
      </c>
      <c r="J8">
        <v>1</v>
      </c>
      <c r="K8">
        <v>0</v>
      </c>
      <c r="R8" s="1"/>
      <c r="S8">
        <f t="shared" si="0"/>
        <v>0</v>
      </c>
      <c r="T8">
        <f t="shared" si="1"/>
        <v>1</v>
      </c>
      <c r="U8">
        <f t="shared" si="2"/>
        <v>0</v>
      </c>
      <c r="V8">
        <f t="shared" si="3"/>
        <v>0</v>
      </c>
      <c r="W8" s="1" t="str">
        <f t="shared" si="4"/>
        <v>过热</v>
      </c>
      <c r="AB8" s="1"/>
      <c r="AE8" s="22"/>
      <c r="AF8" s="29"/>
      <c r="AG8" s="29"/>
      <c r="AP8" s="1"/>
    </row>
    <row r="9" spans="1:42" x14ac:dyDescent="0.35">
      <c r="A9" s="22">
        <v>45900</v>
      </c>
      <c r="B9" s="23">
        <v>5.2</v>
      </c>
      <c r="C9" s="23">
        <v>6.2</v>
      </c>
      <c r="D9" s="23">
        <v>-2.9</v>
      </c>
      <c r="E9" s="19">
        <v>5.3</v>
      </c>
      <c r="F9">
        <v>0</v>
      </c>
      <c r="G9">
        <v>1</v>
      </c>
      <c r="J9">
        <v>0</v>
      </c>
      <c r="K9">
        <v>1</v>
      </c>
      <c r="R9" s="1"/>
      <c r="S9">
        <f t="shared" si="0"/>
        <v>0</v>
      </c>
      <c r="T9">
        <f t="shared" si="1"/>
        <v>0</v>
      </c>
      <c r="U9">
        <f t="shared" si="2"/>
        <v>0</v>
      </c>
      <c r="V9">
        <f t="shared" si="3"/>
        <v>1</v>
      </c>
      <c r="W9" s="1" t="str">
        <f t="shared" si="4"/>
        <v>衰退</v>
      </c>
      <c r="AB9" s="1"/>
      <c r="AE9" s="22"/>
      <c r="AF9" s="29"/>
      <c r="AG9" s="29"/>
      <c r="AP9" s="1"/>
    </row>
    <row r="10" spans="1:42" x14ac:dyDescent="0.35">
      <c r="A10" s="22">
        <v>45869</v>
      </c>
      <c r="B10" s="23">
        <v>5.7</v>
      </c>
      <c r="C10" s="23">
        <v>6.3</v>
      </c>
      <c r="D10" s="23">
        <v>-3.6</v>
      </c>
      <c r="E10" s="19">
        <v>5.4</v>
      </c>
      <c r="F10">
        <v>1</v>
      </c>
      <c r="G10">
        <v>0</v>
      </c>
      <c r="J10">
        <v>0</v>
      </c>
      <c r="K10">
        <v>1</v>
      </c>
      <c r="R10" s="1"/>
      <c r="S10">
        <f t="shared" si="0"/>
        <v>1</v>
      </c>
      <c r="T10">
        <f t="shared" si="1"/>
        <v>0</v>
      </c>
      <c r="U10">
        <f t="shared" si="2"/>
        <v>0</v>
      </c>
      <c r="V10">
        <f t="shared" si="3"/>
        <v>0</v>
      </c>
      <c r="W10" s="1" t="str">
        <f t="shared" si="4"/>
        <v>复苏</v>
      </c>
      <c r="AB10" s="1"/>
      <c r="AE10" s="22"/>
      <c r="AF10" s="29"/>
      <c r="AG10" s="29"/>
      <c r="AP10" s="1"/>
    </row>
    <row r="11" spans="1:42" x14ac:dyDescent="0.35">
      <c r="A11" s="22">
        <v>45838</v>
      </c>
      <c r="B11" s="23">
        <v>6.8</v>
      </c>
      <c r="C11" s="23">
        <v>6.4</v>
      </c>
      <c r="D11" s="23">
        <v>-3.6</v>
      </c>
      <c r="E11" s="19">
        <v>4.5</v>
      </c>
      <c r="F11">
        <v>0</v>
      </c>
      <c r="G11">
        <v>1</v>
      </c>
      <c r="J11">
        <v>0</v>
      </c>
      <c r="K11">
        <v>1</v>
      </c>
      <c r="R11" s="1"/>
      <c r="S11">
        <f t="shared" si="0"/>
        <v>0</v>
      </c>
      <c r="T11">
        <f t="shared" si="1"/>
        <v>0</v>
      </c>
      <c r="U11">
        <f t="shared" si="2"/>
        <v>0</v>
      </c>
      <c r="V11">
        <f t="shared" si="3"/>
        <v>1</v>
      </c>
      <c r="W11" s="1" t="str">
        <f t="shared" si="4"/>
        <v>衰退</v>
      </c>
      <c r="AB11" s="1"/>
      <c r="AE11" s="22"/>
      <c r="AF11" s="29"/>
      <c r="AG11" s="29"/>
      <c r="AP11" s="1"/>
    </row>
    <row r="12" spans="1:42" x14ac:dyDescent="0.35">
      <c r="A12" s="22">
        <v>45808</v>
      </c>
      <c r="B12" s="23">
        <v>5.8</v>
      </c>
      <c r="C12" s="23">
        <v>6.3</v>
      </c>
      <c r="D12" s="23">
        <v>-3.3</v>
      </c>
      <c r="E12" s="19">
        <v>5.0999999999999996</v>
      </c>
      <c r="F12">
        <v>0</v>
      </c>
      <c r="G12">
        <v>1</v>
      </c>
      <c r="J12">
        <v>0</v>
      </c>
      <c r="K12">
        <v>1</v>
      </c>
      <c r="R12" s="1"/>
      <c r="S12">
        <f t="shared" si="0"/>
        <v>0</v>
      </c>
      <c r="T12">
        <f t="shared" si="1"/>
        <v>0</v>
      </c>
      <c r="U12">
        <f t="shared" si="2"/>
        <v>0</v>
      </c>
      <c r="V12">
        <f t="shared" si="3"/>
        <v>1</v>
      </c>
      <c r="W12" s="1" t="str">
        <f t="shared" si="4"/>
        <v>衰退</v>
      </c>
      <c r="AB12" s="1"/>
      <c r="AE12" s="22"/>
      <c r="AF12" s="29"/>
      <c r="AG12" s="29"/>
      <c r="AP12" s="1"/>
    </row>
    <row r="13" spans="1:42" x14ac:dyDescent="0.35">
      <c r="A13" s="22">
        <v>45777</v>
      </c>
      <c r="B13" s="23">
        <v>6.1</v>
      </c>
      <c r="C13" s="23">
        <v>6.4</v>
      </c>
      <c r="D13" s="23">
        <v>-2.7</v>
      </c>
      <c r="E13" s="19">
        <v>5.3</v>
      </c>
      <c r="F13">
        <v>0</v>
      </c>
      <c r="G13">
        <v>1</v>
      </c>
      <c r="J13">
        <v>1</v>
      </c>
      <c r="K13">
        <v>0</v>
      </c>
      <c r="R13" s="1"/>
      <c r="S13">
        <f t="shared" si="0"/>
        <v>0</v>
      </c>
      <c r="T13">
        <f t="shared" si="1"/>
        <v>0</v>
      </c>
      <c r="U13">
        <f t="shared" si="2"/>
        <v>1</v>
      </c>
      <c r="V13">
        <f t="shared" si="3"/>
        <v>0</v>
      </c>
      <c r="W13" s="1" t="str">
        <f t="shared" si="4"/>
        <v>滞涨</v>
      </c>
      <c r="AB13" s="1"/>
      <c r="AE13" s="22"/>
      <c r="AF13" s="29"/>
      <c r="AG13" s="29"/>
      <c r="AP13" s="1"/>
    </row>
    <row r="14" spans="1:42" x14ac:dyDescent="0.35">
      <c r="A14" s="22">
        <v>45747</v>
      </c>
      <c r="B14" s="23">
        <v>7.7</v>
      </c>
      <c r="C14" s="23">
        <v>6.5</v>
      </c>
      <c r="D14" s="23">
        <v>-2.5</v>
      </c>
      <c r="E14" s="19">
        <v>5.6</v>
      </c>
      <c r="F14">
        <v>0</v>
      </c>
      <c r="G14">
        <v>1</v>
      </c>
      <c r="J14">
        <v>1</v>
      </c>
      <c r="K14">
        <v>0</v>
      </c>
      <c r="R14" s="1"/>
      <c r="S14">
        <f t="shared" si="0"/>
        <v>0</v>
      </c>
      <c r="T14">
        <f t="shared" si="1"/>
        <v>0</v>
      </c>
      <c r="U14">
        <f t="shared" si="2"/>
        <v>1</v>
      </c>
      <c r="V14">
        <f t="shared" si="3"/>
        <v>0</v>
      </c>
      <c r="W14" s="1" t="str">
        <f t="shared" si="4"/>
        <v>滞涨</v>
      </c>
      <c r="AB14" s="1"/>
      <c r="AE14" s="22"/>
      <c r="AF14" s="29"/>
      <c r="AG14" s="29"/>
      <c r="AP14" s="1"/>
    </row>
    <row r="15" spans="1:42" x14ac:dyDescent="0.35">
      <c r="A15" s="22">
        <v>45716</v>
      </c>
      <c r="B15" s="23">
        <v>31.02</v>
      </c>
      <c r="C15" s="23">
        <v>5.9</v>
      </c>
      <c r="D15" s="23">
        <v>-2.2000000000000002</v>
      </c>
      <c r="E15" s="19">
        <v>6.7</v>
      </c>
      <c r="F15">
        <v>1</v>
      </c>
      <c r="G15">
        <v>0</v>
      </c>
      <c r="J15">
        <v>1</v>
      </c>
      <c r="K15">
        <v>0</v>
      </c>
      <c r="R15" s="1"/>
      <c r="S15">
        <f t="shared" si="0"/>
        <v>0</v>
      </c>
      <c r="T15">
        <f t="shared" si="1"/>
        <v>1</v>
      </c>
      <c r="U15">
        <f t="shared" si="2"/>
        <v>0</v>
      </c>
      <c r="V15">
        <f t="shared" si="3"/>
        <v>0</v>
      </c>
      <c r="W15" s="1" t="str">
        <f t="shared" si="4"/>
        <v>过热</v>
      </c>
      <c r="AB15" s="1"/>
      <c r="AE15" s="22"/>
      <c r="AF15" s="29"/>
      <c r="AG15" s="29"/>
      <c r="AP15" s="1"/>
    </row>
    <row r="16" spans="1:42" x14ac:dyDescent="0.35">
      <c r="A16" s="22">
        <v>45688</v>
      </c>
      <c r="B16" s="23">
        <v>-11.11</v>
      </c>
      <c r="C16" s="23">
        <v>0</v>
      </c>
      <c r="D16" s="23">
        <v>-2.2999999999999998</v>
      </c>
      <c r="E16" s="19">
        <v>4.5</v>
      </c>
      <c r="F16">
        <v>0</v>
      </c>
      <c r="G16">
        <v>1</v>
      </c>
      <c r="J16">
        <v>0</v>
      </c>
      <c r="K16">
        <v>1</v>
      </c>
      <c r="R16" s="1"/>
      <c r="S16">
        <f t="shared" si="0"/>
        <v>0</v>
      </c>
      <c r="T16">
        <f t="shared" si="1"/>
        <v>0</v>
      </c>
      <c r="U16">
        <f t="shared" si="2"/>
        <v>0</v>
      </c>
      <c r="V16">
        <f t="shared" si="3"/>
        <v>1</v>
      </c>
      <c r="W16" s="1" t="str">
        <f t="shared" si="4"/>
        <v>衰退</v>
      </c>
      <c r="AB16" s="1"/>
      <c r="AE16" s="22"/>
      <c r="AF16" s="29"/>
      <c r="AG16" s="29"/>
      <c r="AP16" s="1"/>
    </row>
    <row r="17" spans="1:42" x14ac:dyDescent="0.35">
      <c r="A17" s="22">
        <v>45657</v>
      </c>
      <c r="B17" s="23">
        <v>6.2</v>
      </c>
      <c r="C17" s="23">
        <v>5.8</v>
      </c>
      <c r="D17" s="23">
        <v>-2.2999999999999998</v>
      </c>
      <c r="E17" s="19">
        <v>7</v>
      </c>
      <c r="F17">
        <v>1</v>
      </c>
      <c r="G17">
        <v>0</v>
      </c>
      <c r="J17">
        <v>0</v>
      </c>
      <c r="K17">
        <v>1</v>
      </c>
      <c r="R17" s="1"/>
      <c r="S17">
        <f t="shared" si="0"/>
        <v>1</v>
      </c>
      <c r="T17">
        <f t="shared" si="1"/>
        <v>0</v>
      </c>
      <c r="U17">
        <f t="shared" si="2"/>
        <v>0</v>
      </c>
      <c r="V17">
        <f t="shared" si="3"/>
        <v>0</v>
      </c>
      <c r="W17" s="1" t="str">
        <f t="shared" si="4"/>
        <v>复苏</v>
      </c>
      <c r="AB17" s="1"/>
      <c r="AE17" s="22"/>
      <c r="AF17" s="29"/>
      <c r="AG17" s="29"/>
      <c r="AP17" s="1"/>
    </row>
    <row r="18" spans="1:42" x14ac:dyDescent="0.35">
      <c r="A18" s="22">
        <v>45626</v>
      </c>
      <c r="B18" s="23">
        <v>5.4</v>
      </c>
      <c r="C18" s="23">
        <v>5.8</v>
      </c>
      <c r="D18" s="23">
        <v>-2.5</v>
      </c>
      <c r="E18" s="19">
        <v>7</v>
      </c>
      <c r="F18">
        <v>1</v>
      </c>
      <c r="G18">
        <v>0</v>
      </c>
      <c r="J18">
        <v>1</v>
      </c>
      <c r="K18">
        <v>0</v>
      </c>
      <c r="R18" s="1"/>
      <c r="S18">
        <f t="shared" si="0"/>
        <v>0</v>
      </c>
      <c r="T18">
        <f t="shared" si="1"/>
        <v>1</v>
      </c>
      <c r="U18">
        <f t="shared" si="2"/>
        <v>0</v>
      </c>
      <c r="V18">
        <f t="shared" si="3"/>
        <v>0</v>
      </c>
      <c r="W18" s="1" t="str">
        <f t="shared" si="4"/>
        <v>过热</v>
      </c>
      <c r="AB18" s="1"/>
      <c r="AE18" s="22"/>
      <c r="AF18" s="29"/>
      <c r="AG18" s="29"/>
      <c r="AP18" s="1"/>
    </row>
    <row r="19" spans="1:42" x14ac:dyDescent="0.35">
      <c r="A19" s="22">
        <v>45596</v>
      </c>
      <c r="B19" s="23">
        <v>5.3</v>
      </c>
      <c r="C19" s="23">
        <v>5.8</v>
      </c>
      <c r="D19" s="23">
        <v>-2.9</v>
      </c>
      <c r="E19" s="19">
        <v>6.8</v>
      </c>
      <c r="F19">
        <v>1</v>
      </c>
      <c r="G19">
        <v>0</v>
      </c>
      <c r="J19">
        <v>1</v>
      </c>
      <c r="K19">
        <v>0</v>
      </c>
      <c r="R19" s="1"/>
      <c r="S19">
        <f t="shared" si="0"/>
        <v>0</v>
      </c>
      <c r="T19">
        <f t="shared" si="1"/>
        <v>1</v>
      </c>
      <c r="U19">
        <f t="shared" si="2"/>
        <v>0</v>
      </c>
      <c r="V19">
        <f t="shared" si="3"/>
        <v>0</v>
      </c>
      <c r="W19" s="1" t="str">
        <f t="shared" si="4"/>
        <v>过热</v>
      </c>
      <c r="AB19" s="1"/>
      <c r="AE19" s="22"/>
      <c r="AF19" s="29"/>
      <c r="AG19" s="29"/>
      <c r="AP19" s="1"/>
    </row>
    <row r="20" spans="1:42" x14ac:dyDescent="0.35">
      <c r="A20" s="22">
        <v>45565</v>
      </c>
      <c r="B20" s="23">
        <v>5.4</v>
      </c>
      <c r="C20" s="23">
        <v>5.8</v>
      </c>
      <c r="D20" s="23">
        <v>-2.8</v>
      </c>
      <c r="E20" s="19">
        <v>6.6</v>
      </c>
      <c r="F20">
        <v>1</v>
      </c>
      <c r="G20">
        <v>0</v>
      </c>
      <c r="J20">
        <v>0</v>
      </c>
      <c r="K20">
        <v>1</v>
      </c>
      <c r="R20" s="1"/>
      <c r="S20">
        <f t="shared" si="0"/>
        <v>1</v>
      </c>
      <c r="T20">
        <f t="shared" si="1"/>
        <v>0</v>
      </c>
      <c r="U20">
        <f t="shared" si="2"/>
        <v>0</v>
      </c>
      <c r="V20">
        <f t="shared" si="3"/>
        <v>0</v>
      </c>
      <c r="W20" s="1" t="str">
        <f t="shared" si="4"/>
        <v>复苏</v>
      </c>
      <c r="AB20" s="1"/>
      <c r="AE20" s="22"/>
      <c r="AF20" s="29"/>
      <c r="AG20" s="29"/>
      <c r="AP20" s="1"/>
    </row>
    <row r="21" spans="1:42" x14ac:dyDescent="0.35">
      <c r="A21" s="22">
        <v>45535</v>
      </c>
      <c r="B21" s="23">
        <v>4.5</v>
      </c>
      <c r="C21" s="23">
        <v>5.8</v>
      </c>
      <c r="D21" s="23">
        <v>-1.8</v>
      </c>
      <c r="E21" s="19">
        <v>4.5999999999999996</v>
      </c>
      <c r="F21">
        <v>1</v>
      </c>
      <c r="G21">
        <v>0</v>
      </c>
      <c r="J21">
        <v>0</v>
      </c>
      <c r="K21">
        <v>1</v>
      </c>
      <c r="R21" s="1"/>
      <c r="S21">
        <f t="shared" si="0"/>
        <v>1</v>
      </c>
      <c r="T21">
        <f t="shared" si="1"/>
        <v>0</v>
      </c>
      <c r="U21">
        <f t="shared" si="2"/>
        <v>0</v>
      </c>
      <c r="V21">
        <f t="shared" si="3"/>
        <v>0</v>
      </c>
      <c r="W21" s="1" t="str">
        <f t="shared" si="4"/>
        <v>复苏</v>
      </c>
      <c r="AB21" s="1"/>
      <c r="AE21" s="22"/>
      <c r="AF21" s="29"/>
      <c r="AG21" s="29"/>
      <c r="AP21" s="1"/>
    </row>
    <row r="22" spans="1:42" x14ac:dyDescent="0.35">
      <c r="A22" s="22">
        <v>45504</v>
      </c>
      <c r="B22" s="23">
        <v>5.0999999999999996</v>
      </c>
      <c r="C22" s="23">
        <v>5.9</v>
      </c>
      <c r="D22" s="23">
        <v>-0.8</v>
      </c>
      <c r="E22" s="19">
        <v>4.5</v>
      </c>
      <c r="F22">
        <v>1</v>
      </c>
      <c r="G22">
        <v>0</v>
      </c>
      <c r="J22">
        <v>1</v>
      </c>
      <c r="K22">
        <v>0</v>
      </c>
      <c r="R22" s="1"/>
      <c r="S22">
        <f t="shared" si="0"/>
        <v>0</v>
      </c>
      <c r="T22">
        <f t="shared" si="1"/>
        <v>1</v>
      </c>
      <c r="U22">
        <f t="shared" si="2"/>
        <v>0</v>
      </c>
      <c r="V22">
        <f t="shared" si="3"/>
        <v>0</v>
      </c>
      <c r="W22" s="1" t="str">
        <f t="shared" si="4"/>
        <v>过热</v>
      </c>
      <c r="AB22" s="1"/>
      <c r="AE22" s="22"/>
      <c r="AF22" s="29"/>
      <c r="AG22" s="29"/>
      <c r="AP22" s="1"/>
    </row>
    <row r="23" spans="1:42" x14ac:dyDescent="0.35">
      <c r="A23" s="22">
        <v>45473</v>
      </c>
      <c r="B23" s="23">
        <v>5.3</v>
      </c>
      <c r="C23" s="23">
        <v>6</v>
      </c>
      <c r="D23" s="23">
        <v>-0.8</v>
      </c>
      <c r="E23" s="19">
        <v>4.5</v>
      </c>
      <c r="F23">
        <v>1</v>
      </c>
      <c r="G23">
        <v>0</v>
      </c>
      <c r="J23">
        <v>1</v>
      </c>
      <c r="K23">
        <v>0</v>
      </c>
      <c r="R23" s="1"/>
      <c r="S23">
        <f t="shared" si="0"/>
        <v>0</v>
      </c>
      <c r="T23">
        <f t="shared" si="1"/>
        <v>1</v>
      </c>
      <c r="U23">
        <f t="shared" si="2"/>
        <v>0</v>
      </c>
      <c r="V23">
        <f t="shared" si="3"/>
        <v>0</v>
      </c>
      <c r="W23" s="1" t="str">
        <f t="shared" si="4"/>
        <v>过热</v>
      </c>
      <c r="AB23" s="1"/>
      <c r="AE23" s="22"/>
      <c r="AF23" s="29"/>
      <c r="AG23" s="29"/>
      <c r="AP23" s="1"/>
    </row>
    <row r="24" spans="1:42" x14ac:dyDescent="0.35">
      <c r="A24" s="22">
        <v>45443</v>
      </c>
      <c r="B24" s="23">
        <v>5.6</v>
      </c>
      <c r="C24" s="23">
        <v>6.2</v>
      </c>
      <c r="D24" s="23">
        <v>-1.4</v>
      </c>
      <c r="E24" s="19">
        <v>3.7</v>
      </c>
      <c r="F24">
        <v>0</v>
      </c>
      <c r="G24">
        <v>1</v>
      </c>
      <c r="J24">
        <v>1</v>
      </c>
      <c r="K24">
        <v>0</v>
      </c>
      <c r="R24" s="1"/>
      <c r="S24">
        <f t="shared" si="0"/>
        <v>0</v>
      </c>
      <c r="T24">
        <f t="shared" si="1"/>
        <v>0</v>
      </c>
      <c r="U24">
        <f t="shared" si="2"/>
        <v>1</v>
      </c>
      <c r="V24">
        <f t="shared" si="3"/>
        <v>0</v>
      </c>
      <c r="W24" s="1" t="str">
        <f t="shared" si="4"/>
        <v>滞涨</v>
      </c>
      <c r="AB24" s="1"/>
      <c r="AE24" s="22"/>
      <c r="AF24" s="29"/>
      <c r="AG24" s="29"/>
      <c r="AP24" s="1"/>
    </row>
    <row r="25" spans="1:42" x14ac:dyDescent="0.35">
      <c r="A25" s="22">
        <v>45412</v>
      </c>
      <c r="B25" s="23">
        <v>6.7</v>
      </c>
      <c r="C25" s="23">
        <v>6.3</v>
      </c>
      <c r="D25" s="23">
        <v>-2.5</v>
      </c>
      <c r="E25" s="19">
        <v>4.4000000000000004</v>
      </c>
      <c r="F25">
        <v>1</v>
      </c>
      <c r="G25">
        <v>0</v>
      </c>
      <c r="J25">
        <v>0</v>
      </c>
      <c r="K25">
        <v>1</v>
      </c>
      <c r="R25" s="1"/>
      <c r="S25">
        <f t="shared" si="0"/>
        <v>1</v>
      </c>
      <c r="T25">
        <f t="shared" si="1"/>
        <v>0</v>
      </c>
      <c r="U25">
        <f t="shared" si="2"/>
        <v>0</v>
      </c>
      <c r="V25">
        <f t="shared" si="3"/>
        <v>0</v>
      </c>
      <c r="W25" s="1" t="str">
        <f t="shared" si="4"/>
        <v>复苏</v>
      </c>
      <c r="AB25" s="1"/>
      <c r="AE25" s="22"/>
      <c r="AF25" s="29"/>
      <c r="AG25" s="29"/>
      <c r="AP25" s="1"/>
    </row>
    <row r="26" spans="1:42" x14ac:dyDescent="0.35">
      <c r="A26" s="22">
        <v>45382</v>
      </c>
      <c r="B26" s="23">
        <v>4.5</v>
      </c>
      <c r="C26" s="23">
        <v>6.1</v>
      </c>
      <c r="D26" s="23">
        <v>-2.8</v>
      </c>
      <c r="E26" s="19">
        <v>3.5</v>
      </c>
      <c r="F26">
        <v>0</v>
      </c>
      <c r="G26">
        <v>1</v>
      </c>
      <c r="J26">
        <v>0</v>
      </c>
      <c r="K26">
        <v>1</v>
      </c>
      <c r="R26" s="1"/>
      <c r="S26">
        <f t="shared" si="0"/>
        <v>0</v>
      </c>
      <c r="T26">
        <f t="shared" si="1"/>
        <v>0</v>
      </c>
      <c r="U26">
        <f t="shared" si="2"/>
        <v>0</v>
      </c>
      <c r="V26">
        <f t="shared" si="3"/>
        <v>1</v>
      </c>
      <c r="W26" s="1" t="str">
        <f t="shared" si="4"/>
        <v>衰退</v>
      </c>
      <c r="AB26" s="1"/>
      <c r="AE26" s="22"/>
      <c r="AF26" s="29"/>
      <c r="AG26" s="29"/>
      <c r="AP26" s="1"/>
    </row>
    <row r="27" spans="1:42" x14ac:dyDescent="0.35">
      <c r="A27" s="22">
        <v>45351</v>
      </c>
      <c r="B27" s="23">
        <v>-12.7</v>
      </c>
      <c r="C27" s="23">
        <v>7</v>
      </c>
      <c r="D27" s="23">
        <v>-2.7</v>
      </c>
      <c r="E27" s="19">
        <v>5.6</v>
      </c>
      <c r="F27">
        <v>1</v>
      </c>
      <c r="G27">
        <v>0</v>
      </c>
      <c r="J27">
        <v>0</v>
      </c>
      <c r="K27">
        <v>1</v>
      </c>
      <c r="R27" s="1"/>
      <c r="S27">
        <f t="shared" si="0"/>
        <v>1</v>
      </c>
      <c r="T27">
        <f t="shared" si="1"/>
        <v>0</v>
      </c>
      <c r="U27">
        <f t="shared" si="2"/>
        <v>0</v>
      </c>
      <c r="V27">
        <f t="shared" si="3"/>
        <v>0</v>
      </c>
      <c r="W27" s="1" t="str">
        <f t="shared" si="4"/>
        <v>复苏</v>
      </c>
      <c r="AB27" s="1"/>
      <c r="AE27" s="22"/>
      <c r="AF27" s="29"/>
      <c r="AG27" s="29"/>
      <c r="AP27" s="1"/>
    </row>
    <row r="28" spans="1:42" x14ac:dyDescent="0.35">
      <c r="A28" s="22">
        <v>45322</v>
      </c>
      <c r="B28" s="23">
        <v>26.3</v>
      </c>
      <c r="C28" s="23">
        <v>26.3</v>
      </c>
      <c r="D28" s="23">
        <v>-2.5</v>
      </c>
      <c r="E28" s="19">
        <v>3.9</v>
      </c>
      <c r="F28">
        <v>1</v>
      </c>
      <c r="G28">
        <v>0</v>
      </c>
      <c r="J28">
        <v>0</v>
      </c>
      <c r="K28">
        <v>1</v>
      </c>
      <c r="R28" s="1"/>
      <c r="S28">
        <f t="shared" si="0"/>
        <v>1</v>
      </c>
      <c r="T28">
        <f t="shared" si="1"/>
        <v>0</v>
      </c>
      <c r="U28">
        <f t="shared" si="2"/>
        <v>0</v>
      </c>
      <c r="V28">
        <f t="shared" si="3"/>
        <v>0</v>
      </c>
      <c r="W28" s="1" t="str">
        <f t="shared" si="4"/>
        <v>复苏</v>
      </c>
      <c r="AB28" s="1"/>
      <c r="AE28" s="22"/>
      <c r="AF28" s="29"/>
      <c r="AG28" s="29"/>
      <c r="AP28" s="1"/>
    </row>
    <row r="29" spans="1:42" x14ac:dyDescent="0.35">
      <c r="A29" s="22">
        <v>45291</v>
      </c>
      <c r="B29" s="23">
        <v>6.8</v>
      </c>
      <c r="C29" s="23">
        <v>4.5999999999999996</v>
      </c>
      <c r="D29" s="23">
        <v>-2.7</v>
      </c>
      <c r="E29" s="19">
        <v>2.4</v>
      </c>
      <c r="F29">
        <v>1</v>
      </c>
      <c r="G29">
        <v>0</v>
      </c>
      <c r="J29">
        <v>0</v>
      </c>
      <c r="K29">
        <v>1</v>
      </c>
      <c r="R29" s="1"/>
      <c r="S29">
        <f t="shared" si="0"/>
        <v>1</v>
      </c>
      <c r="T29">
        <f t="shared" si="1"/>
        <v>0</v>
      </c>
      <c r="U29">
        <f t="shared" si="2"/>
        <v>0</v>
      </c>
      <c r="V29">
        <f t="shared" si="3"/>
        <v>0</v>
      </c>
      <c r="W29" s="1" t="str">
        <f t="shared" si="4"/>
        <v>复苏</v>
      </c>
      <c r="AB29" s="1"/>
      <c r="AE29" s="22"/>
      <c r="AF29" s="29"/>
      <c r="AG29" s="29"/>
      <c r="AP29" s="1"/>
    </row>
    <row r="30" spans="1:42" x14ac:dyDescent="0.35">
      <c r="A30" s="22">
        <v>45260</v>
      </c>
      <c r="B30" s="23">
        <v>6.6</v>
      </c>
      <c r="C30" s="23">
        <v>4.3</v>
      </c>
      <c r="D30" s="23">
        <v>-3</v>
      </c>
      <c r="E30" s="19">
        <v>2.4</v>
      </c>
      <c r="F30">
        <v>1</v>
      </c>
      <c r="G30">
        <v>0</v>
      </c>
      <c r="J30">
        <v>0</v>
      </c>
      <c r="K30">
        <v>1</v>
      </c>
      <c r="R30" s="1"/>
      <c r="S30">
        <f t="shared" si="0"/>
        <v>1</v>
      </c>
      <c r="T30">
        <f t="shared" si="1"/>
        <v>0</v>
      </c>
      <c r="U30">
        <f t="shared" si="2"/>
        <v>0</v>
      </c>
      <c r="V30">
        <f t="shared" si="3"/>
        <v>0</v>
      </c>
      <c r="W30" s="1" t="str">
        <f t="shared" si="4"/>
        <v>复苏</v>
      </c>
      <c r="AB30" s="1"/>
      <c r="AE30" s="22"/>
      <c r="AF30" s="29"/>
      <c r="AG30" s="29"/>
      <c r="AP30" s="1"/>
    </row>
    <row r="31" spans="1:42" x14ac:dyDescent="0.35">
      <c r="A31" s="22">
        <v>45230</v>
      </c>
      <c r="B31" s="23">
        <v>4.5999999999999996</v>
      </c>
      <c r="C31" s="23">
        <v>4.0999999999999996</v>
      </c>
      <c r="D31" s="23">
        <v>-2.6</v>
      </c>
      <c r="E31" s="19">
        <v>1.3</v>
      </c>
      <c r="F31">
        <v>0</v>
      </c>
      <c r="G31">
        <v>1</v>
      </c>
      <c r="J31">
        <v>1</v>
      </c>
      <c r="K31">
        <v>0</v>
      </c>
      <c r="R31" s="1"/>
      <c r="S31">
        <f t="shared" si="0"/>
        <v>0</v>
      </c>
      <c r="T31">
        <f t="shared" si="1"/>
        <v>0</v>
      </c>
      <c r="U31">
        <f t="shared" si="2"/>
        <v>1</v>
      </c>
      <c r="V31">
        <f t="shared" si="3"/>
        <v>0</v>
      </c>
      <c r="W31" s="1" t="str">
        <f t="shared" si="4"/>
        <v>滞涨</v>
      </c>
      <c r="AB31" s="1"/>
      <c r="AE31" s="22"/>
      <c r="AF31" s="29"/>
      <c r="AG31" s="29"/>
      <c r="AP31" s="1"/>
    </row>
    <row r="32" spans="1:42" x14ac:dyDescent="0.35">
      <c r="A32" s="22">
        <v>45199</v>
      </c>
      <c r="B32" s="23">
        <v>4.5</v>
      </c>
      <c r="C32" s="23">
        <v>4</v>
      </c>
      <c r="D32" s="23">
        <v>-2.5</v>
      </c>
      <c r="E32" s="19">
        <v>2.2000000000000002</v>
      </c>
      <c r="F32">
        <v>0</v>
      </c>
      <c r="G32">
        <v>1</v>
      </c>
      <c r="J32">
        <v>0</v>
      </c>
      <c r="K32">
        <v>1</v>
      </c>
      <c r="R32" s="1"/>
      <c r="S32">
        <f t="shared" si="0"/>
        <v>0</v>
      </c>
      <c r="T32">
        <f t="shared" si="1"/>
        <v>0</v>
      </c>
      <c r="U32">
        <f t="shared" si="2"/>
        <v>0</v>
      </c>
      <c r="V32">
        <f t="shared" si="3"/>
        <v>1</v>
      </c>
      <c r="W32" s="1" t="str">
        <f t="shared" si="4"/>
        <v>衰退</v>
      </c>
      <c r="AB32" s="1"/>
      <c r="AE32" s="22"/>
      <c r="AF32" s="29"/>
      <c r="AG32" s="29"/>
      <c r="AP32" s="1"/>
    </row>
    <row r="33" spans="1:42" x14ac:dyDescent="0.35">
      <c r="A33" s="22">
        <v>45169</v>
      </c>
      <c r="B33" s="23">
        <v>4.5</v>
      </c>
      <c r="C33" s="23">
        <v>3.9</v>
      </c>
      <c r="D33" s="23">
        <v>-3</v>
      </c>
      <c r="E33" s="19">
        <v>5</v>
      </c>
      <c r="F33">
        <v>0</v>
      </c>
      <c r="G33">
        <v>1</v>
      </c>
      <c r="J33">
        <v>0</v>
      </c>
      <c r="K33">
        <v>1</v>
      </c>
      <c r="R33" s="1"/>
      <c r="S33">
        <f t="shared" si="0"/>
        <v>0</v>
      </c>
      <c r="T33">
        <f t="shared" si="1"/>
        <v>0</v>
      </c>
      <c r="U33">
        <f t="shared" si="2"/>
        <v>0</v>
      </c>
      <c r="V33">
        <f t="shared" si="3"/>
        <v>1</v>
      </c>
      <c r="W33" s="1" t="str">
        <f t="shared" si="4"/>
        <v>衰退</v>
      </c>
      <c r="AB33" s="1"/>
      <c r="AE33" s="22"/>
      <c r="AF33" s="29"/>
      <c r="AG33" s="29"/>
      <c r="AP33" s="1"/>
    </row>
    <row r="34" spans="1:42" x14ac:dyDescent="0.35">
      <c r="A34" s="22">
        <v>45138</v>
      </c>
      <c r="B34" s="23">
        <v>3.7</v>
      </c>
      <c r="C34" s="23">
        <v>3.8</v>
      </c>
      <c r="D34" s="23">
        <v>-4.4000000000000004</v>
      </c>
      <c r="E34" s="19">
        <v>6.3</v>
      </c>
      <c r="F34">
        <v>1</v>
      </c>
      <c r="G34">
        <v>0</v>
      </c>
      <c r="J34">
        <v>0</v>
      </c>
      <c r="K34">
        <v>1</v>
      </c>
      <c r="R34" s="1"/>
      <c r="S34">
        <f t="shared" si="0"/>
        <v>1</v>
      </c>
      <c r="T34">
        <f t="shared" si="1"/>
        <v>0</v>
      </c>
      <c r="U34">
        <f t="shared" si="2"/>
        <v>0</v>
      </c>
      <c r="V34">
        <f t="shared" si="3"/>
        <v>0</v>
      </c>
      <c r="W34" s="1" t="str">
        <f t="shared" si="4"/>
        <v>复苏</v>
      </c>
      <c r="AB34" s="1"/>
      <c r="AE34" s="22"/>
      <c r="AF34" s="29"/>
      <c r="AG34" s="29"/>
      <c r="AP34" s="1"/>
    </row>
    <row r="35" spans="1:42" x14ac:dyDescent="0.35">
      <c r="A35" s="22">
        <v>45107</v>
      </c>
      <c r="B35" s="23">
        <v>4.4000000000000004</v>
      </c>
      <c r="C35" s="23">
        <v>3.8</v>
      </c>
      <c r="D35" s="23">
        <v>-5.4</v>
      </c>
      <c r="E35" s="19">
        <v>4.2</v>
      </c>
      <c r="F35">
        <v>1</v>
      </c>
      <c r="G35">
        <v>0</v>
      </c>
      <c r="J35">
        <v>0</v>
      </c>
      <c r="K35">
        <v>1</v>
      </c>
      <c r="R35" s="1"/>
      <c r="S35">
        <f t="shared" si="0"/>
        <v>1</v>
      </c>
      <c r="T35">
        <f t="shared" si="1"/>
        <v>0</v>
      </c>
      <c r="U35">
        <f t="shared" si="2"/>
        <v>0</v>
      </c>
      <c r="V35">
        <f t="shared" si="3"/>
        <v>0</v>
      </c>
      <c r="W35" s="1" t="str">
        <f t="shared" si="4"/>
        <v>复苏</v>
      </c>
      <c r="AB35" s="1"/>
      <c r="AE35" s="22"/>
      <c r="AF35" s="29"/>
      <c r="AG35" s="29"/>
      <c r="AP35" s="1"/>
    </row>
    <row r="36" spans="1:42" x14ac:dyDescent="0.35">
      <c r="A36" s="22">
        <v>45077</v>
      </c>
      <c r="B36" s="23">
        <v>3.5</v>
      </c>
      <c r="C36" s="23">
        <v>3.6</v>
      </c>
      <c r="D36" s="23">
        <v>-4.5999999999999996</v>
      </c>
      <c r="E36" s="19">
        <v>3.8</v>
      </c>
      <c r="F36">
        <v>0</v>
      </c>
      <c r="G36">
        <v>1</v>
      </c>
      <c r="J36">
        <v>0</v>
      </c>
      <c r="K36">
        <v>1</v>
      </c>
      <c r="R36" s="1"/>
      <c r="S36">
        <f t="shared" si="0"/>
        <v>0</v>
      </c>
      <c r="T36">
        <f t="shared" si="1"/>
        <v>0</v>
      </c>
      <c r="U36">
        <f t="shared" si="2"/>
        <v>0</v>
      </c>
      <c r="V36">
        <f t="shared" si="3"/>
        <v>1</v>
      </c>
      <c r="W36" s="1" t="str">
        <f t="shared" si="4"/>
        <v>衰退</v>
      </c>
      <c r="AB36" s="1"/>
      <c r="AE36" s="22"/>
      <c r="AF36" s="29"/>
      <c r="AG36" s="29"/>
      <c r="AP36" s="1"/>
    </row>
    <row r="37" spans="1:42" x14ac:dyDescent="0.35">
      <c r="A37" s="22">
        <v>45046</v>
      </c>
      <c r="B37" s="23">
        <v>5.6</v>
      </c>
      <c r="C37" s="23">
        <v>3.6</v>
      </c>
      <c r="D37" s="23">
        <v>-3.6</v>
      </c>
      <c r="E37" s="19">
        <v>3.9</v>
      </c>
      <c r="F37">
        <v>1</v>
      </c>
      <c r="G37">
        <v>0</v>
      </c>
      <c r="J37">
        <v>0</v>
      </c>
      <c r="K37">
        <v>1</v>
      </c>
      <c r="R37" s="1"/>
      <c r="S37">
        <f t="shared" si="0"/>
        <v>1</v>
      </c>
      <c r="T37">
        <f t="shared" si="1"/>
        <v>0</v>
      </c>
      <c r="U37">
        <f t="shared" si="2"/>
        <v>0</v>
      </c>
      <c r="V37">
        <f t="shared" si="3"/>
        <v>0</v>
      </c>
      <c r="W37" s="1" t="str">
        <f t="shared" si="4"/>
        <v>复苏</v>
      </c>
      <c r="AB37" s="1"/>
      <c r="AE37" s="22"/>
      <c r="AF37" s="29"/>
      <c r="AG37" s="29"/>
      <c r="AP37" s="1"/>
    </row>
    <row r="38" spans="1:42" x14ac:dyDescent="0.35">
      <c r="A38" s="22">
        <v>45016</v>
      </c>
      <c r="B38" s="23">
        <v>3.9</v>
      </c>
      <c r="C38" s="23">
        <v>3</v>
      </c>
      <c r="D38" s="23">
        <v>-2.5</v>
      </c>
      <c r="E38" s="19">
        <v>0.7</v>
      </c>
      <c r="F38">
        <v>1</v>
      </c>
      <c r="G38">
        <v>0</v>
      </c>
      <c r="J38">
        <v>0</v>
      </c>
      <c r="K38">
        <v>1</v>
      </c>
      <c r="R38" s="1"/>
      <c r="S38">
        <f t="shared" si="0"/>
        <v>1</v>
      </c>
      <c r="T38">
        <f t="shared" si="1"/>
        <v>0</v>
      </c>
      <c r="U38">
        <f t="shared" si="2"/>
        <v>0</v>
      </c>
      <c r="V38">
        <f t="shared" si="3"/>
        <v>0</v>
      </c>
      <c r="W38" s="1" t="str">
        <f t="shared" si="4"/>
        <v>复苏</v>
      </c>
      <c r="AB38" s="1"/>
      <c r="AE38" s="22"/>
      <c r="AF38" s="29"/>
      <c r="AG38" s="29"/>
      <c r="AP38" s="1"/>
    </row>
    <row r="39" spans="1:42" x14ac:dyDescent="0.35">
      <c r="A39" s="22">
        <v>44985</v>
      </c>
      <c r="B39" s="23">
        <v>18.774816000000001</v>
      </c>
      <c r="C39" s="23">
        <v>2.4</v>
      </c>
      <c r="D39" s="23">
        <v>-1.4</v>
      </c>
      <c r="E39" s="19">
        <v>-2.9</v>
      </c>
      <c r="F39">
        <v>0</v>
      </c>
      <c r="G39">
        <v>1</v>
      </c>
      <c r="J39">
        <v>0</v>
      </c>
      <c r="K39">
        <v>1</v>
      </c>
      <c r="R39" s="1"/>
      <c r="S39">
        <f t="shared" si="0"/>
        <v>0</v>
      </c>
      <c r="T39">
        <f t="shared" si="1"/>
        <v>0</v>
      </c>
      <c r="U39">
        <f t="shared" si="2"/>
        <v>0</v>
      </c>
      <c r="V39">
        <f t="shared" si="3"/>
        <v>1</v>
      </c>
      <c r="W39" s="1" t="str">
        <f t="shared" si="4"/>
        <v>衰退</v>
      </c>
      <c r="AB39" s="1"/>
      <c r="AE39" s="22"/>
      <c r="AF39" s="29"/>
      <c r="AG39" s="29"/>
      <c r="AP39" s="1"/>
    </row>
    <row r="40" spans="1:42" x14ac:dyDescent="0.35">
      <c r="A40" s="22">
        <v>44957</v>
      </c>
      <c r="B40" s="23">
        <v>-9.7931620000000006</v>
      </c>
      <c r="C40" s="23">
        <v>-9.7931620000000006</v>
      </c>
      <c r="D40" s="23">
        <v>-0.8</v>
      </c>
      <c r="E40" s="19">
        <v>5</v>
      </c>
      <c r="F40">
        <v>0</v>
      </c>
      <c r="G40">
        <v>1</v>
      </c>
      <c r="J40">
        <v>0</v>
      </c>
      <c r="K40">
        <v>1</v>
      </c>
      <c r="R40" s="1"/>
      <c r="S40">
        <f t="shared" si="0"/>
        <v>0</v>
      </c>
      <c r="T40">
        <f t="shared" si="1"/>
        <v>0</v>
      </c>
      <c r="U40">
        <f t="shared" si="2"/>
        <v>0</v>
      </c>
      <c r="V40">
        <f t="shared" si="3"/>
        <v>1</v>
      </c>
      <c r="W40" s="1" t="str">
        <f t="shared" si="4"/>
        <v>衰退</v>
      </c>
      <c r="AB40" s="1"/>
      <c r="AE40" s="22"/>
      <c r="AF40" s="29"/>
      <c r="AG40" s="29"/>
      <c r="AP40" s="1"/>
    </row>
    <row r="41" spans="1:42" x14ac:dyDescent="0.35">
      <c r="A41" s="22">
        <v>44926</v>
      </c>
      <c r="B41" s="23">
        <v>1.3</v>
      </c>
      <c r="C41" s="23">
        <v>3.6</v>
      </c>
      <c r="D41" s="23">
        <v>-0.7</v>
      </c>
      <c r="E41" s="19">
        <v>7.5</v>
      </c>
      <c r="F41">
        <v>1</v>
      </c>
      <c r="G41">
        <v>0</v>
      </c>
      <c r="J41">
        <v>0</v>
      </c>
      <c r="K41">
        <v>1</v>
      </c>
      <c r="R41" s="1"/>
      <c r="S41">
        <f t="shared" si="0"/>
        <v>1</v>
      </c>
      <c r="T41">
        <f t="shared" si="1"/>
        <v>0</v>
      </c>
      <c r="U41">
        <f t="shared" si="2"/>
        <v>0</v>
      </c>
      <c r="V41">
        <f t="shared" si="3"/>
        <v>0</v>
      </c>
      <c r="W41" s="1" t="str">
        <f t="shared" si="4"/>
        <v>复苏</v>
      </c>
      <c r="AB41" s="1"/>
      <c r="AE41" s="22"/>
      <c r="AF41" s="29"/>
      <c r="AG41" s="29"/>
      <c r="AP41" s="1"/>
    </row>
    <row r="42" spans="1:42" x14ac:dyDescent="0.35">
      <c r="A42" s="22">
        <v>44895</v>
      </c>
      <c r="B42" s="23">
        <v>2.2000000000000002</v>
      </c>
      <c r="C42" s="23">
        <v>3.8</v>
      </c>
      <c r="D42" s="23">
        <v>-1.3</v>
      </c>
      <c r="E42" s="19">
        <v>7.5</v>
      </c>
      <c r="F42">
        <v>1</v>
      </c>
      <c r="G42">
        <v>0</v>
      </c>
      <c r="J42">
        <v>0</v>
      </c>
      <c r="K42">
        <v>1</v>
      </c>
      <c r="R42" s="1"/>
      <c r="S42">
        <f t="shared" si="0"/>
        <v>1</v>
      </c>
      <c r="T42">
        <f t="shared" si="1"/>
        <v>0</v>
      </c>
      <c r="U42">
        <f t="shared" si="2"/>
        <v>0</v>
      </c>
      <c r="V42">
        <f t="shared" si="3"/>
        <v>0</v>
      </c>
      <c r="W42" s="1" t="str">
        <f t="shared" si="4"/>
        <v>复苏</v>
      </c>
      <c r="AB42" s="1"/>
      <c r="AE42" s="22"/>
      <c r="AF42" s="29"/>
      <c r="AG42" s="29"/>
      <c r="AP42" s="1"/>
    </row>
    <row r="43" spans="1:42" x14ac:dyDescent="0.35">
      <c r="A43" s="22">
        <v>44865</v>
      </c>
      <c r="B43" s="23">
        <v>5</v>
      </c>
      <c r="C43" s="23">
        <v>4</v>
      </c>
      <c r="D43" s="23">
        <v>-1.3</v>
      </c>
      <c r="E43" s="19">
        <v>4.3</v>
      </c>
      <c r="F43">
        <v>1</v>
      </c>
      <c r="G43">
        <v>0</v>
      </c>
      <c r="J43">
        <v>0</v>
      </c>
      <c r="K43">
        <v>1</v>
      </c>
      <c r="R43" s="1"/>
      <c r="S43">
        <f t="shared" si="0"/>
        <v>1</v>
      </c>
      <c r="T43">
        <f t="shared" si="1"/>
        <v>0</v>
      </c>
      <c r="U43">
        <f t="shared" si="2"/>
        <v>0</v>
      </c>
      <c r="V43">
        <f t="shared" si="3"/>
        <v>0</v>
      </c>
      <c r="W43" s="1" t="str">
        <f t="shared" si="4"/>
        <v>复苏</v>
      </c>
      <c r="AB43" s="1"/>
      <c r="AE43" s="22"/>
      <c r="AF43" s="29"/>
      <c r="AG43" s="29"/>
      <c r="AP43" s="1"/>
    </row>
    <row r="44" spans="1:42" x14ac:dyDescent="0.35">
      <c r="A44" s="22">
        <v>44834</v>
      </c>
      <c r="B44" s="23">
        <v>6.3</v>
      </c>
      <c r="C44" s="23">
        <v>3.9</v>
      </c>
      <c r="D44" s="23">
        <v>0.9</v>
      </c>
      <c r="E44" s="19">
        <v>3.8</v>
      </c>
      <c r="F44">
        <v>1</v>
      </c>
      <c r="G44">
        <v>0</v>
      </c>
      <c r="J44">
        <v>0</v>
      </c>
      <c r="K44">
        <v>1</v>
      </c>
      <c r="R44" s="1"/>
      <c r="S44">
        <f t="shared" si="0"/>
        <v>1</v>
      </c>
      <c r="T44">
        <f t="shared" si="1"/>
        <v>0</v>
      </c>
      <c r="U44">
        <f t="shared" si="2"/>
        <v>0</v>
      </c>
      <c r="V44">
        <f t="shared" si="3"/>
        <v>0</v>
      </c>
      <c r="W44" s="1" t="str">
        <f t="shared" si="4"/>
        <v>复苏</v>
      </c>
      <c r="AB44" s="1"/>
      <c r="AE44" s="22"/>
      <c r="AF44" s="29"/>
      <c r="AG44" s="29"/>
      <c r="AP44" s="1"/>
    </row>
    <row r="45" spans="1:42" x14ac:dyDescent="0.35">
      <c r="A45" s="22">
        <v>44804</v>
      </c>
      <c r="B45" s="23">
        <v>4.2</v>
      </c>
      <c r="C45" s="23">
        <v>3.6</v>
      </c>
      <c r="D45" s="23">
        <v>2.2999999999999998</v>
      </c>
      <c r="E45" s="19">
        <v>3.5</v>
      </c>
      <c r="F45">
        <v>1</v>
      </c>
      <c r="G45">
        <v>0</v>
      </c>
      <c r="J45">
        <v>1</v>
      </c>
      <c r="K45">
        <v>0</v>
      </c>
      <c r="R45" s="1"/>
      <c r="S45">
        <f t="shared" si="0"/>
        <v>0</v>
      </c>
      <c r="T45">
        <f t="shared" si="1"/>
        <v>1</v>
      </c>
      <c r="U45">
        <f t="shared" si="2"/>
        <v>0</v>
      </c>
      <c r="V45">
        <f t="shared" si="3"/>
        <v>0</v>
      </c>
      <c r="W45" s="1" t="str">
        <f t="shared" si="4"/>
        <v>过热</v>
      </c>
      <c r="AB45" s="1"/>
      <c r="AE45" s="22"/>
      <c r="AF45" s="29"/>
      <c r="AG45" s="29"/>
      <c r="AP45" s="1"/>
    </row>
    <row r="46" spans="1:42" x14ac:dyDescent="0.35">
      <c r="A46" s="22">
        <v>44773</v>
      </c>
      <c r="B46" s="23">
        <v>3.8</v>
      </c>
      <c r="C46" s="23">
        <v>3.5</v>
      </c>
      <c r="D46" s="23">
        <v>4.2</v>
      </c>
      <c r="E46" s="19">
        <v>3.1</v>
      </c>
      <c r="F46">
        <v>0</v>
      </c>
      <c r="G46">
        <v>1</v>
      </c>
      <c r="J46">
        <v>1</v>
      </c>
      <c r="K46">
        <v>0</v>
      </c>
      <c r="R46" s="1"/>
      <c r="S46">
        <f t="shared" si="0"/>
        <v>0</v>
      </c>
      <c r="T46">
        <f t="shared" si="1"/>
        <v>0</v>
      </c>
      <c r="U46">
        <f t="shared" si="2"/>
        <v>1</v>
      </c>
      <c r="V46">
        <f t="shared" si="3"/>
        <v>0</v>
      </c>
      <c r="W46" s="1" t="str">
        <f t="shared" si="4"/>
        <v>滞涨</v>
      </c>
      <c r="AB46" s="1"/>
      <c r="AE46" s="22"/>
      <c r="AF46" s="29"/>
      <c r="AG46" s="29"/>
      <c r="AP46" s="1"/>
    </row>
    <row r="47" spans="1:42" x14ac:dyDescent="0.35">
      <c r="A47" s="22">
        <v>44742</v>
      </c>
      <c r="B47" s="23">
        <v>3.9</v>
      </c>
      <c r="C47" s="23">
        <v>3.4</v>
      </c>
      <c r="D47" s="23">
        <v>6.1</v>
      </c>
      <c r="E47" s="19">
        <v>5.3</v>
      </c>
      <c r="F47">
        <v>0</v>
      </c>
      <c r="G47">
        <v>1</v>
      </c>
      <c r="J47">
        <v>1</v>
      </c>
      <c r="K47">
        <v>0</v>
      </c>
      <c r="R47" s="1"/>
      <c r="S47">
        <f t="shared" si="0"/>
        <v>0</v>
      </c>
      <c r="T47">
        <f t="shared" si="1"/>
        <v>0</v>
      </c>
      <c r="U47">
        <f t="shared" si="2"/>
        <v>1</v>
      </c>
      <c r="V47">
        <f t="shared" si="3"/>
        <v>0</v>
      </c>
      <c r="W47" s="1" t="str">
        <f t="shared" si="4"/>
        <v>滞涨</v>
      </c>
      <c r="AB47" s="1"/>
      <c r="AE47" s="22"/>
      <c r="AF47" s="29"/>
      <c r="AG47" s="29"/>
      <c r="AP47" s="1"/>
    </row>
    <row r="48" spans="1:42" x14ac:dyDescent="0.35">
      <c r="A48" s="22">
        <v>44712</v>
      </c>
      <c r="B48" s="23">
        <v>0.7</v>
      </c>
      <c r="C48" s="23">
        <v>3.3</v>
      </c>
      <c r="D48" s="23">
        <v>6.4</v>
      </c>
      <c r="E48" s="19">
        <v>6.4</v>
      </c>
      <c r="F48">
        <v>0</v>
      </c>
      <c r="G48">
        <v>1</v>
      </c>
      <c r="J48">
        <v>1</v>
      </c>
      <c r="K48">
        <v>0</v>
      </c>
      <c r="R48" s="1"/>
      <c r="S48">
        <f t="shared" si="0"/>
        <v>0</v>
      </c>
      <c r="T48">
        <f t="shared" si="1"/>
        <v>0</v>
      </c>
      <c r="U48">
        <f t="shared" si="2"/>
        <v>1</v>
      </c>
      <c r="V48">
        <f t="shared" si="3"/>
        <v>0</v>
      </c>
      <c r="W48" s="1" t="str">
        <f t="shared" si="4"/>
        <v>滞涨</v>
      </c>
      <c r="AB48" s="1"/>
      <c r="AE48" s="22"/>
      <c r="AF48" s="29"/>
      <c r="AG48" s="29"/>
      <c r="AP48" s="1"/>
    </row>
    <row r="49" spans="1:42" x14ac:dyDescent="0.35">
      <c r="A49" s="22">
        <v>44681</v>
      </c>
      <c r="B49" s="23">
        <v>-2.9</v>
      </c>
      <c r="C49" s="23">
        <v>4</v>
      </c>
      <c r="D49" s="23">
        <v>8</v>
      </c>
      <c r="E49" s="19">
        <v>8.3000000000000007</v>
      </c>
      <c r="F49">
        <v>0</v>
      </c>
      <c r="G49">
        <v>1</v>
      </c>
      <c r="J49">
        <v>0</v>
      </c>
      <c r="K49">
        <v>1</v>
      </c>
      <c r="R49" s="1"/>
      <c r="S49">
        <f t="shared" si="0"/>
        <v>0</v>
      </c>
      <c r="T49">
        <f t="shared" si="1"/>
        <v>0</v>
      </c>
      <c r="U49">
        <f t="shared" si="2"/>
        <v>0</v>
      </c>
      <c r="V49">
        <f t="shared" si="3"/>
        <v>1</v>
      </c>
      <c r="W49" s="1" t="str">
        <f t="shared" si="4"/>
        <v>衰退</v>
      </c>
      <c r="AB49" s="1"/>
      <c r="AE49" s="22"/>
      <c r="AF49" s="29"/>
      <c r="AG49" s="29"/>
      <c r="AP49" s="1"/>
    </row>
    <row r="50" spans="1:42" x14ac:dyDescent="0.35">
      <c r="A50" s="22">
        <v>44651</v>
      </c>
      <c r="B50" s="23">
        <v>5</v>
      </c>
      <c r="C50" s="23">
        <v>6.5</v>
      </c>
      <c r="D50" s="23">
        <v>8.3000000000000007</v>
      </c>
      <c r="E50" s="19">
        <v>8.8000000000000007</v>
      </c>
      <c r="F50">
        <v>0</v>
      </c>
      <c r="G50">
        <v>1</v>
      </c>
      <c r="J50">
        <v>1</v>
      </c>
      <c r="K50">
        <v>0</v>
      </c>
      <c r="R50" s="1"/>
      <c r="S50">
        <f t="shared" si="0"/>
        <v>0</v>
      </c>
      <c r="T50">
        <f t="shared" si="1"/>
        <v>0</v>
      </c>
      <c r="U50">
        <f t="shared" si="2"/>
        <v>1</v>
      </c>
      <c r="V50">
        <f t="shared" si="3"/>
        <v>0</v>
      </c>
      <c r="W50" s="1" t="str">
        <f t="shared" si="4"/>
        <v>滞涨</v>
      </c>
      <c r="AB50" s="1"/>
      <c r="AE50" s="22"/>
      <c r="AF50" s="29"/>
      <c r="AG50" s="29"/>
      <c r="AP50" s="1"/>
    </row>
    <row r="51" spans="1:42" x14ac:dyDescent="0.35">
      <c r="A51" s="22">
        <v>44620</v>
      </c>
      <c r="B51" s="23">
        <v>12.795904999999999</v>
      </c>
      <c r="C51" s="23">
        <v>7.5</v>
      </c>
      <c r="D51" s="23">
        <v>8.8000000000000007</v>
      </c>
      <c r="E51" s="19">
        <v>9.8000000000000007</v>
      </c>
      <c r="F51">
        <v>0</v>
      </c>
      <c r="G51">
        <v>1</v>
      </c>
      <c r="J51">
        <v>1</v>
      </c>
      <c r="K51">
        <v>0</v>
      </c>
      <c r="R51" s="1"/>
      <c r="S51">
        <f t="shared" si="0"/>
        <v>0</v>
      </c>
      <c r="T51">
        <f t="shared" si="1"/>
        <v>0</v>
      </c>
      <c r="U51">
        <f t="shared" si="2"/>
        <v>1</v>
      </c>
      <c r="V51">
        <f t="shared" si="3"/>
        <v>0</v>
      </c>
      <c r="W51" s="1" t="str">
        <f t="shared" si="4"/>
        <v>滞涨</v>
      </c>
      <c r="AB51" s="1"/>
      <c r="AE51" s="22"/>
      <c r="AF51" s="29"/>
      <c r="AG51" s="29"/>
      <c r="AP51" s="1"/>
    </row>
    <row r="52" spans="1:42" x14ac:dyDescent="0.35">
      <c r="A52" s="22">
        <v>44592</v>
      </c>
      <c r="B52" s="23">
        <v>3.8579569999999999</v>
      </c>
      <c r="C52" s="23">
        <v>3.8579569999999999</v>
      </c>
      <c r="D52" s="23">
        <v>9.1</v>
      </c>
      <c r="E52" s="19">
        <v>14.1</v>
      </c>
      <c r="F52">
        <v>0</v>
      </c>
      <c r="G52">
        <v>1</v>
      </c>
      <c r="J52">
        <v>1</v>
      </c>
      <c r="K52">
        <v>0</v>
      </c>
      <c r="R52" s="1"/>
      <c r="S52">
        <f t="shared" si="0"/>
        <v>0</v>
      </c>
      <c r="T52">
        <f t="shared" si="1"/>
        <v>0</v>
      </c>
      <c r="U52">
        <f t="shared" si="2"/>
        <v>1</v>
      </c>
      <c r="V52">
        <f t="shared" si="3"/>
        <v>0</v>
      </c>
      <c r="W52" s="1" t="str">
        <f t="shared" si="4"/>
        <v>滞涨</v>
      </c>
      <c r="AB52" s="1"/>
      <c r="AE52" s="22"/>
      <c r="AF52" s="29"/>
      <c r="AG52" s="29"/>
      <c r="AP52" s="1"/>
    </row>
    <row r="53" spans="1:42" x14ac:dyDescent="0.35">
      <c r="A53" s="22">
        <v>44561</v>
      </c>
      <c r="B53" s="23">
        <v>4.3</v>
      </c>
      <c r="C53" s="23">
        <v>9.6</v>
      </c>
      <c r="D53" s="23">
        <v>10.3</v>
      </c>
      <c r="E53" s="19">
        <v>35.1</v>
      </c>
      <c r="F53">
        <v>1</v>
      </c>
      <c r="G53">
        <v>0</v>
      </c>
      <c r="J53">
        <v>1</v>
      </c>
      <c r="K53">
        <v>0</v>
      </c>
      <c r="R53" s="1"/>
      <c r="S53">
        <f t="shared" si="0"/>
        <v>0</v>
      </c>
      <c r="T53">
        <f t="shared" si="1"/>
        <v>1</v>
      </c>
      <c r="U53">
        <f t="shared" si="2"/>
        <v>0</v>
      </c>
      <c r="V53">
        <f t="shared" si="3"/>
        <v>0</v>
      </c>
      <c r="W53" s="1" t="str">
        <f t="shared" si="4"/>
        <v>过热</v>
      </c>
      <c r="AB53" s="1"/>
      <c r="AE53" s="22"/>
      <c r="AF53" s="29"/>
      <c r="AG53" s="29"/>
      <c r="AP53" s="1"/>
    </row>
    <row r="54" spans="1:42" x14ac:dyDescent="0.35">
      <c r="A54" s="22">
        <v>44530</v>
      </c>
      <c r="B54" s="23">
        <v>3.8</v>
      </c>
      <c r="C54" s="23">
        <v>10.1</v>
      </c>
      <c r="D54" s="23">
        <v>12.9</v>
      </c>
      <c r="E54" s="19">
        <v>35.1</v>
      </c>
      <c r="F54">
        <v>1</v>
      </c>
      <c r="G54">
        <v>0</v>
      </c>
      <c r="J54">
        <v>1</v>
      </c>
      <c r="K54">
        <v>0</v>
      </c>
      <c r="R54" s="1"/>
      <c r="S54">
        <f t="shared" si="0"/>
        <v>0</v>
      </c>
      <c r="T54">
        <f t="shared" si="1"/>
        <v>1</v>
      </c>
      <c r="U54">
        <f t="shared" si="2"/>
        <v>0</v>
      </c>
      <c r="V54">
        <f t="shared" si="3"/>
        <v>0</v>
      </c>
      <c r="W54" s="1" t="str">
        <f t="shared" si="4"/>
        <v>过热</v>
      </c>
      <c r="AB54" s="1"/>
      <c r="AE54" s="22"/>
      <c r="AF54" s="29"/>
      <c r="AG54" s="29"/>
      <c r="AP54" s="1"/>
    </row>
    <row r="55" spans="1:42" x14ac:dyDescent="0.35">
      <c r="A55" s="22">
        <v>44500</v>
      </c>
      <c r="B55" s="23">
        <v>3.5</v>
      </c>
      <c r="C55" s="23">
        <v>10.9</v>
      </c>
      <c r="D55" s="23">
        <v>13.5</v>
      </c>
      <c r="E55" s="19">
        <v>7.3</v>
      </c>
      <c r="F55">
        <v>1</v>
      </c>
      <c r="G55">
        <v>0</v>
      </c>
      <c r="J55">
        <v>1</v>
      </c>
      <c r="K55">
        <v>0</v>
      </c>
      <c r="R55" s="1"/>
      <c r="S55">
        <f t="shared" si="0"/>
        <v>0</v>
      </c>
      <c r="T55">
        <f t="shared" si="1"/>
        <v>1</v>
      </c>
      <c r="U55">
        <f t="shared" si="2"/>
        <v>0</v>
      </c>
      <c r="V55">
        <f t="shared" si="3"/>
        <v>0</v>
      </c>
      <c r="W55" s="1" t="str">
        <f t="shared" si="4"/>
        <v>过热</v>
      </c>
      <c r="AB55" s="1"/>
      <c r="AE55" s="22"/>
      <c r="AF55" s="29"/>
      <c r="AG55" s="29"/>
      <c r="AP55" s="1"/>
    </row>
    <row r="56" spans="1:42" x14ac:dyDescent="0.35">
      <c r="A56" s="22">
        <v>44469</v>
      </c>
      <c r="B56" s="23">
        <v>3.1</v>
      </c>
      <c r="C56" s="23">
        <v>11.8</v>
      </c>
      <c r="D56" s="23">
        <v>10.7</v>
      </c>
      <c r="E56" s="19">
        <v>7</v>
      </c>
      <c r="F56">
        <v>1</v>
      </c>
      <c r="G56">
        <v>0</v>
      </c>
      <c r="J56">
        <v>1</v>
      </c>
      <c r="K56">
        <v>0</v>
      </c>
      <c r="R56" s="1"/>
      <c r="S56">
        <f t="shared" si="0"/>
        <v>0</v>
      </c>
      <c r="T56">
        <f t="shared" si="1"/>
        <v>1</v>
      </c>
      <c r="U56">
        <f t="shared" si="2"/>
        <v>0</v>
      </c>
      <c r="V56">
        <f t="shared" si="3"/>
        <v>0</v>
      </c>
      <c r="W56" s="1" t="str">
        <f t="shared" si="4"/>
        <v>过热</v>
      </c>
      <c r="AB56" s="1"/>
      <c r="AE56" s="22"/>
      <c r="AF56" s="29"/>
      <c r="AG56" s="29"/>
      <c r="AP56" s="1"/>
    </row>
    <row r="57" spans="1:42" x14ac:dyDescent="0.35">
      <c r="A57" s="22">
        <v>44439</v>
      </c>
      <c r="B57" s="23">
        <v>5.3</v>
      </c>
      <c r="C57" s="23">
        <v>13.1</v>
      </c>
      <c r="D57" s="23">
        <v>9.5</v>
      </c>
      <c r="E57" s="19">
        <v>6.9</v>
      </c>
      <c r="F57">
        <v>1</v>
      </c>
      <c r="G57">
        <v>0</v>
      </c>
      <c r="J57">
        <v>0</v>
      </c>
      <c r="K57">
        <v>1</v>
      </c>
      <c r="R57" s="1"/>
      <c r="S57">
        <f t="shared" si="0"/>
        <v>1</v>
      </c>
      <c r="T57">
        <f t="shared" si="1"/>
        <v>0</v>
      </c>
      <c r="U57">
        <f t="shared" si="2"/>
        <v>0</v>
      </c>
      <c r="V57">
        <f t="shared" si="3"/>
        <v>0</v>
      </c>
      <c r="W57" s="1" t="str">
        <f t="shared" si="4"/>
        <v>复苏</v>
      </c>
      <c r="AB57" s="1"/>
      <c r="AE57" s="22"/>
      <c r="AF57" s="29"/>
      <c r="AG57" s="29"/>
      <c r="AP57" s="1"/>
    </row>
    <row r="58" spans="1:42" x14ac:dyDescent="0.35">
      <c r="A58" s="22">
        <v>44408</v>
      </c>
      <c r="B58" s="23">
        <v>6.4</v>
      </c>
      <c r="C58" s="23">
        <v>14.4</v>
      </c>
      <c r="D58" s="23">
        <v>9</v>
      </c>
      <c r="E58" s="19">
        <v>6.9</v>
      </c>
      <c r="F58">
        <v>1</v>
      </c>
      <c r="G58">
        <v>0</v>
      </c>
      <c r="J58">
        <v>0</v>
      </c>
      <c r="K58">
        <v>1</v>
      </c>
      <c r="R58" s="1"/>
      <c r="S58">
        <f t="shared" si="0"/>
        <v>1</v>
      </c>
      <c r="T58">
        <f t="shared" si="1"/>
        <v>0</v>
      </c>
      <c r="U58">
        <f t="shared" si="2"/>
        <v>0</v>
      </c>
      <c r="V58">
        <f t="shared" si="3"/>
        <v>0</v>
      </c>
      <c r="W58" s="1" t="str">
        <f t="shared" si="4"/>
        <v>复苏</v>
      </c>
      <c r="AB58" s="1"/>
      <c r="AE58" s="22"/>
      <c r="AF58" s="29"/>
      <c r="AG58" s="29"/>
      <c r="AP58" s="1"/>
    </row>
    <row r="59" spans="1:42" x14ac:dyDescent="0.35">
      <c r="A59" s="22">
        <v>44377</v>
      </c>
      <c r="B59" s="23">
        <v>8.3000000000000007</v>
      </c>
      <c r="C59" s="23">
        <v>15.9</v>
      </c>
      <c r="D59" s="23">
        <v>8.8000000000000007</v>
      </c>
      <c r="E59" s="19">
        <v>5.6</v>
      </c>
      <c r="F59">
        <v>1</v>
      </c>
      <c r="G59">
        <v>0</v>
      </c>
      <c r="J59">
        <v>1</v>
      </c>
      <c r="K59">
        <v>0</v>
      </c>
      <c r="R59" s="1"/>
      <c r="S59">
        <f t="shared" si="0"/>
        <v>0</v>
      </c>
      <c r="T59">
        <f t="shared" si="1"/>
        <v>1</v>
      </c>
      <c r="U59">
        <f t="shared" si="2"/>
        <v>0</v>
      </c>
      <c r="V59">
        <f t="shared" si="3"/>
        <v>0</v>
      </c>
      <c r="W59" s="1" t="str">
        <f t="shared" si="4"/>
        <v>过热</v>
      </c>
      <c r="AB59" s="1"/>
      <c r="AE59" s="22"/>
      <c r="AF59" s="29"/>
      <c r="AG59" s="29"/>
      <c r="AP59" s="1"/>
    </row>
    <row r="60" spans="1:42" x14ac:dyDescent="0.35">
      <c r="A60" s="22">
        <v>44347</v>
      </c>
      <c r="B60" s="23">
        <v>8.8000000000000007</v>
      </c>
      <c r="C60" s="23">
        <v>17.8</v>
      </c>
      <c r="D60" s="23">
        <v>9</v>
      </c>
      <c r="E60" s="19">
        <v>4.8</v>
      </c>
      <c r="F60">
        <v>1</v>
      </c>
      <c r="G60">
        <v>0</v>
      </c>
      <c r="J60">
        <v>1</v>
      </c>
      <c r="K60">
        <v>0</v>
      </c>
      <c r="R60" s="1"/>
      <c r="S60">
        <f t="shared" si="0"/>
        <v>0</v>
      </c>
      <c r="T60">
        <f t="shared" si="1"/>
        <v>1</v>
      </c>
      <c r="U60">
        <f t="shared" si="2"/>
        <v>0</v>
      </c>
      <c r="V60">
        <f t="shared" si="3"/>
        <v>0</v>
      </c>
      <c r="W60" s="1" t="str">
        <f t="shared" si="4"/>
        <v>过热</v>
      </c>
      <c r="AB60" s="1"/>
      <c r="AE60" s="22"/>
      <c r="AF60" s="29"/>
      <c r="AG60" s="29"/>
      <c r="AP60" s="1"/>
    </row>
    <row r="61" spans="1:42" x14ac:dyDescent="0.35">
      <c r="A61" s="22">
        <v>44316</v>
      </c>
      <c r="B61" s="23">
        <v>9.8000000000000007</v>
      </c>
      <c r="C61" s="23">
        <v>20.3</v>
      </c>
      <c r="D61" s="23">
        <v>6.8</v>
      </c>
      <c r="E61" s="19">
        <v>4.8</v>
      </c>
      <c r="F61">
        <v>1</v>
      </c>
      <c r="G61">
        <v>0</v>
      </c>
      <c r="J61">
        <v>1</v>
      </c>
      <c r="K61">
        <v>0</v>
      </c>
      <c r="R61" s="1"/>
      <c r="S61">
        <f t="shared" si="0"/>
        <v>0</v>
      </c>
      <c r="T61">
        <f t="shared" si="1"/>
        <v>1</v>
      </c>
      <c r="U61">
        <f t="shared" si="2"/>
        <v>0</v>
      </c>
      <c r="V61">
        <f t="shared" si="3"/>
        <v>0</v>
      </c>
      <c r="W61" s="1" t="str">
        <f t="shared" si="4"/>
        <v>过热</v>
      </c>
      <c r="AB61" s="1"/>
      <c r="AE61" s="22"/>
      <c r="AF61" s="29"/>
      <c r="AG61" s="29"/>
      <c r="AP61" s="1"/>
    </row>
    <row r="62" spans="1:42" x14ac:dyDescent="0.35">
      <c r="A62" s="22">
        <v>44286</v>
      </c>
      <c r="B62" s="23">
        <v>14.1</v>
      </c>
      <c r="C62" s="23">
        <v>24.5</v>
      </c>
      <c r="D62" s="23">
        <v>4.4000000000000004</v>
      </c>
      <c r="E62" s="19">
        <v>4.4000000000000004</v>
      </c>
      <c r="F62">
        <v>1</v>
      </c>
      <c r="G62">
        <v>0</v>
      </c>
      <c r="J62">
        <v>0</v>
      </c>
      <c r="K62">
        <v>1</v>
      </c>
      <c r="R62" s="1"/>
      <c r="S62">
        <f t="shared" si="0"/>
        <v>1</v>
      </c>
      <c r="T62">
        <f t="shared" si="1"/>
        <v>0</v>
      </c>
      <c r="U62">
        <f t="shared" si="2"/>
        <v>0</v>
      </c>
      <c r="V62">
        <f t="shared" si="3"/>
        <v>0</v>
      </c>
      <c r="W62" s="1" t="str">
        <f t="shared" si="4"/>
        <v>复苏</v>
      </c>
      <c r="AB62" s="1"/>
      <c r="AE62" s="22"/>
      <c r="AF62" s="29"/>
      <c r="AG62" s="29"/>
      <c r="AP62" s="1"/>
    </row>
    <row r="63" spans="1:42" x14ac:dyDescent="0.35">
      <c r="A63" s="22">
        <v>44255</v>
      </c>
      <c r="B63" s="23">
        <v>52.339181000000004</v>
      </c>
      <c r="C63" s="23">
        <v>35.1</v>
      </c>
      <c r="D63" s="23">
        <v>1.7</v>
      </c>
      <c r="E63" s="19">
        <v>3.9</v>
      </c>
      <c r="F63">
        <v>1</v>
      </c>
      <c r="G63">
        <v>0</v>
      </c>
      <c r="J63">
        <v>0</v>
      </c>
      <c r="K63">
        <v>1</v>
      </c>
      <c r="R63" s="1"/>
      <c r="S63">
        <f t="shared" si="0"/>
        <v>1</v>
      </c>
      <c r="T63">
        <f t="shared" si="1"/>
        <v>0</v>
      </c>
      <c r="U63">
        <f t="shared" si="2"/>
        <v>0</v>
      </c>
      <c r="V63">
        <f t="shared" si="3"/>
        <v>0</v>
      </c>
      <c r="W63" s="1" t="str">
        <f t="shared" si="4"/>
        <v>复苏</v>
      </c>
      <c r="AB63" s="1"/>
      <c r="AE63" s="22"/>
      <c r="AF63" s="29"/>
      <c r="AG63" s="29"/>
      <c r="AP63" s="1"/>
    </row>
    <row r="64" spans="1:42" x14ac:dyDescent="0.35">
      <c r="A64" s="22">
        <v>44227</v>
      </c>
      <c r="B64" s="23">
        <v>25.398571</v>
      </c>
      <c r="C64" s="23">
        <v>25.398571</v>
      </c>
      <c r="D64" s="23">
        <v>0.3</v>
      </c>
      <c r="E64" s="19">
        <v>-1.1000000000000001</v>
      </c>
      <c r="F64">
        <v>1</v>
      </c>
      <c r="G64">
        <v>0</v>
      </c>
      <c r="J64">
        <v>0</v>
      </c>
      <c r="K64">
        <v>1</v>
      </c>
      <c r="R64" s="1"/>
      <c r="S64">
        <f t="shared" si="0"/>
        <v>1</v>
      </c>
      <c r="T64">
        <f t="shared" si="1"/>
        <v>0</v>
      </c>
      <c r="U64">
        <f t="shared" si="2"/>
        <v>0</v>
      </c>
      <c r="V64">
        <f t="shared" si="3"/>
        <v>0</v>
      </c>
      <c r="W64" s="1" t="str">
        <f t="shared" si="4"/>
        <v>复苏</v>
      </c>
      <c r="AB64" s="1"/>
      <c r="AE64" s="22"/>
      <c r="AF64" s="29"/>
      <c r="AG64" s="29"/>
      <c r="AP64" s="1"/>
    </row>
    <row r="65" spans="1:42" x14ac:dyDescent="0.35">
      <c r="A65" s="22">
        <v>44196</v>
      </c>
      <c r="B65" s="23">
        <v>7.3</v>
      </c>
      <c r="C65" s="23">
        <v>2.8</v>
      </c>
      <c r="D65" s="23">
        <v>-0.4</v>
      </c>
      <c r="E65" s="19">
        <v>-13.5</v>
      </c>
      <c r="F65">
        <v>0</v>
      </c>
      <c r="G65">
        <v>1</v>
      </c>
      <c r="J65">
        <v>0</v>
      </c>
      <c r="K65">
        <v>1</v>
      </c>
      <c r="R65" s="1"/>
      <c r="S65">
        <f t="shared" si="0"/>
        <v>0</v>
      </c>
      <c r="T65">
        <f t="shared" si="1"/>
        <v>0</v>
      </c>
      <c r="U65">
        <f t="shared" si="2"/>
        <v>0</v>
      </c>
      <c r="V65">
        <f t="shared" si="3"/>
        <v>1</v>
      </c>
      <c r="W65" s="1" t="str">
        <f t="shared" si="4"/>
        <v>衰退</v>
      </c>
      <c r="AB65" s="1"/>
      <c r="AE65" s="22"/>
      <c r="AF65" s="29"/>
      <c r="AG65" s="29"/>
      <c r="AP65" s="1"/>
    </row>
    <row r="66" spans="1:42" x14ac:dyDescent="0.35">
      <c r="A66" s="22">
        <v>44165</v>
      </c>
      <c r="B66" s="23">
        <v>7</v>
      </c>
      <c r="C66" s="23">
        <v>2.2999999999999998</v>
      </c>
      <c r="D66" s="23">
        <v>-1.5</v>
      </c>
      <c r="E66" s="19">
        <v>-13.5</v>
      </c>
      <c r="F66">
        <v>0</v>
      </c>
      <c r="G66">
        <v>1</v>
      </c>
      <c r="J66">
        <v>1</v>
      </c>
      <c r="K66">
        <v>0</v>
      </c>
      <c r="R66" s="1"/>
      <c r="S66">
        <f t="shared" si="0"/>
        <v>0</v>
      </c>
      <c r="T66">
        <f t="shared" si="1"/>
        <v>0</v>
      </c>
      <c r="U66">
        <f t="shared" si="2"/>
        <v>1</v>
      </c>
      <c r="V66">
        <f t="shared" si="3"/>
        <v>0</v>
      </c>
      <c r="W66" s="1" t="str">
        <f t="shared" si="4"/>
        <v>滞涨</v>
      </c>
      <c r="AB66" s="1"/>
      <c r="AE66" s="22"/>
      <c r="AF66" s="29"/>
      <c r="AG66" s="29"/>
      <c r="AP66" s="1"/>
    </row>
    <row r="67" spans="1:42" x14ac:dyDescent="0.35">
      <c r="A67" s="22">
        <v>44135</v>
      </c>
      <c r="B67" s="23">
        <v>6.9</v>
      </c>
      <c r="C67" s="23">
        <v>1.8</v>
      </c>
      <c r="D67" s="23">
        <v>-2.1</v>
      </c>
      <c r="E67" s="19">
        <v>6.9</v>
      </c>
      <c r="F67">
        <v>1</v>
      </c>
      <c r="G67">
        <v>0</v>
      </c>
      <c r="J67">
        <v>1</v>
      </c>
      <c r="K67">
        <v>0</v>
      </c>
      <c r="R67" s="1"/>
      <c r="S67">
        <f t="shared" si="0"/>
        <v>0</v>
      </c>
      <c r="T67">
        <f t="shared" si="1"/>
        <v>1</v>
      </c>
      <c r="U67">
        <f t="shared" si="2"/>
        <v>0</v>
      </c>
      <c r="V67">
        <f t="shared" si="3"/>
        <v>0</v>
      </c>
      <c r="W67" s="1" t="str">
        <f t="shared" si="4"/>
        <v>过热</v>
      </c>
      <c r="AB67" s="1"/>
      <c r="AE67" s="22"/>
      <c r="AF67" s="29"/>
      <c r="AG67" s="29"/>
      <c r="AP67" s="1"/>
    </row>
    <row r="68" spans="1:42" x14ac:dyDescent="0.35">
      <c r="A68" s="22">
        <v>44104</v>
      </c>
      <c r="B68" s="23">
        <v>6.9</v>
      </c>
      <c r="C68" s="23">
        <v>1.2</v>
      </c>
      <c r="D68" s="23">
        <v>-2.1</v>
      </c>
      <c r="E68" s="19">
        <v>6.2</v>
      </c>
      <c r="F68">
        <v>1</v>
      </c>
      <c r="G68">
        <v>0</v>
      </c>
      <c r="J68">
        <v>1</v>
      </c>
      <c r="K68">
        <v>0</v>
      </c>
      <c r="R68" s="1"/>
      <c r="S68">
        <f t="shared" si="0"/>
        <v>0</v>
      </c>
      <c r="T68">
        <f t="shared" si="1"/>
        <v>1</v>
      </c>
      <c r="U68">
        <f t="shared" si="2"/>
        <v>0</v>
      </c>
      <c r="V68">
        <f t="shared" si="3"/>
        <v>0</v>
      </c>
      <c r="W68" s="1" t="str">
        <f t="shared" si="4"/>
        <v>过热</v>
      </c>
      <c r="AB68" s="1"/>
      <c r="AE68" s="22"/>
      <c r="AF68" s="29"/>
      <c r="AG68" s="29"/>
      <c r="AP68" s="1"/>
    </row>
    <row r="69" spans="1:42" x14ac:dyDescent="0.35">
      <c r="A69" s="22">
        <v>44074</v>
      </c>
      <c r="B69" s="23">
        <v>5.6</v>
      </c>
      <c r="C69" s="23">
        <v>0.4</v>
      </c>
      <c r="D69" s="23">
        <v>-2</v>
      </c>
      <c r="E69" s="19">
        <v>4.7</v>
      </c>
      <c r="F69">
        <v>0</v>
      </c>
      <c r="G69">
        <v>1</v>
      </c>
      <c r="J69">
        <v>0</v>
      </c>
      <c r="K69">
        <v>1</v>
      </c>
      <c r="R69" s="1"/>
      <c r="S69">
        <f t="shared" ref="S69:S132" si="5">IF(F69=1,IF(J69=0,1,0),0)</f>
        <v>0</v>
      </c>
      <c r="T69">
        <f t="shared" ref="T69:T132" si="6">IF(F69=1,IF(J69=1,1,0),0)</f>
        <v>0</v>
      </c>
      <c r="U69">
        <f t="shared" ref="U69:U132" si="7">IF(F69=0,IF(J69=1,1,0),0)</f>
        <v>0</v>
      </c>
      <c r="V69">
        <f t="shared" ref="V69:V132" si="8">IF(F69=0,IF(J69=0,1,0),0)</f>
        <v>1</v>
      </c>
      <c r="W69" s="1" t="str">
        <f t="shared" ref="W69:W132" si="9">INDEX($S$4:$V$4,1,MATCH(1,S69:V69,0))</f>
        <v>衰退</v>
      </c>
      <c r="AB69" s="1"/>
      <c r="AE69" s="22"/>
      <c r="AF69" s="29"/>
      <c r="AG69" s="29"/>
      <c r="AP69" s="1"/>
    </row>
    <row r="70" spans="1:42" x14ac:dyDescent="0.35">
      <c r="A70" s="22">
        <v>44043</v>
      </c>
      <c r="B70" s="23">
        <v>4.8</v>
      </c>
      <c r="C70" s="23">
        <v>-0.4</v>
      </c>
      <c r="D70" s="23">
        <v>-2.4</v>
      </c>
      <c r="E70" s="19">
        <v>5.8</v>
      </c>
      <c r="F70">
        <v>1</v>
      </c>
      <c r="G70">
        <v>0</v>
      </c>
      <c r="J70">
        <v>0</v>
      </c>
      <c r="K70">
        <v>1</v>
      </c>
      <c r="R70" s="1"/>
      <c r="S70">
        <f t="shared" si="5"/>
        <v>1</v>
      </c>
      <c r="T70">
        <f t="shared" si="6"/>
        <v>0</v>
      </c>
      <c r="U70">
        <f t="shared" si="7"/>
        <v>0</v>
      </c>
      <c r="V70">
        <f t="shared" si="8"/>
        <v>0</v>
      </c>
      <c r="W70" s="1" t="str">
        <f t="shared" si="9"/>
        <v>复苏</v>
      </c>
      <c r="AB70" s="1"/>
      <c r="AE70" s="22"/>
      <c r="AF70" s="29"/>
      <c r="AG70" s="29"/>
      <c r="AP70" s="1"/>
    </row>
    <row r="71" spans="1:42" x14ac:dyDescent="0.35">
      <c r="A71" s="22">
        <v>44012</v>
      </c>
      <c r="B71" s="23">
        <v>4.8</v>
      </c>
      <c r="C71" s="23">
        <v>-1.3</v>
      </c>
      <c r="D71" s="23">
        <v>-3</v>
      </c>
      <c r="E71" s="19">
        <v>4.4000000000000004</v>
      </c>
      <c r="F71">
        <v>0</v>
      </c>
      <c r="G71">
        <v>1</v>
      </c>
      <c r="J71">
        <v>0</v>
      </c>
      <c r="K71">
        <v>1</v>
      </c>
      <c r="R71" s="1"/>
      <c r="S71">
        <f t="shared" si="5"/>
        <v>0</v>
      </c>
      <c r="T71">
        <f t="shared" si="6"/>
        <v>0</v>
      </c>
      <c r="U71">
        <f t="shared" si="7"/>
        <v>0</v>
      </c>
      <c r="V71">
        <f t="shared" si="8"/>
        <v>1</v>
      </c>
      <c r="W71" s="1" t="str">
        <f t="shared" si="9"/>
        <v>衰退</v>
      </c>
      <c r="AB71" s="1"/>
      <c r="AE71" s="22"/>
      <c r="AF71" s="29"/>
      <c r="AG71" s="29"/>
      <c r="AP71" s="1"/>
    </row>
    <row r="72" spans="1:42" x14ac:dyDescent="0.35">
      <c r="A72" s="22">
        <v>43982</v>
      </c>
      <c r="B72" s="23">
        <v>4.4000000000000004</v>
      </c>
      <c r="C72" s="23">
        <v>-2.8</v>
      </c>
      <c r="D72" s="23">
        <v>-3.7</v>
      </c>
      <c r="E72" s="19">
        <v>4.8</v>
      </c>
      <c r="F72">
        <v>0</v>
      </c>
      <c r="G72">
        <v>1</v>
      </c>
      <c r="J72">
        <v>0</v>
      </c>
      <c r="K72">
        <v>1</v>
      </c>
      <c r="R72" s="1"/>
      <c r="S72">
        <f t="shared" si="5"/>
        <v>0</v>
      </c>
      <c r="T72">
        <f t="shared" si="6"/>
        <v>0</v>
      </c>
      <c r="U72">
        <f t="shared" si="7"/>
        <v>0</v>
      </c>
      <c r="V72">
        <f t="shared" si="8"/>
        <v>1</v>
      </c>
      <c r="W72" s="1" t="str">
        <f t="shared" si="9"/>
        <v>衰退</v>
      </c>
      <c r="AB72" s="1"/>
      <c r="AE72" s="22"/>
      <c r="AF72" s="29"/>
      <c r="AG72" s="29"/>
      <c r="AP72" s="1"/>
    </row>
    <row r="73" spans="1:42" x14ac:dyDescent="0.35">
      <c r="A73" s="22">
        <v>43951</v>
      </c>
      <c r="B73" s="23">
        <v>3.9</v>
      </c>
      <c r="C73" s="23">
        <v>-4.9000000000000004</v>
      </c>
      <c r="D73" s="23">
        <v>-3.1</v>
      </c>
      <c r="E73" s="19">
        <v>6.3</v>
      </c>
      <c r="F73">
        <v>1</v>
      </c>
      <c r="G73">
        <v>0</v>
      </c>
      <c r="J73">
        <v>0</v>
      </c>
      <c r="K73">
        <v>1</v>
      </c>
      <c r="R73" s="1"/>
      <c r="S73">
        <f t="shared" si="5"/>
        <v>1</v>
      </c>
      <c r="T73">
        <f t="shared" si="6"/>
        <v>0</v>
      </c>
      <c r="U73">
        <f t="shared" si="7"/>
        <v>0</v>
      </c>
      <c r="V73">
        <f t="shared" si="8"/>
        <v>0</v>
      </c>
      <c r="W73" s="1" t="str">
        <f t="shared" si="9"/>
        <v>复苏</v>
      </c>
      <c r="AB73" s="1"/>
      <c r="AE73" s="22"/>
      <c r="AF73" s="29"/>
      <c r="AG73" s="29"/>
      <c r="AP73" s="1"/>
    </row>
    <row r="74" spans="1:42" x14ac:dyDescent="0.35">
      <c r="A74" s="22">
        <v>43921</v>
      </c>
      <c r="B74" s="23">
        <v>-1.1000000000000001</v>
      </c>
      <c r="C74" s="23">
        <v>-8.4</v>
      </c>
      <c r="D74" s="23">
        <v>-1.5</v>
      </c>
      <c r="E74" s="19">
        <v>5</v>
      </c>
      <c r="F74">
        <v>0</v>
      </c>
      <c r="G74">
        <v>1</v>
      </c>
      <c r="J74">
        <v>0</v>
      </c>
      <c r="K74">
        <v>1</v>
      </c>
      <c r="R74" s="1"/>
      <c r="S74">
        <f t="shared" si="5"/>
        <v>0</v>
      </c>
      <c r="T74">
        <f t="shared" si="6"/>
        <v>0</v>
      </c>
      <c r="U74">
        <f t="shared" si="7"/>
        <v>0</v>
      </c>
      <c r="V74">
        <f t="shared" si="8"/>
        <v>1</v>
      </c>
      <c r="W74" s="1" t="str">
        <f t="shared" si="9"/>
        <v>衰退</v>
      </c>
      <c r="AB74" s="1"/>
      <c r="AE74" s="22"/>
      <c r="AF74" s="29"/>
      <c r="AG74" s="29"/>
      <c r="AP74" s="1"/>
    </row>
    <row r="75" spans="1:42" x14ac:dyDescent="0.35">
      <c r="A75" s="22">
        <v>43890</v>
      </c>
      <c r="B75" s="23">
        <v>-25.867052000000001</v>
      </c>
      <c r="C75" s="23">
        <v>-13.5</v>
      </c>
      <c r="D75" s="23">
        <v>-0.4</v>
      </c>
      <c r="E75" s="19">
        <v>5.4</v>
      </c>
      <c r="F75">
        <v>0</v>
      </c>
      <c r="G75">
        <v>1</v>
      </c>
      <c r="J75">
        <v>1</v>
      </c>
      <c r="K75">
        <v>0</v>
      </c>
      <c r="R75" s="1"/>
      <c r="S75">
        <f t="shared" si="5"/>
        <v>0</v>
      </c>
      <c r="T75">
        <f t="shared" si="6"/>
        <v>0</v>
      </c>
      <c r="U75">
        <f t="shared" si="7"/>
        <v>1</v>
      </c>
      <c r="V75">
        <f t="shared" si="8"/>
        <v>0</v>
      </c>
      <c r="W75" s="1" t="str">
        <f t="shared" si="9"/>
        <v>滞涨</v>
      </c>
      <c r="AB75" s="1"/>
      <c r="AE75" s="22"/>
      <c r="AF75" s="29"/>
      <c r="AG75" s="29"/>
      <c r="AP75" s="1"/>
    </row>
    <row r="76" spans="1:42" x14ac:dyDescent="0.35">
      <c r="A76" s="22">
        <v>43861</v>
      </c>
      <c r="B76" s="23">
        <v>-4.3135190000000003</v>
      </c>
      <c r="C76" s="23">
        <v>-4.3135190000000003</v>
      </c>
      <c r="D76" s="23">
        <v>0.1</v>
      </c>
      <c r="E76" s="19">
        <v>8.5</v>
      </c>
      <c r="F76">
        <v>1</v>
      </c>
      <c r="G76">
        <v>0</v>
      </c>
      <c r="J76">
        <v>1</v>
      </c>
      <c r="K76">
        <v>0</v>
      </c>
      <c r="R76" s="1"/>
      <c r="S76">
        <f t="shared" si="5"/>
        <v>0</v>
      </c>
      <c r="T76">
        <f t="shared" si="6"/>
        <v>1</v>
      </c>
      <c r="U76">
        <f t="shared" si="7"/>
        <v>0</v>
      </c>
      <c r="V76">
        <f t="shared" si="8"/>
        <v>0</v>
      </c>
      <c r="W76" s="1" t="str">
        <f t="shared" si="9"/>
        <v>过热</v>
      </c>
      <c r="AB76" s="1"/>
      <c r="AE76" s="22"/>
      <c r="AF76" s="29"/>
      <c r="AG76" s="29"/>
      <c r="AP76" s="1"/>
    </row>
    <row r="77" spans="1:42" x14ac:dyDescent="0.35">
      <c r="A77" s="22">
        <v>43830</v>
      </c>
      <c r="B77" s="23">
        <v>6.9</v>
      </c>
      <c r="C77" s="23">
        <v>5.7</v>
      </c>
      <c r="D77" s="23">
        <v>-0.5</v>
      </c>
      <c r="E77" s="19">
        <v>5.3</v>
      </c>
      <c r="F77">
        <v>0</v>
      </c>
      <c r="G77">
        <v>1</v>
      </c>
      <c r="J77">
        <v>0</v>
      </c>
      <c r="K77">
        <v>1</v>
      </c>
      <c r="R77" s="1"/>
      <c r="S77">
        <f t="shared" si="5"/>
        <v>0</v>
      </c>
      <c r="T77">
        <f t="shared" si="6"/>
        <v>0</v>
      </c>
      <c r="U77">
        <f t="shared" si="7"/>
        <v>0</v>
      </c>
      <c r="V77">
        <f t="shared" si="8"/>
        <v>1</v>
      </c>
      <c r="W77" s="1" t="str">
        <f t="shared" si="9"/>
        <v>衰退</v>
      </c>
      <c r="AB77" s="1"/>
      <c r="AE77" s="22"/>
      <c r="AF77" s="29"/>
      <c r="AG77" s="29"/>
      <c r="AP77" s="1"/>
    </row>
    <row r="78" spans="1:42" x14ac:dyDescent="0.35">
      <c r="A78" s="22">
        <v>43799</v>
      </c>
      <c r="B78" s="23">
        <v>6.2</v>
      </c>
      <c r="C78" s="23">
        <v>5.6</v>
      </c>
      <c r="D78" s="23">
        <v>-1.4</v>
      </c>
      <c r="E78" s="19">
        <v>5.3</v>
      </c>
      <c r="F78">
        <v>0</v>
      </c>
      <c r="G78">
        <v>1</v>
      </c>
      <c r="J78">
        <v>0</v>
      </c>
      <c r="K78">
        <v>1</v>
      </c>
      <c r="R78" s="1"/>
      <c r="S78">
        <f t="shared" si="5"/>
        <v>0</v>
      </c>
      <c r="T78">
        <f t="shared" si="6"/>
        <v>0</v>
      </c>
      <c r="U78">
        <f t="shared" si="7"/>
        <v>0</v>
      </c>
      <c r="V78">
        <f t="shared" si="8"/>
        <v>1</v>
      </c>
      <c r="W78" s="1" t="str">
        <f t="shared" si="9"/>
        <v>衰退</v>
      </c>
      <c r="AB78" s="1"/>
      <c r="AE78" s="22"/>
      <c r="AF78" s="29"/>
      <c r="AG78" s="29"/>
      <c r="AP78" s="1"/>
    </row>
    <row r="79" spans="1:42" x14ac:dyDescent="0.35">
      <c r="A79" s="22">
        <v>43769</v>
      </c>
      <c r="B79" s="23">
        <v>4.7</v>
      </c>
      <c r="C79" s="23">
        <v>5.6</v>
      </c>
      <c r="D79" s="23">
        <v>-1.6</v>
      </c>
      <c r="E79" s="19">
        <v>5.7</v>
      </c>
      <c r="F79">
        <v>1</v>
      </c>
      <c r="G79">
        <v>0</v>
      </c>
      <c r="J79">
        <v>0</v>
      </c>
      <c r="K79">
        <v>1</v>
      </c>
      <c r="R79" s="1"/>
      <c r="S79">
        <f t="shared" si="5"/>
        <v>1</v>
      </c>
      <c r="T79">
        <f t="shared" si="6"/>
        <v>0</v>
      </c>
      <c r="U79">
        <f t="shared" si="7"/>
        <v>0</v>
      </c>
      <c r="V79">
        <f t="shared" si="8"/>
        <v>0</v>
      </c>
      <c r="W79" s="1" t="str">
        <f t="shared" si="9"/>
        <v>复苏</v>
      </c>
      <c r="AB79" s="1"/>
      <c r="AE79" s="22"/>
      <c r="AF79" s="29"/>
      <c r="AG79" s="29"/>
      <c r="AP79" s="1"/>
    </row>
    <row r="80" spans="1:42" x14ac:dyDescent="0.35">
      <c r="A80" s="22">
        <v>43738</v>
      </c>
      <c r="B80" s="23">
        <v>5.8</v>
      </c>
      <c r="C80" s="23">
        <v>5.6</v>
      </c>
      <c r="D80" s="23">
        <v>-1.2</v>
      </c>
      <c r="E80" s="19">
        <v>5.4</v>
      </c>
      <c r="F80">
        <v>0</v>
      </c>
      <c r="G80">
        <v>1</v>
      </c>
      <c r="J80">
        <v>0</v>
      </c>
      <c r="K80">
        <v>1</v>
      </c>
      <c r="R80" s="1"/>
      <c r="S80">
        <f t="shared" si="5"/>
        <v>0</v>
      </c>
      <c r="T80">
        <f t="shared" si="6"/>
        <v>0</v>
      </c>
      <c r="U80">
        <f t="shared" si="7"/>
        <v>0</v>
      </c>
      <c r="V80">
        <f t="shared" si="8"/>
        <v>1</v>
      </c>
      <c r="W80" s="1" t="str">
        <f t="shared" si="9"/>
        <v>衰退</v>
      </c>
      <c r="AB80" s="1"/>
      <c r="AE80" s="22"/>
      <c r="AF80" s="29"/>
      <c r="AG80" s="29"/>
      <c r="AP80" s="1"/>
    </row>
    <row r="81" spans="1:42" x14ac:dyDescent="0.35">
      <c r="A81" s="22">
        <v>43708</v>
      </c>
      <c r="B81" s="23">
        <v>4.4000000000000004</v>
      </c>
      <c r="C81" s="23">
        <v>5.6</v>
      </c>
      <c r="D81" s="23">
        <v>-0.8</v>
      </c>
      <c r="E81" s="19">
        <v>5.9</v>
      </c>
      <c r="F81">
        <v>1</v>
      </c>
      <c r="G81">
        <v>0</v>
      </c>
      <c r="J81">
        <v>0</v>
      </c>
      <c r="K81">
        <v>1</v>
      </c>
      <c r="R81" s="1"/>
      <c r="S81">
        <f t="shared" si="5"/>
        <v>1</v>
      </c>
      <c r="T81">
        <f t="shared" si="6"/>
        <v>0</v>
      </c>
      <c r="U81">
        <f t="shared" si="7"/>
        <v>0</v>
      </c>
      <c r="V81">
        <f t="shared" si="8"/>
        <v>0</v>
      </c>
      <c r="W81" s="1" t="str">
        <f t="shared" si="9"/>
        <v>复苏</v>
      </c>
      <c r="AB81" s="1"/>
      <c r="AE81" s="22"/>
      <c r="AF81" s="29"/>
      <c r="AG81" s="29"/>
      <c r="AP81" s="1"/>
    </row>
    <row r="82" spans="1:42" x14ac:dyDescent="0.35">
      <c r="A82" s="22">
        <v>43677</v>
      </c>
      <c r="B82" s="23">
        <v>4.8</v>
      </c>
      <c r="C82" s="23">
        <v>5.8</v>
      </c>
      <c r="D82" s="23">
        <v>-0.3</v>
      </c>
      <c r="E82" s="19">
        <v>5.8</v>
      </c>
      <c r="F82">
        <v>0</v>
      </c>
      <c r="G82">
        <v>1</v>
      </c>
      <c r="J82">
        <v>0</v>
      </c>
      <c r="K82">
        <v>1</v>
      </c>
      <c r="R82" s="1"/>
      <c r="S82">
        <f t="shared" si="5"/>
        <v>0</v>
      </c>
      <c r="T82">
        <f t="shared" si="6"/>
        <v>0</v>
      </c>
      <c r="U82">
        <f t="shared" si="7"/>
        <v>0</v>
      </c>
      <c r="V82">
        <f t="shared" si="8"/>
        <v>1</v>
      </c>
      <c r="W82" s="1" t="str">
        <f t="shared" si="9"/>
        <v>衰退</v>
      </c>
      <c r="AB82" s="1"/>
      <c r="AE82" s="22"/>
      <c r="AF82" s="29"/>
      <c r="AG82" s="29"/>
      <c r="AP82" s="1"/>
    </row>
    <row r="83" spans="1:42" x14ac:dyDescent="0.35">
      <c r="A83" s="22">
        <v>43646</v>
      </c>
      <c r="B83" s="23">
        <v>6.3</v>
      </c>
      <c r="C83" s="23">
        <v>6</v>
      </c>
      <c r="D83" s="23">
        <v>0</v>
      </c>
      <c r="E83" s="19">
        <v>6.1</v>
      </c>
      <c r="F83">
        <v>1</v>
      </c>
      <c r="G83">
        <v>0</v>
      </c>
      <c r="J83">
        <v>0</v>
      </c>
      <c r="K83">
        <v>1</v>
      </c>
      <c r="R83" s="1"/>
      <c r="S83">
        <f t="shared" si="5"/>
        <v>1</v>
      </c>
      <c r="T83">
        <f t="shared" si="6"/>
        <v>0</v>
      </c>
      <c r="U83">
        <f t="shared" si="7"/>
        <v>0</v>
      </c>
      <c r="V83">
        <f t="shared" si="8"/>
        <v>0</v>
      </c>
      <c r="W83" s="1" t="str">
        <f t="shared" si="9"/>
        <v>复苏</v>
      </c>
      <c r="AB83" s="1"/>
      <c r="AE83" s="22"/>
      <c r="AF83" s="29"/>
      <c r="AG83" s="29"/>
      <c r="AP83" s="1"/>
    </row>
    <row r="84" spans="1:42" x14ac:dyDescent="0.35">
      <c r="A84" s="22">
        <v>43616</v>
      </c>
      <c r="B84" s="23">
        <v>5</v>
      </c>
      <c r="C84" s="23">
        <v>6</v>
      </c>
      <c r="D84" s="23">
        <v>0.6</v>
      </c>
      <c r="E84" s="19">
        <v>6</v>
      </c>
      <c r="F84">
        <v>0</v>
      </c>
      <c r="G84">
        <v>1</v>
      </c>
      <c r="J84">
        <v>0</v>
      </c>
      <c r="K84">
        <v>1</v>
      </c>
      <c r="R84" s="1"/>
      <c r="S84">
        <f t="shared" si="5"/>
        <v>0</v>
      </c>
      <c r="T84">
        <f t="shared" si="6"/>
        <v>0</v>
      </c>
      <c r="U84">
        <f t="shared" si="7"/>
        <v>0</v>
      </c>
      <c r="V84">
        <f t="shared" si="8"/>
        <v>1</v>
      </c>
      <c r="W84" s="1" t="str">
        <f t="shared" si="9"/>
        <v>衰退</v>
      </c>
      <c r="AB84" s="1"/>
      <c r="AE84" s="22"/>
      <c r="AF84" s="29"/>
      <c r="AG84" s="29"/>
      <c r="AP84" s="1"/>
    </row>
    <row r="85" spans="1:42" x14ac:dyDescent="0.35">
      <c r="A85" s="22">
        <v>43585</v>
      </c>
      <c r="B85" s="23">
        <v>5.4</v>
      </c>
      <c r="C85" s="23">
        <v>6.2</v>
      </c>
      <c r="D85" s="23">
        <v>0.9</v>
      </c>
      <c r="E85" s="19">
        <v>6</v>
      </c>
      <c r="F85">
        <v>0</v>
      </c>
      <c r="G85">
        <v>1</v>
      </c>
      <c r="J85">
        <v>1</v>
      </c>
      <c r="K85">
        <v>0</v>
      </c>
      <c r="R85" s="1"/>
      <c r="S85">
        <f t="shared" si="5"/>
        <v>0</v>
      </c>
      <c r="T85">
        <f t="shared" si="6"/>
        <v>0</v>
      </c>
      <c r="U85">
        <f t="shared" si="7"/>
        <v>1</v>
      </c>
      <c r="V85">
        <f t="shared" si="8"/>
        <v>0</v>
      </c>
      <c r="W85" s="1" t="str">
        <f t="shared" si="9"/>
        <v>滞涨</v>
      </c>
      <c r="AB85" s="1"/>
      <c r="AE85" s="22"/>
      <c r="AF85" s="29"/>
      <c r="AG85" s="29"/>
      <c r="AP85" s="1"/>
    </row>
    <row r="86" spans="1:42" x14ac:dyDescent="0.35">
      <c r="A86" s="22">
        <v>43555</v>
      </c>
      <c r="B86" s="23">
        <v>8.5</v>
      </c>
      <c r="C86" s="23">
        <v>6.5</v>
      </c>
      <c r="D86" s="23">
        <v>0.4</v>
      </c>
      <c r="E86" s="19">
        <v>6.8</v>
      </c>
      <c r="F86">
        <v>0</v>
      </c>
      <c r="G86">
        <v>1</v>
      </c>
      <c r="J86">
        <v>1</v>
      </c>
      <c r="K86">
        <v>0</v>
      </c>
      <c r="R86" s="1"/>
      <c r="S86">
        <f t="shared" si="5"/>
        <v>0</v>
      </c>
      <c r="T86">
        <f t="shared" si="6"/>
        <v>0</v>
      </c>
      <c r="U86">
        <f t="shared" si="7"/>
        <v>1</v>
      </c>
      <c r="V86">
        <f t="shared" si="8"/>
        <v>0</v>
      </c>
      <c r="W86" s="1" t="str">
        <f t="shared" si="9"/>
        <v>滞涨</v>
      </c>
      <c r="AB86" s="1"/>
      <c r="AE86" s="22"/>
      <c r="AF86" s="29"/>
      <c r="AG86" s="29"/>
      <c r="AP86" s="1"/>
    </row>
    <row r="87" spans="1:42" x14ac:dyDescent="0.35">
      <c r="A87" s="22">
        <v>43524</v>
      </c>
      <c r="B87" s="23">
        <v>3.3607170000000002</v>
      </c>
      <c r="C87" s="23">
        <v>5.3</v>
      </c>
      <c r="D87" s="23">
        <v>0.1</v>
      </c>
      <c r="E87" s="19">
        <v>7</v>
      </c>
      <c r="F87">
        <v>1</v>
      </c>
      <c r="G87">
        <v>0</v>
      </c>
      <c r="J87">
        <v>1</v>
      </c>
      <c r="K87">
        <v>0</v>
      </c>
      <c r="R87" s="1"/>
      <c r="S87">
        <f t="shared" si="5"/>
        <v>0</v>
      </c>
      <c r="T87">
        <f t="shared" si="6"/>
        <v>1</v>
      </c>
      <c r="U87">
        <f t="shared" si="7"/>
        <v>0</v>
      </c>
      <c r="V87">
        <f t="shared" si="8"/>
        <v>0</v>
      </c>
      <c r="W87" s="1" t="str">
        <f t="shared" si="9"/>
        <v>过热</v>
      </c>
      <c r="AB87" s="1"/>
      <c r="AE87" s="22"/>
      <c r="AF87" s="29"/>
      <c r="AG87" s="29"/>
      <c r="AP87" s="1"/>
    </row>
    <row r="88" spans="1:42" x14ac:dyDescent="0.35">
      <c r="A88" s="22">
        <v>43496</v>
      </c>
      <c r="B88" s="23">
        <v>6.7977530000000002</v>
      </c>
      <c r="C88" s="23">
        <v>6.7977530000000002</v>
      </c>
      <c r="D88" s="23">
        <v>0.1</v>
      </c>
      <c r="E88" s="19">
        <v>6</v>
      </c>
      <c r="F88">
        <v>0</v>
      </c>
      <c r="G88">
        <v>1</v>
      </c>
      <c r="J88">
        <v>0</v>
      </c>
      <c r="K88">
        <v>1</v>
      </c>
      <c r="R88" s="1"/>
      <c r="S88">
        <f t="shared" si="5"/>
        <v>0</v>
      </c>
      <c r="T88">
        <f t="shared" si="6"/>
        <v>0</v>
      </c>
      <c r="U88">
        <f t="shared" si="7"/>
        <v>0</v>
      </c>
      <c r="V88">
        <f t="shared" si="8"/>
        <v>1</v>
      </c>
      <c r="W88" s="1" t="str">
        <f t="shared" si="9"/>
        <v>衰退</v>
      </c>
      <c r="AB88" s="1"/>
      <c r="AE88" s="22"/>
      <c r="AF88" s="29"/>
      <c r="AG88" s="29"/>
      <c r="AP88" s="1"/>
    </row>
    <row r="89" spans="1:42" x14ac:dyDescent="0.35">
      <c r="A89" s="22">
        <v>43465</v>
      </c>
      <c r="B89" s="23">
        <v>5.7</v>
      </c>
      <c r="C89" s="23">
        <v>6.2</v>
      </c>
      <c r="D89" s="23">
        <v>0.9</v>
      </c>
      <c r="E89" s="19">
        <v>7.2</v>
      </c>
      <c r="F89">
        <v>1</v>
      </c>
      <c r="G89">
        <v>0</v>
      </c>
      <c r="J89">
        <v>0</v>
      </c>
      <c r="K89">
        <v>1</v>
      </c>
      <c r="R89" s="1"/>
      <c r="S89">
        <f t="shared" si="5"/>
        <v>1</v>
      </c>
      <c r="T89">
        <f t="shared" si="6"/>
        <v>0</v>
      </c>
      <c r="U89">
        <f t="shared" si="7"/>
        <v>0</v>
      </c>
      <c r="V89">
        <f t="shared" si="8"/>
        <v>0</v>
      </c>
      <c r="W89" s="1" t="str">
        <f t="shared" si="9"/>
        <v>复苏</v>
      </c>
      <c r="AB89" s="1"/>
      <c r="AE89" s="22"/>
      <c r="AF89" s="29"/>
      <c r="AG89" s="29"/>
      <c r="AP89" s="1"/>
    </row>
    <row r="90" spans="1:42" x14ac:dyDescent="0.35">
      <c r="A90" s="22">
        <v>43434</v>
      </c>
      <c r="B90" s="23">
        <v>5.4</v>
      </c>
      <c r="C90" s="23">
        <v>6.3</v>
      </c>
      <c r="D90" s="23">
        <v>2.7</v>
      </c>
      <c r="E90" s="19">
        <v>7.2</v>
      </c>
      <c r="F90">
        <v>1</v>
      </c>
      <c r="G90">
        <v>0</v>
      </c>
      <c r="J90">
        <v>0</v>
      </c>
      <c r="K90">
        <v>1</v>
      </c>
      <c r="R90" s="1"/>
      <c r="S90">
        <f t="shared" si="5"/>
        <v>1</v>
      </c>
      <c r="T90">
        <f t="shared" si="6"/>
        <v>0</v>
      </c>
      <c r="U90">
        <f t="shared" si="7"/>
        <v>0</v>
      </c>
      <c r="V90">
        <f t="shared" si="8"/>
        <v>0</v>
      </c>
      <c r="W90" s="1" t="str">
        <f t="shared" si="9"/>
        <v>复苏</v>
      </c>
      <c r="AB90" s="1"/>
      <c r="AE90" s="22"/>
      <c r="AF90" s="29"/>
      <c r="AG90" s="29"/>
      <c r="AP90" s="1"/>
    </row>
    <row r="91" spans="1:42" x14ac:dyDescent="0.35">
      <c r="A91" s="22">
        <v>43404</v>
      </c>
      <c r="B91" s="23">
        <v>5.9</v>
      </c>
      <c r="C91" s="23">
        <v>6.4</v>
      </c>
      <c r="D91" s="23">
        <v>3.3</v>
      </c>
      <c r="E91" s="19">
        <v>6.2</v>
      </c>
      <c r="F91">
        <v>1</v>
      </c>
      <c r="G91">
        <v>0</v>
      </c>
      <c r="J91">
        <v>0</v>
      </c>
      <c r="K91">
        <v>1</v>
      </c>
      <c r="R91" s="1"/>
      <c r="S91">
        <f t="shared" si="5"/>
        <v>1</v>
      </c>
      <c r="T91">
        <f t="shared" si="6"/>
        <v>0</v>
      </c>
      <c r="U91">
        <f t="shared" si="7"/>
        <v>0</v>
      </c>
      <c r="V91">
        <f t="shared" si="8"/>
        <v>0</v>
      </c>
      <c r="W91" s="1" t="str">
        <f t="shared" si="9"/>
        <v>复苏</v>
      </c>
      <c r="AB91" s="1"/>
      <c r="AE91" s="22"/>
      <c r="AF91" s="29"/>
      <c r="AG91" s="29"/>
      <c r="AP91" s="1"/>
    </row>
    <row r="92" spans="1:42" x14ac:dyDescent="0.35">
      <c r="A92" s="22">
        <v>43373</v>
      </c>
      <c r="B92" s="23">
        <v>5.8</v>
      </c>
      <c r="C92" s="23">
        <v>6.4</v>
      </c>
      <c r="D92" s="23">
        <v>3.6</v>
      </c>
      <c r="E92" s="19">
        <v>6.1</v>
      </c>
      <c r="F92">
        <v>0</v>
      </c>
      <c r="G92">
        <v>1</v>
      </c>
      <c r="J92">
        <v>0</v>
      </c>
      <c r="K92">
        <v>1</v>
      </c>
      <c r="R92" s="1"/>
      <c r="S92">
        <f t="shared" si="5"/>
        <v>0</v>
      </c>
      <c r="T92">
        <f t="shared" si="6"/>
        <v>0</v>
      </c>
      <c r="U92">
        <f t="shared" si="7"/>
        <v>0</v>
      </c>
      <c r="V92">
        <f t="shared" si="8"/>
        <v>1</v>
      </c>
      <c r="W92" s="1" t="str">
        <f t="shared" si="9"/>
        <v>衰退</v>
      </c>
      <c r="AB92" s="1"/>
      <c r="AE92" s="22"/>
      <c r="AF92" s="29"/>
      <c r="AG92" s="29"/>
      <c r="AP92" s="1"/>
    </row>
    <row r="93" spans="1:42" x14ac:dyDescent="0.35">
      <c r="A93" s="22">
        <v>43343</v>
      </c>
      <c r="B93" s="23">
        <v>6.1</v>
      </c>
      <c r="C93" s="23">
        <v>6.5</v>
      </c>
      <c r="D93" s="23">
        <v>4.0999999999999996</v>
      </c>
      <c r="E93" s="19">
        <v>6.2</v>
      </c>
      <c r="F93">
        <v>0</v>
      </c>
      <c r="G93">
        <v>1</v>
      </c>
      <c r="J93">
        <v>0</v>
      </c>
      <c r="K93">
        <v>1</v>
      </c>
      <c r="R93" s="1"/>
      <c r="S93">
        <f t="shared" si="5"/>
        <v>0</v>
      </c>
      <c r="T93">
        <f t="shared" si="6"/>
        <v>0</v>
      </c>
      <c r="U93">
        <f t="shared" si="7"/>
        <v>0</v>
      </c>
      <c r="V93">
        <f t="shared" si="8"/>
        <v>1</v>
      </c>
      <c r="W93" s="1" t="str">
        <f t="shared" si="9"/>
        <v>衰退</v>
      </c>
      <c r="AB93" s="1"/>
      <c r="AE93" s="22"/>
      <c r="AF93" s="29"/>
      <c r="AG93" s="29"/>
      <c r="AP93" s="1"/>
    </row>
    <row r="94" spans="1:42" x14ac:dyDescent="0.35">
      <c r="A94" s="22">
        <v>43312</v>
      </c>
      <c r="B94" s="23">
        <v>6</v>
      </c>
      <c r="C94" s="23">
        <v>6.6</v>
      </c>
      <c r="D94" s="23">
        <v>4.5999999999999996</v>
      </c>
      <c r="E94" s="19">
        <v>6.6</v>
      </c>
      <c r="F94">
        <v>1</v>
      </c>
      <c r="G94">
        <v>0</v>
      </c>
      <c r="J94">
        <v>1</v>
      </c>
      <c r="K94">
        <v>0</v>
      </c>
      <c r="R94" s="1"/>
      <c r="S94">
        <f t="shared" si="5"/>
        <v>0</v>
      </c>
      <c r="T94">
        <f t="shared" si="6"/>
        <v>1</v>
      </c>
      <c r="U94">
        <f t="shared" si="7"/>
        <v>0</v>
      </c>
      <c r="V94">
        <f t="shared" si="8"/>
        <v>0</v>
      </c>
      <c r="W94" s="1" t="str">
        <f t="shared" si="9"/>
        <v>过热</v>
      </c>
      <c r="AB94" s="1"/>
    </row>
    <row r="95" spans="1:42" x14ac:dyDescent="0.35">
      <c r="A95" s="22">
        <v>43281</v>
      </c>
      <c r="B95" s="23">
        <v>6</v>
      </c>
      <c r="C95" s="23">
        <v>6.7</v>
      </c>
      <c r="D95" s="23">
        <v>4.7</v>
      </c>
      <c r="E95" s="19">
        <v>6</v>
      </c>
      <c r="F95">
        <v>0</v>
      </c>
      <c r="G95">
        <v>1</v>
      </c>
      <c r="J95">
        <v>1</v>
      </c>
      <c r="K95">
        <v>0</v>
      </c>
      <c r="R95" s="1"/>
      <c r="S95">
        <f t="shared" si="5"/>
        <v>0</v>
      </c>
      <c r="T95">
        <f t="shared" si="6"/>
        <v>0</v>
      </c>
      <c r="U95">
        <f t="shared" si="7"/>
        <v>1</v>
      </c>
      <c r="V95">
        <f t="shared" si="8"/>
        <v>0</v>
      </c>
      <c r="W95" s="1" t="str">
        <f t="shared" si="9"/>
        <v>滞涨</v>
      </c>
      <c r="AB95" s="1"/>
    </row>
    <row r="96" spans="1:42" x14ac:dyDescent="0.35">
      <c r="A96" s="22">
        <v>43251</v>
      </c>
      <c r="B96" s="23">
        <v>6.8</v>
      </c>
      <c r="C96" s="23">
        <v>6.9</v>
      </c>
      <c r="D96" s="23">
        <v>4.0999999999999996</v>
      </c>
      <c r="E96" s="19">
        <v>6.4</v>
      </c>
      <c r="F96">
        <v>0</v>
      </c>
      <c r="G96">
        <v>1</v>
      </c>
      <c r="J96">
        <v>0</v>
      </c>
      <c r="K96">
        <v>1</v>
      </c>
      <c r="R96" s="1"/>
      <c r="S96">
        <f t="shared" si="5"/>
        <v>0</v>
      </c>
      <c r="T96">
        <f t="shared" si="6"/>
        <v>0</v>
      </c>
      <c r="U96">
        <f t="shared" si="7"/>
        <v>0</v>
      </c>
      <c r="V96">
        <f t="shared" si="8"/>
        <v>1</v>
      </c>
      <c r="W96" s="1" t="str">
        <f t="shared" si="9"/>
        <v>衰退</v>
      </c>
      <c r="AB96" s="1"/>
    </row>
    <row r="97" spans="1:28" x14ac:dyDescent="0.35">
      <c r="A97" s="22">
        <v>43220</v>
      </c>
      <c r="B97" s="23">
        <v>7</v>
      </c>
      <c r="C97" s="23">
        <v>6.9</v>
      </c>
      <c r="D97" s="23">
        <v>3.4</v>
      </c>
      <c r="E97" s="19">
        <v>7.6</v>
      </c>
      <c r="F97">
        <v>1</v>
      </c>
      <c r="G97">
        <v>0</v>
      </c>
      <c r="J97">
        <v>0</v>
      </c>
      <c r="K97">
        <v>1</v>
      </c>
      <c r="R97" s="1"/>
      <c r="S97">
        <f t="shared" si="5"/>
        <v>1</v>
      </c>
      <c r="T97">
        <f t="shared" si="6"/>
        <v>0</v>
      </c>
      <c r="U97">
        <f t="shared" si="7"/>
        <v>0</v>
      </c>
      <c r="V97">
        <f t="shared" si="8"/>
        <v>0</v>
      </c>
      <c r="W97" s="1" t="str">
        <f t="shared" si="9"/>
        <v>复苏</v>
      </c>
      <c r="AB97" s="1"/>
    </row>
    <row r="98" spans="1:28" x14ac:dyDescent="0.35">
      <c r="A98" s="22">
        <v>43190</v>
      </c>
      <c r="B98" s="23">
        <v>6</v>
      </c>
      <c r="C98" s="23">
        <v>6.8</v>
      </c>
      <c r="D98" s="23">
        <v>3.1</v>
      </c>
      <c r="E98" s="19">
        <v>6.5</v>
      </c>
      <c r="F98">
        <v>0</v>
      </c>
      <c r="G98">
        <v>1</v>
      </c>
      <c r="J98">
        <v>0</v>
      </c>
      <c r="K98">
        <v>1</v>
      </c>
      <c r="R98" s="1"/>
      <c r="S98">
        <f t="shared" si="5"/>
        <v>0</v>
      </c>
      <c r="T98">
        <f t="shared" si="6"/>
        <v>0</v>
      </c>
      <c r="U98">
        <f t="shared" si="7"/>
        <v>0</v>
      </c>
      <c r="V98">
        <f t="shared" si="8"/>
        <v>1</v>
      </c>
      <c r="W98" s="1" t="str">
        <f t="shared" si="9"/>
        <v>衰退</v>
      </c>
      <c r="AB98" s="1"/>
    </row>
    <row r="99" spans="1:28" x14ac:dyDescent="0.35">
      <c r="A99" s="22">
        <v>43159</v>
      </c>
      <c r="B99" s="23">
        <v>-2.1198830000000002</v>
      </c>
      <c r="C99" s="23">
        <v>7.2</v>
      </c>
      <c r="D99" s="23">
        <v>3.7</v>
      </c>
      <c r="E99" s="19">
        <v>6.5</v>
      </c>
      <c r="F99">
        <v>0</v>
      </c>
      <c r="G99">
        <v>1</v>
      </c>
      <c r="J99">
        <v>0</v>
      </c>
      <c r="K99">
        <v>1</v>
      </c>
      <c r="R99" s="1"/>
      <c r="S99">
        <f t="shared" si="5"/>
        <v>0</v>
      </c>
      <c r="T99">
        <f t="shared" si="6"/>
        <v>0</v>
      </c>
      <c r="U99">
        <f t="shared" si="7"/>
        <v>0</v>
      </c>
      <c r="V99">
        <f t="shared" si="8"/>
        <v>1</v>
      </c>
      <c r="W99" s="1" t="str">
        <f t="shared" si="9"/>
        <v>衰退</v>
      </c>
      <c r="AB99" s="1"/>
    </row>
    <row r="100" spans="1:28" x14ac:dyDescent="0.35">
      <c r="A100" s="22">
        <v>43131</v>
      </c>
      <c r="B100" s="23">
        <v>15.434500999999999</v>
      </c>
      <c r="C100" s="23">
        <v>15.4345</v>
      </c>
      <c r="D100" s="23">
        <v>4.3</v>
      </c>
      <c r="E100" s="19">
        <v>7.6</v>
      </c>
      <c r="F100">
        <v>1</v>
      </c>
      <c r="G100">
        <v>0</v>
      </c>
      <c r="J100">
        <v>0</v>
      </c>
      <c r="K100">
        <v>1</v>
      </c>
      <c r="R100" s="1"/>
      <c r="S100">
        <f t="shared" si="5"/>
        <v>1</v>
      </c>
      <c r="T100">
        <f t="shared" si="6"/>
        <v>0</v>
      </c>
      <c r="U100">
        <f t="shared" si="7"/>
        <v>0</v>
      </c>
      <c r="V100">
        <f t="shared" si="8"/>
        <v>0</v>
      </c>
      <c r="W100" s="1" t="str">
        <f t="shared" si="9"/>
        <v>复苏</v>
      </c>
      <c r="AB100" s="1"/>
    </row>
    <row r="101" spans="1:28" x14ac:dyDescent="0.35">
      <c r="A101" s="22">
        <v>43100</v>
      </c>
      <c r="B101" s="23">
        <v>6.2</v>
      </c>
      <c r="C101" s="23">
        <v>6.6</v>
      </c>
      <c r="D101" s="23">
        <v>4.9000000000000004</v>
      </c>
      <c r="E101" s="19">
        <v>6.3</v>
      </c>
      <c r="F101">
        <v>1</v>
      </c>
      <c r="G101">
        <v>0</v>
      </c>
      <c r="J101">
        <v>1</v>
      </c>
      <c r="K101">
        <v>0</v>
      </c>
      <c r="R101" s="1"/>
      <c r="S101">
        <f t="shared" si="5"/>
        <v>0</v>
      </c>
      <c r="T101">
        <f t="shared" si="6"/>
        <v>1</v>
      </c>
      <c r="U101">
        <f t="shared" si="7"/>
        <v>0</v>
      </c>
      <c r="V101">
        <f t="shared" si="8"/>
        <v>0</v>
      </c>
      <c r="W101" s="1" t="str">
        <f t="shared" si="9"/>
        <v>过热</v>
      </c>
      <c r="AB101" s="1"/>
    </row>
    <row r="102" spans="1:28" x14ac:dyDescent="0.35">
      <c r="A102" s="22">
        <v>43069</v>
      </c>
      <c r="B102" s="23">
        <v>6.1</v>
      </c>
      <c r="C102" s="23">
        <v>6.6</v>
      </c>
      <c r="D102" s="23">
        <v>5.8</v>
      </c>
      <c r="E102" s="19">
        <v>6.3</v>
      </c>
      <c r="F102">
        <v>1</v>
      </c>
      <c r="G102">
        <v>0</v>
      </c>
      <c r="J102">
        <v>1</v>
      </c>
      <c r="K102">
        <v>0</v>
      </c>
      <c r="R102" s="1"/>
      <c r="S102">
        <f t="shared" si="5"/>
        <v>0</v>
      </c>
      <c r="T102">
        <f t="shared" si="6"/>
        <v>1</v>
      </c>
      <c r="U102">
        <f t="shared" si="7"/>
        <v>0</v>
      </c>
      <c r="V102">
        <f t="shared" si="8"/>
        <v>0</v>
      </c>
      <c r="W102" s="1" t="str">
        <f t="shared" si="9"/>
        <v>过热</v>
      </c>
      <c r="AB102" s="1"/>
    </row>
    <row r="103" spans="1:28" x14ac:dyDescent="0.35">
      <c r="A103" s="22">
        <v>43039</v>
      </c>
      <c r="B103" s="23">
        <v>6.2</v>
      </c>
      <c r="C103" s="23">
        <v>6.7</v>
      </c>
      <c r="D103" s="23">
        <v>6.9</v>
      </c>
      <c r="E103" s="19">
        <v>6</v>
      </c>
      <c r="F103">
        <v>0</v>
      </c>
      <c r="G103">
        <v>1</v>
      </c>
      <c r="J103">
        <v>1</v>
      </c>
      <c r="K103">
        <v>0</v>
      </c>
      <c r="R103" s="1"/>
      <c r="S103">
        <f t="shared" si="5"/>
        <v>0</v>
      </c>
      <c r="T103">
        <f t="shared" si="6"/>
        <v>0</v>
      </c>
      <c r="U103">
        <f t="shared" si="7"/>
        <v>1</v>
      </c>
      <c r="V103">
        <f t="shared" si="8"/>
        <v>0</v>
      </c>
      <c r="W103" s="1" t="str">
        <f t="shared" si="9"/>
        <v>滞涨</v>
      </c>
      <c r="AB103" s="1"/>
    </row>
    <row r="104" spans="1:28" x14ac:dyDescent="0.35">
      <c r="A104" s="22">
        <v>43008</v>
      </c>
      <c r="B104" s="23">
        <v>6.6</v>
      </c>
      <c r="C104" s="23">
        <v>6.7</v>
      </c>
      <c r="D104" s="23">
        <v>6.9</v>
      </c>
      <c r="E104" s="19">
        <v>6.2</v>
      </c>
      <c r="F104">
        <v>1</v>
      </c>
      <c r="G104">
        <v>0</v>
      </c>
      <c r="J104">
        <v>1</v>
      </c>
      <c r="K104">
        <v>0</v>
      </c>
      <c r="R104" s="1"/>
      <c r="S104">
        <f t="shared" si="5"/>
        <v>0</v>
      </c>
      <c r="T104">
        <f t="shared" si="6"/>
        <v>1</v>
      </c>
      <c r="U104">
        <f t="shared" si="7"/>
        <v>0</v>
      </c>
      <c r="V104">
        <f t="shared" si="8"/>
        <v>0</v>
      </c>
      <c r="W104" s="1" t="str">
        <f t="shared" si="9"/>
        <v>过热</v>
      </c>
      <c r="AB104" s="1"/>
    </row>
    <row r="105" spans="1:28" x14ac:dyDescent="0.35">
      <c r="A105" s="22">
        <v>42978</v>
      </c>
      <c r="B105" s="23">
        <v>6</v>
      </c>
      <c r="C105" s="23">
        <v>6.7</v>
      </c>
      <c r="D105" s="23">
        <v>6.3</v>
      </c>
      <c r="E105" s="19">
        <v>6.1</v>
      </c>
      <c r="F105">
        <v>0</v>
      </c>
      <c r="G105">
        <v>1</v>
      </c>
      <c r="J105">
        <v>1</v>
      </c>
      <c r="K105">
        <v>0</v>
      </c>
      <c r="R105" s="1"/>
      <c r="S105">
        <f t="shared" si="5"/>
        <v>0</v>
      </c>
      <c r="T105">
        <f t="shared" si="6"/>
        <v>0</v>
      </c>
      <c r="U105">
        <f t="shared" si="7"/>
        <v>1</v>
      </c>
      <c r="V105">
        <f t="shared" si="8"/>
        <v>0</v>
      </c>
      <c r="W105" s="1" t="str">
        <f t="shared" si="9"/>
        <v>滞涨</v>
      </c>
      <c r="AB105" s="1"/>
    </row>
    <row r="106" spans="1:28" x14ac:dyDescent="0.35">
      <c r="A106" s="22">
        <v>42947</v>
      </c>
      <c r="B106" s="23">
        <v>6.4</v>
      </c>
      <c r="C106" s="23">
        <v>6.8</v>
      </c>
      <c r="D106" s="23">
        <v>5.5</v>
      </c>
      <c r="E106" s="19">
        <v>6.1</v>
      </c>
      <c r="F106">
        <v>0</v>
      </c>
      <c r="G106">
        <v>1</v>
      </c>
      <c r="J106">
        <v>1</v>
      </c>
      <c r="K106">
        <v>0</v>
      </c>
      <c r="R106" s="1"/>
      <c r="S106">
        <f t="shared" si="5"/>
        <v>0</v>
      </c>
      <c r="T106">
        <f t="shared" si="6"/>
        <v>0</v>
      </c>
      <c r="U106">
        <f t="shared" si="7"/>
        <v>1</v>
      </c>
      <c r="V106">
        <f t="shared" si="8"/>
        <v>0</v>
      </c>
      <c r="W106" s="1" t="str">
        <f t="shared" si="9"/>
        <v>滞涨</v>
      </c>
      <c r="AB106" s="1"/>
    </row>
    <row r="107" spans="1:28" x14ac:dyDescent="0.35">
      <c r="A107" s="22">
        <v>42916</v>
      </c>
      <c r="B107" s="23">
        <v>7.6</v>
      </c>
      <c r="C107" s="23">
        <v>6.9</v>
      </c>
      <c r="D107" s="23">
        <v>5.5</v>
      </c>
      <c r="E107" s="19">
        <v>6.3</v>
      </c>
      <c r="F107">
        <v>1</v>
      </c>
      <c r="G107">
        <v>0</v>
      </c>
      <c r="J107">
        <v>1</v>
      </c>
      <c r="K107">
        <v>0</v>
      </c>
      <c r="R107" s="1"/>
      <c r="S107">
        <f t="shared" si="5"/>
        <v>0</v>
      </c>
      <c r="T107">
        <f t="shared" si="6"/>
        <v>1</v>
      </c>
      <c r="U107">
        <f t="shared" si="7"/>
        <v>0</v>
      </c>
      <c r="V107">
        <f t="shared" si="8"/>
        <v>0</v>
      </c>
      <c r="W107" s="1" t="str">
        <f t="shared" si="9"/>
        <v>过热</v>
      </c>
      <c r="AB107" s="1"/>
    </row>
    <row r="108" spans="1:28" x14ac:dyDescent="0.35">
      <c r="A108" s="22">
        <v>42886</v>
      </c>
      <c r="B108" s="23">
        <v>6.5</v>
      </c>
      <c r="C108" s="23">
        <v>6.7</v>
      </c>
      <c r="D108" s="23">
        <v>5.5</v>
      </c>
      <c r="E108" s="19">
        <v>6</v>
      </c>
      <c r="F108">
        <v>0</v>
      </c>
      <c r="G108">
        <v>1</v>
      </c>
      <c r="J108">
        <v>1</v>
      </c>
      <c r="K108">
        <v>0</v>
      </c>
      <c r="R108" s="1"/>
      <c r="S108">
        <f t="shared" si="5"/>
        <v>0</v>
      </c>
      <c r="T108">
        <f t="shared" si="6"/>
        <v>0</v>
      </c>
      <c r="U108">
        <f t="shared" si="7"/>
        <v>1</v>
      </c>
      <c r="V108">
        <f t="shared" si="8"/>
        <v>0</v>
      </c>
      <c r="W108" s="1" t="str">
        <f t="shared" si="9"/>
        <v>滞涨</v>
      </c>
      <c r="AB108" s="1"/>
    </row>
    <row r="109" spans="1:28" x14ac:dyDescent="0.35">
      <c r="A109" s="22">
        <v>42855</v>
      </c>
      <c r="B109" s="23">
        <v>6.5</v>
      </c>
      <c r="C109" s="23">
        <v>6.7</v>
      </c>
      <c r="D109" s="23">
        <v>6.4</v>
      </c>
      <c r="E109" s="19">
        <v>6.2</v>
      </c>
      <c r="F109">
        <v>1</v>
      </c>
      <c r="G109">
        <v>0</v>
      </c>
      <c r="J109">
        <v>1</v>
      </c>
      <c r="K109">
        <v>0</v>
      </c>
      <c r="R109" s="1"/>
      <c r="S109">
        <f t="shared" si="5"/>
        <v>0</v>
      </c>
      <c r="T109">
        <f t="shared" si="6"/>
        <v>1</v>
      </c>
      <c r="U109">
        <f t="shared" si="7"/>
        <v>0</v>
      </c>
      <c r="V109">
        <f t="shared" si="8"/>
        <v>0</v>
      </c>
      <c r="W109" s="1" t="str">
        <f t="shared" si="9"/>
        <v>过热</v>
      </c>
      <c r="AB109" s="1"/>
    </row>
    <row r="110" spans="1:28" x14ac:dyDescent="0.35">
      <c r="A110" s="22">
        <v>42825</v>
      </c>
      <c r="B110" s="23">
        <v>7.6</v>
      </c>
      <c r="C110" s="23">
        <v>6.8</v>
      </c>
      <c r="D110" s="23">
        <v>7.6</v>
      </c>
      <c r="E110" s="19">
        <v>6</v>
      </c>
      <c r="F110">
        <v>0</v>
      </c>
      <c r="G110">
        <v>1</v>
      </c>
      <c r="J110">
        <v>1</v>
      </c>
      <c r="K110">
        <v>0</v>
      </c>
      <c r="R110" s="1"/>
      <c r="S110">
        <f t="shared" si="5"/>
        <v>0</v>
      </c>
      <c r="T110">
        <f t="shared" si="6"/>
        <v>0</v>
      </c>
      <c r="U110">
        <f t="shared" si="7"/>
        <v>1</v>
      </c>
      <c r="V110">
        <f t="shared" si="8"/>
        <v>0</v>
      </c>
      <c r="W110" s="1" t="str">
        <f t="shared" si="9"/>
        <v>滞涨</v>
      </c>
      <c r="AB110" s="1"/>
    </row>
    <row r="111" spans="1:28" x14ac:dyDescent="0.35">
      <c r="A111" s="22">
        <v>42794</v>
      </c>
      <c r="B111" s="23">
        <v>10.322581</v>
      </c>
      <c r="C111" s="23">
        <v>6.3</v>
      </c>
      <c r="D111" s="23">
        <v>7.8</v>
      </c>
      <c r="E111" s="19">
        <v>6</v>
      </c>
      <c r="F111">
        <v>0</v>
      </c>
      <c r="G111">
        <v>1</v>
      </c>
      <c r="J111">
        <v>1</v>
      </c>
      <c r="K111">
        <v>0</v>
      </c>
      <c r="R111" s="1"/>
      <c r="S111">
        <f t="shared" si="5"/>
        <v>0</v>
      </c>
      <c r="T111">
        <f t="shared" si="6"/>
        <v>0</v>
      </c>
      <c r="U111">
        <f t="shared" si="7"/>
        <v>1</v>
      </c>
      <c r="V111">
        <f t="shared" si="8"/>
        <v>0</v>
      </c>
      <c r="W111" s="1" t="str">
        <f t="shared" si="9"/>
        <v>滞涨</v>
      </c>
      <c r="AB111" s="1"/>
    </row>
    <row r="112" spans="1:28" x14ac:dyDescent="0.35">
      <c r="A112" s="22">
        <v>42766</v>
      </c>
      <c r="B112" s="23">
        <v>2.9372500000000001</v>
      </c>
      <c r="C112" s="23">
        <v>2.9372500000000001</v>
      </c>
      <c r="D112" s="23">
        <v>6.9</v>
      </c>
      <c r="E112" s="19">
        <v>6.8</v>
      </c>
      <c r="F112">
        <v>1</v>
      </c>
      <c r="G112">
        <v>0</v>
      </c>
      <c r="J112">
        <v>1</v>
      </c>
      <c r="K112">
        <v>0</v>
      </c>
      <c r="R112" s="1"/>
      <c r="S112">
        <f t="shared" si="5"/>
        <v>0</v>
      </c>
      <c r="T112">
        <f t="shared" si="6"/>
        <v>1</v>
      </c>
      <c r="U112">
        <f t="shared" si="7"/>
        <v>0</v>
      </c>
      <c r="V112">
        <f t="shared" si="8"/>
        <v>0</v>
      </c>
      <c r="W112" s="1" t="str">
        <f t="shared" si="9"/>
        <v>过热</v>
      </c>
      <c r="AB112" s="1"/>
    </row>
    <row r="113" spans="1:28" x14ac:dyDescent="0.35">
      <c r="A113" s="22">
        <v>42735</v>
      </c>
      <c r="B113" s="23">
        <v>6</v>
      </c>
      <c r="C113" s="23">
        <v>6</v>
      </c>
      <c r="D113" s="23">
        <v>5.5</v>
      </c>
      <c r="E113" s="19">
        <v>5.4</v>
      </c>
      <c r="F113">
        <v>0</v>
      </c>
      <c r="G113">
        <v>1</v>
      </c>
      <c r="J113">
        <v>1</v>
      </c>
      <c r="K113">
        <v>0</v>
      </c>
      <c r="R113" s="1"/>
      <c r="S113">
        <f t="shared" si="5"/>
        <v>0</v>
      </c>
      <c r="T113">
        <f t="shared" si="6"/>
        <v>0</v>
      </c>
      <c r="U113">
        <f t="shared" si="7"/>
        <v>1</v>
      </c>
      <c r="V113">
        <f t="shared" si="8"/>
        <v>0</v>
      </c>
      <c r="W113" s="1" t="str">
        <f t="shared" si="9"/>
        <v>滞涨</v>
      </c>
      <c r="AB113" s="1"/>
    </row>
    <row r="114" spans="1:28" x14ac:dyDescent="0.35">
      <c r="A114" s="22">
        <v>42704</v>
      </c>
      <c r="B114" s="23">
        <v>6.2</v>
      </c>
      <c r="C114" s="23">
        <v>6</v>
      </c>
      <c r="D114" s="23">
        <v>3.3</v>
      </c>
      <c r="E114" s="19">
        <v>5.4</v>
      </c>
      <c r="F114">
        <v>0</v>
      </c>
      <c r="G114">
        <v>1</v>
      </c>
      <c r="J114">
        <v>1</v>
      </c>
      <c r="K114">
        <v>0</v>
      </c>
      <c r="R114" s="1"/>
      <c r="S114">
        <f t="shared" si="5"/>
        <v>0</v>
      </c>
      <c r="T114">
        <f t="shared" si="6"/>
        <v>0</v>
      </c>
      <c r="U114">
        <f t="shared" si="7"/>
        <v>1</v>
      </c>
      <c r="V114">
        <f t="shared" si="8"/>
        <v>0</v>
      </c>
      <c r="W114" s="1" t="str">
        <f t="shared" si="9"/>
        <v>滞涨</v>
      </c>
      <c r="AB114" s="1"/>
    </row>
    <row r="115" spans="1:28" x14ac:dyDescent="0.35">
      <c r="A115" s="22">
        <v>42674</v>
      </c>
      <c r="B115" s="23">
        <v>6.1</v>
      </c>
      <c r="C115" s="23">
        <v>6</v>
      </c>
      <c r="D115" s="23">
        <v>1.2</v>
      </c>
      <c r="E115" s="19">
        <v>5.9</v>
      </c>
      <c r="F115">
        <v>0</v>
      </c>
      <c r="G115">
        <v>1</v>
      </c>
      <c r="J115">
        <v>0</v>
      </c>
      <c r="K115">
        <v>1</v>
      </c>
      <c r="R115" s="1"/>
      <c r="S115">
        <f t="shared" si="5"/>
        <v>0</v>
      </c>
      <c r="T115">
        <f t="shared" si="6"/>
        <v>0</v>
      </c>
      <c r="U115">
        <f t="shared" si="7"/>
        <v>0</v>
      </c>
      <c r="V115">
        <f t="shared" si="8"/>
        <v>1</v>
      </c>
      <c r="W115" s="1" t="str">
        <f t="shared" si="9"/>
        <v>衰退</v>
      </c>
      <c r="AB115" s="1"/>
    </row>
    <row r="116" spans="1:28" x14ac:dyDescent="0.35">
      <c r="A116" s="22">
        <v>42643</v>
      </c>
      <c r="B116" s="23">
        <v>6.1</v>
      </c>
      <c r="C116" s="23">
        <v>6</v>
      </c>
      <c r="D116" s="23">
        <v>0.1</v>
      </c>
      <c r="E116" s="19">
        <v>6.2</v>
      </c>
      <c r="F116">
        <v>1</v>
      </c>
      <c r="G116">
        <v>0</v>
      </c>
      <c r="J116">
        <v>0</v>
      </c>
      <c r="K116">
        <v>1</v>
      </c>
      <c r="R116" s="1"/>
      <c r="S116">
        <f t="shared" si="5"/>
        <v>1</v>
      </c>
      <c r="T116">
        <f t="shared" si="6"/>
        <v>0</v>
      </c>
      <c r="U116">
        <f t="shared" si="7"/>
        <v>0</v>
      </c>
      <c r="V116">
        <f t="shared" si="8"/>
        <v>0</v>
      </c>
      <c r="W116" s="1" t="str">
        <f t="shared" si="9"/>
        <v>复苏</v>
      </c>
      <c r="AB116" s="1"/>
    </row>
    <row r="117" spans="1:28" x14ac:dyDescent="0.35">
      <c r="A117" s="22">
        <v>42613</v>
      </c>
      <c r="B117" s="23">
        <v>6.3</v>
      </c>
      <c r="C117" s="23">
        <v>6</v>
      </c>
      <c r="D117" s="23">
        <v>-0.8</v>
      </c>
      <c r="E117" s="19">
        <v>5.6</v>
      </c>
      <c r="F117">
        <v>0</v>
      </c>
      <c r="G117">
        <v>1</v>
      </c>
      <c r="J117">
        <v>1</v>
      </c>
      <c r="K117">
        <v>0</v>
      </c>
      <c r="R117" s="1"/>
      <c r="S117">
        <f t="shared" si="5"/>
        <v>0</v>
      </c>
      <c r="T117">
        <f t="shared" si="6"/>
        <v>0</v>
      </c>
      <c r="U117">
        <f t="shared" si="7"/>
        <v>1</v>
      </c>
      <c r="V117">
        <f t="shared" si="8"/>
        <v>0</v>
      </c>
      <c r="W117" s="1" t="str">
        <f t="shared" si="9"/>
        <v>滞涨</v>
      </c>
      <c r="AB117" s="1"/>
    </row>
    <row r="118" spans="1:28" x14ac:dyDescent="0.35">
      <c r="A118" s="22">
        <v>42582</v>
      </c>
      <c r="B118" s="23">
        <v>6</v>
      </c>
      <c r="C118" s="23">
        <v>6</v>
      </c>
      <c r="D118" s="23">
        <v>-1.7</v>
      </c>
      <c r="E118" s="19">
        <v>5.7</v>
      </c>
      <c r="F118">
        <v>0</v>
      </c>
      <c r="G118">
        <v>1</v>
      </c>
      <c r="J118">
        <v>0</v>
      </c>
      <c r="K118">
        <v>1</v>
      </c>
      <c r="R118" s="1"/>
      <c r="S118">
        <f t="shared" si="5"/>
        <v>0</v>
      </c>
      <c r="T118">
        <f t="shared" si="6"/>
        <v>0</v>
      </c>
      <c r="U118">
        <f t="shared" si="7"/>
        <v>0</v>
      </c>
      <c r="V118">
        <f t="shared" si="8"/>
        <v>1</v>
      </c>
      <c r="W118" s="1" t="str">
        <f t="shared" si="9"/>
        <v>衰退</v>
      </c>
      <c r="AB118" s="1"/>
    </row>
    <row r="119" spans="1:28" x14ac:dyDescent="0.35">
      <c r="A119" s="22">
        <v>42551</v>
      </c>
      <c r="B119" s="23">
        <v>6.2</v>
      </c>
      <c r="C119" s="23">
        <v>6</v>
      </c>
      <c r="D119" s="23">
        <v>-2.6</v>
      </c>
      <c r="E119" s="19">
        <v>6.1</v>
      </c>
      <c r="F119">
        <v>1</v>
      </c>
      <c r="G119">
        <v>0</v>
      </c>
      <c r="J119">
        <v>0</v>
      </c>
      <c r="K119">
        <v>1</v>
      </c>
      <c r="R119" s="1"/>
      <c r="S119">
        <f t="shared" si="5"/>
        <v>1</v>
      </c>
      <c r="T119">
        <f t="shared" si="6"/>
        <v>0</v>
      </c>
      <c r="U119">
        <f t="shared" si="7"/>
        <v>0</v>
      </c>
      <c r="V119">
        <f t="shared" si="8"/>
        <v>0</v>
      </c>
      <c r="W119" s="1" t="str">
        <f t="shared" si="9"/>
        <v>复苏</v>
      </c>
      <c r="AB119" s="1"/>
    </row>
    <row r="120" spans="1:28" x14ac:dyDescent="0.35">
      <c r="A120" s="22">
        <v>42521</v>
      </c>
      <c r="B120" s="23">
        <v>6</v>
      </c>
      <c r="C120" s="23">
        <v>5.9</v>
      </c>
      <c r="D120" s="23">
        <v>-2.8</v>
      </c>
      <c r="E120" s="19">
        <v>6</v>
      </c>
      <c r="F120">
        <v>0</v>
      </c>
      <c r="G120">
        <v>1</v>
      </c>
      <c r="J120">
        <v>0</v>
      </c>
      <c r="K120">
        <v>1</v>
      </c>
      <c r="R120" s="1"/>
      <c r="S120">
        <f t="shared" si="5"/>
        <v>0</v>
      </c>
      <c r="T120">
        <f t="shared" si="6"/>
        <v>0</v>
      </c>
      <c r="U120">
        <f t="shared" si="7"/>
        <v>0</v>
      </c>
      <c r="V120">
        <f t="shared" si="8"/>
        <v>1</v>
      </c>
      <c r="W120" s="1" t="str">
        <f t="shared" si="9"/>
        <v>衰退</v>
      </c>
      <c r="AB120" s="1"/>
    </row>
    <row r="121" spans="1:28" x14ac:dyDescent="0.35">
      <c r="A121" s="22">
        <v>42490</v>
      </c>
      <c r="B121" s="23">
        <v>6</v>
      </c>
      <c r="C121" s="23">
        <v>5.8</v>
      </c>
      <c r="D121" s="23">
        <v>-3.4</v>
      </c>
      <c r="E121" s="19">
        <v>6.8</v>
      </c>
      <c r="F121">
        <v>1</v>
      </c>
      <c r="G121">
        <v>0</v>
      </c>
      <c r="J121">
        <v>0</v>
      </c>
      <c r="K121">
        <v>1</v>
      </c>
      <c r="R121" s="1"/>
      <c r="S121">
        <f t="shared" si="5"/>
        <v>1</v>
      </c>
      <c r="T121">
        <f t="shared" si="6"/>
        <v>0</v>
      </c>
      <c r="U121">
        <f t="shared" si="7"/>
        <v>0</v>
      </c>
      <c r="V121">
        <f t="shared" si="8"/>
        <v>0</v>
      </c>
      <c r="W121" s="1" t="str">
        <f t="shared" si="9"/>
        <v>复苏</v>
      </c>
      <c r="AB121" s="1"/>
    </row>
    <row r="122" spans="1:28" x14ac:dyDescent="0.35">
      <c r="A122" s="22">
        <v>42460</v>
      </c>
      <c r="B122" s="23">
        <v>6.8</v>
      </c>
      <c r="C122" s="23">
        <v>5.8</v>
      </c>
      <c r="D122" s="23">
        <v>-4.3</v>
      </c>
      <c r="E122" s="19">
        <v>6.1</v>
      </c>
      <c r="F122">
        <v>1</v>
      </c>
      <c r="G122">
        <v>0</v>
      </c>
      <c r="J122">
        <v>0</v>
      </c>
      <c r="K122">
        <v>1</v>
      </c>
      <c r="R122" s="1"/>
      <c r="S122">
        <f t="shared" si="5"/>
        <v>1</v>
      </c>
      <c r="T122">
        <f t="shared" si="6"/>
        <v>0</v>
      </c>
      <c r="U122">
        <f t="shared" si="7"/>
        <v>0</v>
      </c>
      <c r="V122">
        <f t="shared" si="8"/>
        <v>0</v>
      </c>
      <c r="W122" s="1" t="str">
        <f t="shared" si="9"/>
        <v>复苏</v>
      </c>
      <c r="AB122" s="1"/>
    </row>
    <row r="123" spans="1:28" x14ac:dyDescent="0.35">
      <c r="A123" s="22">
        <v>42429</v>
      </c>
      <c r="B123" s="23">
        <v>4.9069370000000001</v>
      </c>
      <c r="C123" s="23">
        <v>5.4</v>
      </c>
      <c r="D123" s="23">
        <v>-4.9000000000000004</v>
      </c>
      <c r="E123" s="19">
        <v>5.9</v>
      </c>
      <c r="F123">
        <v>1</v>
      </c>
      <c r="G123">
        <v>0</v>
      </c>
      <c r="J123">
        <v>0</v>
      </c>
      <c r="K123">
        <v>1</v>
      </c>
      <c r="R123" s="1"/>
      <c r="S123">
        <f t="shared" si="5"/>
        <v>1</v>
      </c>
      <c r="T123">
        <f t="shared" si="6"/>
        <v>0</v>
      </c>
      <c r="U123">
        <f t="shared" si="7"/>
        <v>0</v>
      </c>
      <c r="V123">
        <f t="shared" si="8"/>
        <v>0</v>
      </c>
      <c r="W123" s="1" t="str">
        <f t="shared" si="9"/>
        <v>复苏</v>
      </c>
      <c r="AB123" s="1"/>
    </row>
    <row r="124" spans="1:28" x14ac:dyDescent="0.35">
      <c r="A124" s="22">
        <v>42400</v>
      </c>
      <c r="B124" s="23">
        <v>5.8657240000000002</v>
      </c>
      <c r="C124" s="23">
        <v>5.8657240000000002</v>
      </c>
      <c r="D124" s="23">
        <v>-5.3</v>
      </c>
      <c r="E124" s="19">
        <v>5.6</v>
      </c>
      <c r="F124">
        <v>0</v>
      </c>
      <c r="G124">
        <v>1</v>
      </c>
      <c r="J124">
        <v>1</v>
      </c>
      <c r="K124">
        <v>0</v>
      </c>
      <c r="R124" s="1"/>
      <c r="S124">
        <f t="shared" si="5"/>
        <v>0</v>
      </c>
      <c r="T124">
        <f t="shared" si="6"/>
        <v>0</v>
      </c>
      <c r="U124">
        <f t="shared" si="7"/>
        <v>1</v>
      </c>
      <c r="V124">
        <f t="shared" si="8"/>
        <v>0</v>
      </c>
      <c r="W124" s="1" t="str">
        <f t="shared" si="9"/>
        <v>滞涨</v>
      </c>
      <c r="AB124" s="1"/>
    </row>
    <row r="125" spans="1:28" x14ac:dyDescent="0.35">
      <c r="A125" s="22">
        <v>42369</v>
      </c>
      <c r="B125" s="23">
        <v>5.9</v>
      </c>
      <c r="C125" s="23">
        <v>6.1</v>
      </c>
      <c r="D125" s="23">
        <v>-5.9</v>
      </c>
      <c r="E125" s="19">
        <v>6.8</v>
      </c>
      <c r="F125">
        <v>0</v>
      </c>
      <c r="G125">
        <v>1</v>
      </c>
      <c r="J125">
        <v>0</v>
      </c>
      <c r="K125">
        <v>1</v>
      </c>
      <c r="R125" s="1"/>
      <c r="S125">
        <f t="shared" si="5"/>
        <v>0</v>
      </c>
      <c r="T125">
        <f t="shared" si="6"/>
        <v>0</v>
      </c>
      <c r="U125">
        <f t="shared" si="7"/>
        <v>0</v>
      </c>
      <c r="V125">
        <f t="shared" si="8"/>
        <v>1</v>
      </c>
      <c r="W125" s="1" t="str">
        <f t="shared" si="9"/>
        <v>衰退</v>
      </c>
      <c r="AB125" s="1"/>
    </row>
    <row r="126" spans="1:28" x14ac:dyDescent="0.35">
      <c r="A126" s="22">
        <v>42338</v>
      </c>
      <c r="B126" s="23">
        <v>6.2</v>
      </c>
      <c r="C126" s="23">
        <v>6.1</v>
      </c>
      <c r="D126" s="23">
        <v>-5.9</v>
      </c>
      <c r="E126" s="19">
        <v>6.8</v>
      </c>
      <c r="F126">
        <v>0</v>
      </c>
      <c r="G126">
        <v>1</v>
      </c>
      <c r="J126">
        <v>0</v>
      </c>
      <c r="K126">
        <v>1</v>
      </c>
      <c r="R126" s="1"/>
      <c r="S126">
        <f t="shared" si="5"/>
        <v>0</v>
      </c>
      <c r="T126">
        <f t="shared" si="6"/>
        <v>0</v>
      </c>
      <c r="U126">
        <f t="shared" si="7"/>
        <v>0</v>
      </c>
      <c r="V126">
        <f t="shared" si="8"/>
        <v>1</v>
      </c>
      <c r="W126" s="1" t="str">
        <f t="shared" si="9"/>
        <v>衰退</v>
      </c>
      <c r="AB126" s="1"/>
    </row>
    <row r="127" spans="1:28" x14ac:dyDescent="0.35">
      <c r="A127" s="22">
        <v>42308</v>
      </c>
      <c r="B127" s="23">
        <v>5.6</v>
      </c>
      <c r="C127" s="23">
        <v>6.1</v>
      </c>
      <c r="D127" s="23">
        <v>-5.9</v>
      </c>
      <c r="E127" s="19">
        <v>7.9</v>
      </c>
      <c r="F127">
        <v>1</v>
      </c>
      <c r="G127">
        <v>0</v>
      </c>
      <c r="J127">
        <v>0</v>
      </c>
      <c r="K127">
        <v>1</v>
      </c>
      <c r="R127" s="1"/>
      <c r="S127">
        <f t="shared" si="5"/>
        <v>1</v>
      </c>
      <c r="T127">
        <f t="shared" si="6"/>
        <v>0</v>
      </c>
      <c r="U127">
        <f t="shared" si="7"/>
        <v>0</v>
      </c>
      <c r="V127">
        <f t="shared" si="8"/>
        <v>0</v>
      </c>
      <c r="W127" s="1" t="str">
        <f t="shared" si="9"/>
        <v>复苏</v>
      </c>
      <c r="AB127" s="1"/>
    </row>
    <row r="128" spans="1:28" x14ac:dyDescent="0.35">
      <c r="A128" s="22">
        <v>42277</v>
      </c>
      <c r="B128" s="23">
        <v>5.7</v>
      </c>
      <c r="C128" s="23">
        <v>6.2</v>
      </c>
      <c r="D128" s="23">
        <v>-5.9450000000000003</v>
      </c>
      <c r="E128" s="19">
        <v>7.2</v>
      </c>
      <c r="F128">
        <v>0</v>
      </c>
      <c r="G128">
        <v>1</v>
      </c>
      <c r="J128">
        <v>0</v>
      </c>
      <c r="K128">
        <v>1</v>
      </c>
      <c r="R128" s="1"/>
      <c r="S128">
        <f t="shared" si="5"/>
        <v>0</v>
      </c>
      <c r="T128">
        <f t="shared" si="6"/>
        <v>0</v>
      </c>
      <c r="U128">
        <f t="shared" si="7"/>
        <v>0</v>
      </c>
      <c r="V128">
        <f t="shared" si="8"/>
        <v>1</v>
      </c>
      <c r="W128" s="1" t="str">
        <f t="shared" si="9"/>
        <v>衰退</v>
      </c>
      <c r="AB128" s="1"/>
    </row>
    <row r="129" spans="1:28" x14ac:dyDescent="0.35">
      <c r="A129" s="22">
        <v>42247</v>
      </c>
      <c r="B129" s="23">
        <v>6.1</v>
      </c>
      <c r="C129" s="23">
        <v>6.3</v>
      </c>
      <c r="D129" s="23">
        <v>-5.9226999999999999</v>
      </c>
      <c r="E129" s="19">
        <v>7.7</v>
      </c>
      <c r="F129">
        <v>0</v>
      </c>
      <c r="G129">
        <v>1</v>
      </c>
      <c r="J129">
        <v>0</v>
      </c>
      <c r="K129">
        <v>1</v>
      </c>
      <c r="R129" s="1"/>
      <c r="S129">
        <f t="shared" si="5"/>
        <v>0</v>
      </c>
      <c r="T129">
        <f t="shared" si="6"/>
        <v>0</v>
      </c>
      <c r="U129">
        <f t="shared" si="7"/>
        <v>0</v>
      </c>
      <c r="V129">
        <f t="shared" si="8"/>
        <v>1</v>
      </c>
      <c r="W129" s="1" t="str">
        <f t="shared" si="9"/>
        <v>衰退</v>
      </c>
      <c r="AB129" s="1"/>
    </row>
    <row r="130" spans="1:28" x14ac:dyDescent="0.35">
      <c r="A130" s="22">
        <v>42216</v>
      </c>
      <c r="B130" s="23">
        <v>6</v>
      </c>
      <c r="C130" s="23">
        <v>6.3</v>
      </c>
      <c r="D130" s="23">
        <v>-5.3692000000000002</v>
      </c>
      <c r="E130" s="19">
        <v>8</v>
      </c>
      <c r="F130">
        <v>1</v>
      </c>
      <c r="G130">
        <v>0</v>
      </c>
      <c r="J130">
        <v>0</v>
      </c>
      <c r="K130">
        <v>1</v>
      </c>
      <c r="R130" s="1"/>
      <c r="S130">
        <f t="shared" si="5"/>
        <v>1</v>
      </c>
      <c r="T130">
        <f t="shared" si="6"/>
        <v>0</v>
      </c>
      <c r="U130">
        <f t="shared" si="7"/>
        <v>0</v>
      </c>
      <c r="V130">
        <f t="shared" si="8"/>
        <v>0</v>
      </c>
      <c r="W130" s="1" t="str">
        <f t="shared" si="9"/>
        <v>复苏</v>
      </c>
      <c r="AB130" s="1"/>
    </row>
    <row r="131" spans="1:28" x14ac:dyDescent="0.35">
      <c r="A131" s="22">
        <v>42185</v>
      </c>
      <c r="B131" s="23">
        <v>6.8</v>
      </c>
      <c r="C131" s="23">
        <v>6.3</v>
      </c>
      <c r="D131" s="23">
        <v>-4.8135000000000003</v>
      </c>
      <c r="E131" s="19">
        <v>6.9</v>
      </c>
      <c r="F131">
        <v>0</v>
      </c>
      <c r="G131">
        <v>1</v>
      </c>
      <c r="J131">
        <v>0</v>
      </c>
      <c r="K131">
        <v>1</v>
      </c>
      <c r="R131" s="1"/>
      <c r="S131">
        <f t="shared" si="5"/>
        <v>0</v>
      </c>
      <c r="T131">
        <f t="shared" si="6"/>
        <v>0</v>
      </c>
      <c r="U131">
        <f t="shared" si="7"/>
        <v>0</v>
      </c>
      <c r="V131">
        <f t="shared" si="8"/>
        <v>1</v>
      </c>
      <c r="W131" s="1" t="str">
        <f t="shared" si="9"/>
        <v>衰退</v>
      </c>
      <c r="AB131" s="1"/>
    </row>
    <row r="132" spans="1:28" x14ac:dyDescent="0.35">
      <c r="A132" s="22">
        <v>42155</v>
      </c>
      <c r="B132" s="23">
        <v>6.1</v>
      </c>
      <c r="C132" s="23">
        <v>6.2</v>
      </c>
      <c r="D132" s="23">
        <v>-4.6070000000000002</v>
      </c>
      <c r="E132" s="19">
        <v>9</v>
      </c>
      <c r="F132">
        <v>0</v>
      </c>
      <c r="G132">
        <v>1</v>
      </c>
      <c r="J132">
        <v>1</v>
      </c>
      <c r="K132">
        <v>0</v>
      </c>
      <c r="R132" s="1"/>
      <c r="S132">
        <f t="shared" si="5"/>
        <v>0</v>
      </c>
      <c r="T132">
        <f t="shared" si="6"/>
        <v>0</v>
      </c>
      <c r="U132">
        <f t="shared" si="7"/>
        <v>1</v>
      </c>
      <c r="V132">
        <f t="shared" si="8"/>
        <v>0</v>
      </c>
      <c r="W132" s="1" t="str">
        <f t="shared" si="9"/>
        <v>滞涨</v>
      </c>
      <c r="AB132" s="1"/>
    </row>
    <row r="133" spans="1:28" x14ac:dyDescent="0.35">
      <c r="A133" s="22">
        <v>42124</v>
      </c>
      <c r="B133" s="23">
        <v>5.9</v>
      </c>
      <c r="C133" s="23">
        <v>6.2</v>
      </c>
      <c r="D133" s="23">
        <v>-4.5724999999999998</v>
      </c>
      <c r="E133" s="19">
        <v>9.1999999999999993</v>
      </c>
      <c r="F133">
        <v>1</v>
      </c>
      <c r="G133">
        <v>0</v>
      </c>
      <c r="J133">
        <v>1</v>
      </c>
      <c r="K133">
        <v>0</v>
      </c>
      <c r="R133" s="1"/>
      <c r="S133">
        <f t="shared" ref="S133:S196" si="10">IF(F133=1,IF(J133=0,1,0),0)</f>
        <v>0</v>
      </c>
      <c r="T133">
        <f t="shared" ref="T133:T196" si="11">IF(F133=1,IF(J133=1,1,0),0)</f>
        <v>1</v>
      </c>
      <c r="U133">
        <f t="shared" ref="U133:U196" si="12">IF(F133=0,IF(J133=1,1,0),0)</f>
        <v>0</v>
      </c>
      <c r="V133">
        <f t="shared" ref="V133:V196" si="13">IF(F133=0,IF(J133=0,1,0),0)</f>
        <v>0</v>
      </c>
      <c r="W133" s="1" t="str">
        <f t="shared" ref="W133:W196" si="14">INDEX($S$4:$V$4,1,MATCH(1,S133:V133,0))</f>
        <v>过热</v>
      </c>
      <c r="AB133" s="1"/>
    </row>
    <row r="134" spans="1:28" x14ac:dyDescent="0.35">
      <c r="A134" s="22">
        <v>42094</v>
      </c>
      <c r="B134" s="23">
        <v>5.6</v>
      </c>
      <c r="C134" s="23">
        <v>6.4</v>
      </c>
      <c r="D134" s="23">
        <v>-4.5602999999999998</v>
      </c>
      <c r="E134" s="19">
        <v>8.8000000000000007</v>
      </c>
      <c r="F134">
        <v>1</v>
      </c>
      <c r="G134">
        <v>0</v>
      </c>
      <c r="J134">
        <v>1</v>
      </c>
      <c r="K134">
        <v>0</v>
      </c>
      <c r="R134" s="1"/>
      <c r="S134">
        <f t="shared" si="10"/>
        <v>0</v>
      </c>
      <c r="T134">
        <f t="shared" si="11"/>
        <v>1</v>
      </c>
      <c r="U134">
        <f t="shared" si="12"/>
        <v>0</v>
      </c>
      <c r="V134">
        <f t="shared" si="13"/>
        <v>0</v>
      </c>
      <c r="W134" s="1" t="str">
        <f t="shared" si="14"/>
        <v>过热</v>
      </c>
      <c r="AB134" s="1"/>
    </row>
    <row r="135" spans="1:28" x14ac:dyDescent="0.35">
      <c r="A135" s="22">
        <v>42063</v>
      </c>
      <c r="B135" s="23">
        <v>3.6</v>
      </c>
      <c r="C135" s="23">
        <v>6.8</v>
      </c>
      <c r="D135" s="23">
        <v>-4.7976000000000001</v>
      </c>
      <c r="E135" s="19">
        <v>8.6999999999999993</v>
      </c>
      <c r="F135">
        <v>0</v>
      </c>
      <c r="G135">
        <v>1</v>
      </c>
      <c r="J135">
        <v>1</v>
      </c>
      <c r="K135">
        <v>0</v>
      </c>
      <c r="R135" s="1"/>
      <c r="S135">
        <f t="shared" si="10"/>
        <v>0</v>
      </c>
      <c r="T135">
        <f t="shared" si="11"/>
        <v>0</v>
      </c>
      <c r="U135">
        <f t="shared" si="12"/>
        <v>1</v>
      </c>
      <c r="V135">
        <f t="shared" si="13"/>
        <v>0</v>
      </c>
      <c r="W135" s="1" t="str">
        <f t="shared" si="14"/>
        <v>滞涨</v>
      </c>
      <c r="AB135" s="1"/>
    </row>
    <row r="136" spans="1:28" x14ac:dyDescent="0.35">
      <c r="A136" s="22">
        <v>42035</v>
      </c>
      <c r="B136" s="23">
        <v>9.6</v>
      </c>
      <c r="C136" s="23">
        <v>9.6</v>
      </c>
      <c r="D136" s="23">
        <v>-4.3201999999999998</v>
      </c>
      <c r="E136" s="19">
        <v>8.8000000000000007</v>
      </c>
      <c r="F136">
        <v>1</v>
      </c>
      <c r="G136">
        <v>0</v>
      </c>
      <c r="J136">
        <v>0</v>
      </c>
      <c r="K136">
        <v>1</v>
      </c>
      <c r="R136" s="1"/>
      <c r="S136">
        <f t="shared" si="10"/>
        <v>1</v>
      </c>
      <c r="T136">
        <f t="shared" si="11"/>
        <v>0</v>
      </c>
      <c r="U136">
        <f t="shared" si="12"/>
        <v>0</v>
      </c>
      <c r="V136">
        <f t="shared" si="13"/>
        <v>0</v>
      </c>
      <c r="W136" s="1" t="str">
        <f t="shared" si="14"/>
        <v>复苏</v>
      </c>
      <c r="AB136" s="1"/>
    </row>
    <row r="137" spans="1:28" x14ac:dyDescent="0.35">
      <c r="A137" s="22">
        <v>42004</v>
      </c>
      <c r="B137" s="23">
        <v>7.9</v>
      </c>
      <c r="C137" s="23">
        <v>8.3000000000000007</v>
      </c>
      <c r="D137" s="23">
        <v>-3.3151999999999999</v>
      </c>
      <c r="E137" s="19">
        <v>8.6</v>
      </c>
      <c r="F137">
        <v>0</v>
      </c>
      <c r="G137">
        <v>1</v>
      </c>
      <c r="J137">
        <v>0</v>
      </c>
      <c r="K137">
        <v>1</v>
      </c>
      <c r="R137" s="1"/>
      <c r="S137">
        <f t="shared" si="10"/>
        <v>0</v>
      </c>
      <c r="T137">
        <f t="shared" si="11"/>
        <v>0</v>
      </c>
      <c r="U137">
        <f t="shared" si="12"/>
        <v>0</v>
      </c>
      <c r="V137">
        <f t="shared" si="13"/>
        <v>1</v>
      </c>
      <c r="W137" s="1" t="str">
        <f t="shared" si="14"/>
        <v>衰退</v>
      </c>
      <c r="AB137" s="1"/>
    </row>
    <row r="138" spans="1:28" x14ac:dyDescent="0.35">
      <c r="A138" s="22">
        <v>41973</v>
      </c>
      <c r="B138" s="23">
        <v>7.2</v>
      </c>
      <c r="C138" s="23">
        <v>8.3000000000000007</v>
      </c>
      <c r="D138" s="23">
        <v>-2.6928000000000001</v>
      </c>
      <c r="E138" s="19">
        <v>8.6</v>
      </c>
      <c r="F138">
        <v>0</v>
      </c>
      <c r="G138">
        <v>1</v>
      </c>
      <c r="J138">
        <v>0</v>
      </c>
      <c r="K138">
        <v>1</v>
      </c>
      <c r="R138" s="1"/>
      <c r="S138">
        <f t="shared" si="10"/>
        <v>0</v>
      </c>
      <c r="T138">
        <f t="shared" si="11"/>
        <v>0</v>
      </c>
      <c r="U138">
        <f t="shared" si="12"/>
        <v>0</v>
      </c>
      <c r="V138">
        <f t="shared" si="13"/>
        <v>1</v>
      </c>
      <c r="W138" s="1" t="str">
        <f t="shared" si="14"/>
        <v>衰退</v>
      </c>
      <c r="AB138" s="1"/>
    </row>
    <row r="139" spans="1:28" x14ac:dyDescent="0.35">
      <c r="A139" s="22">
        <v>41943</v>
      </c>
      <c r="B139" s="23">
        <v>7.7</v>
      </c>
      <c r="C139" s="23">
        <v>8.4</v>
      </c>
      <c r="D139" s="23">
        <v>-2.2427999999999999</v>
      </c>
      <c r="E139" s="19">
        <v>9.6999999999999993</v>
      </c>
      <c r="F139">
        <v>0</v>
      </c>
      <c r="G139">
        <v>1</v>
      </c>
      <c r="J139">
        <v>1</v>
      </c>
      <c r="K139">
        <v>0</v>
      </c>
      <c r="R139" s="1"/>
      <c r="S139">
        <f t="shared" si="10"/>
        <v>0</v>
      </c>
      <c r="T139">
        <f t="shared" si="11"/>
        <v>0</v>
      </c>
      <c r="U139">
        <f t="shared" si="12"/>
        <v>1</v>
      </c>
      <c r="V139">
        <f t="shared" si="13"/>
        <v>0</v>
      </c>
      <c r="W139" s="1" t="str">
        <f t="shared" si="14"/>
        <v>滞涨</v>
      </c>
      <c r="AB139" s="1"/>
    </row>
    <row r="140" spans="1:28" x14ac:dyDescent="0.35">
      <c r="A140" s="22">
        <v>41912</v>
      </c>
      <c r="B140" s="23">
        <v>8</v>
      </c>
      <c r="C140" s="23">
        <v>8.5</v>
      </c>
      <c r="D140" s="23">
        <v>-1.7996000000000001</v>
      </c>
      <c r="E140" s="19">
        <v>10</v>
      </c>
      <c r="F140">
        <v>0</v>
      </c>
      <c r="G140">
        <v>1</v>
      </c>
      <c r="J140">
        <v>1</v>
      </c>
      <c r="K140">
        <v>0</v>
      </c>
      <c r="R140" s="1"/>
      <c r="S140">
        <f t="shared" si="10"/>
        <v>0</v>
      </c>
      <c r="T140">
        <f t="shared" si="11"/>
        <v>0</v>
      </c>
      <c r="U140">
        <f t="shared" si="12"/>
        <v>1</v>
      </c>
      <c r="V140">
        <f t="shared" si="13"/>
        <v>0</v>
      </c>
      <c r="W140" s="1" t="str">
        <f t="shared" si="14"/>
        <v>滞涨</v>
      </c>
      <c r="AB140" s="1"/>
    </row>
    <row r="141" spans="1:28" x14ac:dyDescent="0.35">
      <c r="A141" s="22">
        <v>41882</v>
      </c>
      <c r="B141" s="23">
        <v>6.9</v>
      </c>
      <c r="C141" s="23">
        <v>8.5</v>
      </c>
      <c r="D141" s="23">
        <v>-1.2038</v>
      </c>
      <c r="E141" s="19">
        <v>10.3</v>
      </c>
      <c r="F141">
        <v>1</v>
      </c>
      <c r="G141">
        <v>0</v>
      </c>
      <c r="J141">
        <v>0</v>
      </c>
      <c r="K141">
        <v>1</v>
      </c>
      <c r="R141" s="1"/>
      <c r="S141">
        <f t="shared" si="10"/>
        <v>1</v>
      </c>
      <c r="T141">
        <f t="shared" si="11"/>
        <v>0</v>
      </c>
      <c r="U141">
        <f t="shared" si="12"/>
        <v>0</v>
      </c>
      <c r="V141">
        <f t="shared" si="13"/>
        <v>0</v>
      </c>
      <c r="W141" s="1" t="str">
        <f t="shared" si="14"/>
        <v>复苏</v>
      </c>
      <c r="AB141" s="1"/>
    </row>
    <row r="142" spans="1:28" x14ac:dyDescent="0.35">
      <c r="A142" s="22">
        <v>41851</v>
      </c>
      <c r="B142" s="23">
        <v>9</v>
      </c>
      <c r="C142" s="23">
        <v>8.8000000000000007</v>
      </c>
      <c r="D142" s="23">
        <v>-0.86880000000000002</v>
      </c>
      <c r="E142" s="19">
        <v>10.199999999999999</v>
      </c>
      <c r="F142">
        <v>0</v>
      </c>
      <c r="G142">
        <v>1</v>
      </c>
      <c r="J142">
        <v>1</v>
      </c>
      <c r="K142">
        <v>0</v>
      </c>
      <c r="R142" s="1"/>
      <c r="S142">
        <f t="shared" si="10"/>
        <v>0</v>
      </c>
      <c r="T142">
        <f t="shared" si="11"/>
        <v>0</v>
      </c>
      <c r="U142">
        <f t="shared" si="12"/>
        <v>1</v>
      </c>
      <c r="V142">
        <f t="shared" si="13"/>
        <v>0</v>
      </c>
      <c r="W142" s="1" t="str">
        <f t="shared" si="14"/>
        <v>滞涨</v>
      </c>
      <c r="AB142" s="1"/>
    </row>
    <row r="143" spans="1:28" x14ac:dyDescent="0.35">
      <c r="A143" s="22">
        <v>41820</v>
      </c>
      <c r="B143" s="23">
        <v>9.1999999999999993</v>
      </c>
      <c r="C143" s="23">
        <v>8.8000000000000007</v>
      </c>
      <c r="D143" s="23">
        <v>-1.1092</v>
      </c>
      <c r="E143" s="19">
        <v>10.4</v>
      </c>
      <c r="F143">
        <v>1</v>
      </c>
      <c r="G143">
        <v>0</v>
      </c>
      <c r="J143">
        <v>1</v>
      </c>
      <c r="K143">
        <v>0</v>
      </c>
      <c r="R143" s="1"/>
      <c r="S143">
        <f t="shared" si="10"/>
        <v>0</v>
      </c>
      <c r="T143">
        <f t="shared" si="11"/>
        <v>1</v>
      </c>
      <c r="U143">
        <f t="shared" si="12"/>
        <v>0</v>
      </c>
      <c r="V143">
        <f t="shared" si="13"/>
        <v>0</v>
      </c>
      <c r="W143" s="1" t="str">
        <f t="shared" si="14"/>
        <v>过热</v>
      </c>
      <c r="AB143" s="1"/>
    </row>
    <row r="144" spans="1:28" x14ac:dyDescent="0.35">
      <c r="A144" s="22">
        <v>41790</v>
      </c>
      <c r="B144" s="23">
        <v>8.8000000000000007</v>
      </c>
      <c r="C144" s="23">
        <v>8.6999999999999993</v>
      </c>
      <c r="D144" s="23">
        <v>-1.4463999999999999</v>
      </c>
      <c r="E144" s="19">
        <v>9.6999999999999993</v>
      </c>
      <c r="F144">
        <v>1</v>
      </c>
      <c r="G144">
        <v>0</v>
      </c>
      <c r="J144">
        <v>1</v>
      </c>
      <c r="K144">
        <v>0</v>
      </c>
      <c r="R144" s="1"/>
      <c r="S144">
        <f t="shared" si="10"/>
        <v>0</v>
      </c>
      <c r="T144">
        <f t="shared" si="11"/>
        <v>1</v>
      </c>
      <c r="U144">
        <f t="shared" si="12"/>
        <v>0</v>
      </c>
      <c r="V144">
        <f t="shared" si="13"/>
        <v>0</v>
      </c>
      <c r="W144" s="1" t="str">
        <f t="shared" si="14"/>
        <v>过热</v>
      </c>
      <c r="AB144" s="1"/>
    </row>
    <row r="145" spans="1:28" x14ac:dyDescent="0.35">
      <c r="A145" s="22">
        <v>41759</v>
      </c>
      <c r="B145" s="23">
        <v>8.6999999999999993</v>
      </c>
      <c r="C145" s="23">
        <v>8.6999999999999993</v>
      </c>
      <c r="D145" s="23">
        <v>-2.0042</v>
      </c>
      <c r="E145" s="19">
        <v>8.9</v>
      </c>
      <c r="F145">
        <v>0</v>
      </c>
      <c r="G145">
        <v>1</v>
      </c>
      <c r="J145">
        <v>1</v>
      </c>
      <c r="K145">
        <v>0</v>
      </c>
      <c r="R145" s="1"/>
      <c r="S145">
        <f t="shared" si="10"/>
        <v>0</v>
      </c>
      <c r="T145">
        <f t="shared" si="11"/>
        <v>0</v>
      </c>
      <c r="U145">
        <f t="shared" si="12"/>
        <v>1</v>
      </c>
      <c r="V145">
        <f t="shared" si="13"/>
        <v>0</v>
      </c>
      <c r="W145" s="1" t="str">
        <f t="shared" si="14"/>
        <v>滞涨</v>
      </c>
      <c r="AB145" s="1"/>
    </row>
    <row r="146" spans="1:28" x14ac:dyDescent="0.35">
      <c r="A146" s="22">
        <v>41729</v>
      </c>
      <c r="B146" s="23">
        <v>8.8000000000000007</v>
      </c>
      <c r="C146" s="23">
        <v>8.6999999999999993</v>
      </c>
      <c r="D146" s="23">
        <v>-2.3018999999999998</v>
      </c>
      <c r="E146" s="19">
        <v>9.1999999999999993</v>
      </c>
      <c r="F146">
        <v>0</v>
      </c>
      <c r="G146">
        <v>1</v>
      </c>
      <c r="J146">
        <v>0</v>
      </c>
      <c r="K146">
        <v>1</v>
      </c>
      <c r="R146" s="1"/>
      <c r="S146">
        <f t="shared" si="10"/>
        <v>0</v>
      </c>
      <c r="T146">
        <f t="shared" si="11"/>
        <v>0</v>
      </c>
      <c r="U146">
        <f t="shared" si="12"/>
        <v>0</v>
      </c>
      <c r="V146">
        <f t="shared" si="13"/>
        <v>1</v>
      </c>
      <c r="W146" s="1" t="str">
        <f t="shared" si="14"/>
        <v>衰退</v>
      </c>
      <c r="AB146" s="1"/>
    </row>
    <row r="147" spans="1:28" x14ac:dyDescent="0.35">
      <c r="A147" s="22">
        <v>41698</v>
      </c>
      <c r="B147" s="23">
        <v>8.8000000000000007</v>
      </c>
      <c r="C147" s="23">
        <v>8.6</v>
      </c>
      <c r="D147" s="23">
        <v>-2</v>
      </c>
      <c r="E147" s="19">
        <v>9.3000000000000007</v>
      </c>
      <c r="F147">
        <v>1</v>
      </c>
      <c r="G147">
        <v>0</v>
      </c>
      <c r="J147">
        <v>0</v>
      </c>
      <c r="K147">
        <v>1</v>
      </c>
      <c r="R147" s="1"/>
      <c r="S147">
        <f t="shared" si="10"/>
        <v>1</v>
      </c>
      <c r="T147">
        <f t="shared" si="11"/>
        <v>0</v>
      </c>
      <c r="U147">
        <f t="shared" si="12"/>
        <v>0</v>
      </c>
      <c r="V147">
        <f t="shared" si="13"/>
        <v>0</v>
      </c>
      <c r="W147" s="1" t="str">
        <f t="shared" si="14"/>
        <v>复苏</v>
      </c>
      <c r="AB147" s="1"/>
    </row>
    <row r="148" spans="1:28" x14ac:dyDescent="0.35">
      <c r="A148" s="22">
        <v>41670</v>
      </c>
      <c r="B148" s="23">
        <v>8.5</v>
      </c>
      <c r="C148" s="23">
        <v>8.5</v>
      </c>
      <c r="D148" s="23">
        <v>-1.64</v>
      </c>
      <c r="E148" s="19">
        <v>8.9</v>
      </c>
      <c r="F148">
        <v>0</v>
      </c>
      <c r="G148">
        <v>1</v>
      </c>
      <c r="J148">
        <v>0</v>
      </c>
      <c r="K148">
        <v>1</v>
      </c>
      <c r="R148" s="1"/>
      <c r="S148">
        <f t="shared" si="10"/>
        <v>0</v>
      </c>
      <c r="T148">
        <f t="shared" si="11"/>
        <v>0</v>
      </c>
      <c r="U148">
        <f t="shared" si="12"/>
        <v>0</v>
      </c>
      <c r="V148">
        <f t="shared" si="13"/>
        <v>1</v>
      </c>
      <c r="W148" s="1" t="str">
        <f t="shared" si="14"/>
        <v>衰退</v>
      </c>
      <c r="AB148" s="1"/>
    </row>
    <row r="149" spans="1:28" x14ac:dyDescent="0.35">
      <c r="A149" s="22">
        <v>41639</v>
      </c>
      <c r="B149" s="23">
        <v>9.6999999999999993</v>
      </c>
      <c r="C149" s="23">
        <v>9.6999999999999993</v>
      </c>
      <c r="D149" s="23">
        <v>-1.36</v>
      </c>
      <c r="E149" s="19">
        <v>9.9</v>
      </c>
      <c r="F149">
        <v>0</v>
      </c>
      <c r="G149">
        <v>1</v>
      </c>
      <c r="J149">
        <v>1</v>
      </c>
      <c r="K149">
        <v>0</v>
      </c>
      <c r="R149" s="1"/>
      <c r="S149">
        <f t="shared" si="10"/>
        <v>0</v>
      </c>
      <c r="T149">
        <f t="shared" si="11"/>
        <v>0</v>
      </c>
      <c r="U149">
        <f t="shared" si="12"/>
        <v>1</v>
      </c>
      <c r="V149">
        <f t="shared" si="13"/>
        <v>0</v>
      </c>
      <c r="W149" s="1" t="str">
        <f t="shared" si="14"/>
        <v>滞涨</v>
      </c>
      <c r="AB149" s="1"/>
    </row>
    <row r="150" spans="1:28" x14ac:dyDescent="0.35">
      <c r="A150" s="22">
        <v>41608</v>
      </c>
      <c r="B150" s="23">
        <v>10</v>
      </c>
      <c r="C150" s="23">
        <v>9.6999999999999993</v>
      </c>
      <c r="D150" s="23">
        <v>-1.42</v>
      </c>
      <c r="E150" s="19">
        <v>9.9</v>
      </c>
      <c r="F150">
        <v>0</v>
      </c>
      <c r="G150">
        <v>1</v>
      </c>
      <c r="J150">
        <v>1</v>
      </c>
      <c r="K150">
        <v>0</v>
      </c>
      <c r="R150" s="1"/>
      <c r="S150">
        <f t="shared" si="10"/>
        <v>0</v>
      </c>
      <c r="T150">
        <f t="shared" si="11"/>
        <v>0</v>
      </c>
      <c r="U150">
        <f t="shared" si="12"/>
        <v>1</v>
      </c>
      <c r="V150">
        <f t="shared" si="13"/>
        <v>0</v>
      </c>
      <c r="W150" s="1" t="str">
        <f t="shared" si="14"/>
        <v>滞涨</v>
      </c>
      <c r="AB150" s="1"/>
    </row>
    <row r="151" spans="1:28" x14ac:dyDescent="0.35">
      <c r="A151" s="22">
        <v>41578</v>
      </c>
      <c r="B151" s="23">
        <v>10.3</v>
      </c>
      <c r="C151" s="23">
        <v>9.6999999999999993</v>
      </c>
      <c r="D151" s="23">
        <v>-1.51</v>
      </c>
      <c r="E151" s="19">
        <v>10.3</v>
      </c>
      <c r="F151">
        <v>1</v>
      </c>
      <c r="G151">
        <v>0</v>
      </c>
      <c r="J151">
        <v>1</v>
      </c>
      <c r="K151">
        <v>0</v>
      </c>
      <c r="R151" s="1"/>
      <c r="S151">
        <f t="shared" si="10"/>
        <v>0</v>
      </c>
      <c r="T151">
        <f t="shared" si="11"/>
        <v>1</v>
      </c>
      <c r="U151">
        <f t="shared" si="12"/>
        <v>0</v>
      </c>
      <c r="V151">
        <f t="shared" si="13"/>
        <v>0</v>
      </c>
      <c r="W151" s="1" t="str">
        <f t="shared" si="14"/>
        <v>过热</v>
      </c>
      <c r="AB151" s="1"/>
    </row>
    <row r="152" spans="1:28" x14ac:dyDescent="0.35">
      <c r="A152" s="22">
        <v>41547</v>
      </c>
      <c r="B152" s="23">
        <v>10.199999999999999</v>
      </c>
      <c r="C152" s="23">
        <v>9.6</v>
      </c>
      <c r="D152" s="23">
        <v>-1.34</v>
      </c>
      <c r="E152" s="19">
        <v>10.1</v>
      </c>
      <c r="F152">
        <v>1</v>
      </c>
      <c r="G152">
        <v>0</v>
      </c>
      <c r="J152">
        <v>1</v>
      </c>
      <c r="K152">
        <v>0</v>
      </c>
      <c r="R152" s="1"/>
      <c r="S152">
        <f t="shared" si="10"/>
        <v>0</v>
      </c>
      <c r="T152">
        <f t="shared" si="11"/>
        <v>1</v>
      </c>
      <c r="U152">
        <f t="shared" si="12"/>
        <v>0</v>
      </c>
      <c r="V152">
        <f t="shared" si="13"/>
        <v>0</v>
      </c>
      <c r="W152" s="1" t="str">
        <f t="shared" si="14"/>
        <v>过热</v>
      </c>
      <c r="AB152" s="1"/>
    </row>
    <row r="153" spans="1:28" x14ac:dyDescent="0.35">
      <c r="A153" s="22">
        <v>41517</v>
      </c>
      <c r="B153" s="23">
        <v>10.4</v>
      </c>
      <c r="C153" s="23">
        <v>9.5</v>
      </c>
      <c r="D153" s="23">
        <v>-1.62</v>
      </c>
      <c r="E153" s="19">
        <v>9.6</v>
      </c>
      <c r="F153">
        <v>1</v>
      </c>
      <c r="G153">
        <v>0</v>
      </c>
      <c r="J153">
        <v>1</v>
      </c>
      <c r="K153">
        <v>0</v>
      </c>
      <c r="R153" s="1"/>
      <c r="S153">
        <f t="shared" si="10"/>
        <v>0</v>
      </c>
      <c r="T153">
        <f t="shared" si="11"/>
        <v>1</v>
      </c>
      <c r="U153">
        <f t="shared" si="12"/>
        <v>0</v>
      </c>
      <c r="V153">
        <f t="shared" si="13"/>
        <v>0</v>
      </c>
      <c r="W153" s="1" t="str">
        <f t="shared" si="14"/>
        <v>过热</v>
      </c>
      <c r="AB153" s="1"/>
    </row>
    <row r="154" spans="1:28" x14ac:dyDescent="0.35">
      <c r="A154" s="22">
        <v>41486</v>
      </c>
      <c r="B154" s="23">
        <v>9.6999999999999993</v>
      </c>
      <c r="C154" s="23">
        <v>9.4</v>
      </c>
      <c r="D154" s="23">
        <v>-2.27</v>
      </c>
      <c r="E154" s="19">
        <v>9.1999999999999993</v>
      </c>
      <c r="F154">
        <v>1</v>
      </c>
      <c r="G154">
        <v>0</v>
      </c>
      <c r="J154">
        <v>0</v>
      </c>
      <c r="K154">
        <v>1</v>
      </c>
      <c r="R154" s="1"/>
      <c r="S154">
        <f t="shared" si="10"/>
        <v>1</v>
      </c>
      <c r="T154">
        <f t="shared" si="11"/>
        <v>0</v>
      </c>
      <c r="U154">
        <f t="shared" si="12"/>
        <v>0</v>
      </c>
      <c r="V154">
        <f t="shared" si="13"/>
        <v>0</v>
      </c>
      <c r="W154" s="1" t="str">
        <f t="shared" si="14"/>
        <v>复苏</v>
      </c>
      <c r="AB154" s="1"/>
    </row>
    <row r="155" spans="1:28" x14ac:dyDescent="0.35">
      <c r="A155" s="22">
        <v>41455</v>
      </c>
      <c r="B155" s="23">
        <v>8.9</v>
      </c>
      <c r="C155" s="23">
        <v>9.3000000000000007</v>
      </c>
      <c r="D155" s="23">
        <v>-2.7</v>
      </c>
      <c r="E155" s="19">
        <v>8.9</v>
      </c>
      <c r="F155">
        <v>0</v>
      </c>
      <c r="G155">
        <v>1</v>
      </c>
      <c r="J155">
        <v>0</v>
      </c>
      <c r="K155">
        <v>1</v>
      </c>
      <c r="R155" s="1"/>
      <c r="S155">
        <f t="shared" si="10"/>
        <v>0</v>
      </c>
      <c r="T155">
        <f t="shared" si="11"/>
        <v>0</v>
      </c>
      <c r="U155">
        <f t="shared" si="12"/>
        <v>0</v>
      </c>
      <c r="V155">
        <f t="shared" si="13"/>
        <v>1</v>
      </c>
      <c r="W155" s="1" t="str">
        <f t="shared" si="14"/>
        <v>衰退</v>
      </c>
      <c r="AB155" s="1"/>
    </row>
    <row r="156" spans="1:28" x14ac:dyDescent="0.35">
      <c r="A156" s="22">
        <v>41425</v>
      </c>
      <c r="B156" s="23">
        <v>9.1999999999999993</v>
      </c>
      <c r="C156" s="23">
        <v>9.4</v>
      </c>
      <c r="D156" s="23">
        <v>-2.87</v>
      </c>
      <c r="E156" s="19">
        <v>9.1999999999999993</v>
      </c>
      <c r="F156">
        <v>0</v>
      </c>
      <c r="G156">
        <v>1</v>
      </c>
      <c r="J156">
        <v>0</v>
      </c>
      <c r="K156">
        <v>1</v>
      </c>
      <c r="R156" s="1"/>
      <c r="S156">
        <f t="shared" si="10"/>
        <v>0</v>
      </c>
      <c r="T156">
        <f t="shared" si="11"/>
        <v>0</v>
      </c>
      <c r="U156">
        <f t="shared" si="12"/>
        <v>0</v>
      </c>
      <c r="V156">
        <f t="shared" si="13"/>
        <v>1</v>
      </c>
      <c r="W156" s="1" t="str">
        <f t="shared" si="14"/>
        <v>衰退</v>
      </c>
      <c r="AB156" s="1"/>
    </row>
    <row r="157" spans="1:28" x14ac:dyDescent="0.35">
      <c r="A157" s="22">
        <v>41394</v>
      </c>
      <c r="B157" s="23">
        <v>9.3000000000000007</v>
      </c>
      <c r="C157" s="23">
        <v>9.4</v>
      </c>
      <c r="D157" s="23">
        <v>-2.62</v>
      </c>
      <c r="E157" s="19">
        <v>9.5</v>
      </c>
      <c r="F157">
        <v>0</v>
      </c>
      <c r="G157">
        <v>1</v>
      </c>
      <c r="J157">
        <v>0</v>
      </c>
      <c r="K157">
        <v>1</v>
      </c>
      <c r="R157" s="1"/>
      <c r="S157">
        <f t="shared" si="10"/>
        <v>0</v>
      </c>
      <c r="T157">
        <f t="shared" si="11"/>
        <v>0</v>
      </c>
      <c r="U157">
        <f t="shared" si="12"/>
        <v>0</v>
      </c>
      <c r="V157">
        <f t="shared" si="13"/>
        <v>1</v>
      </c>
      <c r="W157" s="1" t="str">
        <f t="shared" si="14"/>
        <v>衰退</v>
      </c>
      <c r="AB157" s="1"/>
    </row>
    <row r="158" spans="1:28" x14ac:dyDescent="0.35">
      <c r="A158" s="22">
        <v>41364</v>
      </c>
      <c r="B158" s="23">
        <v>8.9</v>
      </c>
      <c r="C158" s="23">
        <v>9.5</v>
      </c>
      <c r="D158" s="23">
        <v>-1.92</v>
      </c>
      <c r="E158" s="19">
        <v>9.6</v>
      </c>
      <c r="F158">
        <v>1</v>
      </c>
      <c r="G158">
        <v>0</v>
      </c>
      <c r="J158">
        <v>0</v>
      </c>
      <c r="K158">
        <v>1</v>
      </c>
      <c r="R158" s="1"/>
      <c r="S158">
        <f t="shared" si="10"/>
        <v>1</v>
      </c>
      <c r="T158">
        <f t="shared" si="11"/>
        <v>0</v>
      </c>
      <c r="U158">
        <f t="shared" si="12"/>
        <v>0</v>
      </c>
      <c r="V158">
        <f t="shared" si="13"/>
        <v>0</v>
      </c>
      <c r="W158" s="1" t="str">
        <f t="shared" si="14"/>
        <v>复苏</v>
      </c>
      <c r="AB158" s="1"/>
    </row>
    <row r="159" spans="1:28" x14ac:dyDescent="0.35">
      <c r="A159" s="22">
        <v>41333</v>
      </c>
      <c r="B159" s="23">
        <v>2.2000000000000002</v>
      </c>
      <c r="C159" s="23">
        <v>9.9</v>
      </c>
      <c r="D159" s="23">
        <v>-1.63</v>
      </c>
      <c r="E159" s="19">
        <v>9.3000000000000007</v>
      </c>
      <c r="F159">
        <v>0</v>
      </c>
      <c r="G159">
        <v>1</v>
      </c>
      <c r="J159">
        <v>0</v>
      </c>
      <c r="K159">
        <v>1</v>
      </c>
      <c r="R159" s="1"/>
      <c r="S159">
        <f t="shared" si="10"/>
        <v>0</v>
      </c>
      <c r="T159">
        <f t="shared" si="11"/>
        <v>0</v>
      </c>
      <c r="U159">
        <f t="shared" si="12"/>
        <v>0</v>
      </c>
      <c r="V159">
        <f t="shared" si="13"/>
        <v>1</v>
      </c>
      <c r="W159" s="1" t="str">
        <f t="shared" si="14"/>
        <v>衰退</v>
      </c>
      <c r="AB159" s="1"/>
    </row>
    <row r="160" spans="1:28" x14ac:dyDescent="0.35">
      <c r="A160" s="22">
        <v>41305</v>
      </c>
      <c r="B160" s="23">
        <v>17.7</v>
      </c>
      <c r="C160" s="23">
        <v>17.7</v>
      </c>
      <c r="D160" s="23">
        <v>-1.64</v>
      </c>
      <c r="E160" s="19">
        <v>11.9</v>
      </c>
      <c r="F160">
        <v>1</v>
      </c>
      <c r="G160">
        <v>0</v>
      </c>
      <c r="J160">
        <v>0</v>
      </c>
      <c r="K160">
        <v>1</v>
      </c>
      <c r="R160" s="1"/>
      <c r="S160">
        <f t="shared" si="10"/>
        <v>1</v>
      </c>
      <c r="T160">
        <f t="shared" si="11"/>
        <v>0</v>
      </c>
      <c r="U160">
        <f t="shared" si="12"/>
        <v>0</v>
      </c>
      <c r="V160">
        <f t="shared" si="13"/>
        <v>0</v>
      </c>
      <c r="W160" s="1" t="str">
        <f t="shared" si="14"/>
        <v>复苏</v>
      </c>
      <c r="AB160" s="1"/>
    </row>
    <row r="161" spans="1:28" x14ac:dyDescent="0.35">
      <c r="A161" s="22">
        <v>41274</v>
      </c>
      <c r="B161" s="23">
        <v>10.3</v>
      </c>
      <c r="C161" s="23">
        <v>10</v>
      </c>
      <c r="D161" s="23">
        <v>-1.94</v>
      </c>
      <c r="E161" s="19">
        <v>11.4</v>
      </c>
      <c r="F161">
        <v>0</v>
      </c>
      <c r="G161">
        <v>1</v>
      </c>
      <c r="J161">
        <v>0</v>
      </c>
      <c r="K161">
        <v>1</v>
      </c>
      <c r="R161" s="1"/>
      <c r="S161">
        <f t="shared" si="10"/>
        <v>0</v>
      </c>
      <c r="T161">
        <f t="shared" si="11"/>
        <v>0</v>
      </c>
      <c r="U161">
        <f t="shared" si="12"/>
        <v>0</v>
      </c>
      <c r="V161">
        <f t="shared" si="13"/>
        <v>1</v>
      </c>
      <c r="W161" s="1" t="str">
        <f t="shared" si="14"/>
        <v>衰退</v>
      </c>
      <c r="AB161" s="1"/>
    </row>
    <row r="162" spans="1:28" x14ac:dyDescent="0.35">
      <c r="A162" s="22">
        <v>41243</v>
      </c>
      <c r="B162" s="23">
        <v>10.1</v>
      </c>
      <c r="C162" s="23">
        <v>10</v>
      </c>
      <c r="D162" s="23">
        <v>-2.2000000000000002</v>
      </c>
      <c r="E162" s="19">
        <v>11.4</v>
      </c>
      <c r="F162">
        <v>0</v>
      </c>
      <c r="G162">
        <v>1</v>
      </c>
      <c r="J162">
        <v>0</v>
      </c>
      <c r="K162">
        <v>1</v>
      </c>
      <c r="R162" s="1"/>
      <c r="S162">
        <f t="shared" si="10"/>
        <v>0</v>
      </c>
      <c r="T162">
        <f t="shared" si="11"/>
        <v>0</v>
      </c>
      <c r="U162">
        <f t="shared" si="12"/>
        <v>0</v>
      </c>
      <c r="V162">
        <f t="shared" si="13"/>
        <v>1</v>
      </c>
      <c r="W162" s="1" t="str">
        <f t="shared" si="14"/>
        <v>衰退</v>
      </c>
      <c r="AB162" s="1"/>
    </row>
    <row r="163" spans="1:28" x14ac:dyDescent="0.35">
      <c r="A163" s="22">
        <v>41213</v>
      </c>
      <c r="B163" s="23">
        <v>9.6</v>
      </c>
      <c r="C163" s="23">
        <v>10</v>
      </c>
      <c r="D163" s="23">
        <v>-2.76</v>
      </c>
      <c r="E163" s="19">
        <v>12.8</v>
      </c>
      <c r="F163">
        <v>1</v>
      </c>
      <c r="G163">
        <v>0</v>
      </c>
      <c r="J163">
        <v>0</v>
      </c>
      <c r="K163">
        <v>1</v>
      </c>
      <c r="R163" s="1"/>
      <c r="S163">
        <f t="shared" si="10"/>
        <v>1</v>
      </c>
      <c r="T163">
        <f t="shared" si="11"/>
        <v>0</v>
      </c>
      <c r="U163">
        <f t="shared" si="12"/>
        <v>0</v>
      </c>
      <c r="V163">
        <f t="shared" si="13"/>
        <v>0</v>
      </c>
      <c r="W163" s="1" t="str">
        <f t="shared" si="14"/>
        <v>复苏</v>
      </c>
      <c r="AB163" s="1"/>
    </row>
    <row r="164" spans="1:28" x14ac:dyDescent="0.35">
      <c r="A164" s="22">
        <v>41182</v>
      </c>
      <c r="B164" s="23">
        <v>9.1999999999999993</v>
      </c>
      <c r="C164" s="23">
        <v>10</v>
      </c>
      <c r="D164" s="23">
        <v>-3.55</v>
      </c>
      <c r="E164" s="19">
        <v>12.4</v>
      </c>
      <c r="F164">
        <v>0</v>
      </c>
      <c r="G164">
        <v>1</v>
      </c>
      <c r="J164">
        <v>0</v>
      </c>
      <c r="K164">
        <v>1</v>
      </c>
      <c r="R164" s="1"/>
      <c r="S164">
        <f t="shared" si="10"/>
        <v>0</v>
      </c>
      <c r="T164">
        <f t="shared" si="11"/>
        <v>0</v>
      </c>
      <c r="U164">
        <f t="shared" si="12"/>
        <v>0</v>
      </c>
      <c r="V164">
        <f t="shared" si="13"/>
        <v>1</v>
      </c>
      <c r="W164" s="1" t="str">
        <f t="shared" si="14"/>
        <v>衰退</v>
      </c>
      <c r="AB164" s="1"/>
    </row>
    <row r="165" spans="1:28" x14ac:dyDescent="0.35">
      <c r="A165" s="22">
        <v>41152</v>
      </c>
      <c r="B165" s="23">
        <v>8.9</v>
      </c>
      <c r="C165" s="23">
        <v>10.1</v>
      </c>
      <c r="D165" s="23">
        <v>-3.48</v>
      </c>
      <c r="E165" s="19">
        <v>13.2</v>
      </c>
      <c r="F165">
        <v>0</v>
      </c>
      <c r="G165">
        <v>1</v>
      </c>
      <c r="J165">
        <v>0</v>
      </c>
      <c r="K165">
        <v>1</v>
      </c>
      <c r="R165" s="1"/>
      <c r="S165">
        <f t="shared" si="10"/>
        <v>0</v>
      </c>
      <c r="T165">
        <f t="shared" si="11"/>
        <v>0</v>
      </c>
      <c r="U165">
        <f t="shared" si="12"/>
        <v>0</v>
      </c>
      <c r="V165">
        <f t="shared" si="13"/>
        <v>1</v>
      </c>
      <c r="W165" s="1" t="str">
        <f t="shared" si="14"/>
        <v>衰退</v>
      </c>
      <c r="AB165" s="1"/>
    </row>
    <row r="166" spans="1:28" x14ac:dyDescent="0.35">
      <c r="A166" s="22">
        <v>41121</v>
      </c>
      <c r="B166" s="23">
        <v>9.1999999999999993</v>
      </c>
      <c r="C166" s="23">
        <v>10.3</v>
      </c>
      <c r="D166" s="23">
        <v>-2.87</v>
      </c>
      <c r="E166" s="19">
        <v>13.8</v>
      </c>
      <c r="F166">
        <v>1</v>
      </c>
      <c r="G166">
        <v>0</v>
      </c>
      <c r="J166">
        <v>0</v>
      </c>
      <c r="K166">
        <v>1</v>
      </c>
      <c r="R166" s="1"/>
      <c r="S166">
        <f t="shared" si="10"/>
        <v>1</v>
      </c>
      <c r="T166">
        <f t="shared" si="11"/>
        <v>0</v>
      </c>
      <c r="U166">
        <f t="shared" si="12"/>
        <v>0</v>
      </c>
      <c r="V166">
        <f t="shared" si="13"/>
        <v>0</v>
      </c>
      <c r="W166" s="1" t="str">
        <f t="shared" si="14"/>
        <v>复苏</v>
      </c>
      <c r="AB166" s="1"/>
    </row>
    <row r="167" spans="1:28" x14ac:dyDescent="0.35">
      <c r="A167" s="22">
        <v>41090</v>
      </c>
      <c r="B167" s="23">
        <v>9.5</v>
      </c>
      <c r="C167" s="23">
        <v>10.5</v>
      </c>
      <c r="D167" s="23">
        <v>-2.08</v>
      </c>
      <c r="E167" s="19">
        <v>13.5</v>
      </c>
      <c r="F167">
        <v>0</v>
      </c>
      <c r="G167">
        <v>1</v>
      </c>
      <c r="J167">
        <v>0</v>
      </c>
      <c r="K167">
        <v>1</v>
      </c>
      <c r="R167" s="1"/>
      <c r="S167">
        <f t="shared" si="10"/>
        <v>0</v>
      </c>
      <c r="T167">
        <f t="shared" si="11"/>
        <v>0</v>
      </c>
      <c r="U167">
        <f t="shared" si="12"/>
        <v>0</v>
      </c>
      <c r="V167">
        <f t="shared" si="13"/>
        <v>1</v>
      </c>
      <c r="W167" s="1" t="str">
        <f t="shared" si="14"/>
        <v>衰退</v>
      </c>
      <c r="AB167" s="1"/>
    </row>
    <row r="168" spans="1:28" x14ac:dyDescent="0.35">
      <c r="A168" s="22">
        <v>41060</v>
      </c>
      <c r="B168" s="23">
        <v>9.6</v>
      </c>
      <c r="C168" s="23">
        <v>10.7</v>
      </c>
      <c r="D168" s="23">
        <v>-1.4</v>
      </c>
      <c r="E168" s="19">
        <v>14</v>
      </c>
      <c r="F168">
        <v>0</v>
      </c>
      <c r="G168">
        <v>1</v>
      </c>
      <c r="J168">
        <v>1</v>
      </c>
      <c r="K168">
        <v>0</v>
      </c>
      <c r="R168" s="1"/>
      <c r="S168">
        <f t="shared" si="10"/>
        <v>0</v>
      </c>
      <c r="T168">
        <f t="shared" si="11"/>
        <v>0</v>
      </c>
      <c r="U168">
        <f t="shared" si="12"/>
        <v>1</v>
      </c>
      <c r="V168">
        <f t="shared" si="13"/>
        <v>0</v>
      </c>
      <c r="W168" s="1" t="str">
        <f t="shared" si="14"/>
        <v>滞涨</v>
      </c>
      <c r="AB168" s="1"/>
    </row>
    <row r="169" spans="1:28" x14ac:dyDescent="0.35">
      <c r="A169" s="22">
        <v>41029</v>
      </c>
      <c r="B169" s="23">
        <v>9.3000000000000007</v>
      </c>
      <c r="C169" s="23">
        <v>11</v>
      </c>
      <c r="D169" s="23">
        <v>-0.7</v>
      </c>
      <c r="E169" s="19">
        <v>15.1</v>
      </c>
      <c r="F169">
        <v>1</v>
      </c>
      <c r="G169">
        <v>0</v>
      </c>
      <c r="J169">
        <v>1</v>
      </c>
      <c r="K169">
        <v>0</v>
      </c>
      <c r="R169" s="1"/>
      <c r="S169">
        <f t="shared" si="10"/>
        <v>0</v>
      </c>
      <c r="T169">
        <f t="shared" si="11"/>
        <v>1</v>
      </c>
      <c r="U169">
        <f t="shared" si="12"/>
        <v>0</v>
      </c>
      <c r="V169">
        <f t="shared" si="13"/>
        <v>0</v>
      </c>
      <c r="W169" s="1" t="str">
        <f t="shared" si="14"/>
        <v>过热</v>
      </c>
      <c r="AB169" s="1"/>
    </row>
    <row r="170" spans="1:28" x14ac:dyDescent="0.35">
      <c r="A170" s="22">
        <v>40999</v>
      </c>
      <c r="B170" s="23">
        <v>11.9</v>
      </c>
      <c r="C170" s="23">
        <v>11.6</v>
      </c>
      <c r="D170" s="23">
        <v>-0.32</v>
      </c>
      <c r="E170" s="19">
        <v>13.3</v>
      </c>
      <c r="F170">
        <v>0</v>
      </c>
      <c r="G170">
        <v>1</v>
      </c>
      <c r="J170">
        <v>0</v>
      </c>
      <c r="K170">
        <v>1</v>
      </c>
      <c r="R170" s="1"/>
      <c r="S170">
        <f t="shared" si="10"/>
        <v>0</v>
      </c>
      <c r="T170">
        <f t="shared" si="11"/>
        <v>0</v>
      </c>
      <c r="U170">
        <f t="shared" si="12"/>
        <v>0</v>
      </c>
      <c r="V170">
        <f t="shared" si="13"/>
        <v>1</v>
      </c>
      <c r="W170" s="1" t="str">
        <f t="shared" si="14"/>
        <v>衰退</v>
      </c>
      <c r="AB170" s="1"/>
    </row>
    <row r="171" spans="1:28" x14ac:dyDescent="0.35">
      <c r="A171" s="22">
        <v>40968</v>
      </c>
      <c r="B171" s="23">
        <v>21.3</v>
      </c>
      <c r="C171" s="23">
        <v>11.4</v>
      </c>
      <c r="D171" s="23">
        <v>0.03</v>
      </c>
      <c r="E171" s="19">
        <v>13.4</v>
      </c>
      <c r="F171">
        <v>0</v>
      </c>
      <c r="G171">
        <v>1</v>
      </c>
      <c r="J171">
        <v>0</v>
      </c>
      <c r="K171">
        <v>1</v>
      </c>
      <c r="R171" s="1"/>
      <c r="S171">
        <f t="shared" si="10"/>
        <v>0</v>
      </c>
      <c r="T171">
        <f t="shared" si="11"/>
        <v>0</v>
      </c>
      <c r="U171">
        <f t="shared" si="12"/>
        <v>0</v>
      </c>
      <c r="V171">
        <f t="shared" si="13"/>
        <v>1</v>
      </c>
      <c r="W171" s="1" t="str">
        <f t="shared" si="14"/>
        <v>衰退</v>
      </c>
      <c r="AB171" s="1"/>
    </row>
    <row r="172" spans="1:28" x14ac:dyDescent="0.35">
      <c r="A172" s="22">
        <v>40939</v>
      </c>
      <c r="B172" s="23">
        <v>2.8</v>
      </c>
      <c r="C172" s="23">
        <v>2.8</v>
      </c>
      <c r="D172" s="23">
        <v>0.73</v>
      </c>
      <c r="E172" s="19">
        <v>14.8</v>
      </c>
      <c r="F172">
        <v>1</v>
      </c>
      <c r="G172">
        <v>0</v>
      </c>
      <c r="J172">
        <v>1</v>
      </c>
      <c r="K172">
        <v>0</v>
      </c>
      <c r="R172" s="1"/>
      <c r="S172">
        <f t="shared" si="10"/>
        <v>0</v>
      </c>
      <c r="T172">
        <f t="shared" si="11"/>
        <v>1</v>
      </c>
      <c r="U172">
        <f t="shared" si="12"/>
        <v>0</v>
      </c>
      <c r="V172">
        <f t="shared" si="13"/>
        <v>0</v>
      </c>
      <c r="W172" s="1" t="str">
        <f t="shared" si="14"/>
        <v>过热</v>
      </c>
      <c r="AB172" s="1"/>
    </row>
    <row r="173" spans="1:28" x14ac:dyDescent="0.35">
      <c r="A173" s="22">
        <v>40908</v>
      </c>
      <c r="B173" s="23">
        <v>12.8</v>
      </c>
      <c r="C173" s="23">
        <v>13.9</v>
      </c>
      <c r="D173" s="23">
        <v>1.69</v>
      </c>
      <c r="E173" s="19">
        <v>14.1</v>
      </c>
      <c r="F173">
        <v>1</v>
      </c>
      <c r="G173">
        <v>0</v>
      </c>
      <c r="J173">
        <v>1</v>
      </c>
      <c r="K173">
        <v>0</v>
      </c>
      <c r="R173" s="1"/>
      <c r="S173">
        <f t="shared" si="10"/>
        <v>0</v>
      </c>
      <c r="T173">
        <f t="shared" si="11"/>
        <v>1</v>
      </c>
      <c r="U173">
        <f t="shared" si="12"/>
        <v>0</v>
      </c>
      <c r="V173">
        <f t="shared" si="13"/>
        <v>0</v>
      </c>
      <c r="W173" s="1" t="str">
        <f t="shared" si="14"/>
        <v>过热</v>
      </c>
      <c r="AB173" s="1"/>
    </row>
    <row r="174" spans="1:28" x14ac:dyDescent="0.35">
      <c r="A174" s="22">
        <v>40877</v>
      </c>
      <c r="B174" s="23">
        <v>12.4</v>
      </c>
      <c r="C174" s="23">
        <v>14</v>
      </c>
      <c r="D174" s="23">
        <v>2.72</v>
      </c>
      <c r="E174" s="19">
        <v>14.1</v>
      </c>
      <c r="F174">
        <v>1</v>
      </c>
      <c r="G174">
        <v>0</v>
      </c>
      <c r="J174">
        <v>1</v>
      </c>
      <c r="K174">
        <v>0</v>
      </c>
      <c r="R174" s="1"/>
      <c r="S174">
        <f t="shared" si="10"/>
        <v>0</v>
      </c>
      <c r="T174">
        <f t="shared" si="11"/>
        <v>1</v>
      </c>
      <c r="U174">
        <f t="shared" si="12"/>
        <v>0</v>
      </c>
      <c r="V174">
        <f t="shared" si="13"/>
        <v>0</v>
      </c>
      <c r="W174" s="1" t="str">
        <f t="shared" si="14"/>
        <v>过热</v>
      </c>
      <c r="AB174" s="1"/>
    </row>
    <row r="175" spans="1:28" x14ac:dyDescent="0.35">
      <c r="A175" s="22">
        <v>40847</v>
      </c>
      <c r="B175" s="23">
        <v>13.2</v>
      </c>
      <c r="C175" s="23">
        <v>14.1</v>
      </c>
      <c r="D175" s="23">
        <v>5</v>
      </c>
      <c r="E175" s="19">
        <v>13.5</v>
      </c>
      <c r="F175">
        <v>1</v>
      </c>
      <c r="G175">
        <v>0</v>
      </c>
      <c r="J175">
        <v>0</v>
      </c>
      <c r="K175">
        <v>1</v>
      </c>
      <c r="R175" s="1"/>
      <c r="S175">
        <f t="shared" si="10"/>
        <v>1</v>
      </c>
      <c r="T175">
        <f t="shared" si="11"/>
        <v>0</v>
      </c>
      <c r="U175">
        <f t="shared" si="12"/>
        <v>0</v>
      </c>
      <c r="V175">
        <f t="shared" si="13"/>
        <v>0</v>
      </c>
      <c r="W175" s="1" t="str">
        <f t="shared" si="14"/>
        <v>复苏</v>
      </c>
      <c r="AB175" s="1"/>
    </row>
    <row r="176" spans="1:28" x14ac:dyDescent="0.35">
      <c r="A176" s="22">
        <v>40816</v>
      </c>
      <c r="B176" s="23">
        <v>13.8</v>
      </c>
      <c r="C176" s="23">
        <v>14.2</v>
      </c>
      <c r="D176" s="23">
        <v>6.52</v>
      </c>
      <c r="E176" s="19">
        <v>13.3</v>
      </c>
      <c r="F176">
        <v>1</v>
      </c>
      <c r="G176">
        <v>0</v>
      </c>
      <c r="J176">
        <v>1</v>
      </c>
      <c r="K176">
        <v>0</v>
      </c>
      <c r="R176" s="1"/>
      <c r="S176">
        <f t="shared" si="10"/>
        <v>0</v>
      </c>
      <c r="T176">
        <f t="shared" si="11"/>
        <v>1</v>
      </c>
      <c r="U176">
        <f t="shared" si="12"/>
        <v>0</v>
      </c>
      <c r="V176">
        <f t="shared" si="13"/>
        <v>0</v>
      </c>
      <c r="W176" s="1" t="str">
        <f t="shared" si="14"/>
        <v>过热</v>
      </c>
      <c r="AB176" s="1"/>
    </row>
    <row r="177" spans="1:28" x14ac:dyDescent="0.35">
      <c r="A177" s="22">
        <v>40786</v>
      </c>
      <c r="B177" s="23">
        <v>13.5</v>
      </c>
      <c r="C177" s="23">
        <v>14.2</v>
      </c>
      <c r="D177" s="23">
        <v>7.25</v>
      </c>
      <c r="E177" s="19">
        <v>13.1</v>
      </c>
      <c r="F177">
        <v>0</v>
      </c>
      <c r="G177">
        <v>1</v>
      </c>
      <c r="J177">
        <v>1</v>
      </c>
      <c r="K177">
        <v>0</v>
      </c>
      <c r="R177" s="1"/>
      <c r="S177">
        <f t="shared" si="10"/>
        <v>0</v>
      </c>
      <c r="T177">
        <f t="shared" si="11"/>
        <v>0</v>
      </c>
      <c r="U177">
        <f t="shared" si="12"/>
        <v>1</v>
      </c>
      <c r="V177">
        <f t="shared" si="13"/>
        <v>0</v>
      </c>
      <c r="W177" s="1" t="str">
        <f t="shared" si="14"/>
        <v>滞涨</v>
      </c>
      <c r="AB177" s="1"/>
    </row>
    <row r="178" spans="1:28" x14ac:dyDescent="0.35">
      <c r="A178" s="22">
        <v>40755</v>
      </c>
      <c r="B178" s="23">
        <v>14</v>
      </c>
      <c r="C178" s="23">
        <v>14.3</v>
      </c>
      <c r="D178" s="23">
        <v>7.54</v>
      </c>
      <c r="E178" s="19">
        <v>13.3</v>
      </c>
      <c r="F178">
        <v>0</v>
      </c>
      <c r="G178">
        <v>1</v>
      </c>
      <c r="J178">
        <v>1</v>
      </c>
      <c r="K178">
        <v>0</v>
      </c>
      <c r="R178" s="1"/>
      <c r="S178">
        <f t="shared" si="10"/>
        <v>0</v>
      </c>
      <c r="T178">
        <f t="shared" si="11"/>
        <v>0</v>
      </c>
      <c r="U178">
        <f t="shared" si="12"/>
        <v>1</v>
      </c>
      <c r="V178">
        <f t="shared" si="13"/>
        <v>0</v>
      </c>
      <c r="W178" s="1" t="str">
        <f t="shared" si="14"/>
        <v>滞涨</v>
      </c>
      <c r="AB178" s="1"/>
    </row>
    <row r="179" spans="1:28" x14ac:dyDescent="0.35">
      <c r="A179" s="22">
        <v>40724</v>
      </c>
      <c r="B179" s="23">
        <v>15.1</v>
      </c>
      <c r="C179" s="23">
        <v>14.3</v>
      </c>
      <c r="D179" s="23">
        <v>7.12</v>
      </c>
      <c r="E179" s="19">
        <v>13.9</v>
      </c>
      <c r="F179">
        <v>1</v>
      </c>
      <c r="G179">
        <v>0</v>
      </c>
      <c r="J179">
        <v>0</v>
      </c>
      <c r="K179">
        <v>1</v>
      </c>
      <c r="R179" s="1"/>
      <c r="S179">
        <f t="shared" si="10"/>
        <v>1</v>
      </c>
      <c r="T179">
        <f t="shared" si="11"/>
        <v>0</v>
      </c>
      <c r="U179">
        <f t="shared" si="12"/>
        <v>0</v>
      </c>
      <c r="V179">
        <f t="shared" si="13"/>
        <v>0</v>
      </c>
      <c r="W179" s="1" t="str">
        <f t="shared" si="14"/>
        <v>复苏</v>
      </c>
      <c r="AB179" s="1"/>
    </row>
    <row r="180" spans="1:28" x14ac:dyDescent="0.35">
      <c r="A180" s="22">
        <v>40694</v>
      </c>
      <c r="B180" s="23">
        <v>13.3</v>
      </c>
      <c r="C180" s="23">
        <v>14</v>
      </c>
      <c r="D180" s="23">
        <v>6.79</v>
      </c>
      <c r="E180" s="19">
        <v>13.4</v>
      </c>
      <c r="F180">
        <v>0</v>
      </c>
      <c r="G180">
        <v>1</v>
      </c>
      <c r="J180">
        <v>0</v>
      </c>
      <c r="K180">
        <v>1</v>
      </c>
      <c r="R180" s="1"/>
      <c r="S180">
        <f t="shared" si="10"/>
        <v>0</v>
      </c>
      <c r="T180">
        <f t="shared" si="11"/>
        <v>0</v>
      </c>
      <c r="U180">
        <f t="shared" si="12"/>
        <v>0</v>
      </c>
      <c r="V180">
        <f t="shared" si="13"/>
        <v>1</v>
      </c>
      <c r="W180" s="1" t="str">
        <f t="shared" si="14"/>
        <v>衰退</v>
      </c>
      <c r="AB180" s="1"/>
    </row>
    <row r="181" spans="1:28" x14ac:dyDescent="0.35">
      <c r="A181" s="22">
        <v>40663</v>
      </c>
      <c r="B181" s="23">
        <v>13.4</v>
      </c>
      <c r="C181" s="23">
        <v>14.2</v>
      </c>
      <c r="D181" s="23">
        <v>6.82</v>
      </c>
      <c r="E181" s="19">
        <v>13.7</v>
      </c>
      <c r="F181">
        <v>0</v>
      </c>
      <c r="G181">
        <v>1</v>
      </c>
      <c r="J181">
        <v>0</v>
      </c>
      <c r="K181">
        <v>1</v>
      </c>
      <c r="R181" s="1"/>
      <c r="S181">
        <f t="shared" si="10"/>
        <v>0</v>
      </c>
      <c r="T181">
        <f t="shared" si="11"/>
        <v>0</v>
      </c>
      <c r="U181">
        <f t="shared" si="12"/>
        <v>0</v>
      </c>
      <c r="V181">
        <f t="shared" si="13"/>
        <v>1</v>
      </c>
      <c r="W181" s="1" t="str">
        <f t="shared" si="14"/>
        <v>衰退</v>
      </c>
      <c r="AB181" s="1"/>
    </row>
    <row r="182" spans="1:28" x14ac:dyDescent="0.35">
      <c r="A182" s="22">
        <v>40633</v>
      </c>
      <c r="B182" s="23">
        <v>14.8</v>
      </c>
      <c r="C182" s="23">
        <v>14.4</v>
      </c>
      <c r="D182" s="23">
        <v>7.31</v>
      </c>
      <c r="E182" s="19">
        <v>16.5</v>
      </c>
      <c r="F182">
        <v>0</v>
      </c>
      <c r="G182">
        <v>1</v>
      </c>
      <c r="J182">
        <v>1</v>
      </c>
      <c r="K182">
        <v>0</v>
      </c>
      <c r="R182" s="1"/>
      <c r="S182">
        <f t="shared" si="10"/>
        <v>0</v>
      </c>
      <c r="T182">
        <f t="shared" si="11"/>
        <v>0</v>
      </c>
      <c r="U182">
        <f t="shared" si="12"/>
        <v>1</v>
      </c>
      <c r="V182">
        <f t="shared" si="13"/>
        <v>0</v>
      </c>
      <c r="W182" s="1" t="str">
        <f t="shared" si="14"/>
        <v>滞涨</v>
      </c>
      <c r="AB182" s="1"/>
    </row>
    <row r="183" spans="1:28" x14ac:dyDescent="0.35">
      <c r="A183" s="22">
        <v>40602</v>
      </c>
      <c r="B183" s="23">
        <v>14.9</v>
      </c>
      <c r="C183" s="23">
        <v>14.1</v>
      </c>
      <c r="D183" s="23">
        <v>7.23</v>
      </c>
      <c r="E183" s="19">
        <v>17.8</v>
      </c>
      <c r="F183">
        <v>0</v>
      </c>
      <c r="G183">
        <v>1</v>
      </c>
      <c r="J183">
        <v>1</v>
      </c>
      <c r="K183">
        <v>0</v>
      </c>
      <c r="R183" s="1"/>
      <c r="S183">
        <f t="shared" si="10"/>
        <v>0</v>
      </c>
      <c r="T183">
        <f t="shared" si="11"/>
        <v>0</v>
      </c>
      <c r="U183">
        <f t="shared" si="12"/>
        <v>1</v>
      </c>
      <c r="V183">
        <f t="shared" si="13"/>
        <v>0</v>
      </c>
      <c r="W183" s="1" t="str">
        <f t="shared" si="14"/>
        <v>滞涨</v>
      </c>
      <c r="AB183" s="1"/>
    </row>
    <row r="184" spans="1:28" x14ac:dyDescent="0.35">
      <c r="A184" s="22">
        <v>40574</v>
      </c>
      <c r="B184" s="23">
        <v>13.3</v>
      </c>
      <c r="C184" s="23">
        <v>13.3</v>
      </c>
      <c r="D184" s="23">
        <v>6.6</v>
      </c>
      <c r="E184" s="19">
        <v>18.100000000000001</v>
      </c>
      <c r="F184">
        <v>0</v>
      </c>
      <c r="G184">
        <v>1</v>
      </c>
      <c r="J184">
        <v>1</v>
      </c>
      <c r="K184">
        <v>0</v>
      </c>
      <c r="R184" s="1"/>
      <c r="S184">
        <f t="shared" si="10"/>
        <v>0</v>
      </c>
      <c r="T184">
        <f t="shared" si="11"/>
        <v>0</v>
      </c>
      <c r="U184">
        <f t="shared" si="12"/>
        <v>1</v>
      </c>
      <c r="V184">
        <f t="shared" si="13"/>
        <v>0</v>
      </c>
      <c r="W184" s="1" t="str">
        <f t="shared" si="14"/>
        <v>滞涨</v>
      </c>
      <c r="AB184" s="1"/>
    </row>
    <row r="185" spans="1:28" x14ac:dyDescent="0.35">
      <c r="A185" s="22">
        <v>40543</v>
      </c>
      <c r="B185" s="23">
        <v>13.5</v>
      </c>
      <c r="C185" s="23">
        <v>15.7</v>
      </c>
      <c r="D185" s="23">
        <v>5.93</v>
      </c>
      <c r="E185" s="19">
        <v>20.7</v>
      </c>
      <c r="F185">
        <v>1</v>
      </c>
      <c r="G185">
        <v>0</v>
      </c>
      <c r="J185">
        <v>1</v>
      </c>
      <c r="K185">
        <v>0</v>
      </c>
      <c r="R185" s="1"/>
      <c r="S185">
        <f t="shared" si="10"/>
        <v>0</v>
      </c>
      <c r="T185">
        <f t="shared" si="11"/>
        <v>1</v>
      </c>
      <c r="U185">
        <f t="shared" si="12"/>
        <v>0</v>
      </c>
      <c r="V185">
        <f t="shared" si="13"/>
        <v>0</v>
      </c>
      <c r="W185" s="1" t="str">
        <f t="shared" si="14"/>
        <v>过热</v>
      </c>
      <c r="AB185" s="1"/>
    </row>
    <row r="186" spans="1:28" x14ac:dyDescent="0.35">
      <c r="A186" s="22">
        <v>40512</v>
      </c>
      <c r="B186" s="23">
        <v>13.3</v>
      </c>
      <c r="C186" s="23">
        <v>15.8</v>
      </c>
      <c r="D186" s="23">
        <v>6.06</v>
      </c>
      <c r="E186" s="19">
        <v>20.7</v>
      </c>
      <c r="F186">
        <v>1</v>
      </c>
      <c r="G186">
        <v>0</v>
      </c>
      <c r="J186">
        <v>1</v>
      </c>
      <c r="K186">
        <v>0</v>
      </c>
      <c r="R186" s="1"/>
      <c r="S186">
        <f t="shared" si="10"/>
        <v>0</v>
      </c>
      <c r="T186">
        <f t="shared" si="11"/>
        <v>1</v>
      </c>
      <c r="U186">
        <f t="shared" si="12"/>
        <v>0</v>
      </c>
      <c r="V186">
        <f t="shared" si="13"/>
        <v>0</v>
      </c>
      <c r="W186" s="1" t="str">
        <f t="shared" si="14"/>
        <v>过热</v>
      </c>
      <c r="AB186" s="1"/>
    </row>
    <row r="187" spans="1:28" x14ac:dyDescent="0.35">
      <c r="A187" s="22">
        <v>40482</v>
      </c>
      <c r="B187" s="23">
        <v>13.1</v>
      </c>
      <c r="C187" s="23">
        <v>16.100000000000001</v>
      </c>
      <c r="D187" s="23">
        <v>5.04</v>
      </c>
      <c r="E187" s="19">
        <v>18.5</v>
      </c>
      <c r="F187">
        <v>0</v>
      </c>
      <c r="G187">
        <v>1</v>
      </c>
      <c r="J187">
        <v>1</v>
      </c>
      <c r="K187">
        <v>0</v>
      </c>
      <c r="R187" s="1"/>
      <c r="S187">
        <f t="shared" si="10"/>
        <v>0</v>
      </c>
      <c r="T187">
        <f t="shared" si="11"/>
        <v>0</v>
      </c>
      <c r="U187">
        <f t="shared" si="12"/>
        <v>1</v>
      </c>
      <c r="V187">
        <f t="shared" si="13"/>
        <v>0</v>
      </c>
      <c r="W187" s="1" t="str">
        <f t="shared" si="14"/>
        <v>滞涨</v>
      </c>
      <c r="AB187" s="1"/>
    </row>
    <row r="188" spans="1:28" x14ac:dyDescent="0.35">
      <c r="A188" s="22">
        <v>40451</v>
      </c>
      <c r="B188" s="23">
        <v>13.3</v>
      </c>
      <c r="C188" s="23">
        <v>16.3</v>
      </c>
      <c r="D188" s="23">
        <v>4.33</v>
      </c>
      <c r="E188" s="19">
        <v>19.2</v>
      </c>
      <c r="F188">
        <v>1</v>
      </c>
      <c r="G188">
        <v>0</v>
      </c>
      <c r="J188">
        <v>1</v>
      </c>
      <c r="K188">
        <v>0</v>
      </c>
      <c r="R188" s="1"/>
      <c r="S188">
        <f t="shared" si="10"/>
        <v>0</v>
      </c>
      <c r="T188">
        <f t="shared" si="11"/>
        <v>1</v>
      </c>
      <c r="U188">
        <f t="shared" si="12"/>
        <v>0</v>
      </c>
      <c r="V188">
        <f t="shared" si="13"/>
        <v>0</v>
      </c>
      <c r="W188" s="1" t="str">
        <f t="shared" si="14"/>
        <v>过热</v>
      </c>
      <c r="AB188" s="1"/>
    </row>
    <row r="189" spans="1:28" x14ac:dyDescent="0.35">
      <c r="A189" s="22">
        <v>40421</v>
      </c>
      <c r="B189" s="23">
        <v>13.9</v>
      </c>
      <c r="C189" s="23">
        <v>16.600000000000001</v>
      </c>
      <c r="D189" s="23">
        <v>4.32</v>
      </c>
      <c r="E189" s="19">
        <v>16.100000000000001</v>
      </c>
      <c r="F189">
        <v>1</v>
      </c>
      <c r="G189">
        <v>0</v>
      </c>
      <c r="J189">
        <v>1</v>
      </c>
      <c r="K189">
        <v>0</v>
      </c>
      <c r="R189" s="1"/>
      <c r="S189">
        <f t="shared" si="10"/>
        <v>0</v>
      </c>
      <c r="T189">
        <f t="shared" si="11"/>
        <v>1</v>
      </c>
      <c r="U189">
        <f t="shared" si="12"/>
        <v>0</v>
      </c>
      <c r="V189">
        <f t="shared" si="13"/>
        <v>0</v>
      </c>
      <c r="W189" s="1" t="str">
        <f t="shared" si="14"/>
        <v>过热</v>
      </c>
      <c r="AB189" s="1"/>
    </row>
    <row r="190" spans="1:28" x14ac:dyDescent="0.35">
      <c r="A190" s="22">
        <v>40390</v>
      </c>
      <c r="B190" s="23">
        <v>13.4</v>
      </c>
      <c r="C190" s="23">
        <v>17</v>
      </c>
      <c r="D190" s="23">
        <v>4.84</v>
      </c>
      <c r="E190" s="19">
        <v>13.9</v>
      </c>
      <c r="F190">
        <v>1</v>
      </c>
      <c r="G190">
        <v>0</v>
      </c>
      <c r="J190">
        <v>1</v>
      </c>
      <c r="K190">
        <v>0</v>
      </c>
      <c r="R190" s="1"/>
      <c r="S190">
        <f t="shared" si="10"/>
        <v>0</v>
      </c>
      <c r="T190">
        <f t="shared" si="11"/>
        <v>1</v>
      </c>
      <c r="U190">
        <f t="shared" si="12"/>
        <v>0</v>
      </c>
      <c r="V190">
        <f t="shared" si="13"/>
        <v>0</v>
      </c>
      <c r="W190" s="1" t="str">
        <f t="shared" si="14"/>
        <v>过热</v>
      </c>
      <c r="AB190" s="1"/>
    </row>
    <row r="191" spans="1:28" x14ac:dyDescent="0.35">
      <c r="A191" s="22">
        <v>40359</v>
      </c>
      <c r="B191" s="23">
        <v>13.7</v>
      </c>
      <c r="C191" s="23">
        <v>17.600000000000001</v>
      </c>
      <c r="D191" s="23">
        <v>6.41</v>
      </c>
      <c r="E191" s="19">
        <v>12.3</v>
      </c>
      <c r="F191">
        <v>1</v>
      </c>
      <c r="G191">
        <v>0</v>
      </c>
      <c r="J191">
        <v>1</v>
      </c>
      <c r="K191">
        <v>0</v>
      </c>
      <c r="R191" s="1"/>
      <c r="S191">
        <f t="shared" si="10"/>
        <v>0</v>
      </c>
      <c r="T191">
        <f t="shared" si="11"/>
        <v>1</v>
      </c>
      <c r="U191">
        <f t="shared" si="12"/>
        <v>0</v>
      </c>
      <c r="V191">
        <f t="shared" si="13"/>
        <v>0</v>
      </c>
      <c r="W191" s="1" t="str">
        <f t="shared" si="14"/>
        <v>过热</v>
      </c>
      <c r="AB191" s="1"/>
    </row>
    <row r="192" spans="1:28" x14ac:dyDescent="0.35">
      <c r="A192" s="22">
        <v>40329</v>
      </c>
      <c r="B192" s="23">
        <v>16.5</v>
      </c>
      <c r="C192" s="23">
        <v>18.5</v>
      </c>
      <c r="D192" s="23">
        <v>7.13</v>
      </c>
      <c r="E192" s="19">
        <v>10.8</v>
      </c>
      <c r="F192">
        <v>1</v>
      </c>
      <c r="G192">
        <v>0</v>
      </c>
      <c r="J192">
        <v>0</v>
      </c>
      <c r="K192">
        <v>1</v>
      </c>
      <c r="R192" s="1"/>
      <c r="S192">
        <f t="shared" si="10"/>
        <v>1</v>
      </c>
      <c r="T192">
        <f t="shared" si="11"/>
        <v>0</v>
      </c>
      <c r="U192">
        <f t="shared" si="12"/>
        <v>0</v>
      </c>
      <c r="V192">
        <f t="shared" si="13"/>
        <v>0</v>
      </c>
      <c r="W192" s="1" t="str">
        <f t="shared" si="14"/>
        <v>复苏</v>
      </c>
      <c r="AB192" s="1"/>
    </row>
    <row r="193" spans="1:28" x14ac:dyDescent="0.35">
      <c r="A193" s="22">
        <v>40298</v>
      </c>
      <c r="B193" s="23">
        <v>17.8</v>
      </c>
      <c r="C193" s="23">
        <v>19.100000000000001</v>
      </c>
      <c r="D193" s="23">
        <v>6.81</v>
      </c>
      <c r="E193" s="19">
        <v>10.7</v>
      </c>
      <c r="F193">
        <v>1</v>
      </c>
      <c r="G193">
        <v>0</v>
      </c>
      <c r="J193">
        <v>0</v>
      </c>
      <c r="K193">
        <v>1</v>
      </c>
      <c r="R193" s="1"/>
      <c r="S193">
        <f t="shared" si="10"/>
        <v>1</v>
      </c>
      <c r="T193">
        <f t="shared" si="11"/>
        <v>0</v>
      </c>
      <c r="U193">
        <f t="shared" si="12"/>
        <v>0</v>
      </c>
      <c r="V193">
        <f t="shared" si="13"/>
        <v>0</v>
      </c>
      <c r="W193" s="1" t="str">
        <f t="shared" si="14"/>
        <v>复苏</v>
      </c>
      <c r="AB193" s="1"/>
    </row>
    <row r="194" spans="1:28" x14ac:dyDescent="0.35">
      <c r="A194" s="22">
        <v>40268</v>
      </c>
      <c r="B194" s="23">
        <v>18.100000000000001</v>
      </c>
      <c r="C194" s="23">
        <v>19.600000000000001</v>
      </c>
      <c r="D194" s="23">
        <v>5.91</v>
      </c>
      <c r="E194" s="19">
        <v>8.9</v>
      </c>
      <c r="F194">
        <v>1</v>
      </c>
      <c r="G194">
        <v>0</v>
      </c>
      <c r="J194">
        <v>0</v>
      </c>
      <c r="K194">
        <v>1</v>
      </c>
      <c r="R194" s="1"/>
      <c r="S194">
        <f t="shared" si="10"/>
        <v>1</v>
      </c>
      <c r="T194">
        <f t="shared" si="11"/>
        <v>0</v>
      </c>
      <c r="U194">
        <f t="shared" si="12"/>
        <v>0</v>
      </c>
      <c r="V194">
        <f t="shared" si="13"/>
        <v>0</v>
      </c>
      <c r="W194" s="1" t="str">
        <f t="shared" si="14"/>
        <v>复苏</v>
      </c>
      <c r="AB194" s="1"/>
    </row>
    <row r="195" spans="1:28" x14ac:dyDescent="0.35">
      <c r="A195" s="22">
        <v>40237</v>
      </c>
      <c r="B195" s="23">
        <v>12.8</v>
      </c>
      <c r="C195" s="23">
        <v>20.7</v>
      </c>
      <c r="D195" s="23">
        <v>5.39</v>
      </c>
      <c r="E195" s="19">
        <v>7.3</v>
      </c>
      <c r="F195">
        <v>0</v>
      </c>
      <c r="G195">
        <v>1</v>
      </c>
      <c r="J195">
        <v>0</v>
      </c>
      <c r="K195">
        <v>1</v>
      </c>
      <c r="R195" s="1"/>
      <c r="S195">
        <f t="shared" si="10"/>
        <v>0</v>
      </c>
      <c r="T195">
        <f t="shared" si="11"/>
        <v>0</v>
      </c>
      <c r="U195">
        <f t="shared" si="12"/>
        <v>0</v>
      </c>
      <c r="V195">
        <f t="shared" si="13"/>
        <v>1</v>
      </c>
      <c r="W195" s="1" t="str">
        <f t="shared" si="14"/>
        <v>衰退</v>
      </c>
      <c r="AB195" s="1"/>
    </row>
    <row r="196" spans="1:28" x14ac:dyDescent="0.35">
      <c r="A196" s="22">
        <v>40209</v>
      </c>
      <c r="B196" s="23">
        <v>29.2</v>
      </c>
      <c r="C196" s="23">
        <v>29.2</v>
      </c>
      <c r="D196" s="23">
        <v>4.32</v>
      </c>
      <c r="E196" s="19">
        <v>8.3000000000000007</v>
      </c>
      <c r="F196">
        <v>1</v>
      </c>
      <c r="G196">
        <v>0</v>
      </c>
      <c r="J196">
        <v>0</v>
      </c>
      <c r="K196">
        <v>1</v>
      </c>
      <c r="R196" s="1"/>
      <c r="S196">
        <f t="shared" si="10"/>
        <v>1</v>
      </c>
      <c r="T196">
        <f t="shared" si="11"/>
        <v>0</v>
      </c>
      <c r="U196">
        <f t="shared" si="12"/>
        <v>0</v>
      </c>
      <c r="V196">
        <f t="shared" si="13"/>
        <v>0</v>
      </c>
      <c r="W196" s="1" t="str">
        <f t="shared" si="14"/>
        <v>复苏</v>
      </c>
      <c r="AB196" s="1"/>
    </row>
    <row r="197" spans="1:28" x14ac:dyDescent="0.35">
      <c r="A197" s="22">
        <v>40178</v>
      </c>
      <c r="B197" s="23">
        <v>18.5</v>
      </c>
      <c r="C197" s="23">
        <v>11</v>
      </c>
      <c r="D197" s="23">
        <v>1.7</v>
      </c>
      <c r="E197" s="19">
        <v>3.8</v>
      </c>
      <c r="F197">
        <v>0</v>
      </c>
      <c r="G197">
        <v>1</v>
      </c>
      <c r="J197">
        <v>0</v>
      </c>
      <c r="K197">
        <v>1</v>
      </c>
      <c r="R197" s="1"/>
      <c r="S197">
        <f t="shared" ref="S197:S250" si="15">IF(F197=1,IF(J197=0,1,0),0)</f>
        <v>0</v>
      </c>
      <c r="T197">
        <f t="shared" ref="T197:T250" si="16">IF(F197=1,IF(J197=1,1,0),0)</f>
        <v>0</v>
      </c>
      <c r="U197">
        <f t="shared" ref="U197:U250" si="17">IF(F197=0,IF(J197=1,1,0),0)</f>
        <v>0</v>
      </c>
      <c r="V197">
        <f t="shared" ref="V197:V250" si="18">IF(F197=0,IF(J197=0,1,0),0)</f>
        <v>1</v>
      </c>
      <c r="W197" s="1" t="str">
        <f t="shared" ref="W197:W250" si="19">INDEX($S$4:$V$4,1,MATCH(1,S197:V197,0))</f>
        <v>衰退</v>
      </c>
      <c r="AB197" s="1"/>
    </row>
    <row r="198" spans="1:28" x14ac:dyDescent="0.35">
      <c r="A198" s="22">
        <v>40147</v>
      </c>
      <c r="B198" s="23">
        <v>19.2</v>
      </c>
      <c r="C198" s="23">
        <v>10.3</v>
      </c>
      <c r="D198" s="23">
        <v>-2.08</v>
      </c>
      <c r="E198" s="19">
        <v>3.8</v>
      </c>
      <c r="F198">
        <v>0</v>
      </c>
      <c r="G198">
        <v>1</v>
      </c>
      <c r="J198">
        <v>0</v>
      </c>
      <c r="K198">
        <v>1</v>
      </c>
      <c r="R198" s="1"/>
      <c r="S198">
        <f t="shared" si="15"/>
        <v>0</v>
      </c>
      <c r="T198">
        <f t="shared" si="16"/>
        <v>0</v>
      </c>
      <c r="U198">
        <f t="shared" si="17"/>
        <v>0</v>
      </c>
      <c r="V198">
        <f t="shared" si="18"/>
        <v>1</v>
      </c>
      <c r="W198" s="1" t="str">
        <f t="shared" si="19"/>
        <v>衰退</v>
      </c>
      <c r="AB198" s="1"/>
    </row>
    <row r="199" spans="1:28" x14ac:dyDescent="0.35">
      <c r="A199" s="22">
        <v>40117</v>
      </c>
      <c r="B199" s="23">
        <v>16.100000000000001</v>
      </c>
      <c r="C199" s="23">
        <v>9.4</v>
      </c>
      <c r="D199" s="23">
        <v>-5.85</v>
      </c>
      <c r="E199" s="19">
        <v>5.7</v>
      </c>
      <c r="F199">
        <v>1</v>
      </c>
      <c r="G199">
        <v>0</v>
      </c>
      <c r="J199">
        <v>0</v>
      </c>
      <c r="K199">
        <v>1</v>
      </c>
      <c r="R199" s="1"/>
      <c r="S199">
        <f t="shared" si="15"/>
        <v>1</v>
      </c>
      <c r="T199">
        <f t="shared" si="16"/>
        <v>0</v>
      </c>
      <c r="U199">
        <f t="shared" si="17"/>
        <v>0</v>
      </c>
      <c r="V199">
        <f t="shared" si="18"/>
        <v>0</v>
      </c>
      <c r="W199" s="1" t="str">
        <f t="shared" si="19"/>
        <v>复苏</v>
      </c>
      <c r="AB199" s="1"/>
    </row>
    <row r="200" spans="1:28" x14ac:dyDescent="0.35">
      <c r="A200" s="22">
        <v>40086</v>
      </c>
      <c r="B200" s="23">
        <v>13.9</v>
      </c>
      <c r="C200" s="23">
        <v>8.6999999999999993</v>
      </c>
      <c r="D200" s="23">
        <v>-6.99</v>
      </c>
      <c r="E200" s="19">
        <v>5.4</v>
      </c>
      <c r="F200">
        <v>0</v>
      </c>
      <c r="G200">
        <v>1</v>
      </c>
      <c r="J200">
        <v>0</v>
      </c>
      <c r="K200">
        <v>1</v>
      </c>
      <c r="R200" s="1"/>
      <c r="S200">
        <f t="shared" si="15"/>
        <v>0</v>
      </c>
      <c r="T200">
        <f t="shared" si="16"/>
        <v>0</v>
      </c>
      <c r="U200">
        <f t="shared" si="17"/>
        <v>0</v>
      </c>
      <c r="V200">
        <f t="shared" si="18"/>
        <v>1</v>
      </c>
      <c r="W200" s="1" t="str">
        <f t="shared" si="19"/>
        <v>衰退</v>
      </c>
      <c r="AB200" s="1"/>
    </row>
    <row r="201" spans="1:28" x14ac:dyDescent="0.35">
      <c r="A201" s="22">
        <v>40056</v>
      </c>
      <c r="B201" s="23">
        <v>12.3</v>
      </c>
      <c r="C201" s="23">
        <v>8.1</v>
      </c>
      <c r="D201" s="23">
        <v>-7.86</v>
      </c>
      <c r="E201" s="19">
        <v>8.1999999999999993</v>
      </c>
      <c r="F201">
        <v>0</v>
      </c>
      <c r="G201">
        <v>1</v>
      </c>
      <c r="J201">
        <v>0</v>
      </c>
      <c r="K201">
        <v>1</v>
      </c>
      <c r="R201" s="1"/>
      <c r="S201">
        <f t="shared" si="15"/>
        <v>0</v>
      </c>
      <c r="T201">
        <f t="shared" si="16"/>
        <v>0</v>
      </c>
      <c r="U201">
        <f t="shared" si="17"/>
        <v>0</v>
      </c>
      <c r="V201">
        <f t="shared" si="18"/>
        <v>1</v>
      </c>
      <c r="W201" s="1" t="str">
        <f t="shared" si="19"/>
        <v>衰退</v>
      </c>
      <c r="AB201" s="1"/>
    </row>
    <row r="202" spans="1:28" x14ac:dyDescent="0.35">
      <c r="A202" s="22">
        <v>40025</v>
      </c>
      <c r="B202" s="23">
        <v>10.8</v>
      </c>
      <c r="C202" s="23">
        <v>7.5</v>
      </c>
      <c r="D202" s="23">
        <v>-8.1999999999999993</v>
      </c>
      <c r="E202" s="19">
        <v>11.4</v>
      </c>
      <c r="F202">
        <v>0</v>
      </c>
      <c r="G202">
        <v>1</v>
      </c>
      <c r="J202">
        <v>0</v>
      </c>
      <c r="K202">
        <v>1</v>
      </c>
      <c r="R202" s="1"/>
      <c r="S202">
        <f t="shared" si="15"/>
        <v>0</v>
      </c>
      <c r="T202">
        <f t="shared" si="16"/>
        <v>0</v>
      </c>
      <c r="U202">
        <f t="shared" si="17"/>
        <v>0</v>
      </c>
      <c r="V202">
        <f t="shared" si="18"/>
        <v>1</v>
      </c>
      <c r="W202" s="1" t="str">
        <f t="shared" si="19"/>
        <v>衰退</v>
      </c>
      <c r="AB202" s="1"/>
    </row>
    <row r="203" spans="1:28" x14ac:dyDescent="0.35">
      <c r="A203" s="22">
        <v>39994</v>
      </c>
      <c r="B203" s="23">
        <v>10.7</v>
      </c>
      <c r="C203" s="23">
        <v>7</v>
      </c>
      <c r="D203" s="23">
        <v>-7.8</v>
      </c>
      <c r="E203" s="19">
        <v>12.8</v>
      </c>
      <c r="F203">
        <v>0</v>
      </c>
      <c r="G203">
        <v>1</v>
      </c>
      <c r="J203">
        <v>1</v>
      </c>
      <c r="K203">
        <v>0</v>
      </c>
      <c r="R203" s="1"/>
      <c r="S203">
        <f t="shared" si="15"/>
        <v>0</v>
      </c>
      <c r="T203">
        <f t="shared" si="16"/>
        <v>0</v>
      </c>
      <c r="U203">
        <f t="shared" si="17"/>
        <v>1</v>
      </c>
      <c r="V203">
        <f t="shared" si="18"/>
        <v>0</v>
      </c>
      <c r="W203" s="1" t="str">
        <f t="shared" si="19"/>
        <v>滞涨</v>
      </c>
      <c r="AB203" s="1"/>
    </row>
    <row r="204" spans="1:28" x14ac:dyDescent="0.35">
      <c r="A204" s="22">
        <v>39964</v>
      </c>
      <c r="B204" s="23">
        <v>8.9</v>
      </c>
      <c r="C204" s="23">
        <v>6.3</v>
      </c>
      <c r="D204" s="23">
        <v>-7.2</v>
      </c>
      <c r="E204" s="19">
        <v>14.7</v>
      </c>
      <c r="F204">
        <v>0</v>
      </c>
      <c r="G204">
        <v>1</v>
      </c>
      <c r="J204">
        <v>1</v>
      </c>
      <c r="K204">
        <v>0</v>
      </c>
      <c r="R204" s="1"/>
      <c r="S204">
        <f t="shared" si="15"/>
        <v>0</v>
      </c>
      <c r="T204">
        <f t="shared" si="16"/>
        <v>0</v>
      </c>
      <c r="U204">
        <f t="shared" si="17"/>
        <v>1</v>
      </c>
      <c r="V204">
        <f t="shared" si="18"/>
        <v>0</v>
      </c>
      <c r="W204" s="1" t="str">
        <f t="shared" si="19"/>
        <v>滞涨</v>
      </c>
      <c r="AB204" s="1"/>
    </row>
    <row r="205" spans="1:28" x14ac:dyDescent="0.35">
      <c r="A205" s="22">
        <v>39933</v>
      </c>
      <c r="B205" s="23">
        <v>7.3</v>
      </c>
      <c r="C205" s="23">
        <v>5.5</v>
      </c>
      <c r="D205" s="23">
        <v>-6.6</v>
      </c>
      <c r="E205" s="19">
        <v>16</v>
      </c>
      <c r="F205">
        <v>1</v>
      </c>
      <c r="G205">
        <v>0</v>
      </c>
      <c r="J205">
        <v>1</v>
      </c>
      <c r="K205">
        <v>0</v>
      </c>
      <c r="R205" s="1"/>
      <c r="S205">
        <f t="shared" si="15"/>
        <v>0</v>
      </c>
      <c r="T205">
        <f t="shared" si="16"/>
        <v>1</v>
      </c>
      <c r="U205">
        <f t="shared" si="17"/>
        <v>0</v>
      </c>
      <c r="V205">
        <f t="shared" si="18"/>
        <v>0</v>
      </c>
      <c r="W205" s="1" t="str">
        <f t="shared" si="19"/>
        <v>过热</v>
      </c>
      <c r="AB205" s="1"/>
    </row>
    <row r="206" spans="1:28" x14ac:dyDescent="0.35">
      <c r="A206" s="22">
        <v>39903</v>
      </c>
      <c r="B206" s="23">
        <v>8.3000000000000007</v>
      </c>
      <c r="C206" s="23">
        <v>5.0999999999999996</v>
      </c>
      <c r="D206" s="23">
        <v>-6</v>
      </c>
      <c r="E206" s="19">
        <v>16</v>
      </c>
      <c r="F206">
        <v>1</v>
      </c>
      <c r="G206">
        <v>0</v>
      </c>
      <c r="J206">
        <v>1</v>
      </c>
      <c r="K206">
        <v>0</v>
      </c>
      <c r="R206" s="1"/>
      <c r="S206">
        <f t="shared" si="15"/>
        <v>0</v>
      </c>
      <c r="T206">
        <f t="shared" si="16"/>
        <v>1</v>
      </c>
      <c r="U206">
        <f t="shared" si="17"/>
        <v>0</v>
      </c>
      <c r="V206">
        <f t="shared" si="18"/>
        <v>0</v>
      </c>
      <c r="W206" s="1" t="str">
        <f t="shared" si="19"/>
        <v>过热</v>
      </c>
      <c r="AB206" s="1"/>
    </row>
    <row r="207" spans="1:28" x14ac:dyDescent="0.35">
      <c r="A207" s="22">
        <v>39872</v>
      </c>
      <c r="B207" s="23">
        <v>11</v>
      </c>
      <c r="C207" s="23">
        <v>3.8</v>
      </c>
      <c r="D207" s="23">
        <v>-4.47</v>
      </c>
      <c r="E207" s="19">
        <v>15.7</v>
      </c>
      <c r="F207">
        <v>0</v>
      </c>
      <c r="G207">
        <v>1</v>
      </c>
      <c r="J207">
        <v>1</v>
      </c>
      <c r="K207">
        <v>0</v>
      </c>
      <c r="R207" s="1"/>
      <c r="S207">
        <f t="shared" si="15"/>
        <v>0</v>
      </c>
      <c r="T207">
        <f t="shared" si="16"/>
        <v>0</v>
      </c>
      <c r="U207">
        <f t="shared" si="17"/>
        <v>1</v>
      </c>
      <c r="V207">
        <f t="shared" si="18"/>
        <v>0</v>
      </c>
      <c r="W207" s="1" t="str">
        <f t="shared" si="19"/>
        <v>滞涨</v>
      </c>
      <c r="AB207" s="1"/>
    </row>
    <row r="208" spans="1:28" x14ac:dyDescent="0.35">
      <c r="A208" s="22">
        <v>39844</v>
      </c>
      <c r="B208" s="23">
        <v>-2.93</v>
      </c>
      <c r="C208" s="23">
        <v>-2.93</v>
      </c>
      <c r="D208" s="23">
        <v>-3.35</v>
      </c>
      <c r="E208" s="19">
        <v>17.8</v>
      </c>
      <c r="F208">
        <v>1</v>
      </c>
      <c r="G208">
        <v>0</v>
      </c>
      <c r="J208">
        <v>1</v>
      </c>
      <c r="K208">
        <v>0</v>
      </c>
      <c r="R208" s="1"/>
      <c r="S208">
        <f t="shared" si="15"/>
        <v>0</v>
      </c>
      <c r="T208">
        <f t="shared" si="16"/>
        <v>1</v>
      </c>
      <c r="U208">
        <f t="shared" si="17"/>
        <v>0</v>
      </c>
      <c r="V208">
        <f t="shared" si="18"/>
        <v>0</v>
      </c>
      <c r="W208" s="1" t="str">
        <f t="shared" si="19"/>
        <v>过热</v>
      </c>
      <c r="AB208" s="1"/>
    </row>
    <row r="209" spans="1:28" x14ac:dyDescent="0.35">
      <c r="A209" s="22">
        <v>39813</v>
      </c>
      <c r="B209" s="23">
        <v>5.7</v>
      </c>
      <c r="C209" s="23">
        <v>12.9</v>
      </c>
      <c r="D209" s="23">
        <v>-1.1399999999999999</v>
      </c>
      <c r="E209" s="19">
        <v>15.4</v>
      </c>
      <c r="F209">
        <v>0</v>
      </c>
      <c r="G209">
        <v>1</v>
      </c>
      <c r="J209">
        <v>1</v>
      </c>
      <c r="K209">
        <v>0</v>
      </c>
      <c r="R209" s="1"/>
      <c r="S209">
        <f t="shared" si="15"/>
        <v>0</v>
      </c>
      <c r="T209">
        <f t="shared" si="16"/>
        <v>0</v>
      </c>
      <c r="U209">
        <f t="shared" si="17"/>
        <v>1</v>
      </c>
      <c r="V209">
        <f t="shared" si="18"/>
        <v>0</v>
      </c>
      <c r="W209" s="1" t="str">
        <f t="shared" si="19"/>
        <v>滞涨</v>
      </c>
      <c r="AB209" s="1"/>
    </row>
    <row r="210" spans="1:28" x14ac:dyDescent="0.35">
      <c r="A210" s="22">
        <v>39782</v>
      </c>
      <c r="B210" s="23">
        <v>5.4</v>
      </c>
      <c r="C210" s="23">
        <v>13.7</v>
      </c>
      <c r="D210" s="23">
        <v>1.99</v>
      </c>
      <c r="E210" s="19">
        <v>15.4</v>
      </c>
      <c r="F210">
        <v>0</v>
      </c>
      <c r="G210">
        <v>1</v>
      </c>
      <c r="J210">
        <v>1</v>
      </c>
      <c r="K210">
        <v>0</v>
      </c>
      <c r="R210" s="1"/>
      <c r="S210">
        <f t="shared" si="15"/>
        <v>0</v>
      </c>
      <c r="T210">
        <f t="shared" si="16"/>
        <v>0</v>
      </c>
      <c r="U210">
        <f t="shared" si="17"/>
        <v>1</v>
      </c>
      <c r="V210">
        <f t="shared" si="18"/>
        <v>0</v>
      </c>
      <c r="W210" s="1" t="str">
        <f t="shared" si="19"/>
        <v>滞涨</v>
      </c>
      <c r="AB210" s="1"/>
    </row>
    <row r="211" spans="1:28" x14ac:dyDescent="0.35">
      <c r="A211" s="22">
        <v>39752</v>
      </c>
      <c r="B211" s="23">
        <v>8.1999999999999993</v>
      </c>
      <c r="C211" s="23">
        <v>14.4</v>
      </c>
      <c r="D211" s="23">
        <v>6.59</v>
      </c>
      <c r="E211" s="19">
        <v>17.399999999999999</v>
      </c>
      <c r="F211">
        <v>1</v>
      </c>
      <c r="G211">
        <v>0</v>
      </c>
      <c r="J211">
        <v>1</v>
      </c>
      <c r="K211">
        <v>0</v>
      </c>
      <c r="R211" s="1"/>
      <c r="S211">
        <f t="shared" si="15"/>
        <v>0</v>
      </c>
      <c r="T211">
        <f t="shared" si="16"/>
        <v>1</v>
      </c>
      <c r="U211">
        <f t="shared" si="17"/>
        <v>0</v>
      </c>
      <c r="V211">
        <f t="shared" si="18"/>
        <v>0</v>
      </c>
      <c r="W211" s="1" t="str">
        <f t="shared" si="19"/>
        <v>过热</v>
      </c>
      <c r="AB211" s="1"/>
    </row>
    <row r="212" spans="1:28" x14ac:dyDescent="0.35">
      <c r="A212" s="22">
        <v>39721</v>
      </c>
      <c r="B212" s="23">
        <v>11.4</v>
      </c>
      <c r="C212" s="23">
        <v>15.2</v>
      </c>
      <c r="D212" s="23">
        <v>9.1300000000000008</v>
      </c>
      <c r="E212" s="19">
        <v>17.3</v>
      </c>
      <c r="F212">
        <v>0</v>
      </c>
      <c r="G212">
        <v>1</v>
      </c>
      <c r="J212">
        <v>1</v>
      </c>
      <c r="K212">
        <v>0</v>
      </c>
      <c r="R212" s="1"/>
      <c r="S212">
        <f t="shared" si="15"/>
        <v>0</v>
      </c>
      <c r="T212">
        <f t="shared" si="16"/>
        <v>0</v>
      </c>
      <c r="U212">
        <f t="shared" si="17"/>
        <v>1</v>
      </c>
      <c r="V212">
        <f t="shared" si="18"/>
        <v>0</v>
      </c>
      <c r="W212" s="1" t="str">
        <f t="shared" si="19"/>
        <v>滞涨</v>
      </c>
      <c r="AB212" s="1"/>
    </row>
    <row r="213" spans="1:28" x14ac:dyDescent="0.35">
      <c r="A213" s="22">
        <v>39691</v>
      </c>
      <c r="B213" s="23">
        <v>12.8</v>
      </c>
      <c r="C213" s="23">
        <v>15.7</v>
      </c>
      <c r="D213" s="23">
        <v>10.06</v>
      </c>
      <c r="E213" s="19">
        <v>17.899999999999999</v>
      </c>
      <c r="F213">
        <v>0</v>
      </c>
      <c r="G213">
        <v>1</v>
      </c>
      <c r="J213">
        <v>1</v>
      </c>
      <c r="K213">
        <v>0</v>
      </c>
      <c r="R213" s="1"/>
      <c r="S213">
        <f t="shared" si="15"/>
        <v>0</v>
      </c>
      <c r="T213">
        <f t="shared" si="16"/>
        <v>0</v>
      </c>
      <c r="U213">
        <f t="shared" si="17"/>
        <v>1</v>
      </c>
      <c r="V213">
        <f t="shared" si="18"/>
        <v>0</v>
      </c>
      <c r="W213" s="1" t="str">
        <f t="shared" si="19"/>
        <v>滞涨</v>
      </c>
      <c r="AB213" s="1"/>
    </row>
    <row r="214" spans="1:28" x14ac:dyDescent="0.35">
      <c r="A214" s="22">
        <v>39660</v>
      </c>
      <c r="B214" s="23">
        <v>14.7</v>
      </c>
      <c r="C214" s="23">
        <v>16.100000000000001</v>
      </c>
      <c r="D214" s="23">
        <v>10.029999999999999</v>
      </c>
      <c r="E214" s="19">
        <v>18.899999999999999</v>
      </c>
      <c r="F214">
        <v>1</v>
      </c>
      <c r="G214">
        <v>0</v>
      </c>
      <c r="J214">
        <v>1</v>
      </c>
      <c r="K214">
        <v>0</v>
      </c>
      <c r="R214" s="1"/>
      <c r="S214">
        <f t="shared" si="15"/>
        <v>0</v>
      </c>
      <c r="T214">
        <f t="shared" si="16"/>
        <v>1</v>
      </c>
      <c r="U214">
        <f t="shared" si="17"/>
        <v>0</v>
      </c>
      <c r="V214">
        <f t="shared" si="18"/>
        <v>0</v>
      </c>
      <c r="W214" s="1" t="str">
        <f t="shared" si="19"/>
        <v>过热</v>
      </c>
      <c r="AB214" s="1"/>
    </row>
    <row r="215" spans="1:28" x14ac:dyDescent="0.35">
      <c r="A215" s="22">
        <v>39629</v>
      </c>
      <c r="B215" s="23">
        <v>16</v>
      </c>
      <c r="C215" s="23">
        <v>16.3</v>
      </c>
      <c r="D215" s="23">
        <v>8.84</v>
      </c>
      <c r="E215" s="19">
        <v>17.5</v>
      </c>
      <c r="F215">
        <v>0</v>
      </c>
      <c r="G215">
        <v>1</v>
      </c>
      <c r="J215">
        <v>1</v>
      </c>
      <c r="K215">
        <v>0</v>
      </c>
      <c r="R215" s="1"/>
      <c r="S215">
        <f t="shared" si="15"/>
        <v>0</v>
      </c>
      <c r="T215">
        <f t="shared" si="16"/>
        <v>0</v>
      </c>
      <c r="U215">
        <f t="shared" si="17"/>
        <v>1</v>
      </c>
      <c r="V215">
        <f t="shared" si="18"/>
        <v>0</v>
      </c>
      <c r="W215" s="1" t="str">
        <f t="shared" si="19"/>
        <v>滞涨</v>
      </c>
      <c r="AB215" s="1"/>
    </row>
    <row r="216" spans="1:28" x14ac:dyDescent="0.35">
      <c r="A216" s="22">
        <v>39599</v>
      </c>
      <c r="B216" s="23">
        <v>16</v>
      </c>
      <c r="C216" s="23">
        <v>16.3</v>
      </c>
      <c r="D216" s="23">
        <v>8.2200000000000006</v>
      </c>
      <c r="E216" s="19">
        <v>18</v>
      </c>
      <c r="F216">
        <v>0</v>
      </c>
      <c r="G216">
        <v>1</v>
      </c>
      <c r="J216">
        <v>0</v>
      </c>
      <c r="K216">
        <v>1</v>
      </c>
      <c r="R216" s="1"/>
      <c r="S216">
        <f t="shared" si="15"/>
        <v>0</v>
      </c>
      <c r="T216">
        <f t="shared" si="16"/>
        <v>0</v>
      </c>
      <c r="U216">
        <f t="shared" si="17"/>
        <v>0</v>
      </c>
      <c r="V216">
        <f t="shared" si="18"/>
        <v>1</v>
      </c>
      <c r="W216" s="1" t="str">
        <f t="shared" si="19"/>
        <v>衰退</v>
      </c>
      <c r="AB216" s="1"/>
    </row>
    <row r="217" spans="1:28" x14ac:dyDescent="0.35">
      <c r="A217" s="22">
        <v>39568</v>
      </c>
      <c r="B217" s="23">
        <v>15.7</v>
      </c>
      <c r="C217" s="23">
        <v>16.3</v>
      </c>
      <c r="D217" s="23">
        <v>8.1199999999999992</v>
      </c>
      <c r="E217" s="19">
        <v>19.399999999999999</v>
      </c>
      <c r="F217">
        <v>1</v>
      </c>
      <c r="G217">
        <v>0</v>
      </c>
      <c r="J217">
        <v>0</v>
      </c>
      <c r="K217">
        <v>1</v>
      </c>
      <c r="R217" s="1"/>
      <c r="S217">
        <f t="shared" si="15"/>
        <v>1</v>
      </c>
      <c r="T217">
        <f t="shared" si="16"/>
        <v>0</v>
      </c>
      <c r="U217">
        <f t="shared" si="17"/>
        <v>0</v>
      </c>
      <c r="V217">
        <f t="shared" si="18"/>
        <v>0</v>
      </c>
      <c r="W217" s="1" t="str">
        <f t="shared" si="19"/>
        <v>复苏</v>
      </c>
      <c r="AB217" s="1"/>
    </row>
    <row r="218" spans="1:28" x14ac:dyDescent="0.35">
      <c r="A218" s="22">
        <v>39538</v>
      </c>
      <c r="B218" s="23">
        <v>17.8</v>
      </c>
      <c r="C218" s="23">
        <v>16.399999999999999</v>
      </c>
      <c r="D218" s="23">
        <v>7.95</v>
      </c>
      <c r="E218" s="19">
        <v>18.100000000000001</v>
      </c>
      <c r="F218">
        <v>1</v>
      </c>
      <c r="G218">
        <v>0</v>
      </c>
      <c r="J218">
        <v>0</v>
      </c>
      <c r="K218">
        <v>1</v>
      </c>
      <c r="R218" s="1"/>
      <c r="S218">
        <f t="shared" si="15"/>
        <v>1</v>
      </c>
      <c r="T218">
        <f t="shared" si="16"/>
        <v>0</v>
      </c>
      <c r="U218">
        <f t="shared" si="17"/>
        <v>0</v>
      </c>
      <c r="V218">
        <f t="shared" si="18"/>
        <v>0</v>
      </c>
      <c r="W218" s="1" t="str">
        <f t="shared" si="19"/>
        <v>复苏</v>
      </c>
      <c r="AB218" s="1"/>
    </row>
    <row r="219" spans="1:28" x14ac:dyDescent="0.35">
      <c r="A219" s="22">
        <v>39507</v>
      </c>
      <c r="B219" s="23">
        <v>15.4</v>
      </c>
      <c r="C219" s="23">
        <v>15.4</v>
      </c>
      <c r="D219" s="23">
        <v>6.62</v>
      </c>
      <c r="E219" s="19">
        <v>17.399999999999999</v>
      </c>
      <c r="F219">
        <v>0</v>
      </c>
      <c r="G219">
        <v>1</v>
      </c>
      <c r="J219">
        <v>1</v>
      </c>
      <c r="K219">
        <v>0</v>
      </c>
      <c r="R219" s="1"/>
      <c r="S219">
        <f t="shared" si="15"/>
        <v>0</v>
      </c>
      <c r="T219">
        <f t="shared" si="16"/>
        <v>0</v>
      </c>
      <c r="U219">
        <f t="shared" si="17"/>
        <v>1</v>
      </c>
      <c r="V219">
        <f t="shared" si="18"/>
        <v>0</v>
      </c>
      <c r="W219" s="1" t="str">
        <f t="shared" si="19"/>
        <v>滞涨</v>
      </c>
      <c r="AB219" s="1"/>
    </row>
    <row r="220" spans="1:28" x14ac:dyDescent="0.35">
      <c r="A220" s="22">
        <v>39478</v>
      </c>
      <c r="B220" s="23">
        <v>15.4</v>
      </c>
      <c r="C220" s="23">
        <v>15.4</v>
      </c>
      <c r="D220" s="23">
        <v>6.1</v>
      </c>
      <c r="E220" s="19">
        <v>17.600000000000001</v>
      </c>
      <c r="F220">
        <v>0</v>
      </c>
      <c r="G220">
        <v>1</v>
      </c>
      <c r="J220">
        <v>1</v>
      </c>
      <c r="K220">
        <v>0</v>
      </c>
      <c r="R220" s="1"/>
      <c r="S220">
        <f t="shared" si="15"/>
        <v>0</v>
      </c>
      <c r="T220">
        <f t="shared" si="16"/>
        <v>0</v>
      </c>
      <c r="U220">
        <f t="shared" si="17"/>
        <v>1</v>
      </c>
      <c r="V220">
        <f t="shared" si="18"/>
        <v>0</v>
      </c>
      <c r="W220" s="1" t="str">
        <f t="shared" si="19"/>
        <v>滞涨</v>
      </c>
      <c r="AB220" s="1"/>
    </row>
    <row r="221" spans="1:28" x14ac:dyDescent="0.35">
      <c r="A221" s="22">
        <v>39447</v>
      </c>
      <c r="B221" s="23">
        <v>17.399999999999999</v>
      </c>
      <c r="C221" s="23">
        <v>18.5</v>
      </c>
      <c r="D221" s="23">
        <v>5.43</v>
      </c>
      <c r="E221" s="19">
        <v>18.5</v>
      </c>
      <c r="F221">
        <v>1</v>
      </c>
      <c r="G221">
        <v>0</v>
      </c>
      <c r="J221">
        <v>0</v>
      </c>
      <c r="K221">
        <v>1</v>
      </c>
      <c r="R221" s="1"/>
      <c r="S221">
        <f t="shared" si="15"/>
        <v>1</v>
      </c>
      <c r="T221">
        <f t="shared" si="16"/>
        <v>0</v>
      </c>
      <c r="U221">
        <f t="shared" si="17"/>
        <v>0</v>
      </c>
      <c r="V221">
        <f t="shared" si="18"/>
        <v>0</v>
      </c>
      <c r="W221" s="1" t="str">
        <f t="shared" si="19"/>
        <v>复苏</v>
      </c>
      <c r="AB221" s="1"/>
    </row>
    <row r="222" spans="1:28" x14ac:dyDescent="0.35">
      <c r="A222" s="22">
        <v>39416</v>
      </c>
      <c r="B222" s="23">
        <v>17.3</v>
      </c>
      <c r="C222" s="23">
        <v>0</v>
      </c>
      <c r="D222" s="23">
        <v>4.55</v>
      </c>
      <c r="E222" s="19">
        <v>18.5</v>
      </c>
      <c r="F222">
        <v>1</v>
      </c>
      <c r="G222">
        <v>0</v>
      </c>
      <c r="J222">
        <v>1</v>
      </c>
      <c r="K222">
        <v>0</v>
      </c>
      <c r="R222" s="1"/>
      <c r="S222">
        <f t="shared" si="15"/>
        <v>0</v>
      </c>
      <c r="T222">
        <f t="shared" si="16"/>
        <v>1</v>
      </c>
      <c r="U222">
        <f t="shared" si="17"/>
        <v>0</v>
      </c>
      <c r="V222">
        <f t="shared" si="18"/>
        <v>0</v>
      </c>
      <c r="W222" s="1" t="str">
        <f t="shared" si="19"/>
        <v>过热</v>
      </c>
      <c r="AB222" s="1"/>
    </row>
    <row r="223" spans="1:28" x14ac:dyDescent="0.35">
      <c r="A223" s="22">
        <v>39386</v>
      </c>
      <c r="B223" s="23">
        <v>17.899999999999999</v>
      </c>
      <c r="C223" s="23">
        <v>18.5</v>
      </c>
      <c r="D223" s="23">
        <v>3.2</v>
      </c>
      <c r="E223" s="19">
        <v>14.7</v>
      </c>
      <c r="F223">
        <v>0</v>
      </c>
      <c r="G223">
        <v>1</v>
      </c>
      <c r="J223">
        <v>1</v>
      </c>
      <c r="K223">
        <v>0</v>
      </c>
      <c r="R223" s="1"/>
      <c r="S223">
        <f t="shared" si="15"/>
        <v>0</v>
      </c>
      <c r="T223">
        <f t="shared" si="16"/>
        <v>0</v>
      </c>
      <c r="U223">
        <f t="shared" si="17"/>
        <v>1</v>
      </c>
      <c r="V223">
        <f t="shared" si="18"/>
        <v>0</v>
      </c>
      <c r="W223" s="1" t="str">
        <f t="shared" si="19"/>
        <v>滞涨</v>
      </c>
      <c r="AB223" s="1"/>
    </row>
    <row r="224" spans="1:28" x14ac:dyDescent="0.35">
      <c r="A224" s="22">
        <v>39355</v>
      </c>
      <c r="B224" s="23">
        <v>18.899999999999999</v>
      </c>
      <c r="C224" s="23">
        <v>18.5</v>
      </c>
      <c r="D224" s="23">
        <v>2.7</v>
      </c>
      <c r="E224" s="19">
        <v>14.9</v>
      </c>
      <c r="F224">
        <v>1</v>
      </c>
      <c r="G224">
        <v>0</v>
      </c>
      <c r="J224">
        <v>0</v>
      </c>
      <c r="K224">
        <v>1</v>
      </c>
      <c r="R224" s="1"/>
      <c r="S224">
        <f t="shared" si="15"/>
        <v>1</v>
      </c>
      <c r="T224">
        <f t="shared" si="16"/>
        <v>0</v>
      </c>
      <c r="U224">
        <f t="shared" si="17"/>
        <v>0</v>
      </c>
      <c r="V224">
        <f t="shared" si="18"/>
        <v>0</v>
      </c>
      <c r="W224" s="1" t="str">
        <f t="shared" si="19"/>
        <v>复苏</v>
      </c>
      <c r="AB224" s="1"/>
    </row>
    <row r="225" spans="1:28" x14ac:dyDescent="0.35">
      <c r="A225" s="22">
        <v>39325</v>
      </c>
      <c r="B225" s="23">
        <v>17.5</v>
      </c>
      <c r="C225" s="23">
        <v>18.399999999999999</v>
      </c>
      <c r="D225" s="23">
        <v>2.6</v>
      </c>
      <c r="E225" s="19">
        <v>14.7</v>
      </c>
      <c r="F225">
        <v>0</v>
      </c>
      <c r="G225">
        <v>1</v>
      </c>
      <c r="J225">
        <v>0</v>
      </c>
      <c r="K225">
        <v>1</v>
      </c>
      <c r="R225" s="1"/>
      <c r="S225">
        <f t="shared" si="15"/>
        <v>0</v>
      </c>
      <c r="T225">
        <f t="shared" si="16"/>
        <v>0</v>
      </c>
      <c r="U225">
        <f t="shared" si="17"/>
        <v>0</v>
      </c>
      <c r="V225">
        <f t="shared" si="18"/>
        <v>1</v>
      </c>
      <c r="W225" s="1" t="str">
        <f t="shared" si="19"/>
        <v>衰退</v>
      </c>
      <c r="AB225" s="1"/>
    </row>
    <row r="226" spans="1:28" x14ac:dyDescent="0.35">
      <c r="A226" s="22">
        <v>39294</v>
      </c>
      <c r="B226" s="23">
        <v>18</v>
      </c>
      <c r="C226" s="23">
        <v>18.5</v>
      </c>
      <c r="D226" s="23">
        <v>2.4</v>
      </c>
      <c r="E226" s="19">
        <v>16.100000000000001</v>
      </c>
      <c r="F226">
        <v>1</v>
      </c>
      <c r="G226">
        <v>0</v>
      </c>
      <c r="J226">
        <v>1</v>
      </c>
      <c r="K226">
        <v>0</v>
      </c>
      <c r="R226" s="1"/>
      <c r="S226">
        <f t="shared" si="15"/>
        <v>0</v>
      </c>
      <c r="T226">
        <f t="shared" si="16"/>
        <v>1</v>
      </c>
      <c r="U226">
        <f t="shared" si="17"/>
        <v>0</v>
      </c>
      <c r="V226">
        <f t="shared" si="18"/>
        <v>0</v>
      </c>
      <c r="W226" s="1" t="str">
        <f t="shared" si="19"/>
        <v>过热</v>
      </c>
      <c r="AB226" s="1"/>
    </row>
    <row r="227" spans="1:28" x14ac:dyDescent="0.35">
      <c r="A227" s="22">
        <v>39263</v>
      </c>
      <c r="B227" s="23">
        <v>19.399999999999999</v>
      </c>
      <c r="C227" s="23">
        <v>18.5</v>
      </c>
      <c r="D227" s="23">
        <v>2.4900000000000002</v>
      </c>
      <c r="E227" s="19">
        <v>15.7</v>
      </c>
      <c r="F227">
        <v>0</v>
      </c>
      <c r="G227">
        <v>1</v>
      </c>
      <c r="J227">
        <v>0</v>
      </c>
      <c r="K227">
        <v>1</v>
      </c>
      <c r="R227" s="1"/>
      <c r="S227">
        <f t="shared" si="15"/>
        <v>0</v>
      </c>
      <c r="T227">
        <f t="shared" si="16"/>
        <v>0</v>
      </c>
      <c r="U227">
        <f t="shared" si="17"/>
        <v>0</v>
      </c>
      <c r="V227">
        <f t="shared" si="18"/>
        <v>1</v>
      </c>
      <c r="W227" s="1" t="str">
        <f t="shared" si="19"/>
        <v>衰退</v>
      </c>
      <c r="AB227" s="1"/>
    </row>
    <row r="228" spans="1:28" x14ac:dyDescent="0.35">
      <c r="A228" s="22">
        <v>39233</v>
      </c>
      <c r="B228" s="23">
        <v>18.100000000000001</v>
      </c>
      <c r="C228" s="23">
        <v>18.100000000000001</v>
      </c>
      <c r="D228" s="23">
        <v>2.8</v>
      </c>
      <c r="E228" s="19">
        <v>16.7</v>
      </c>
      <c r="F228">
        <v>0</v>
      </c>
      <c r="G228">
        <v>1</v>
      </c>
      <c r="J228">
        <v>1</v>
      </c>
      <c r="K228">
        <v>0</v>
      </c>
      <c r="R228" s="1"/>
      <c r="S228">
        <f t="shared" si="15"/>
        <v>0</v>
      </c>
      <c r="T228">
        <f t="shared" si="16"/>
        <v>0</v>
      </c>
      <c r="U228">
        <f t="shared" si="17"/>
        <v>1</v>
      </c>
      <c r="V228">
        <f t="shared" si="18"/>
        <v>0</v>
      </c>
      <c r="W228" s="1" t="str">
        <f t="shared" si="19"/>
        <v>滞涨</v>
      </c>
      <c r="AB228" s="1"/>
    </row>
    <row r="229" spans="1:28" x14ac:dyDescent="0.35">
      <c r="A229" s="22">
        <v>39202</v>
      </c>
      <c r="B229" s="23">
        <v>17.399999999999999</v>
      </c>
      <c r="C229" s="23">
        <v>18</v>
      </c>
      <c r="D229" s="23">
        <v>2.9</v>
      </c>
      <c r="E229" s="19">
        <v>19.5</v>
      </c>
      <c r="F229">
        <v>1</v>
      </c>
      <c r="G229">
        <v>0</v>
      </c>
      <c r="J229">
        <v>1</v>
      </c>
      <c r="K229">
        <v>0</v>
      </c>
      <c r="R229" s="1"/>
      <c r="S229">
        <f t="shared" si="15"/>
        <v>0</v>
      </c>
      <c r="T229">
        <f t="shared" si="16"/>
        <v>1</v>
      </c>
      <c r="U229">
        <f t="shared" si="17"/>
        <v>0</v>
      </c>
      <c r="V229">
        <f t="shared" si="18"/>
        <v>0</v>
      </c>
      <c r="W229" s="1" t="str">
        <f t="shared" si="19"/>
        <v>过热</v>
      </c>
      <c r="AB229" s="1"/>
    </row>
    <row r="230" spans="1:28" x14ac:dyDescent="0.35">
      <c r="A230" s="22">
        <v>39172</v>
      </c>
      <c r="B230" s="23">
        <v>17.600000000000001</v>
      </c>
      <c r="C230" s="23">
        <v>18.3</v>
      </c>
      <c r="D230" s="23">
        <v>2.7</v>
      </c>
      <c r="E230" s="19">
        <v>17.899999999999999</v>
      </c>
      <c r="F230">
        <v>1</v>
      </c>
      <c r="G230">
        <v>0</v>
      </c>
      <c r="J230">
        <v>1</v>
      </c>
      <c r="K230">
        <v>0</v>
      </c>
      <c r="R230" s="1"/>
      <c r="S230">
        <f t="shared" si="15"/>
        <v>0</v>
      </c>
      <c r="T230">
        <f t="shared" si="16"/>
        <v>1</v>
      </c>
      <c r="U230">
        <f t="shared" si="17"/>
        <v>0</v>
      </c>
      <c r="V230">
        <f t="shared" si="18"/>
        <v>0</v>
      </c>
      <c r="W230" s="1" t="str">
        <f t="shared" si="19"/>
        <v>过热</v>
      </c>
      <c r="AB230" s="1"/>
    </row>
    <row r="231" spans="1:28" x14ac:dyDescent="0.35">
      <c r="A231" s="22">
        <v>39141</v>
      </c>
      <c r="B231" s="23">
        <v>12.6</v>
      </c>
      <c r="C231" s="23">
        <v>18.5</v>
      </c>
      <c r="D231" s="23">
        <v>2.6</v>
      </c>
      <c r="E231" s="19">
        <v>16.600000000000001</v>
      </c>
      <c r="F231">
        <v>0</v>
      </c>
      <c r="G231">
        <v>1</v>
      </c>
      <c r="J231">
        <v>0</v>
      </c>
      <c r="K231">
        <v>1</v>
      </c>
      <c r="R231" s="1"/>
      <c r="S231">
        <f t="shared" si="15"/>
        <v>0</v>
      </c>
      <c r="T231">
        <f t="shared" si="16"/>
        <v>0</v>
      </c>
      <c r="U231">
        <f t="shared" si="17"/>
        <v>0</v>
      </c>
      <c r="V231">
        <f t="shared" si="18"/>
        <v>1</v>
      </c>
      <c r="W231" s="1" t="str">
        <f t="shared" si="19"/>
        <v>衰退</v>
      </c>
      <c r="AB231" s="1"/>
    </row>
    <row r="232" spans="1:28" x14ac:dyDescent="0.35">
      <c r="A232" s="22">
        <v>39113</v>
      </c>
      <c r="B232" s="23">
        <v>24.71</v>
      </c>
      <c r="C232" s="23">
        <v>24.71</v>
      </c>
      <c r="D232" s="23">
        <v>3.3</v>
      </c>
      <c r="E232" s="19">
        <v>17.8</v>
      </c>
      <c r="F232">
        <v>1</v>
      </c>
      <c r="G232">
        <v>0</v>
      </c>
      <c r="J232">
        <v>0</v>
      </c>
      <c r="K232">
        <v>1</v>
      </c>
      <c r="R232" s="1"/>
      <c r="S232">
        <f t="shared" si="15"/>
        <v>1</v>
      </c>
      <c r="T232">
        <f t="shared" si="16"/>
        <v>0</v>
      </c>
      <c r="U232">
        <f t="shared" si="17"/>
        <v>0</v>
      </c>
      <c r="V232">
        <f t="shared" si="18"/>
        <v>0</v>
      </c>
      <c r="W232" s="1" t="str">
        <f t="shared" si="19"/>
        <v>复苏</v>
      </c>
      <c r="AB232" s="1"/>
    </row>
    <row r="233" spans="1:28" x14ac:dyDescent="0.35">
      <c r="A233" s="22">
        <v>39082</v>
      </c>
      <c r="B233" s="23">
        <v>14.7</v>
      </c>
      <c r="C233" s="23">
        <v>16.600000000000001</v>
      </c>
      <c r="D233" s="23">
        <v>3.1</v>
      </c>
      <c r="E233" s="19">
        <v>16.2</v>
      </c>
      <c r="F233">
        <v>0</v>
      </c>
      <c r="G233">
        <v>1</v>
      </c>
      <c r="J233">
        <v>0</v>
      </c>
      <c r="K233">
        <v>1</v>
      </c>
      <c r="R233" s="1"/>
      <c r="S233">
        <f t="shared" si="15"/>
        <v>0</v>
      </c>
      <c r="T233">
        <f t="shared" si="16"/>
        <v>0</v>
      </c>
      <c r="U233">
        <f t="shared" si="17"/>
        <v>0</v>
      </c>
      <c r="V233">
        <f t="shared" si="18"/>
        <v>1</v>
      </c>
      <c r="W233" s="1" t="str">
        <f t="shared" si="19"/>
        <v>衰退</v>
      </c>
      <c r="AB233" s="1"/>
    </row>
    <row r="234" spans="1:28" x14ac:dyDescent="0.35">
      <c r="A234" s="22">
        <v>39051</v>
      </c>
      <c r="B234" s="23">
        <v>14.9</v>
      </c>
      <c r="C234" s="23">
        <v>16.8</v>
      </c>
      <c r="D234" s="23">
        <v>2.78</v>
      </c>
      <c r="E234" s="19">
        <v>16.2</v>
      </c>
      <c r="F234">
        <v>0</v>
      </c>
      <c r="G234">
        <v>1</v>
      </c>
      <c r="J234">
        <v>0</v>
      </c>
      <c r="K234">
        <v>1</v>
      </c>
      <c r="R234" s="1"/>
      <c r="S234">
        <f t="shared" si="15"/>
        <v>0</v>
      </c>
      <c r="T234">
        <f t="shared" si="16"/>
        <v>0</v>
      </c>
      <c r="U234">
        <f t="shared" si="17"/>
        <v>0</v>
      </c>
      <c r="V234">
        <f t="shared" si="18"/>
        <v>1</v>
      </c>
      <c r="W234" s="1" t="str">
        <f t="shared" si="19"/>
        <v>衰退</v>
      </c>
      <c r="AB234" s="1"/>
    </row>
    <row r="235" spans="1:28" x14ac:dyDescent="0.35">
      <c r="A235" s="22">
        <v>39021</v>
      </c>
      <c r="B235" s="23">
        <v>14.7</v>
      </c>
      <c r="C235" s="23">
        <v>16.899999999999999</v>
      </c>
      <c r="D235" s="23">
        <v>2.9</v>
      </c>
      <c r="E235" s="19">
        <v>16.5</v>
      </c>
      <c r="F235">
        <v>0</v>
      </c>
      <c r="G235">
        <v>1</v>
      </c>
      <c r="J235">
        <v>0</v>
      </c>
      <c r="K235">
        <v>1</v>
      </c>
      <c r="R235" s="1"/>
      <c r="S235">
        <f t="shared" si="15"/>
        <v>0</v>
      </c>
      <c r="T235">
        <f t="shared" si="16"/>
        <v>0</v>
      </c>
      <c r="U235">
        <f t="shared" si="17"/>
        <v>0</v>
      </c>
      <c r="V235">
        <f t="shared" si="18"/>
        <v>1</v>
      </c>
      <c r="W235" s="1" t="str">
        <f t="shared" si="19"/>
        <v>衰退</v>
      </c>
      <c r="AB235" s="1"/>
    </row>
    <row r="236" spans="1:28" x14ac:dyDescent="0.35">
      <c r="A236" s="22">
        <v>38990</v>
      </c>
      <c r="B236" s="23">
        <v>16.100000000000001</v>
      </c>
      <c r="C236" s="23">
        <v>17.2</v>
      </c>
      <c r="D236" s="23">
        <v>3.5</v>
      </c>
      <c r="E236" s="19">
        <v>16.600000000000001</v>
      </c>
      <c r="F236">
        <v>1</v>
      </c>
      <c r="G236">
        <v>0</v>
      </c>
      <c r="J236">
        <v>0</v>
      </c>
      <c r="K236">
        <v>1</v>
      </c>
      <c r="R236" s="1"/>
      <c r="S236">
        <f t="shared" si="15"/>
        <v>1</v>
      </c>
      <c r="T236">
        <f t="shared" si="16"/>
        <v>0</v>
      </c>
      <c r="U236">
        <f t="shared" si="17"/>
        <v>0</v>
      </c>
      <c r="V236">
        <f t="shared" si="18"/>
        <v>0</v>
      </c>
      <c r="W236" s="1" t="str">
        <f t="shared" si="19"/>
        <v>复苏</v>
      </c>
      <c r="AB236" s="1"/>
    </row>
    <row r="237" spans="1:28" x14ac:dyDescent="0.35">
      <c r="A237" s="22">
        <v>38960</v>
      </c>
      <c r="B237" s="23">
        <v>15.7</v>
      </c>
      <c r="C237" s="23">
        <v>17.3</v>
      </c>
      <c r="D237" s="23">
        <v>3.4</v>
      </c>
      <c r="E237" s="19">
        <v>16.100000000000001</v>
      </c>
      <c r="F237">
        <v>0</v>
      </c>
      <c r="G237">
        <v>1</v>
      </c>
      <c r="J237">
        <v>0</v>
      </c>
      <c r="K237">
        <v>1</v>
      </c>
      <c r="R237" s="1"/>
      <c r="S237">
        <f t="shared" si="15"/>
        <v>0</v>
      </c>
      <c r="T237">
        <f t="shared" si="16"/>
        <v>0</v>
      </c>
      <c r="U237">
        <f t="shared" si="17"/>
        <v>0</v>
      </c>
      <c r="V237">
        <f t="shared" si="18"/>
        <v>1</v>
      </c>
      <c r="W237" s="1" t="str">
        <f t="shared" si="19"/>
        <v>衰退</v>
      </c>
      <c r="AB237" s="1"/>
    </row>
    <row r="238" spans="1:28" x14ac:dyDescent="0.35">
      <c r="A238" s="22">
        <v>38929</v>
      </c>
      <c r="B238" s="23">
        <v>16.7</v>
      </c>
      <c r="C238" s="23">
        <v>17.600000000000001</v>
      </c>
      <c r="D238" s="23">
        <v>3.58</v>
      </c>
      <c r="E238" s="19">
        <v>16.5</v>
      </c>
      <c r="F238">
        <v>1</v>
      </c>
      <c r="G238">
        <v>0</v>
      </c>
      <c r="J238">
        <v>0</v>
      </c>
      <c r="K238">
        <v>1</v>
      </c>
      <c r="R238" s="1"/>
      <c r="S238">
        <f t="shared" si="15"/>
        <v>1</v>
      </c>
      <c r="T238">
        <f t="shared" si="16"/>
        <v>0</v>
      </c>
      <c r="U238">
        <f t="shared" si="17"/>
        <v>0</v>
      </c>
      <c r="V238">
        <f t="shared" si="18"/>
        <v>0</v>
      </c>
      <c r="W238" s="1" t="str">
        <f t="shared" si="19"/>
        <v>复苏</v>
      </c>
      <c r="AB238" s="1"/>
    </row>
    <row r="239" spans="1:28" x14ac:dyDescent="0.35">
      <c r="A239" s="22">
        <v>38898</v>
      </c>
      <c r="B239" s="23">
        <v>19.5</v>
      </c>
      <c r="C239" s="23">
        <v>17.7</v>
      </c>
      <c r="D239" s="23">
        <v>3.52</v>
      </c>
      <c r="E239" s="19">
        <v>16</v>
      </c>
      <c r="F239">
        <v>0</v>
      </c>
      <c r="G239">
        <v>1</v>
      </c>
      <c r="J239">
        <v>1</v>
      </c>
      <c r="K239">
        <v>0</v>
      </c>
      <c r="R239" s="1"/>
      <c r="S239">
        <f t="shared" si="15"/>
        <v>0</v>
      </c>
      <c r="T239">
        <f t="shared" si="16"/>
        <v>0</v>
      </c>
      <c r="U239">
        <f t="shared" si="17"/>
        <v>1</v>
      </c>
      <c r="V239">
        <f t="shared" si="18"/>
        <v>0</v>
      </c>
      <c r="W239" s="1" t="str">
        <f t="shared" si="19"/>
        <v>滞涨</v>
      </c>
      <c r="AB239" s="1"/>
    </row>
    <row r="240" spans="1:28" x14ac:dyDescent="0.35">
      <c r="A240" s="22">
        <v>38868</v>
      </c>
      <c r="B240" s="23">
        <v>17.899999999999999</v>
      </c>
      <c r="C240" s="23">
        <v>17</v>
      </c>
      <c r="D240" s="23">
        <v>2.4300000000000002</v>
      </c>
      <c r="E240" s="19">
        <v>16.100000000000001</v>
      </c>
      <c r="F240">
        <v>0</v>
      </c>
      <c r="G240">
        <v>1</v>
      </c>
      <c r="J240">
        <v>0</v>
      </c>
      <c r="K240">
        <v>1</v>
      </c>
      <c r="R240" s="1"/>
      <c r="S240">
        <f t="shared" si="15"/>
        <v>0</v>
      </c>
      <c r="T240">
        <f t="shared" si="16"/>
        <v>0</v>
      </c>
      <c r="U240">
        <f t="shared" si="17"/>
        <v>0</v>
      </c>
      <c r="V240">
        <f t="shared" si="18"/>
        <v>1</v>
      </c>
      <c r="W240" s="1" t="str">
        <f t="shared" si="19"/>
        <v>衰退</v>
      </c>
      <c r="AB240" s="1"/>
    </row>
    <row r="241" spans="1:28" x14ac:dyDescent="0.35">
      <c r="A241" s="22">
        <v>38837</v>
      </c>
      <c r="B241" s="23">
        <v>16.600000000000001</v>
      </c>
      <c r="C241" s="23">
        <v>16.7</v>
      </c>
      <c r="D241" s="23">
        <v>1.87</v>
      </c>
      <c r="E241" s="19">
        <v>16.8</v>
      </c>
      <c r="F241">
        <v>1</v>
      </c>
      <c r="G241">
        <v>0</v>
      </c>
      <c r="J241">
        <v>0</v>
      </c>
      <c r="K241">
        <v>1</v>
      </c>
      <c r="R241" s="1"/>
      <c r="S241">
        <f t="shared" si="15"/>
        <v>1</v>
      </c>
      <c r="T241">
        <f t="shared" si="16"/>
        <v>0</v>
      </c>
      <c r="U241">
        <f t="shared" si="17"/>
        <v>0</v>
      </c>
      <c r="V241">
        <f t="shared" si="18"/>
        <v>0</v>
      </c>
      <c r="W241" s="1" t="str">
        <f t="shared" si="19"/>
        <v>复苏</v>
      </c>
      <c r="AB241" s="1"/>
    </row>
    <row r="242" spans="1:28" x14ac:dyDescent="0.35">
      <c r="A242" s="22">
        <v>38807</v>
      </c>
      <c r="B242" s="23">
        <v>17.8</v>
      </c>
      <c r="C242" s="23">
        <v>16.7</v>
      </c>
      <c r="D242" s="23">
        <v>2.4900000000000002</v>
      </c>
      <c r="E242" s="19">
        <v>16.600000000000001</v>
      </c>
      <c r="F242">
        <v>1</v>
      </c>
      <c r="G242">
        <v>0</v>
      </c>
      <c r="J242">
        <v>1</v>
      </c>
      <c r="K242">
        <v>0</v>
      </c>
      <c r="R242" s="1"/>
      <c r="S242">
        <f t="shared" si="15"/>
        <v>0</v>
      </c>
      <c r="T242">
        <f t="shared" si="16"/>
        <v>1</v>
      </c>
      <c r="U242">
        <f t="shared" si="17"/>
        <v>0</v>
      </c>
      <c r="V242">
        <f t="shared" si="18"/>
        <v>0</v>
      </c>
      <c r="W242" s="1" t="str">
        <f t="shared" si="19"/>
        <v>过热</v>
      </c>
      <c r="AB242" s="1"/>
    </row>
    <row r="243" spans="1:28" x14ac:dyDescent="0.35">
      <c r="A243" s="22">
        <v>38776</v>
      </c>
      <c r="B243" s="23">
        <v>20.100000000000001</v>
      </c>
      <c r="C243" s="23">
        <v>16.2</v>
      </c>
      <c r="D243" s="23">
        <v>3.01</v>
      </c>
      <c r="E243" s="19">
        <v>16</v>
      </c>
      <c r="F243">
        <v>1</v>
      </c>
      <c r="G243">
        <v>0</v>
      </c>
      <c r="J243">
        <v>1</v>
      </c>
      <c r="K243">
        <v>0</v>
      </c>
      <c r="R243" s="1"/>
      <c r="S243">
        <f t="shared" si="15"/>
        <v>0</v>
      </c>
      <c r="T243">
        <f t="shared" si="16"/>
        <v>1</v>
      </c>
      <c r="U243">
        <f t="shared" si="17"/>
        <v>0</v>
      </c>
      <c r="V243">
        <f t="shared" si="18"/>
        <v>0</v>
      </c>
      <c r="W243" s="1" t="str">
        <f t="shared" si="19"/>
        <v>过热</v>
      </c>
      <c r="AB243" s="1"/>
    </row>
    <row r="244" spans="1:28" x14ac:dyDescent="0.35">
      <c r="A244" s="22">
        <v>38748</v>
      </c>
      <c r="B244" s="23">
        <v>12.6</v>
      </c>
      <c r="C244" s="23">
        <v>12.6</v>
      </c>
      <c r="D244" s="23">
        <v>3.05</v>
      </c>
      <c r="E244" s="19">
        <v>15.1</v>
      </c>
      <c r="F244">
        <v>0</v>
      </c>
      <c r="G244">
        <v>1</v>
      </c>
      <c r="J244">
        <v>1</v>
      </c>
      <c r="K244">
        <v>0</v>
      </c>
      <c r="R244" s="1"/>
      <c r="S244">
        <f t="shared" si="15"/>
        <v>0</v>
      </c>
      <c r="T244">
        <f t="shared" si="16"/>
        <v>0</v>
      </c>
      <c r="U244">
        <f t="shared" si="17"/>
        <v>1</v>
      </c>
      <c r="V244">
        <f t="shared" si="18"/>
        <v>0</v>
      </c>
      <c r="W244" s="1" t="str">
        <f t="shared" si="19"/>
        <v>滞涨</v>
      </c>
      <c r="AB244" s="1"/>
    </row>
    <row r="245" spans="1:28" x14ac:dyDescent="0.35">
      <c r="A245" s="22">
        <v>38717</v>
      </c>
      <c r="B245" s="23">
        <v>16.5</v>
      </c>
      <c r="C245" s="23">
        <v>16.399999999999999</v>
      </c>
      <c r="D245" s="23">
        <v>3.2</v>
      </c>
      <c r="E245" s="19">
        <v>16.899999999999999</v>
      </c>
      <c r="F245">
        <v>1</v>
      </c>
      <c r="G245">
        <v>0</v>
      </c>
      <c r="J245">
        <v>0</v>
      </c>
      <c r="K245">
        <v>1</v>
      </c>
      <c r="R245" s="1"/>
      <c r="S245">
        <f t="shared" si="15"/>
        <v>1</v>
      </c>
      <c r="T245">
        <f t="shared" si="16"/>
        <v>0</v>
      </c>
      <c r="U245">
        <f t="shared" si="17"/>
        <v>0</v>
      </c>
      <c r="V245">
        <f t="shared" si="18"/>
        <v>0</v>
      </c>
      <c r="W245" s="1" t="str">
        <f t="shared" si="19"/>
        <v>复苏</v>
      </c>
      <c r="AB245" s="1"/>
    </row>
    <row r="246" spans="1:28" x14ac:dyDescent="0.35">
      <c r="A246" s="22">
        <v>38686</v>
      </c>
      <c r="B246" s="23">
        <v>16.600000000000001</v>
      </c>
      <c r="C246" s="23">
        <v>16.399999999999999</v>
      </c>
      <c r="D246" s="23">
        <v>3.2</v>
      </c>
      <c r="E246" s="19">
        <v>16.899999999999999</v>
      </c>
      <c r="F246">
        <v>1</v>
      </c>
      <c r="G246">
        <v>0</v>
      </c>
      <c r="J246">
        <v>0</v>
      </c>
      <c r="K246">
        <v>1</v>
      </c>
      <c r="R246" s="1"/>
      <c r="S246">
        <f t="shared" si="15"/>
        <v>1</v>
      </c>
      <c r="T246">
        <f t="shared" si="16"/>
        <v>0</v>
      </c>
      <c r="U246">
        <f t="shared" si="17"/>
        <v>0</v>
      </c>
      <c r="V246">
        <f t="shared" si="18"/>
        <v>0</v>
      </c>
      <c r="W246" s="1" t="str">
        <f t="shared" si="19"/>
        <v>复苏</v>
      </c>
      <c r="AB246" s="1"/>
    </row>
    <row r="247" spans="1:28" x14ac:dyDescent="0.35">
      <c r="A247" s="22">
        <v>38656</v>
      </c>
      <c r="B247" s="23">
        <v>16.100000000000001</v>
      </c>
      <c r="C247" s="23">
        <v>16.3</v>
      </c>
      <c r="D247" s="23">
        <v>4</v>
      </c>
      <c r="E247" s="19">
        <v>14.4</v>
      </c>
      <c r="F247">
        <v>0</v>
      </c>
      <c r="G247">
        <v>1</v>
      </c>
      <c r="J247">
        <v>0</v>
      </c>
      <c r="K247">
        <v>1</v>
      </c>
      <c r="R247" s="1"/>
      <c r="S247">
        <f t="shared" si="15"/>
        <v>0</v>
      </c>
      <c r="T247">
        <f t="shared" si="16"/>
        <v>0</v>
      </c>
      <c r="U247">
        <f t="shared" si="17"/>
        <v>0</v>
      </c>
      <c r="V247">
        <f t="shared" si="18"/>
        <v>1</v>
      </c>
      <c r="W247" s="1" t="str">
        <f t="shared" si="19"/>
        <v>衰退</v>
      </c>
      <c r="AB247" s="1"/>
    </row>
    <row r="248" spans="1:28" x14ac:dyDescent="0.35">
      <c r="A248" s="22">
        <v>38625</v>
      </c>
      <c r="B248" s="23">
        <v>16.5</v>
      </c>
      <c r="C248" s="23">
        <v>16.3</v>
      </c>
      <c r="D248" s="23">
        <v>4.5</v>
      </c>
      <c r="E248" s="19">
        <v>14.8</v>
      </c>
      <c r="F248">
        <v>0</v>
      </c>
      <c r="G248">
        <v>1</v>
      </c>
      <c r="J248">
        <v>0</v>
      </c>
      <c r="K248">
        <v>1</v>
      </c>
      <c r="R248" s="1"/>
      <c r="S248">
        <f t="shared" si="15"/>
        <v>0</v>
      </c>
      <c r="T248">
        <f t="shared" si="16"/>
        <v>0</v>
      </c>
      <c r="U248">
        <f t="shared" si="17"/>
        <v>0</v>
      </c>
      <c r="V248">
        <f t="shared" si="18"/>
        <v>1</v>
      </c>
      <c r="W248" s="1" t="str">
        <f t="shared" si="19"/>
        <v>衰退</v>
      </c>
      <c r="AB248" s="1"/>
    </row>
    <row r="249" spans="1:28" x14ac:dyDescent="0.35">
      <c r="A249" s="22">
        <v>38595</v>
      </c>
      <c r="B249" s="23">
        <v>16</v>
      </c>
      <c r="C249" s="23">
        <v>16.3</v>
      </c>
      <c r="D249" s="23">
        <v>5.3</v>
      </c>
      <c r="E249" s="19">
        <v>15.7</v>
      </c>
      <c r="F249">
        <v>0</v>
      </c>
      <c r="G249">
        <v>1</v>
      </c>
      <c r="J249">
        <v>1</v>
      </c>
      <c r="K249">
        <v>0</v>
      </c>
      <c r="R249" s="1"/>
      <c r="S249">
        <f t="shared" si="15"/>
        <v>0</v>
      </c>
      <c r="T249">
        <f t="shared" si="16"/>
        <v>0</v>
      </c>
      <c r="U249">
        <f t="shared" si="17"/>
        <v>1</v>
      </c>
      <c r="V249">
        <f t="shared" si="18"/>
        <v>0</v>
      </c>
      <c r="W249" s="1" t="str">
        <f t="shared" si="19"/>
        <v>滞涨</v>
      </c>
      <c r="AB249" s="1"/>
    </row>
    <row r="250" spans="1:28" x14ac:dyDescent="0.35">
      <c r="A250" s="22">
        <v>38564</v>
      </c>
      <c r="B250" s="23">
        <v>16.100000000000001</v>
      </c>
      <c r="C250" s="23">
        <v>16.3</v>
      </c>
      <c r="D250" s="23">
        <v>5.2</v>
      </c>
      <c r="E250" s="19">
        <v>16.100000000000001</v>
      </c>
      <c r="F250">
        <v>1</v>
      </c>
      <c r="G250">
        <v>0</v>
      </c>
      <c r="J250">
        <v>1</v>
      </c>
      <c r="K250">
        <v>0</v>
      </c>
      <c r="R250" s="1"/>
      <c r="S250">
        <f t="shared" si="15"/>
        <v>0</v>
      </c>
      <c r="T250">
        <f t="shared" si="16"/>
        <v>1</v>
      </c>
      <c r="U250">
        <f t="shared" si="17"/>
        <v>0</v>
      </c>
      <c r="V250">
        <f t="shared" si="18"/>
        <v>0</v>
      </c>
      <c r="W250" s="1" t="str">
        <f t="shared" si="19"/>
        <v>过热</v>
      </c>
      <c r="AB250" s="1"/>
    </row>
    <row r="251" spans="1:28" x14ac:dyDescent="0.35">
      <c r="A251" s="30">
        <v>38533</v>
      </c>
      <c r="B251" s="23">
        <v>16.8</v>
      </c>
      <c r="C251" s="23">
        <v>16.399999999999999</v>
      </c>
      <c r="D251" s="23">
        <v>5.2</v>
      </c>
      <c r="E251" s="19">
        <v>15.9</v>
      </c>
    </row>
    <row r="252" spans="1:28" x14ac:dyDescent="0.35">
      <c r="A252" s="30">
        <v>38503</v>
      </c>
      <c r="B252" s="23">
        <v>16.600000000000001</v>
      </c>
      <c r="C252" s="23">
        <v>16.3</v>
      </c>
      <c r="D252" s="23">
        <v>5.9</v>
      </c>
      <c r="E252" s="19">
        <v>15.5</v>
      </c>
    </row>
    <row r="253" spans="1:28" x14ac:dyDescent="0.35">
      <c r="A253" s="30">
        <v>38472</v>
      </c>
      <c r="B253" s="23">
        <v>16</v>
      </c>
      <c r="C253" s="23">
        <v>16.2</v>
      </c>
      <c r="D253" s="23">
        <v>5.78</v>
      </c>
      <c r="E253" s="19">
        <v>16.2</v>
      </c>
    </row>
    <row r="254" spans="1:28" x14ac:dyDescent="0.35">
      <c r="A254" s="30">
        <v>38442</v>
      </c>
      <c r="B254" s="23">
        <v>15.1</v>
      </c>
      <c r="C254" s="23">
        <v>16.2</v>
      </c>
      <c r="D254" s="23">
        <v>5.6</v>
      </c>
      <c r="E254" s="19">
        <v>17.5</v>
      </c>
    </row>
    <row r="255" spans="1:28" x14ac:dyDescent="0.35">
      <c r="A255" s="30">
        <v>38411</v>
      </c>
      <c r="B255" s="23">
        <v>7.6</v>
      </c>
      <c r="C255" s="23">
        <v>16.899999999999999</v>
      </c>
      <c r="D255" s="23">
        <v>5.38</v>
      </c>
      <c r="E255" s="19">
        <v>19.100000000000001</v>
      </c>
    </row>
    <row r="256" spans="1:28" x14ac:dyDescent="0.35">
      <c r="A256" s="30">
        <v>38383</v>
      </c>
      <c r="B256" s="23">
        <v>20.9</v>
      </c>
      <c r="C256" s="23">
        <v>20.9</v>
      </c>
      <c r="D256" s="23">
        <v>5.8</v>
      </c>
      <c r="E256" s="19">
        <v>19.399999999999999</v>
      </c>
    </row>
    <row r="257" spans="1:5" x14ac:dyDescent="0.35">
      <c r="A257" s="30">
        <v>38352</v>
      </c>
      <c r="B257" s="23">
        <v>14.4</v>
      </c>
      <c r="C257" s="23">
        <v>16.7</v>
      </c>
      <c r="D257" s="23">
        <v>7.1</v>
      </c>
      <c r="E257" s="19">
        <v>16.600000000000001</v>
      </c>
    </row>
    <row r="258" spans="1:5" x14ac:dyDescent="0.35">
      <c r="A258" s="30">
        <v>38321</v>
      </c>
      <c r="B258" s="23">
        <v>14.8</v>
      </c>
      <c r="C258" s="23">
        <v>16.8</v>
      </c>
      <c r="D258" s="23">
        <v>8.1</v>
      </c>
      <c r="E258" s="19">
        <v>16.600000000000001</v>
      </c>
    </row>
    <row r="259" spans="1:5" x14ac:dyDescent="0.35">
      <c r="A259" s="30">
        <v>38291</v>
      </c>
      <c r="B259" s="23">
        <v>15.7</v>
      </c>
      <c r="C259" s="23">
        <v>16.899999999999999</v>
      </c>
      <c r="D259" s="23">
        <v>8.4</v>
      </c>
      <c r="E259" s="19">
        <v>18.100000000000001</v>
      </c>
    </row>
    <row r="260" spans="1:5" x14ac:dyDescent="0.35">
      <c r="A260" s="30">
        <v>38260</v>
      </c>
      <c r="B260" s="23">
        <v>16.100000000000001</v>
      </c>
      <c r="C260" s="23">
        <v>17</v>
      </c>
      <c r="D260" s="23">
        <v>7.9</v>
      </c>
      <c r="E260" s="19">
        <v>17.899999999999999</v>
      </c>
    </row>
    <row r="261" spans="1:5" x14ac:dyDescent="0.35">
      <c r="A261" s="30">
        <v>38230</v>
      </c>
      <c r="B261" s="23">
        <v>15.9</v>
      </c>
      <c r="C261" s="23">
        <v>17.100000000000001</v>
      </c>
      <c r="D261" s="23">
        <v>6.8</v>
      </c>
      <c r="E261" s="19">
        <v>17.2</v>
      </c>
    </row>
    <row r="262" spans="1:5" x14ac:dyDescent="0.35">
      <c r="A262" s="30">
        <v>38199</v>
      </c>
      <c r="B262" s="23">
        <v>15.5</v>
      </c>
      <c r="C262" s="23">
        <v>17.3</v>
      </c>
      <c r="D262" s="23">
        <v>6.4</v>
      </c>
      <c r="E262" s="19">
        <v>16.3</v>
      </c>
    </row>
    <row r="263" spans="1:5" x14ac:dyDescent="0.35">
      <c r="A263" s="30">
        <v>38168</v>
      </c>
      <c r="B263" s="23">
        <v>16.2</v>
      </c>
      <c r="C263" s="23">
        <v>17.7</v>
      </c>
      <c r="D263" s="23">
        <v>6.4</v>
      </c>
      <c r="E263" s="19">
        <v>17.100000000000001</v>
      </c>
    </row>
    <row r="264" spans="1:5" x14ac:dyDescent="0.35">
      <c r="A264" s="30">
        <v>38138</v>
      </c>
      <c r="B264" s="23">
        <v>17.5</v>
      </c>
      <c r="C264" s="23">
        <v>18.100000000000001</v>
      </c>
      <c r="D264" s="23">
        <v>5.7</v>
      </c>
      <c r="E264" s="19">
        <v>16.5</v>
      </c>
    </row>
    <row r="265" spans="1:5" x14ac:dyDescent="0.35">
      <c r="A265" s="30">
        <v>38107</v>
      </c>
      <c r="B265" s="23">
        <v>19.100000000000001</v>
      </c>
      <c r="C265" s="23">
        <v>18.2</v>
      </c>
      <c r="D265" s="23">
        <v>5</v>
      </c>
      <c r="E265" s="19">
        <v>16.899999999999999</v>
      </c>
    </row>
    <row r="266" spans="1:5" x14ac:dyDescent="0.35">
      <c r="A266" s="30">
        <v>38077</v>
      </c>
      <c r="B266" s="23">
        <v>19.399999999999999</v>
      </c>
      <c r="C266" s="23">
        <v>17.7</v>
      </c>
      <c r="D266" s="23">
        <v>4</v>
      </c>
      <c r="E266" s="19">
        <v>13.7</v>
      </c>
    </row>
    <row r="267" spans="1:5" x14ac:dyDescent="0.35">
      <c r="A267" s="30">
        <v>38046</v>
      </c>
      <c r="B267" s="23">
        <v>23.2</v>
      </c>
      <c r="C267" s="23">
        <v>16.600000000000001</v>
      </c>
      <c r="D267" s="23">
        <v>3.5</v>
      </c>
      <c r="E267" s="19">
        <v>14.9</v>
      </c>
    </row>
    <row r="268" spans="1:5" x14ac:dyDescent="0.35">
      <c r="A268" s="30">
        <v>38017</v>
      </c>
      <c r="B268" s="23">
        <v>7.2</v>
      </c>
      <c r="C268" s="23">
        <v>7.2</v>
      </c>
      <c r="D268" s="23">
        <v>3.5</v>
      </c>
      <c r="E268" s="19">
        <v>16.899999999999999</v>
      </c>
    </row>
    <row r="269" spans="1:5" x14ac:dyDescent="0.35">
      <c r="A269" s="30">
        <v>37986</v>
      </c>
      <c r="B269" s="23">
        <v>18.100000000000001</v>
      </c>
      <c r="C269" s="23">
        <v>17</v>
      </c>
      <c r="D269" s="23">
        <v>3</v>
      </c>
      <c r="E269" s="19">
        <v>17.5</v>
      </c>
    </row>
    <row r="270" spans="1:5" x14ac:dyDescent="0.35">
      <c r="A270" s="30">
        <v>37955</v>
      </c>
      <c r="B270" s="23">
        <v>17.899999999999999</v>
      </c>
      <c r="C270" s="23">
        <v>16.8</v>
      </c>
      <c r="D270" s="23">
        <v>1.9</v>
      </c>
      <c r="E270" s="19">
        <v>17.5</v>
      </c>
    </row>
    <row r="271" spans="1:5" x14ac:dyDescent="0.35">
      <c r="A271" s="30">
        <v>37925</v>
      </c>
      <c r="B271" s="23">
        <v>17.2</v>
      </c>
      <c r="C271" s="23">
        <v>16.7</v>
      </c>
      <c r="D271" s="23">
        <v>1.2</v>
      </c>
      <c r="E271" s="19">
        <v>14.9</v>
      </c>
    </row>
    <row r="272" spans="1:5" x14ac:dyDescent="0.35">
      <c r="A272" s="30">
        <v>37894</v>
      </c>
      <c r="B272" s="23">
        <v>16.3</v>
      </c>
      <c r="C272" s="23">
        <v>16.5</v>
      </c>
      <c r="D272" s="23">
        <v>1.4</v>
      </c>
      <c r="E272" s="19">
        <v>14.5</v>
      </c>
    </row>
    <row r="273" spans="1:5" x14ac:dyDescent="0.35">
      <c r="A273" s="30">
        <v>37864</v>
      </c>
      <c r="B273" s="23">
        <v>17.100000000000001</v>
      </c>
      <c r="C273" s="23">
        <v>16.5</v>
      </c>
      <c r="D273" s="23">
        <v>1.4</v>
      </c>
      <c r="E273" s="19">
        <v>14.2</v>
      </c>
    </row>
    <row r="274" spans="1:5" x14ac:dyDescent="0.35">
      <c r="A274" s="30">
        <v>37833</v>
      </c>
      <c r="B274" s="23">
        <v>16.5</v>
      </c>
      <c r="C274" s="23">
        <v>16.399999999999999</v>
      </c>
      <c r="D274" s="23">
        <v>1.4</v>
      </c>
      <c r="E274" s="19">
        <v>13.8</v>
      </c>
    </row>
    <row r="275" spans="1:5" x14ac:dyDescent="0.35">
      <c r="A275" s="30">
        <v>37802</v>
      </c>
      <c r="B275" s="23">
        <v>16.899999999999999</v>
      </c>
      <c r="C275" s="23">
        <v>16.2</v>
      </c>
      <c r="D275" s="23">
        <v>1.3</v>
      </c>
      <c r="E275" s="19">
        <v>12.7</v>
      </c>
    </row>
    <row r="276" spans="1:5" x14ac:dyDescent="0.35">
      <c r="A276" s="30">
        <v>37772</v>
      </c>
      <c r="B276" s="23">
        <v>13.7</v>
      </c>
      <c r="C276" s="23">
        <v>15.9</v>
      </c>
      <c r="D276" s="23">
        <v>2</v>
      </c>
      <c r="E276" s="19">
        <v>12.8</v>
      </c>
    </row>
    <row r="277" spans="1:5" x14ac:dyDescent="0.35">
      <c r="A277" s="30">
        <v>37741</v>
      </c>
      <c r="B277" s="23">
        <v>14.9</v>
      </c>
      <c r="C277" s="23">
        <v>16.399999999999999</v>
      </c>
      <c r="D277" s="23">
        <v>3.6</v>
      </c>
      <c r="E277" s="19">
        <v>12.4</v>
      </c>
    </row>
    <row r="278" spans="1:5" x14ac:dyDescent="0.35">
      <c r="A278" s="30">
        <v>37711</v>
      </c>
      <c r="B278" s="23">
        <v>16.899999999999999</v>
      </c>
      <c r="C278" s="23">
        <v>17.2</v>
      </c>
      <c r="D278" s="23">
        <v>4.5999999999999996</v>
      </c>
      <c r="E278" s="19">
        <v>12.9</v>
      </c>
    </row>
    <row r="279" spans="1:5" x14ac:dyDescent="0.35">
      <c r="A279" s="30">
        <v>37680</v>
      </c>
      <c r="B279" s="23">
        <v>19.8</v>
      </c>
      <c r="C279" s="23">
        <v>17.5</v>
      </c>
      <c r="D279" s="23">
        <v>4</v>
      </c>
      <c r="E279" s="19">
        <v>12.1</v>
      </c>
    </row>
    <row r="280" spans="1:5" x14ac:dyDescent="0.35">
      <c r="A280" s="30">
        <v>37652</v>
      </c>
      <c r="B280" s="23">
        <v>14.8</v>
      </c>
      <c r="C280" s="23">
        <v>14.8</v>
      </c>
      <c r="D280" s="23">
        <v>2.4</v>
      </c>
      <c r="E280" s="19">
        <v>10.9</v>
      </c>
    </row>
    <row r="281" spans="1:5" x14ac:dyDescent="0.35">
      <c r="A281" s="30">
        <v>37621</v>
      </c>
      <c r="B281" s="23">
        <v>14.9</v>
      </c>
      <c r="C281" s="23">
        <v>12.6</v>
      </c>
      <c r="D281" s="23">
        <v>0.4</v>
      </c>
      <c r="E281" s="19">
        <v>10.9</v>
      </c>
    </row>
    <row r="282" spans="1:5" x14ac:dyDescent="0.35">
      <c r="A282" s="30">
        <v>37590</v>
      </c>
      <c r="B282" s="23">
        <v>14.5</v>
      </c>
      <c r="C282" s="23">
        <v>12.4</v>
      </c>
      <c r="D282" s="23">
        <v>-0.4</v>
      </c>
      <c r="E282" s="19">
        <v>10.9</v>
      </c>
    </row>
    <row r="283" spans="1:5" x14ac:dyDescent="0.35">
      <c r="A283" s="30">
        <v>37560</v>
      </c>
      <c r="B283" s="23">
        <v>14.2</v>
      </c>
      <c r="C283" s="23">
        <v>12.3</v>
      </c>
      <c r="D283" s="23">
        <v>-1</v>
      </c>
      <c r="E283" s="19">
        <v>8.6999999999999993</v>
      </c>
    </row>
    <row r="284" spans="1:5" x14ac:dyDescent="0.35">
      <c r="A284" s="30">
        <v>37529</v>
      </c>
      <c r="B284" s="23">
        <v>13.8</v>
      </c>
      <c r="C284" s="23">
        <v>12.2</v>
      </c>
      <c r="D284" s="23">
        <v>-1.4</v>
      </c>
      <c r="E284" s="19">
        <v>7.9</v>
      </c>
    </row>
    <row r="285" spans="1:5" x14ac:dyDescent="0.35">
      <c r="A285" s="30">
        <v>37499</v>
      </c>
      <c r="B285" s="23">
        <v>12.7</v>
      </c>
      <c r="C285" s="23">
        <v>12</v>
      </c>
      <c r="D285" s="23">
        <v>-1.7</v>
      </c>
      <c r="E285" s="19">
        <v>8.8000000000000007</v>
      </c>
    </row>
    <row r="286" spans="1:5" x14ac:dyDescent="0.35">
      <c r="A286" s="30">
        <v>37468</v>
      </c>
      <c r="B286" s="23">
        <v>12.8</v>
      </c>
      <c r="C286" s="23">
        <v>11.8</v>
      </c>
      <c r="D286" s="23">
        <v>-2.2999999999999998</v>
      </c>
      <c r="E286" s="19">
        <v>9.5</v>
      </c>
    </row>
    <row r="287" spans="1:5" x14ac:dyDescent="0.35">
      <c r="A287" s="30">
        <v>37437</v>
      </c>
      <c r="B287" s="23">
        <v>12.4</v>
      </c>
      <c r="C287" s="23">
        <v>11.7</v>
      </c>
      <c r="D287" s="23">
        <v>-2.5</v>
      </c>
      <c r="E287" s="19">
        <v>8.1</v>
      </c>
    </row>
    <row r="288" spans="1:5" x14ac:dyDescent="0.35">
      <c r="A288" s="30">
        <v>37407</v>
      </c>
      <c r="B288" s="23">
        <v>12.9</v>
      </c>
      <c r="C288" s="23">
        <v>11.6</v>
      </c>
      <c r="D288" s="23">
        <v>-2.63</v>
      </c>
      <c r="E288" s="19">
        <v>8.1</v>
      </c>
    </row>
    <row r="289" spans="1:5" x14ac:dyDescent="0.35">
      <c r="A289" s="30">
        <v>37376</v>
      </c>
      <c r="B289" s="23">
        <v>12.1</v>
      </c>
      <c r="C289" s="23">
        <v>11.2</v>
      </c>
      <c r="D289" s="23">
        <v>-3.06</v>
      </c>
      <c r="E289" s="19">
        <v>10.1</v>
      </c>
    </row>
    <row r="290" spans="1:5" x14ac:dyDescent="0.35">
      <c r="A290" s="30">
        <v>37346</v>
      </c>
      <c r="B290" s="23">
        <v>10.9</v>
      </c>
      <c r="C290" s="23">
        <v>10.9</v>
      </c>
      <c r="D290" s="23">
        <v>-4</v>
      </c>
      <c r="E290" s="19">
        <v>10.199999999999999</v>
      </c>
    </row>
    <row r="291" spans="1:5" x14ac:dyDescent="0.35">
      <c r="A291" s="30">
        <v>37315</v>
      </c>
      <c r="B291" s="23">
        <v>2.7</v>
      </c>
      <c r="C291" s="23">
        <v>10.9</v>
      </c>
      <c r="D291" s="23">
        <v>-4.2</v>
      </c>
      <c r="E291" s="19">
        <v>11.5</v>
      </c>
    </row>
    <row r="292" spans="1:5" x14ac:dyDescent="0.35">
      <c r="A292" s="30">
        <v>37287</v>
      </c>
      <c r="B292" s="23">
        <v>18.600000000000001</v>
      </c>
      <c r="C292" s="23">
        <v>18.600000000000001</v>
      </c>
      <c r="D292" s="23">
        <v>-4.2</v>
      </c>
      <c r="E292" s="19">
        <v>12.1</v>
      </c>
    </row>
    <row r="293" spans="1:5" x14ac:dyDescent="0.35">
      <c r="A293" s="30">
        <v>37256</v>
      </c>
      <c r="B293" s="23">
        <v>8.6999999999999993</v>
      </c>
      <c r="C293" s="23">
        <v>9.9</v>
      </c>
      <c r="D293" s="23">
        <v>-4</v>
      </c>
      <c r="E293" s="19">
        <v>10.199999999999999</v>
      </c>
    </row>
    <row r="294" spans="1:5" x14ac:dyDescent="0.35">
      <c r="A294" s="30">
        <v>37225</v>
      </c>
      <c r="B294" s="23">
        <v>7.9</v>
      </c>
      <c r="C294" s="23">
        <v>10</v>
      </c>
      <c r="D294" s="23">
        <v>-3.7</v>
      </c>
      <c r="E294" s="19">
        <v>10.199999999999999</v>
      </c>
    </row>
    <row r="295" spans="1:5" x14ac:dyDescent="0.35">
      <c r="A295" s="30">
        <v>37195</v>
      </c>
      <c r="B295" s="23">
        <v>8.8000000000000007</v>
      </c>
      <c r="C295" s="23">
        <v>10.199999999999999</v>
      </c>
      <c r="D295" s="23">
        <v>-3.1</v>
      </c>
      <c r="E295" s="19">
        <v>10.4</v>
      </c>
    </row>
    <row r="296" spans="1:5" x14ac:dyDescent="0.35">
      <c r="A296" s="30">
        <v>37164</v>
      </c>
      <c r="B296" s="23">
        <v>9.5</v>
      </c>
      <c r="C296" s="23">
        <v>10.3</v>
      </c>
      <c r="D296" s="23">
        <v>-2.9</v>
      </c>
      <c r="E296" s="19">
        <v>10.6</v>
      </c>
    </row>
    <row r="297" spans="1:5" x14ac:dyDescent="0.35">
      <c r="A297" s="30">
        <v>37134</v>
      </c>
      <c r="B297" s="23">
        <v>8.1</v>
      </c>
      <c r="C297" s="23">
        <v>10.4</v>
      </c>
      <c r="D297" s="23">
        <v>-2</v>
      </c>
      <c r="E297" s="19">
        <v>11.4</v>
      </c>
    </row>
    <row r="298" spans="1:5" x14ac:dyDescent="0.35">
      <c r="A298" s="30">
        <v>37103</v>
      </c>
      <c r="B298" s="23">
        <v>8.1</v>
      </c>
      <c r="C298" s="23">
        <v>10.7</v>
      </c>
      <c r="D298" s="23">
        <v>-1.3</v>
      </c>
      <c r="E298" s="19">
        <v>12</v>
      </c>
    </row>
    <row r="299" spans="1:5" x14ac:dyDescent="0.35">
      <c r="A299" s="30">
        <v>37072</v>
      </c>
      <c r="B299" s="23">
        <v>10.1</v>
      </c>
      <c r="C299" s="23">
        <v>11</v>
      </c>
      <c r="D299" s="23">
        <v>-0.6</v>
      </c>
      <c r="E299" s="19">
        <v>12.8</v>
      </c>
    </row>
    <row r="300" spans="1:5" x14ac:dyDescent="0.35">
      <c r="A300" s="30">
        <v>37042</v>
      </c>
      <c r="B300" s="23">
        <v>10.199999999999999</v>
      </c>
      <c r="C300" s="23">
        <v>11.1</v>
      </c>
      <c r="D300" s="23">
        <v>-0.2</v>
      </c>
      <c r="E300" s="19">
        <v>12.8</v>
      </c>
    </row>
    <row r="301" spans="1:5" x14ac:dyDescent="0.35">
      <c r="A301" s="30">
        <v>37011</v>
      </c>
      <c r="B301" s="23">
        <v>11.5</v>
      </c>
      <c r="C301" s="23">
        <v>11.3</v>
      </c>
      <c r="D301" s="23">
        <v>-0.1</v>
      </c>
      <c r="E301" s="19">
        <v>12.2</v>
      </c>
    </row>
    <row r="302" spans="1:5" x14ac:dyDescent="0.35">
      <c r="A302" s="30">
        <v>36981</v>
      </c>
      <c r="B302" s="23">
        <v>12.1</v>
      </c>
      <c r="C302" s="23">
        <v>11.2</v>
      </c>
      <c r="D302" s="23">
        <v>0.2</v>
      </c>
      <c r="E302" s="19">
        <v>11.5</v>
      </c>
    </row>
    <row r="303" spans="1:5" x14ac:dyDescent="0.35">
      <c r="A303" s="30">
        <v>36950</v>
      </c>
      <c r="B303" s="23">
        <v>19</v>
      </c>
      <c r="C303" s="23">
        <v>10.199999999999999</v>
      </c>
      <c r="D303" s="23">
        <v>0.9</v>
      </c>
      <c r="E303" s="19">
        <v>11.4</v>
      </c>
    </row>
    <row r="304" spans="1:5" x14ac:dyDescent="0.35">
      <c r="A304" s="30">
        <v>36922</v>
      </c>
      <c r="B304" s="23">
        <v>2.2999999999999998</v>
      </c>
      <c r="C304" s="23">
        <v>2.2999999999999998</v>
      </c>
      <c r="D304" s="23">
        <v>1.43</v>
      </c>
      <c r="E304" s="19">
        <v>11.9</v>
      </c>
    </row>
    <row r="305" spans="1:5" x14ac:dyDescent="0.35">
      <c r="A305" s="30">
        <v>36891</v>
      </c>
      <c r="B305" s="23">
        <v>10.4</v>
      </c>
      <c r="C305" s="23">
        <v>11.4</v>
      </c>
      <c r="D305" s="23">
        <v>2.8</v>
      </c>
      <c r="E305" s="19">
        <v>10.4</v>
      </c>
    </row>
    <row r="306" spans="1:5" x14ac:dyDescent="0.35">
      <c r="A306" s="30">
        <v>36860</v>
      </c>
      <c r="B306" s="23">
        <v>10.6</v>
      </c>
      <c r="C306" s="23">
        <v>11.5</v>
      </c>
      <c r="D306" s="23">
        <v>3.5</v>
      </c>
      <c r="E306" s="19">
        <v>10.4</v>
      </c>
    </row>
    <row r="307" spans="1:5" x14ac:dyDescent="0.35">
      <c r="A307" s="30">
        <v>36830</v>
      </c>
      <c r="B307" s="23">
        <v>11.4</v>
      </c>
      <c r="C307" s="23">
        <v>11.6</v>
      </c>
      <c r="D307" s="23">
        <v>3.6</v>
      </c>
      <c r="E307" s="19">
        <v>7.4</v>
      </c>
    </row>
    <row r="308" spans="1:5" x14ac:dyDescent="0.35">
      <c r="A308" s="30">
        <v>36799</v>
      </c>
      <c r="B308" s="23">
        <v>12</v>
      </c>
      <c r="C308" s="23">
        <v>11.6</v>
      </c>
      <c r="D308" s="23">
        <v>3.7</v>
      </c>
      <c r="E308" s="19">
        <v>7.6</v>
      </c>
    </row>
    <row r="309" spans="1:5" x14ac:dyDescent="0.35">
      <c r="A309" s="30">
        <v>36769</v>
      </c>
      <c r="B309" s="23">
        <v>12.8</v>
      </c>
      <c r="C309" s="23">
        <v>11.6</v>
      </c>
      <c r="D309" s="23">
        <v>3.92</v>
      </c>
      <c r="E309" s="19">
        <v>7</v>
      </c>
    </row>
    <row r="310" spans="1:5" x14ac:dyDescent="0.35">
      <c r="A310" s="30">
        <v>36738</v>
      </c>
      <c r="B310" s="23">
        <v>12.8</v>
      </c>
      <c r="C310" s="23">
        <v>11.4</v>
      </c>
      <c r="D310" s="23">
        <v>4.5</v>
      </c>
      <c r="E310" s="19">
        <v>8.1999999999999993</v>
      </c>
    </row>
    <row r="311" spans="1:5" x14ac:dyDescent="0.35">
      <c r="A311" s="30">
        <v>36707</v>
      </c>
      <c r="B311" s="23">
        <v>12.2</v>
      </c>
      <c r="C311" s="23">
        <v>11.2</v>
      </c>
      <c r="D311" s="23">
        <v>2.95</v>
      </c>
      <c r="E311" s="19">
        <v>9.5</v>
      </c>
    </row>
    <row r="312" spans="1:5" x14ac:dyDescent="0.35">
      <c r="A312" s="30">
        <v>36677</v>
      </c>
      <c r="B312" s="23">
        <v>11.5</v>
      </c>
      <c r="C312" s="23">
        <v>11</v>
      </c>
      <c r="D312" s="23">
        <v>0.67</v>
      </c>
      <c r="E312" s="19">
        <v>9.3000000000000007</v>
      </c>
    </row>
    <row r="313" spans="1:5" x14ac:dyDescent="0.35">
      <c r="A313" s="30">
        <v>36646</v>
      </c>
      <c r="B313" s="23">
        <v>11.4</v>
      </c>
      <c r="C313" s="23">
        <v>10.9</v>
      </c>
      <c r="D313" s="23">
        <v>2.59</v>
      </c>
      <c r="E313" s="19">
        <v>9.1</v>
      </c>
    </row>
    <row r="314" spans="1:5" x14ac:dyDescent="0.35">
      <c r="A314" s="30">
        <v>36616</v>
      </c>
      <c r="B314" s="23">
        <v>11.9</v>
      </c>
      <c r="C314" s="23">
        <v>10.7</v>
      </c>
      <c r="D314" s="23">
        <v>1.87</v>
      </c>
      <c r="E314" s="19">
        <v>8.9</v>
      </c>
    </row>
    <row r="315" spans="1:5" x14ac:dyDescent="0.35">
      <c r="A315" s="30">
        <v>36585</v>
      </c>
      <c r="B315" s="23">
        <v>12</v>
      </c>
      <c r="C315" s="23">
        <v>10.4</v>
      </c>
      <c r="D315" s="23">
        <v>1.2</v>
      </c>
      <c r="E315" s="19">
        <v>9.1</v>
      </c>
    </row>
    <row r="316" spans="1:5" x14ac:dyDescent="0.35">
      <c r="A316" s="30">
        <v>36556</v>
      </c>
      <c r="B316" s="23">
        <v>8.9</v>
      </c>
      <c r="C316" s="23">
        <v>8.9</v>
      </c>
      <c r="D316" s="23">
        <v>0.03</v>
      </c>
      <c r="E316" s="19">
        <v>9</v>
      </c>
    </row>
    <row r="317" spans="1:5" x14ac:dyDescent="0.35">
      <c r="A317" s="30">
        <v>36525</v>
      </c>
      <c r="B317" s="23">
        <v>7.4</v>
      </c>
      <c r="C317" s="23">
        <v>8.9</v>
      </c>
      <c r="D317" s="23">
        <v>-0.83</v>
      </c>
      <c r="E317" s="19">
        <v>10.6</v>
      </c>
    </row>
    <row r="318" spans="1:5" x14ac:dyDescent="0.35">
      <c r="A318" s="30">
        <v>36494</v>
      </c>
      <c r="B318" s="23">
        <v>7.6</v>
      </c>
      <c r="C318" s="23">
        <v>9</v>
      </c>
      <c r="D318" s="23">
        <v>-1.04</v>
      </c>
      <c r="E318" s="19">
        <v>10.6</v>
      </c>
    </row>
    <row r="319" spans="1:5" x14ac:dyDescent="0.35">
      <c r="A319" s="30">
        <v>36464</v>
      </c>
      <c r="B319" s="23">
        <v>7</v>
      </c>
      <c r="C319" s="23">
        <v>9.1</v>
      </c>
      <c r="D319" s="23">
        <v>-0.74</v>
      </c>
      <c r="E319" s="19">
        <v>11.5</v>
      </c>
    </row>
    <row r="320" spans="1:5" x14ac:dyDescent="0.35">
      <c r="A320" s="30">
        <v>36433</v>
      </c>
      <c r="B320" s="23">
        <v>8.1999999999999993</v>
      </c>
      <c r="C320" s="23">
        <v>9.3000000000000007</v>
      </c>
      <c r="D320" s="23">
        <v>-2.1</v>
      </c>
      <c r="E320" s="19">
        <v>11</v>
      </c>
    </row>
    <row r="321" spans="1:5" x14ac:dyDescent="0.35">
      <c r="A321" s="30">
        <v>36403</v>
      </c>
      <c r="B321" s="23">
        <v>9.5</v>
      </c>
      <c r="C321" s="23">
        <v>9.4</v>
      </c>
      <c r="D321" s="23">
        <v>-2.2999999999999998</v>
      </c>
      <c r="E321" s="19">
        <v>10.6</v>
      </c>
    </row>
    <row r="322" spans="1:5" x14ac:dyDescent="0.35">
      <c r="A322" s="30">
        <v>36372</v>
      </c>
      <c r="B322" s="23">
        <v>9.3000000000000007</v>
      </c>
      <c r="C322" s="23">
        <v>9.4</v>
      </c>
      <c r="D322" s="23">
        <v>-2.5099999999999998</v>
      </c>
      <c r="E322" s="19">
        <v>10.199999999999999</v>
      </c>
    </row>
    <row r="323" spans="1:5" x14ac:dyDescent="0.35">
      <c r="A323" s="30">
        <v>36341</v>
      </c>
      <c r="B323" s="23">
        <v>9.1</v>
      </c>
      <c r="C323" s="23">
        <v>9.4</v>
      </c>
      <c r="D323" s="23">
        <v>-3.6</v>
      </c>
      <c r="E323" s="19">
        <v>7.9</v>
      </c>
    </row>
    <row r="324" spans="1:5" x14ac:dyDescent="0.35">
      <c r="A324" s="30">
        <v>36311</v>
      </c>
      <c r="B324" s="23">
        <v>8.9</v>
      </c>
      <c r="C324" s="23">
        <v>9.5</v>
      </c>
      <c r="D324" s="23">
        <v>-3.42</v>
      </c>
      <c r="E324" s="19">
        <v>7.6</v>
      </c>
    </row>
    <row r="325" spans="1:5" x14ac:dyDescent="0.35">
      <c r="A325" s="30">
        <v>36280</v>
      </c>
      <c r="B325" s="23">
        <v>9.1</v>
      </c>
      <c r="C325" s="23">
        <v>9.6999999999999993</v>
      </c>
      <c r="D325" s="23">
        <v>-3.86</v>
      </c>
      <c r="E325" s="19">
        <v>7.9</v>
      </c>
    </row>
    <row r="326" spans="1:5" x14ac:dyDescent="0.35">
      <c r="A326" s="30">
        <v>36250</v>
      </c>
      <c r="B326" s="23">
        <v>9</v>
      </c>
      <c r="C326" s="23">
        <v>10.1</v>
      </c>
      <c r="D326" s="23">
        <v>-4.62</v>
      </c>
      <c r="E326" s="19">
        <v>8</v>
      </c>
    </row>
    <row r="327" spans="1:5" x14ac:dyDescent="0.35">
      <c r="A327" s="30">
        <v>36219</v>
      </c>
      <c r="B327" s="23">
        <v>2.1</v>
      </c>
      <c r="C327" s="23">
        <v>10.6</v>
      </c>
      <c r="D327" s="23">
        <v>-4.8899999999999997</v>
      </c>
      <c r="E327" s="19">
        <v>7.2</v>
      </c>
    </row>
    <row r="328" spans="1:5" x14ac:dyDescent="0.35">
      <c r="A328" s="30">
        <v>36191</v>
      </c>
      <c r="B328" s="23">
        <v>17.899999999999999</v>
      </c>
      <c r="C328" s="23">
        <v>17.899999999999999</v>
      </c>
      <c r="D328" s="23">
        <v>-4.92</v>
      </c>
      <c r="E328" s="19">
        <v>9</v>
      </c>
    </row>
    <row r="329" spans="1:5" x14ac:dyDescent="0.35">
      <c r="A329" s="30">
        <v>36160</v>
      </c>
      <c r="B329" s="23">
        <v>11.5</v>
      </c>
      <c r="C329" s="23">
        <v>8.8000000000000007</v>
      </c>
      <c r="D329" s="23">
        <v>-5.38</v>
      </c>
      <c r="E329" s="19">
        <v>0</v>
      </c>
    </row>
    <row r="330" spans="1:5" x14ac:dyDescent="0.35">
      <c r="A330" s="30">
        <v>36129</v>
      </c>
      <c r="B330" s="23">
        <v>11</v>
      </c>
      <c r="C330" s="23">
        <v>8.5</v>
      </c>
      <c r="D330" s="23">
        <v>-5.68</v>
      </c>
      <c r="E330" s="19">
        <v>0</v>
      </c>
    </row>
    <row r="331" spans="1:5" x14ac:dyDescent="0.35">
      <c r="A331" s="30">
        <v>36099</v>
      </c>
      <c r="B331" s="23">
        <v>10.6</v>
      </c>
      <c r="C331" s="23">
        <v>8.1999999999999993</v>
      </c>
      <c r="D331" s="23">
        <v>-5.38</v>
      </c>
      <c r="E331" s="19">
        <v>9.1999999999999993</v>
      </c>
    </row>
    <row r="332" spans="1:5" x14ac:dyDescent="0.35">
      <c r="A332" s="30">
        <v>36068</v>
      </c>
      <c r="B332" s="23">
        <v>10.199999999999999</v>
      </c>
      <c r="C332" s="23">
        <v>8</v>
      </c>
      <c r="D332" s="23">
        <v>-4.1900000000000004</v>
      </c>
      <c r="E332" s="19">
        <v>11.6</v>
      </c>
    </row>
    <row r="333" spans="1:5" x14ac:dyDescent="0.35">
      <c r="A333" s="30">
        <v>36038</v>
      </c>
      <c r="B333" s="23">
        <v>7.9</v>
      </c>
      <c r="C333" s="23">
        <v>7.8</v>
      </c>
      <c r="D333" s="23">
        <v>-5.54</v>
      </c>
      <c r="E333" s="19">
        <v>11.8</v>
      </c>
    </row>
    <row r="334" spans="1:5" x14ac:dyDescent="0.35">
      <c r="A334" s="30">
        <v>36007</v>
      </c>
      <c r="B334" s="23">
        <v>7.6</v>
      </c>
      <c r="C334" s="23">
        <v>7.8</v>
      </c>
      <c r="D334" s="23">
        <v>-4.96</v>
      </c>
      <c r="E334" s="19">
        <v>11.1</v>
      </c>
    </row>
    <row r="335" spans="1:5" x14ac:dyDescent="0.35">
      <c r="A335" s="30">
        <v>35976</v>
      </c>
      <c r="B335" s="23">
        <v>7.9</v>
      </c>
      <c r="C335" s="23">
        <v>0</v>
      </c>
      <c r="D335" s="23">
        <v>-4.88</v>
      </c>
      <c r="E335" s="19">
        <v>10.9</v>
      </c>
    </row>
    <row r="336" spans="1:5" x14ac:dyDescent="0.35">
      <c r="A336" s="30">
        <v>35946</v>
      </c>
      <c r="B336" s="23">
        <v>8</v>
      </c>
      <c r="C336" s="23">
        <v>0</v>
      </c>
      <c r="D336" s="23">
        <v>-4.47</v>
      </c>
      <c r="E336" s="19">
        <v>8.4</v>
      </c>
    </row>
    <row r="337" spans="1:5" x14ac:dyDescent="0.35">
      <c r="A337" s="30">
        <v>35915</v>
      </c>
      <c r="B337" s="23">
        <v>7.2</v>
      </c>
      <c r="C337" s="23">
        <v>0</v>
      </c>
      <c r="D337" s="23">
        <v>-3.69</v>
      </c>
      <c r="E337" s="19">
        <v>12.1</v>
      </c>
    </row>
    <row r="338" spans="1:5" x14ac:dyDescent="0.35">
      <c r="A338" s="30">
        <v>35885</v>
      </c>
      <c r="B338" s="23">
        <v>9</v>
      </c>
      <c r="C338" s="23">
        <v>0</v>
      </c>
      <c r="D338" s="23">
        <v>-3.2</v>
      </c>
      <c r="E338" s="19">
        <v>11.9</v>
      </c>
    </row>
    <row r="339" spans="1:5" x14ac:dyDescent="0.35">
      <c r="A339" s="30">
        <v>35854</v>
      </c>
      <c r="B339" s="23">
        <v>9.5</v>
      </c>
      <c r="C339" s="23">
        <v>0</v>
      </c>
      <c r="D339" s="23">
        <v>-2.65</v>
      </c>
      <c r="E339" s="19">
        <v>11.9</v>
      </c>
    </row>
    <row r="340" spans="1:5" x14ac:dyDescent="0.35">
      <c r="A340" s="30">
        <v>35826</v>
      </c>
      <c r="B340" s="23">
        <v>1.8</v>
      </c>
      <c r="C340" s="23">
        <v>1.8</v>
      </c>
      <c r="D340" s="23">
        <v>-1.32</v>
      </c>
      <c r="E340" s="19">
        <v>13.5</v>
      </c>
    </row>
    <row r="341" spans="1:5" x14ac:dyDescent="0.35">
      <c r="A341" s="30">
        <v>35795</v>
      </c>
      <c r="B341" s="23">
        <v>9.1999999999999993</v>
      </c>
      <c r="C341" s="23">
        <v>0</v>
      </c>
      <c r="D341" s="23">
        <v>-0.92</v>
      </c>
      <c r="E341" s="19">
        <v>0</v>
      </c>
    </row>
    <row r="342" spans="1:5" x14ac:dyDescent="0.35">
      <c r="A342" s="30">
        <v>35764</v>
      </c>
      <c r="B342" s="23">
        <v>11.6</v>
      </c>
      <c r="C342" s="23">
        <v>0</v>
      </c>
      <c r="D342" s="23">
        <v>-0.61</v>
      </c>
      <c r="E342" s="19">
        <v>0</v>
      </c>
    </row>
    <row r="343" spans="1:5" x14ac:dyDescent="0.35">
      <c r="A343" s="30">
        <v>35734</v>
      </c>
      <c r="B343" s="23">
        <v>11.8</v>
      </c>
      <c r="C343" s="23">
        <v>0</v>
      </c>
      <c r="D343" s="23">
        <v>-0.92</v>
      </c>
      <c r="E343" s="19">
        <v>14</v>
      </c>
    </row>
    <row r="344" spans="1:5" x14ac:dyDescent="0.35">
      <c r="A344" s="30">
        <v>35703</v>
      </c>
      <c r="B344" s="23">
        <v>11.1</v>
      </c>
      <c r="C344" s="23">
        <v>0</v>
      </c>
      <c r="D344" s="23">
        <v>-0.95</v>
      </c>
      <c r="E344" s="19">
        <v>13.4</v>
      </c>
    </row>
    <row r="345" spans="1:5" x14ac:dyDescent="0.35">
      <c r="A345" s="30">
        <v>35673</v>
      </c>
      <c r="B345" s="23">
        <v>10.9</v>
      </c>
      <c r="C345" s="23">
        <v>0</v>
      </c>
      <c r="D345" s="23">
        <v>-0.89</v>
      </c>
      <c r="E345" s="19">
        <v>13.3</v>
      </c>
    </row>
    <row r="346" spans="1:5" x14ac:dyDescent="0.35">
      <c r="A346" s="30">
        <v>35642</v>
      </c>
      <c r="B346" s="23">
        <v>8.4</v>
      </c>
      <c r="C346" s="23">
        <v>0</v>
      </c>
      <c r="D346" s="23">
        <v>-0.65</v>
      </c>
      <c r="E346" s="19">
        <v>13.7</v>
      </c>
    </row>
    <row r="347" spans="1:5" x14ac:dyDescent="0.35">
      <c r="A347" s="30">
        <v>35611</v>
      </c>
      <c r="B347" s="23">
        <v>12.1</v>
      </c>
      <c r="C347" s="23">
        <v>0</v>
      </c>
      <c r="D347" s="23">
        <v>-0.37</v>
      </c>
      <c r="E347" s="19">
        <v>10.6</v>
      </c>
    </row>
    <row r="348" spans="1:5" x14ac:dyDescent="0.35">
      <c r="A348" s="30">
        <v>35581</v>
      </c>
      <c r="B348" s="23">
        <v>11.9</v>
      </c>
      <c r="C348" s="23">
        <v>0</v>
      </c>
      <c r="D348" s="23">
        <v>7.0000000000000007E-2</v>
      </c>
      <c r="E348" s="19">
        <v>12.2</v>
      </c>
    </row>
    <row r="349" spans="1:5" x14ac:dyDescent="0.35">
      <c r="A349" s="30">
        <v>35550</v>
      </c>
      <c r="B349" s="23">
        <v>11.9</v>
      </c>
      <c r="C349" s="23">
        <v>0</v>
      </c>
      <c r="D349" s="23">
        <v>0.06</v>
      </c>
      <c r="E349" s="19">
        <v>13.8</v>
      </c>
    </row>
    <row r="350" spans="1:5" x14ac:dyDescent="0.35">
      <c r="A350" s="30">
        <v>35520</v>
      </c>
      <c r="B350" s="23">
        <v>13.5</v>
      </c>
      <c r="C350" s="23">
        <v>0</v>
      </c>
      <c r="D350" s="23">
        <v>0.47</v>
      </c>
      <c r="E350" s="19">
        <v>13.1</v>
      </c>
    </row>
    <row r="351" spans="1:5" x14ac:dyDescent="0.35">
      <c r="A351" s="30">
        <v>35489</v>
      </c>
      <c r="B351" s="23">
        <v>10.4</v>
      </c>
      <c r="C351" s="23">
        <v>0</v>
      </c>
      <c r="D351" s="23">
        <v>0.44</v>
      </c>
      <c r="E351" s="19">
        <v>13.7</v>
      </c>
    </row>
    <row r="352" spans="1:5" x14ac:dyDescent="0.35">
      <c r="A352" s="30">
        <v>35461</v>
      </c>
      <c r="B352" s="23">
        <v>10.3</v>
      </c>
      <c r="C352" s="23">
        <v>10.3</v>
      </c>
      <c r="D352" s="23">
        <v>0.12</v>
      </c>
      <c r="E352" s="19">
        <v>12.2</v>
      </c>
    </row>
    <row r="353" spans="1:5" x14ac:dyDescent="0.35">
      <c r="A353" s="30">
        <v>35430</v>
      </c>
      <c r="B353" s="23">
        <v>14</v>
      </c>
      <c r="C353" s="23">
        <v>0</v>
      </c>
      <c r="D353" s="23">
        <v>0.43</v>
      </c>
      <c r="E353" s="19">
        <v>0</v>
      </c>
    </row>
    <row r="354" spans="1:5" x14ac:dyDescent="0.35">
      <c r="A354" s="30">
        <v>35399</v>
      </c>
      <c r="B354" s="23">
        <v>13.4</v>
      </c>
      <c r="C354" s="23">
        <v>0</v>
      </c>
      <c r="D354" s="23">
        <v>0.04</v>
      </c>
      <c r="E354" s="19">
        <v>0</v>
      </c>
    </row>
    <row r="355" spans="1:5" x14ac:dyDescent="0.35">
      <c r="A355" s="30">
        <v>35369</v>
      </c>
      <c r="B355" s="23">
        <v>13.3</v>
      </c>
      <c r="C355" s="23">
        <v>0</v>
      </c>
      <c r="D355" s="23">
        <v>0.34</v>
      </c>
      <c r="E355" s="19">
        <v>14.9</v>
      </c>
    </row>
    <row r="356" spans="1:5" x14ac:dyDescent="0.35">
      <c r="A356" s="30">
        <v>35338</v>
      </c>
      <c r="B356" s="23">
        <v>13.7</v>
      </c>
      <c r="C356" s="23">
        <v>0</v>
      </c>
      <c r="D356" s="23">
        <v>0</v>
      </c>
      <c r="E356" s="19">
        <v>12.1</v>
      </c>
    </row>
    <row r="357" spans="1:5" x14ac:dyDescent="0.35">
      <c r="A357" s="30">
        <v>35308</v>
      </c>
      <c r="B357" s="23">
        <v>10.6</v>
      </c>
      <c r="C357" s="23">
        <v>0</v>
      </c>
      <c r="D357" s="23">
        <v>0</v>
      </c>
      <c r="E357" s="19">
        <v>12.9</v>
      </c>
    </row>
    <row r="358" spans="1:5" x14ac:dyDescent="0.35">
      <c r="A358" s="30">
        <v>35277</v>
      </c>
      <c r="B358" s="23">
        <v>12.2</v>
      </c>
      <c r="C358" s="23">
        <v>0</v>
      </c>
      <c r="D358" s="23">
        <v>0</v>
      </c>
      <c r="E358" s="19">
        <v>11.4</v>
      </c>
    </row>
    <row r="359" spans="1:5" x14ac:dyDescent="0.35">
      <c r="A359" s="30">
        <v>35246</v>
      </c>
      <c r="B359" s="23">
        <v>13.8</v>
      </c>
      <c r="C359" s="23">
        <v>0</v>
      </c>
      <c r="D359" s="23">
        <v>0</v>
      </c>
      <c r="E359" s="19">
        <v>11.8</v>
      </c>
    </row>
    <row r="360" spans="1:5" x14ac:dyDescent="0.35">
      <c r="A360" s="30">
        <v>35216</v>
      </c>
      <c r="B360" s="23">
        <v>13.1</v>
      </c>
      <c r="C360" s="23">
        <v>0</v>
      </c>
      <c r="D360" s="23">
        <v>0</v>
      </c>
      <c r="E360" s="19">
        <v>13.6</v>
      </c>
    </row>
    <row r="361" spans="1:5" x14ac:dyDescent="0.35">
      <c r="A361" s="30">
        <v>35185</v>
      </c>
      <c r="B361" s="23">
        <v>13.7</v>
      </c>
      <c r="C361" s="23">
        <v>0</v>
      </c>
      <c r="D361" s="23">
        <v>0</v>
      </c>
      <c r="E361" s="19">
        <v>13.9</v>
      </c>
    </row>
    <row r="362" spans="1:5" x14ac:dyDescent="0.35">
      <c r="A362" s="30">
        <v>35155</v>
      </c>
      <c r="B362" s="23">
        <v>12.2</v>
      </c>
      <c r="C362" s="23">
        <v>0</v>
      </c>
      <c r="D362" s="23">
        <v>0</v>
      </c>
      <c r="E362" s="19">
        <v>13.1</v>
      </c>
    </row>
    <row r="363" spans="1:5" x14ac:dyDescent="0.35">
      <c r="A363" s="30">
        <v>35124</v>
      </c>
      <c r="B363" s="23">
        <v>12.2</v>
      </c>
      <c r="C363" s="23">
        <v>0</v>
      </c>
      <c r="D363" s="23">
        <v>0</v>
      </c>
      <c r="E363" s="19">
        <v>15.4</v>
      </c>
    </row>
    <row r="364" spans="1:5" x14ac:dyDescent="0.35">
      <c r="A364" s="30">
        <v>35095</v>
      </c>
      <c r="B364" s="23">
        <v>16.899999999999999</v>
      </c>
      <c r="C364" s="23">
        <v>16.899999999999999</v>
      </c>
      <c r="D364" s="23">
        <v>0</v>
      </c>
      <c r="E364" s="19">
        <v>16.399999999999999</v>
      </c>
    </row>
    <row r="365" spans="1:5" x14ac:dyDescent="0.35">
      <c r="A365" s="30">
        <v>35064</v>
      </c>
      <c r="B365" s="23">
        <v>14.9</v>
      </c>
      <c r="C365" s="23">
        <v>0</v>
      </c>
      <c r="D365" s="23">
        <v>0</v>
      </c>
      <c r="E365" s="19">
        <v>0</v>
      </c>
    </row>
    <row r="366" spans="1:5" x14ac:dyDescent="0.35">
      <c r="A366" s="30">
        <v>35033</v>
      </c>
      <c r="B366" s="23">
        <v>12.1</v>
      </c>
      <c r="C366" s="23">
        <v>0</v>
      </c>
      <c r="D366" s="23">
        <v>0</v>
      </c>
      <c r="E366" s="19">
        <v>0</v>
      </c>
    </row>
    <row r="367" spans="1:5" x14ac:dyDescent="0.35">
      <c r="A367" s="30">
        <v>35003</v>
      </c>
      <c r="B367" s="23">
        <v>12.9</v>
      </c>
      <c r="C367" s="23">
        <v>0</v>
      </c>
      <c r="D367" s="23">
        <v>0</v>
      </c>
      <c r="E367" s="19">
        <v>18.5</v>
      </c>
    </row>
    <row r="368" spans="1:5" x14ac:dyDescent="0.35">
      <c r="A368" s="30">
        <v>34972</v>
      </c>
      <c r="B368" s="23">
        <v>11.4</v>
      </c>
      <c r="C368" s="23">
        <v>0</v>
      </c>
      <c r="D368" s="23">
        <v>0</v>
      </c>
      <c r="E368" s="19">
        <v>23.5</v>
      </c>
    </row>
    <row r="369" spans="1:5" x14ac:dyDescent="0.35">
      <c r="A369" s="30">
        <v>34942</v>
      </c>
      <c r="B369" s="23">
        <v>11.8</v>
      </c>
      <c r="C369" s="23">
        <v>0</v>
      </c>
      <c r="D369" s="23">
        <v>0</v>
      </c>
      <c r="E369" s="19">
        <v>24.4</v>
      </c>
    </row>
    <row r="370" spans="1:5" x14ac:dyDescent="0.35">
      <c r="A370" s="30">
        <v>34911</v>
      </c>
      <c r="B370" s="23">
        <v>13.6</v>
      </c>
      <c r="C370" s="23">
        <v>0</v>
      </c>
      <c r="D370" s="23">
        <v>0</v>
      </c>
      <c r="E370" s="19">
        <v>21.8</v>
      </c>
    </row>
    <row r="371" spans="1:5" x14ac:dyDescent="0.35">
      <c r="A371" s="30">
        <v>34880</v>
      </c>
      <c r="B371" s="23">
        <v>13.9</v>
      </c>
      <c r="C371" s="23">
        <v>0</v>
      </c>
      <c r="D371" s="23">
        <v>0</v>
      </c>
      <c r="E371" s="19">
        <v>29.4</v>
      </c>
    </row>
    <row r="372" spans="1:5" x14ac:dyDescent="0.35">
      <c r="A372" s="30">
        <v>34850</v>
      </c>
      <c r="B372" s="23">
        <v>13.1</v>
      </c>
      <c r="C372" s="23">
        <v>0</v>
      </c>
      <c r="D372" s="23">
        <v>0</v>
      </c>
      <c r="E372" s="19">
        <v>15.1</v>
      </c>
    </row>
    <row r="373" spans="1:5" x14ac:dyDescent="0.35">
      <c r="A373" s="30">
        <v>34819</v>
      </c>
      <c r="B373" s="23">
        <v>15.4</v>
      </c>
      <c r="C373" s="23">
        <v>0</v>
      </c>
      <c r="D373" s="23">
        <v>0</v>
      </c>
      <c r="E373" s="19">
        <v>15.1</v>
      </c>
    </row>
    <row r="374" spans="1:5" x14ac:dyDescent="0.35">
      <c r="A374" s="30">
        <v>34789</v>
      </c>
      <c r="B374" s="23">
        <v>16.399999999999999</v>
      </c>
      <c r="C374" s="23">
        <v>0</v>
      </c>
      <c r="D374" s="23">
        <v>0</v>
      </c>
      <c r="E374" s="19">
        <v>17.600000000000001</v>
      </c>
    </row>
    <row r="375" spans="1:5" x14ac:dyDescent="0.35">
      <c r="A375" s="30">
        <v>34758</v>
      </c>
      <c r="B375" s="23">
        <v>15.5</v>
      </c>
      <c r="C375" s="23">
        <v>0</v>
      </c>
      <c r="D375" s="23">
        <v>0</v>
      </c>
      <c r="E375" s="19">
        <v>16.8</v>
      </c>
    </row>
    <row r="376" spans="1:5" x14ac:dyDescent="0.35">
      <c r="A376" s="30">
        <v>34730</v>
      </c>
      <c r="B376" s="23">
        <v>11.4</v>
      </c>
      <c r="C376" s="23">
        <v>11.4</v>
      </c>
      <c r="D376" s="23">
        <v>0</v>
      </c>
      <c r="E376" s="19">
        <v>16</v>
      </c>
    </row>
    <row r="377" spans="1:5" x14ac:dyDescent="0.35">
      <c r="A377" s="30">
        <v>34699</v>
      </c>
      <c r="B377" s="23">
        <v>18.5</v>
      </c>
      <c r="C377" s="23">
        <v>0</v>
      </c>
      <c r="D377" s="23">
        <v>0</v>
      </c>
      <c r="E377" s="19">
        <v>0</v>
      </c>
    </row>
    <row r="378" spans="1:5" x14ac:dyDescent="0.35">
      <c r="A378" s="30">
        <v>34668</v>
      </c>
      <c r="B378" s="23">
        <v>23.5</v>
      </c>
      <c r="C378" s="23">
        <v>0</v>
      </c>
      <c r="D378" s="23">
        <v>0</v>
      </c>
      <c r="E378" s="19">
        <v>0</v>
      </c>
    </row>
    <row r="379" spans="1:5" x14ac:dyDescent="0.35">
      <c r="A379" s="30">
        <v>34638</v>
      </c>
      <c r="B379" s="23">
        <v>24.4</v>
      </c>
      <c r="C379" s="23">
        <v>0</v>
      </c>
      <c r="D379" s="23">
        <v>0</v>
      </c>
      <c r="E379" s="19">
        <v>25.2</v>
      </c>
    </row>
    <row r="380" spans="1:5" x14ac:dyDescent="0.35">
      <c r="A380" s="30">
        <v>34607</v>
      </c>
      <c r="B380" s="23">
        <v>21.8</v>
      </c>
      <c r="C380" s="23">
        <v>0</v>
      </c>
      <c r="D380" s="23">
        <v>0</v>
      </c>
      <c r="E380" s="19">
        <v>16</v>
      </c>
    </row>
    <row r="381" spans="1:5" x14ac:dyDescent="0.35">
      <c r="A381" s="30">
        <v>34577</v>
      </c>
      <c r="B381" s="23">
        <v>29.4</v>
      </c>
      <c r="C381" s="23">
        <v>0</v>
      </c>
      <c r="D381" s="23">
        <v>0</v>
      </c>
      <c r="E381" s="19">
        <v>13.4</v>
      </c>
    </row>
    <row r="382" spans="1:5" x14ac:dyDescent="0.35">
      <c r="A382" s="30">
        <v>34546</v>
      </c>
      <c r="B382" s="23">
        <v>15.1</v>
      </c>
      <c r="C382" s="23">
        <v>0</v>
      </c>
      <c r="D382" s="23">
        <v>0</v>
      </c>
      <c r="E382" s="19">
        <v>16</v>
      </c>
    </row>
    <row r="383" spans="1:5" x14ac:dyDescent="0.35">
      <c r="A383" s="30">
        <v>34515</v>
      </c>
      <c r="B383" s="23">
        <v>15.1</v>
      </c>
      <c r="C383" s="23">
        <v>0</v>
      </c>
      <c r="D383" s="23">
        <v>0</v>
      </c>
      <c r="E383" s="19">
        <v>19.3</v>
      </c>
    </row>
    <row r="384" spans="1:5" x14ac:dyDescent="0.35">
      <c r="A384" s="30">
        <v>34485</v>
      </c>
      <c r="B384" s="23">
        <v>17.600000000000001</v>
      </c>
      <c r="C384" s="23">
        <v>0</v>
      </c>
      <c r="D384" s="23">
        <v>0</v>
      </c>
      <c r="E384" s="19">
        <v>21</v>
      </c>
    </row>
    <row r="385" spans="1:5" x14ac:dyDescent="0.35">
      <c r="A385" s="30">
        <v>34454</v>
      </c>
      <c r="B385" s="23">
        <v>16.8</v>
      </c>
      <c r="C385" s="23">
        <v>0</v>
      </c>
      <c r="D385" s="23">
        <v>0</v>
      </c>
      <c r="E385" s="19">
        <v>25.2</v>
      </c>
    </row>
    <row r="386" spans="1:5" x14ac:dyDescent="0.35">
      <c r="A386" s="30">
        <v>34424</v>
      </c>
      <c r="B386" s="23">
        <v>16</v>
      </c>
      <c r="C386" s="23">
        <v>0</v>
      </c>
      <c r="D386" s="23">
        <v>0</v>
      </c>
      <c r="E386" s="19">
        <v>22.7</v>
      </c>
    </row>
    <row r="387" spans="1:5" x14ac:dyDescent="0.35">
      <c r="A387" s="30">
        <v>34393</v>
      </c>
      <c r="B387" s="23">
        <v>3.4</v>
      </c>
      <c r="C387" s="23">
        <v>0</v>
      </c>
      <c r="D387" s="23">
        <v>0</v>
      </c>
      <c r="E387" s="19">
        <v>21</v>
      </c>
    </row>
    <row r="388" spans="1:5" x14ac:dyDescent="0.35">
      <c r="A388" s="30">
        <v>34365</v>
      </c>
      <c r="B388" s="23">
        <v>27.7</v>
      </c>
      <c r="C388" s="23">
        <v>27.7</v>
      </c>
      <c r="D388" s="23">
        <v>0</v>
      </c>
      <c r="E388" s="19">
        <v>21.8</v>
      </c>
    </row>
    <row r="389" spans="1:5" x14ac:dyDescent="0.35">
      <c r="A389" s="30">
        <v>34334</v>
      </c>
      <c r="B389" s="23">
        <v>25.2</v>
      </c>
      <c r="C389" s="23">
        <v>0</v>
      </c>
      <c r="D389" s="23">
        <v>0</v>
      </c>
      <c r="E389" s="19">
        <v>0</v>
      </c>
    </row>
    <row r="390" spans="1:5" x14ac:dyDescent="0.35">
      <c r="A390" s="30">
        <v>34303</v>
      </c>
      <c r="B390" s="23">
        <v>16</v>
      </c>
      <c r="C390" s="23">
        <v>0</v>
      </c>
      <c r="D390" s="23">
        <v>0</v>
      </c>
      <c r="E390" s="19">
        <v>0</v>
      </c>
    </row>
    <row r="391" spans="1:5" x14ac:dyDescent="0.35">
      <c r="A391" s="30">
        <v>34273</v>
      </c>
      <c r="B391" s="23">
        <v>13.4</v>
      </c>
      <c r="C391" s="23">
        <v>0</v>
      </c>
      <c r="D391" s="23">
        <v>0</v>
      </c>
      <c r="E391" s="19">
        <v>26.9</v>
      </c>
    </row>
    <row r="392" spans="1:5" x14ac:dyDescent="0.35">
      <c r="A392" s="30">
        <v>34242</v>
      </c>
      <c r="B392" s="23">
        <v>16</v>
      </c>
      <c r="C392" s="23">
        <v>0</v>
      </c>
      <c r="D392" s="23">
        <v>0</v>
      </c>
      <c r="E392" s="19">
        <v>21.8</v>
      </c>
    </row>
    <row r="393" spans="1:5" x14ac:dyDescent="0.35">
      <c r="A393" s="30">
        <v>34212</v>
      </c>
      <c r="B393" s="23">
        <v>19.3</v>
      </c>
      <c r="C393" s="23">
        <v>0</v>
      </c>
      <c r="D393" s="23">
        <v>0</v>
      </c>
      <c r="E393" s="19">
        <v>18.5</v>
      </c>
    </row>
    <row r="394" spans="1:5" x14ac:dyDescent="0.35">
      <c r="A394" s="30">
        <v>34181</v>
      </c>
      <c r="B394" s="23">
        <v>21</v>
      </c>
      <c r="C394" s="23">
        <v>0</v>
      </c>
      <c r="D394" s="23">
        <v>0</v>
      </c>
      <c r="E394" s="19">
        <v>17.600000000000001</v>
      </c>
    </row>
    <row r="395" spans="1:5" x14ac:dyDescent="0.35">
      <c r="A395" s="30">
        <v>34150</v>
      </c>
      <c r="B395" s="23">
        <v>25.2</v>
      </c>
      <c r="C395" s="23">
        <v>0</v>
      </c>
      <c r="D395" s="23">
        <v>0</v>
      </c>
      <c r="E395" s="19">
        <v>17.600000000000001</v>
      </c>
    </row>
    <row r="396" spans="1:5" x14ac:dyDescent="0.35">
      <c r="A396" s="30">
        <v>34120</v>
      </c>
      <c r="B396" s="23">
        <v>22.7</v>
      </c>
      <c r="C396" s="23">
        <v>0</v>
      </c>
      <c r="D396" s="23">
        <v>0</v>
      </c>
      <c r="E396" s="19">
        <v>19.3</v>
      </c>
    </row>
    <row r="397" spans="1:5" x14ac:dyDescent="0.35">
      <c r="A397" s="30">
        <v>34089</v>
      </c>
      <c r="B397" s="23">
        <v>21</v>
      </c>
      <c r="C397" s="23">
        <v>0</v>
      </c>
      <c r="D397" s="23">
        <v>0</v>
      </c>
      <c r="E397" s="19">
        <v>16.8</v>
      </c>
    </row>
    <row r="398" spans="1:5" x14ac:dyDescent="0.35">
      <c r="A398" s="30">
        <v>34059</v>
      </c>
      <c r="B398" s="23">
        <v>21.8</v>
      </c>
      <c r="C398" s="23">
        <v>0</v>
      </c>
      <c r="D398" s="23">
        <v>0</v>
      </c>
      <c r="E398" s="19">
        <v>14.3</v>
      </c>
    </row>
    <row r="399" spans="1:5" x14ac:dyDescent="0.35">
      <c r="A399" s="30">
        <v>34028</v>
      </c>
      <c r="B399" s="23">
        <v>27.7</v>
      </c>
      <c r="C399" s="23">
        <v>0</v>
      </c>
      <c r="D399" s="23">
        <v>0</v>
      </c>
      <c r="E399" s="19">
        <v>15.1</v>
      </c>
    </row>
    <row r="400" spans="1:5" x14ac:dyDescent="0.35">
      <c r="A400" s="30">
        <v>34000</v>
      </c>
      <c r="B400" s="23">
        <v>8.4</v>
      </c>
      <c r="C400" s="23">
        <v>8.4</v>
      </c>
      <c r="D400" s="23">
        <v>0</v>
      </c>
      <c r="E400" s="19">
        <v>16.8</v>
      </c>
    </row>
    <row r="401" spans="1:5" x14ac:dyDescent="0.35">
      <c r="A401" s="30">
        <v>33969</v>
      </c>
      <c r="B401" s="23">
        <v>26.9</v>
      </c>
      <c r="C401" s="23">
        <v>0</v>
      </c>
      <c r="D401" s="23">
        <v>0</v>
      </c>
      <c r="E401" s="19">
        <v>0</v>
      </c>
    </row>
    <row r="402" spans="1:5" x14ac:dyDescent="0.35">
      <c r="A402" s="30">
        <v>33938</v>
      </c>
      <c r="B402" s="23">
        <v>21.8</v>
      </c>
      <c r="C402" s="23">
        <v>0</v>
      </c>
      <c r="D402" s="23">
        <v>0</v>
      </c>
      <c r="E402" s="19">
        <v>0</v>
      </c>
    </row>
    <row r="403" spans="1:5" x14ac:dyDescent="0.35">
      <c r="A403" s="30">
        <v>33908</v>
      </c>
      <c r="B403" s="23">
        <v>18.5</v>
      </c>
      <c r="C403" s="23">
        <v>0</v>
      </c>
      <c r="D403" s="23">
        <v>0</v>
      </c>
      <c r="E403" s="19">
        <v>5</v>
      </c>
    </row>
    <row r="404" spans="1:5" x14ac:dyDescent="0.35">
      <c r="A404" s="30">
        <v>33877</v>
      </c>
      <c r="B404" s="23">
        <v>17.600000000000001</v>
      </c>
      <c r="C404" s="23">
        <v>0</v>
      </c>
      <c r="D404" s="23">
        <v>0</v>
      </c>
      <c r="E404" s="19">
        <v>7.6</v>
      </c>
    </row>
    <row r="405" spans="1:5" x14ac:dyDescent="0.35">
      <c r="A405" s="30">
        <v>33847</v>
      </c>
      <c r="B405" s="23">
        <v>17.600000000000001</v>
      </c>
      <c r="C405" s="23">
        <v>0</v>
      </c>
      <c r="D405" s="23">
        <v>0</v>
      </c>
      <c r="E405" s="19">
        <v>11.8</v>
      </c>
    </row>
    <row r="406" spans="1:5" x14ac:dyDescent="0.35">
      <c r="A406" s="30">
        <v>33816</v>
      </c>
      <c r="B406" s="23">
        <v>19.3</v>
      </c>
      <c r="C406" s="23">
        <v>0</v>
      </c>
      <c r="D406" s="23">
        <v>0</v>
      </c>
      <c r="E406" s="19">
        <v>12.6</v>
      </c>
    </row>
    <row r="407" spans="1:5" x14ac:dyDescent="0.35">
      <c r="A407" s="30">
        <v>33785</v>
      </c>
      <c r="B407" s="23">
        <v>16.8</v>
      </c>
      <c r="C407" s="23">
        <v>0</v>
      </c>
      <c r="D407" s="23">
        <v>0</v>
      </c>
      <c r="E407" s="19">
        <v>11.8</v>
      </c>
    </row>
    <row r="408" spans="1:5" x14ac:dyDescent="0.35">
      <c r="A408" s="30">
        <v>33755</v>
      </c>
      <c r="B408" s="23">
        <v>14.3</v>
      </c>
      <c r="C408" s="23">
        <v>0</v>
      </c>
      <c r="D408" s="23">
        <v>0</v>
      </c>
      <c r="E408" s="19">
        <v>10.9</v>
      </c>
    </row>
    <row r="409" spans="1:5" x14ac:dyDescent="0.35">
      <c r="A409" s="30">
        <v>33724</v>
      </c>
      <c r="B409" s="23">
        <v>15.1</v>
      </c>
      <c r="C409" s="23">
        <v>0</v>
      </c>
      <c r="D409" s="23">
        <v>0</v>
      </c>
      <c r="E409" s="19">
        <v>9.1999999999999993</v>
      </c>
    </row>
    <row r="410" spans="1:5" x14ac:dyDescent="0.35">
      <c r="A410" s="30">
        <v>33694</v>
      </c>
      <c r="B410" s="23">
        <v>16.8</v>
      </c>
      <c r="C410" s="23">
        <v>0</v>
      </c>
      <c r="D410" s="23">
        <v>0</v>
      </c>
      <c r="E410" s="19">
        <v>10.9</v>
      </c>
    </row>
    <row r="411" spans="1:5" x14ac:dyDescent="0.35">
      <c r="A411" s="30">
        <v>33663</v>
      </c>
      <c r="B411" s="23">
        <v>18.5</v>
      </c>
      <c r="C411" s="23">
        <v>0</v>
      </c>
      <c r="D411" s="23">
        <v>0</v>
      </c>
      <c r="E411" s="19">
        <v>10.9</v>
      </c>
    </row>
    <row r="412" spans="1:5" x14ac:dyDescent="0.35">
      <c r="A412" s="30">
        <v>33634</v>
      </c>
      <c r="B412" s="23">
        <v>10.9</v>
      </c>
      <c r="C412" s="23">
        <v>10.9</v>
      </c>
      <c r="D412" s="23">
        <v>0</v>
      </c>
      <c r="E412" s="19">
        <v>10.9</v>
      </c>
    </row>
    <row r="413" spans="1:5" x14ac:dyDescent="0.35">
      <c r="A413" s="30">
        <v>33603</v>
      </c>
      <c r="B413" s="23">
        <v>5</v>
      </c>
      <c r="C413" s="23">
        <v>0</v>
      </c>
      <c r="D413" s="23">
        <v>0</v>
      </c>
      <c r="E413" s="19">
        <v>0</v>
      </c>
    </row>
    <row r="414" spans="1:5" x14ac:dyDescent="0.35">
      <c r="A414" s="30">
        <v>33572</v>
      </c>
      <c r="B414" s="23">
        <v>7.6</v>
      </c>
      <c r="C414" s="23">
        <v>0</v>
      </c>
      <c r="D414" s="23">
        <v>0</v>
      </c>
      <c r="E414" s="19">
        <v>0</v>
      </c>
    </row>
    <row r="415" spans="1:5" x14ac:dyDescent="0.35">
      <c r="A415" s="30">
        <v>33542</v>
      </c>
      <c r="B415" s="23">
        <v>11.8</v>
      </c>
      <c r="C415" s="23">
        <v>0</v>
      </c>
      <c r="D415" s="23">
        <v>0</v>
      </c>
      <c r="E415" s="19">
        <v>12.6</v>
      </c>
    </row>
    <row r="416" spans="1:5" x14ac:dyDescent="0.35">
      <c r="A416" s="30">
        <v>33511</v>
      </c>
      <c r="B416" s="23">
        <v>12.6</v>
      </c>
      <c r="C416" s="23">
        <v>0</v>
      </c>
      <c r="D416" s="23">
        <v>0</v>
      </c>
      <c r="E416" s="19">
        <v>12.6</v>
      </c>
    </row>
    <row r="417" spans="1:5" x14ac:dyDescent="0.35">
      <c r="A417" s="30">
        <v>33481</v>
      </c>
      <c r="B417" s="23">
        <v>11.8</v>
      </c>
      <c r="C417" s="23">
        <v>0</v>
      </c>
      <c r="D417" s="23">
        <v>0</v>
      </c>
      <c r="E417" s="19">
        <v>10.9</v>
      </c>
    </row>
    <row r="418" spans="1:5" x14ac:dyDescent="0.35">
      <c r="A418" s="30">
        <v>33450</v>
      </c>
      <c r="B418" s="23">
        <v>10.9</v>
      </c>
      <c r="C418" s="23">
        <v>0</v>
      </c>
      <c r="D418" s="23">
        <v>0</v>
      </c>
      <c r="E418" s="19">
        <v>6.7</v>
      </c>
    </row>
    <row r="419" spans="1:5" x14ac:dyDescent="0.35">
      <c r="A419" s="30">
        <v>33419</v>
      </c>
      <c r="B419" s="23">
        <v>9.1999999999999993</v>
      </c>
      <c r="C419" s="23">
        <v>0</v>
      </c>
      <c r="D419" s="23">
        <v>0</v>
      </c>
      <c r="E419" s="19">
        <v>4.2</v>
      </c>
    </row>
    <row r="420" spans="1:5" x14ac:dyDescent="0.35">
      <c r="A420" s="30">
        <v>33389</v>
      </c>
      <c r="B420" s="23">
        <v>10.9</v>
      </c>
      <c r="C420" s="23">
        <v>0</v>
      </c>
      <c r="D420" s="23">
        <v>0</v>
      </c>
      <c r="E420" s="19">
        <v>2.5</v>
      </c>
    </row>
    <row r="421" spans="1:5" x14ac:dyDescent="0.35">
      <c r="A421" s="30">
        <v>33358</v>
      </c>
      <c r="B421" s="23">
        <v>10.9</v>
      </c>
      <c r="C421" s="23">
        <v>0</v>
      </c>
      <c r="D421" s="23">
        <v>0</v>
      </c>
      <c r="E421" s="19">
        <v>5</v>
      </c>
    </row>
    <row r="422" spans="1:5" x14ac:dyDescent="0.35">
      <c r="A422" s="30">
        <v>33328</v>
      </c>
      <c r="B422" s="23">
        <v>10.9</v>
      </c>
      <c r="C422" s="23">
        <v>0</v>
      </c>
      <c r="D422" s="23">
        <v>0</v>
      </c>
      <c r="E422" s="19">
        <v>3.3</v>
      </c>
    </row>
    <row r="423" spans="1:5" x14ac:dyDescent="0.35">
      <c r="A423" s="30">
        <v>33297</v>
      </c>
      <c r="B423" s="23">
        <v>9.1999999999999993</v>
      </c>
      <c r="C423" s="23">
        <v>0</v>
      </c>
      <c r="D423" s="23">
        <v>0</v>
      </c>
      <c r="E423" s="19">
        <v>1.7</v>
      </c>
    </row>
    <row r="424" spans="1:5" x14ac:dyDescent="0.35">
      <c r="A424" s="30">
        <v>33269</v>
      </c>
      <c r="B424" s="23">
        <v>23.5</v>
      </c>
      <c r="C424" s="23">
        <v>23.5</v>
      </c>
      <c r="D424" s="23">
        <v>0</v>
      </c>
      <c r="E424" s="19">
        <v>0.8</v>
      </c>
    </row>
    <row r="425" spans="1:5" x14ac:dyDescent="0.35">
      <c r="A425" s="30">
        <v>33238</v>
      </c>
      <c r="B425" s="23">
        <v>12.6</v>
      </c>
      <c r="C425" s="23">
        <v>0</v>
      </c>
      <c r="D425" s="23">
        <v>0</v>
      </c>
      <c r="E425" s="19">
        <v>0</v>
      </c>
    </row>
    <row r="426" spans="1:5" x14ac:dyDescent="0.35">
      <c r="A426" s="30">
        <v>33207</v>
      </c>
      <c r="B426" s="23">
        <v>12.6</v>
      </c>
      <c r="C426" s="23">
        <v>0</v>
      </c>
      <c r="D426" s="23">
        <v>0</v>
      </c>
      <c r="E426" s="19">
        <v>0</v>
      </c>
    </row>
    <row r="427" spans="1:5" x14ac:dyDescent="0.35">
      <c r="A427" s="30">
        <v>33177</v>
      </c>
      <c r="B427" s="23">
        <v>10.9</v>
      </c>
      <c r="C427" s="23">
        <v>0</v>
      </c>
      <c r="D427" s="23">
        <v>0</v>
      </c>
    </row>
    <row r="428" spans="1:5" x14ac:dyDescent="0.35">
      <c r="A428" s="30">
        <v>33146</v>
      </c>
      <c r="B428" s="23">
        <v>6.7</v>
      </c>
      <c r="C428" s="23">
        <v>0</v>
      </c>
      <c r="D428" s="23">
        <v>0</v>
      </c>
    </row>
    <row r="429" spans="1:5" x14ac:dyDescent="0.35">
      <c r="A429" s="30">
        <v>33116</v>
      </c>
      <c r="B429" s="23">
        <v>4.2</v>
      </c>
      <c r="C429" s="23">
        <v>0</v>
      </c>
      <c r="D429" s="23">
        <v>0</v>
      </c>
    </row>
    <row r="430" spans="1:5" x14ac:dyDescent="0.35">
      <c r="A430" s="30">
        <v>33085</v>
      </c>
      <c r="B430" s="23">
        <v>2.5</v>
      </c>
      <c r="C430" s="23">
        <v>0</v>
      </c>
      <c r="D430" s="23">
        <v>0</v>
      </c>
    </row>
    <row r="431" spans="1:5" x14ac:dyDescent="0.35">
      <c r="A431" s="30">
        <v>33054</v>
      </c>
      <c r="B431" s="23">
        <v>5</v>
      </c>
      <c r="C431" s="23">
        <v>0</v>
      </c>
      <c r="D431" s="23">
        <v>0</v>
      </c>
    </row>
    <row r="432" spans="1:5" x14ac:dyDescent="0.35">
      <c r="A432" s="30">
        <v>33024</v>
      </c>
      <c r="B432" s="23">
        <v>3.3</v>
      </c>
      <c r="C432" s="23">
        <v>0</v>
      </c>
      <c r="D432" s="23">
        <v>0</v>
      </c>
    </row>
    <row r="433" spans="1:4" x14ac:dyDescent="0.35">
      <c r="A433" s="30">
        <v>32993</v>
      </c>
      <c r="B433" s="23">
        <v>1.7</v>
      </c>
      <c r="C433" s="23">
        <v>0</v>
      </c>
      <c r="D433" s="23">
        <v>0</v>
      </c>
    </row>
    <row r="434" spans="1:4" x14ac:dyDescent="0.35">
      <c r="A434" s="30">
        <v>32963</v>
      </c>
      <c r="B434" s="23">
        <v>0.8</v>
      </c>
      <c r="C434" s="23">
        <v>0</v>
      </c>
      <c r="D434" s="23">
        <v>0</v>
      </c>
    </row>
    <row r="435" spans="1:4" x14ac:dyDescent="0.35">
      <c r="A435" s="30">
        <v>32932</v>
      </c>
      <c r="B435" s="23">
        <v>5</v>
      </c>
      <c r="C435" s="23">
        <v>0</v>
      </c>
      <c r="D435" s="23">
        <v>0</v>
      </c>
    </row>
    <row r="436" spans="1:4" x14ac:dyDescent="0.35">
      <c r="A436" s="30">
        <v>32904</v>
      </c>
      <c r="B436" s="23">
        <v>-21.1</v>
      </c>
      <c r="C436" s="23">
        <v>-21.1</v>
      </c>
      <c r="D436" s="23">
        <v>0</v>
      </c>
    </row>
  </sheetData>
  <mergeCells count="3">
    <mergeCell ref="N3:R3"/>
    <mergeCell ref="S3:W3"/>
    <mergeCell ref="X3:AB3"/>
  </mergeCells>
  <phoneticPr fontId="23" type="noConversion"/>
  <pageMargins left="0.75" right="0.75" top="1" bottom="1" header="0.5" footer="0.5"/>
  <customProperties>
    <customPr name="SheetID" r:id="rId1"/>
  </customPropertie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dimension ref="A1:Z364"/>
  <sheetViews>
    <sheetView workbookViewId="0">
      <pane ySplit="2" topLeftCell="A3" activePane="bottomLeft" state="frozen"/>
      <selection pane="bottomLeft" activeCell="O8" sqref="O8"/>
    </sheetView>
  </sheetViews>
  <sheetFormatPr defaultColWidth="9" defaultRowHeight="14.15" x14ac:dyDescent="0.3"/>
  <cols>
    <col min="1" max="1" width="9" style="1"/>
    <col min="2" max="2" width="13.2109375" style="1" customWidth="1"/>
    <col min="3" max="4" width="10.85546875" style="1" customWidth="1"/>
    <col min="5" max="16" width="13" style="1" customWidth="1"/>
    <col min="17" max="17" width="9" style="2"/>
    <col min="18" max="18" width="9.140625" style="2" customWidth="1"/>
    <col min="19" max="19" width="9.2109375" style="3" customWidth="1"/>
    <col min="20" max="20" width="13.42578125" style="3" customWidth="1"/>
    <col min="21" max="21" width="9" style="2"/>
    <col min="22" max="22" width="11.2109375" style="4" customWidth="1"/>
    <col min="23" max="23" width="15.140625" style="4" customWidth="1"/>
    <col min="24" max="24" width="9" style="2"/>
    <col min="25" max="16384" width="9" style="1"/>
  </cols>
  <sheetData>
    <row r="1" spans="1:26" ht="74.150000000000006" customHeight="1" x14ac:dyDescent="0.35">
      <c r="A1" s="138" t="s">
        <v>102</v>
      </c>
      <c r="B1" s="138"/>
      <c r="C1" s="138"/>
      <c r="D1" s="138"/>
      <c r="E1" s="138"/>
      <c r="F1" s="138"/>
      <c r="G1" s="138"/>
      <c r="H1" s="138"/>
      <c r="I1" s="138"/>
      <c r="J1" s="138"/>
      <c r="K1" s="138"/>
      <c r="L1" s="138"/>
      <c r="M1" s="138"/>
      <c r="N1" s="138"/>
      <c r="O1" s="138"/>
      <c r="P1" s="5"/>
      <c r="S1" s="139" t="s">
        <v>103</v>
      </c>
      <c r="T1" s="139"/>
      <c r="V1" s="140" t="s">
        <v>104</v>
      </c>
      <c r="W1" s="140"/>
      <c r="Y1" s="140" t="s">
        <v>105</v>
      </c>
      <c r="Z1" s="140"/>
    </row>
    <row r="2" spans="1:26" ht="54.65" customHeight="1" x14ac:dyDescent="0.4">
      <c r="S2" s="11" t="str">
        <f>[2]!edb()</f>
        <v>Wind</v>
      </c>
      <c r="T2" s="1"/>
      <c r="V2" s="11" t="str">
        <f>[2]!edb()</f>
        <v>Wind</v>
      </c>
      <c r="W2" s="1"/>
      <c r="Y2" s="11" t="str">
        <f>[2]!edb()</f>
        <v>Wind</v>
      </c>
    </row>
    <row r="3" spans="1:26" x14ac:dyDescent="0.35">
      <c r="B3" s="6" t="s">
        <v>106</v>
      </c>
      <c r="C3" s="6" t="s">
        <v>104</v>
      </c>
      <c r="D3" s="6" t="s">
        <v>107</v>
      </c>
      <c r="E3" s="7" t="s">
        <v>108</v>
      </c>
      <c r="F3" s="7" t="s">
        <v>109</v>
      </c>
      <c r="G3" s="7" t="s">
        <v>110</v>
      </c>
      <c r="H3" s="7" t="s">
        <v>111</v>
      </c>
      <c r="I3" s="7" t="s">
        <v>49</v>
      </c>
      <c r="J3" s="7" t="s">
        <v>55</v>
      </c>
      <c r="K3" s="7" t="s">
        <v>88</v>
      </c>
      <c r="L3" s="7" t="s">
        <v>53</v>
      </c>
      <c r="M3" s="7" t="s">
        <v>112</v>
      </c>
      <c r="N3" s="7" t="s">
        <v>113</v>
      </c>
      <c r="O3" s="1" t="s">
        <v>114</v>
      </c>
      <c r="P3" s="7" t="s">
        <v>115</v>
      </c>
      <c r="Q3" s="2" t="s">
        <v>116</v>
      </c>
      <c r="S3" s="146" t="s">
        <v>158</v>
      </c>
      <c r="T3" s="146" t="s">
        <v>173</v>
      </c>
      <c r="V3" s="146" t="s">
        <v>158</v>
      </c>
      <c r="W3" s="146" t="s">
        <v>160</v>
      </c>
      <c r="Y3" s="146" t="s">
        <v>158</v>
      </c>
      <c r="Z3" s="146" t="s">
        <v>174</v>
      </c>
    </row>
    <row r="4" spans="1:26" x14ac:dyDescent="0.35">
      <c r="A4" s="8">
        <f>五大周期判断!B12</f>
        <v>46022</v>
      </c>
      <c r="B4" s="9">
        <f t="shared" ref="B4:B67" si="0">VLOOKUP(A4,S:T,2,0)</f>
        <v>50.1</v>
      </c>
      <c r="C4" s="9">
        <f>VLOOKUP(A4,V:W,2,0)</f>
        <v>3.9</v>
      </c>
      <c r="D4" s="9">
        <f>IFERROR(VLOOKUP(A4,Y:Z,2,FALSE),D5)</f>
        <v>39</v>
      </c>
      <c r="E4" s="1">
        <f>IFERROR(IF(C4&gt;C5,1,0),E5)</f>
        <v>0</v>
      </c>
      <c r="F4" s="1">
        <f>1-E4</f>
        <v>1</v>
      </c>
      <c r="G4" s="7">
        <f>IF(B4&gt;B5,1,0)</f>
        <v>1</v>
      </c>
      <c r="H4" s="7">
        <f>1-G4</f>
        <v>0</v>
      </c>
      <c r="I4" s="1">
        <f>INT(AND(H4=1,F4=1))</f>
        <v>0</v>
      </c>
      <c r="J4" s="1">
        <f>INT(AND(H4=1,E4=1))</f>
        <v>0</v>
      </c>
      <c r="K4" s="1">
        <f>INT(AND(G4=1,F4=1))</f>
        <v>1</v>
      </c>
      <c r="L4" s="1">
        <f>INT(AND(G4=1,E4=1))</f>
        <v>0</v>
      </c>
      <c r="M4" s="1">
        <f>IF(D4 = D5, M5, IF(D4 &gt; D5, 1, 0))</f>
        <v>0</v>
      </c>
      <c r="N4" s="1">
        <f>1-M4</f>
        <v>1</v>
      </c>
      <c r="O4" s="1" t="str">
        <f>INDEX($I$3:$L$3,1,MATCH(1,I4:L4,0))</f>
        <v>被动去库存</v>
      </c>
      <c r="P4" s="1" t="str">
        <f>INDEX($M$3:$N$3,1,MATCH(1,M4:N4,0))</f>
        <v>产能周期下行</v>
      </c>
      <c r="Q4" s="2" t="str">
        <f>TEXT(P4,"")&amp;","&amp;TEXT(O4,"")</f>
        <v>产能周期下行,被动去库存</v>
      </c>
      <c r="S4" s="12">
        <v>38383</v>
      </c>
      <c r="T4" s="13">
        <v>54.7</v>
      </c>
      <c r="V4" s="12">
        <v>46022</v>
      </c>
      <c r="W4" s="13">
        <v>3.9</v>
      </c>
      <c r="Y4" s="12">
        <v>33785</v>
      </c>
      <c r="Z4" s="13">
        <v>37.75</v>
      </c>
    </row>
    <row r="5" spans="1:26" x14ac:dyDescent="0.35">
      <c r="A5" s="8">
        <f>EOMONTH(A4,-1)</f>
        <v>45991</v>
      </c>
      <c r="B5" s="9">
        <f t="shared" si="0"/>
        <v>49.2</v>
      </c>
      <c r="C5" s="9">
        <f>VLOOKUP(A5,V:W,2,0)</f>
        <v>4.5999999999999996</v>
      </c>
      <c r="D5" s="9">
        <f t="shared" ref="D5:D68" si="1">IFERROR(VLOOKUP(A5,Y:Z,2,FALSE),D6)</f>
        <v>39</v>
      </c>
      <c r="E5" s="1">
        <f>IFERROR(IF(C5&gt;C6,1,0),E6)</f>
        <v>1</v>
      </c>
      <c r="F5" s="1">
        <f>1-E5</f>
        <v>0</v>
      </c>
      <c r="G5" s="7">
        <f>IF(B5&gt;B6,1,0)</f>
        <v>1</v>
      </c>
      <c r="H5" s="7">
        <f>1-G5</f>
        <v>0</v>
      </c>
      <c r="I5" s="1">
        <f>INT(AND(H5=1,F5=1))</f>
        <v>0</v>
      </c>
      <c r="J5" s="1">
        <f>INT(AND(H5=1,E5=1))</f>
        <v>0</v>
      </c>
      <c r="K5" s="1">
        <f>INT(AND(G5=1,F5=1))</f>
        <v>0</v>
      </c>
      <c r="L5" s="1">
        <f>INT(AND(G5=1,E5=1))</f>
        <v>1</v>
      </c>
      <c r="M5" s="1">
        <f t="shared" ref="M5:M68" si="2">IF(D5 = D6, M6, IF(D5 &gt; D6, 1, 0))</f>
        <v>0</v>
      </c>
      <c r="N5" s="1">
        <f>1-M5</f>
        <v>1</v>
      </c>
      <c r="O5" s="1" t="str">
        <f t="shared" ref="O5:O68" si="3">INDEX($I$3:$L$3,1,MATCH(1,I5:L5,0))</f>
        <v>主动补库存</v>
      </c>
      <c r="P5" s="1" t="str">
        <f t="shared" ref="P5:P68" si="4">INDEX($M$3:$N$3,1,MATCH(1,M5:N5,0))</f>
        <v>产能周期下行</v>
      </c>
      <c r="Q5" s="2" t="str">
        <f t="shared" ref="Q5:Q68" si="5">TEXT(P5,"")&amp;","&amp;TEXT(O5,"")</f>
        <v>产能周期下行,主动补库存</v>
      </c>
      <c r="S5" s="12">
        <v>38411</v>
      </c>
      <c r="T5" s="13">
        <v>54.5</v>
      </c>
      <c r="V5" s="12">
        <v>45991</v>
      </c>
      <c r="W5" s="13">
        <v>4.5999999999999996</v>
      </c>
      <c r="Y5" s="12">
        <v>33877</v>
      </c>
      <c r="Z5" s="13">
        <v>38.4</v>
      </c>
    </row>
    <row r="6" spans="1:26" x14ac:dyDescent="0.35">
      <c r="A6" s="8">
        <f t="shared" ref="A6:A69" si="6">EOMONTH(A5,-1)</f>
        <v>45961</v>
      </c>
      <c r="B6" s="9">
        <f t="shared" si="0"/>
        <v>49</v>
      </c>
      <c r="C6" s="9">
        <f t="shared" ref="C6:C69" si="7">VLOOKUP(A6,V:W,2,0)</f>
        <v>3.7</v>
      </c>
      <c r="D6" s="9">
        <f t="shared" si="1"/>
        <v>39</v>
      </c>
      <c r="E6" s="1">
        <v>1</v>
      </c>
      <c r="F6" s="1">
        <v>0</v>
      </c>
      <c r="G6" s="7">
        <v>1</v>
      </c>
      <c r="H6" s="7">
        <v>0</v>
      </c>
      <c r="I6" s="1">
        <f t="shared" ref="I6:I69" si="8">INT(AND(H6=1,F6=1))</f>
        <v>0</v>
      </c>
      <c r="J6" s="1">
        <f t="shared" ref="J6:J69" si="9">INT(AND(H6=1,E6=1))</f>
        <v>0</v>
      </c>
      <c r="K6" s="1">
        <f t="shared" ref="K6:K69" si="10">INT(AND(G6=1,F6=1))</f>
        <v>0</v>
      </c>
      <c r="L6" s="1">
        <f t="shared" ref="L6:L69" si="11">INT(AND(G6=1,E6=1))</f>
        <v>1</v>
      </c>
      <c r="M6" s="1">
        <f t="shared" si="2"/>
        <v>0</v>
      </c>
      <c r="N6" s="1">
        <f t="shared" ref="N6:N69" si="12">1-M6</f>
        <v>1</v>
      </c>
      <c r="O6" s="1" t="str">
        <f t="shared" si="3"/>
        <v>主动补库存</v>
      </c>
      <c r="P6" s="1" t="str">
        <f t="shared" si="4"/>
        <v>产能周期下行</v>
      </c>
      <c r="Q6" s="2" t="str">
        <f t="shared" si="5"/>
        <v>产能周期下行,主动补库存</v>
      </c>
      <c r="S6" s="12">
        <v>38442</v>
      </c>
      <c r="T6" s="13">
        <v>57.9</v>
      </c>
      <c r="V6" s="12">
        <v>45961</v>
      </c>
      <c r="W6" s="13">
        <v>3.7</v>
      </c>
      <c r="Y6" s="12">
        <v>33969</v>
      </c>
      <c r="Z6" s="13">
        <v>38.4</v>
      </c>
    </row>
    <row r="7" spans="1:26" x14ac:dyDescent="0.35">
      <c r="A7" s="8">
        <f t="shared" si="6"/>
        <v>45930</v>
      </c>
      <c r="B7" s="9">
        <f t="shared" si="0"/>
        <v>49.8</v>
      </c>
      <c r="C7" s="9">
        <f t="shared" si="7"/>
        <v>2.8</v>
      </c>
      <c r="D7" s="9">
        <f t="shared" si="1"/>
        <v>39</v>
      </c>
      <c r="E7" s="1">
        <v>1</v>
      </c>
      <c r="F7" s="1">
        <v>0</v>
      </c>
      <c r="G7" s="7">
        <v>1</v>
      </c>
      <c r="H7" s="7">
        <v>0</v>
      </c>
      <c r="I7" s="1">
        <f t="shared" si="8"/>
        <v>0</v>
      </c>
      <c r="J7" s="1">
        <f t="shared" si="9"/>
        <v>0</v>
      </c>
      <c r="K7" s="1">
        <f t="shared" si="10"/>
        <v>0</v>
      </c>
      <c r="L7" s="1">
        <f t="shared" si="11"/>
        <v>1</v>
      </c>
      <c r="M7" s="1">
        <f t="shared" si="2"/>
        <v>0</v>
      </c>
      <c r="N7" s="1">
        <f t="shared" si="12"/>
        <v>1</v>
      </c>
      <c r="O7" s="1" t="str">
        <f t="shared" si="3"/>
        <v>主动补库存</v>
      </c>
      <c r="P7" s="1" t="str">
        <f t="shared" si="4"/>
        <v>产能周期下行</v>
      </c>
      <c r="Q7" s="2" t="str">
        <f t="shared" si="5"/>
        <v>产能周期下行,主动补库存</v>
      </c>
      <c r="S7" s="12">
        <v>38472</v>
      </c>
      <c r="T7" s="13">
        <v>56.7</v>
      </c>
      <c r="V7" s="12">
        <v>45930</v>
      </c>
      <c r="W7" s="13">
        <v>2.8</v>
      </c>
      <c r="Y7" s="12">
        <v>34059</v>
      </c>
      <c r="Z7" s="13">
        <v>38.450000000000003</v>
      </c>
    </row>
    <row r="8" spans="1:26" x14ac:dyDescent="0.35">
      <c r="A8" s="8">
        <f t="shared" si="6"/>
        <v>45900</v>
      </c>
      <c r="B8" s="9">
        <f t="shared" si="0"/>
        <v>49.4</v>
      </c>
      <c r="C8" s="9">
        <f t="shared" si="7"/>
        <v>2.2999999999999998</v>
      </c>
      <c r="D8" s="9">
        <f t="shared" si="1"/>
        <v>39</v>
      </c>
      <c r="E8" s="1">
        <v>1</v>
      </c>
      <c r="F8" s="1">
        <v>0</v>
      </c>
      <c r="G8" s="7">
        <v>1</v>
      </c>
      <c r="H8" s="7">
        <v>0</v>
      </c>
      <c r="I8" s="1">
        <f t="shared" si="8"/>
        <v>0</v>
      </c>
      <c r="J8" s="1">
        <f t="shared" si="9"/>
        <v>0</v>
      </c>
      <c r="K8" s="1">
        <f t="shared" si="10"/>
        <v>0</v>
      </c>
      <c r="L8" s="1">
        <f t="shared" si="11"/>
        <v>1</v>
      </c>
      <c r="M8" s="1">
        <f t="shared" si="2"/>
        <v>0</v>
      </c>
      <c r="N8" s="1">
        <f t="shared" si="12"/>
        <v>1</v>
      </c>
      <c r="O8" s="1" t="str">
        <f t="shared" si="3"/>
        <v>主动补库存</v>
      </c>
      <c r="P8" s="1" t="str">
        <f t="shared" si="4"/>
        <v>产能周期下行</v>
      </c>
      <c r="Q8" s="2" t="str">
        <f t="shared" si="5"/>
        <v>产能周期下行,主动补库存</v>
      </c>
      <c r="S8" s="12">
        <v>38503</v>
      </c>
      <c r="T8" s="13">
        <v>52.9</v>
      </c>
      <c r="V8" s="12">
        <v>45900</v>
      </c>
      <c r="W8" s="13">
        <v>2.2999999999999998</v>
      </c>
      <c r="Y8" s="12">
        <v>34150</v>
      </c>
      <c r="Z8" s="13">
        <v>38.1</v>
      </c>
    </row>
    <row r="9" spans="1:26" x14ac:dyDescent="0.35">
      <c r="A9" s="8">
        <f t="shared" si="6"/>
        <v>45869</v>
      </c>
      <c r="B9" s="9">
        <f t="shared" si="0"/>
        <v>49.3</v>
      </c>
      <c r="C9" s="9">
        <f t="shared" si="7"/>
        <v>2.4</v>
      </c>
      <c r="D9" s="9">
        <f t="shared" si="1"/>
        <v>39</v>
      </c>
      <c r="E9" s="1">
        <v>1</v>
      </c>
      <c r="F9" s="1">
        <v>0</v>
      </c>
      <c r="G9" s="7">
        <v>1</v>
      </c>
      <c r="H9" s="7">
        <v>0</v>
      </c>
      <c r="I9" s="1">
        <f t="shared" si="8"/>
        <v>0</v>
      </c>
      <c r="J9" s="1">
        <f t="shared" si="9"/>
        <v>0</v>
      </c>
      <c r="K9" s="1">
        <f t="shared" si="10"/>
        <v>0</v>
      </c>
      <c r="L9" s="1">
        <f t="shared" si="11"/>
        <v>1</v>
      </c>
      <c r="M9" s="1">
        <f t="shared" si="2"/>
        <v>0</v>
      </c>
      <c r="N9" s="1">
        <f t="shared" si="12"/>
        <v>1</v>
      </c>
      <c r="O9" s="1" t="str">
        <f t="shared" si="3"/>
        <v>主动补库存</v>
      </c>
      <c r="P9" s="1" t="str">
        <f t="shared" si="4"/>
        <v>产能周期下行</v>
      </c>
      <c r="Q9" s="2" t="str">
        <f t="shared" si="5"/>
        <v>产能周期下行,主动补库存</v>
      </c>
      <c r="S9" s="12">
        <v>38533</v>
      </c>
      <c r="T9" s="13">
        <v>51.7</v>
      </c>
      <c r="V9" s="12">
        <v>45869</v>
      </c>
      <c r="W9" s="13">
        <v>2.4</v>
      </c>
      <c r="Y9" s="12">
        <v>34242</v>
      </c>
      <c r="Z9" s="13">
        <v>37.549999999999997</v>
      </c>
    </row>
    <row r="10" spans="1:26" x14ac:dyDescent="0.35">
      <c r="A10" s="8">
        <f t="shared" si="6"/>
        <v>45838</v>
      </c>
      <c r="B10" s="9">
        <f t="shared" si="0"/>
        <v>49.7</v>
      </c>
      <c r="C10" s="9">
        <f t="shared" si="7"/>
        <v>3.1</v>
      </c>
      <c r="D10" s="9">
        <f t="shared" si="1"/>
        <v>39</v>
      </c>
      <c r="E10" s="1">
        <v>1</v>
      </c>
      <c r="F10" s="1">
        <v>0</v>
      </c>
      <c r="G10" s="7">
        <v>1</v>
      </c>
      <c r="H10" s="7">
        <v>0</v>
      </c>
      <c r="I10" s="1">
        <f t="shared" si="8"/>
        <v>0</v>
      </c>
      <c r="J10" s="1">
        <f t="shared" si="9"/>
        <v>0</v>
      </c>
      <c r="K10" s="1">
        <f t="shared" si="10"/>
        <v>0</v>
      </c>
      <c r="L10" s="1">
        <f t="shared" si="11"/>
        <v>1</v>
      </c>
      <c r="M10" s="1">
        <f t="shared" si="2"/>
        <v>0</v>
      </c>
      <c r="N10" s="1">
        <f t="shared" si="12"/>
        <v>1</v>
      </c>
      <c r="O10" s="1" t="str">
        <f t="shared" si="3"/>
        <v>主动补库存</v>
      </c>
      <c r="P10" s="1" t="str">
        <f t="shared" si="4"/>
        <v>产能周期下行</v>
      </c>
      <c r="Q10" s="2" t="str">
        <f t="shared" si="5"/>
        <v>产能周期下行,主动补库存</v>
      </c>
      <c r="S10" s="12">
        <v>38564</v>
      </c>
      <c r="T10" s="13">
        <v>51.1</v>
      </c>
      <c r="V10" s="12">
        <v>45838</v>
      </c>
      <c r="W10" s="13">
        <v>3.1</v>
      </c>
      <c r="Y10" s="12">
        <v>34334</v>
      </c>
      <c r="Z10" s="13">
        <v>36.700000000000003</v>
      </c>
    </row>
    <row r="11" spans="1:26" x14ac:dyDescent="0.35">
      <c r="A11" s="8">
        <f t="shared" si="6"/>
        <v>45808</v>
      </c>
      <c r="B11" s="9">
        <f t="shared" si="0"/>
        <v>49.5</v>
      </c>
      <c r="C11" s="9">
        <f t="shared" si="7"/>
        <v>3.5</v>
      </c>
      <c r="D11" s="9">
        <f t="shared" si="1"/>
        <v>39</v>
      </c>
      <c r="E11" s="1">
        <v>1</v>
      </c>
      <c r="F11" s="1">
        <v>0</v>
      </c>
      <c r="G11" s="7">
        <v>1</v>
      </c>
      <c r="H11" s="7">
        <v>0</v>
      </c>
      <c r="I11" s="1">
        <f t="shared" si="8"/>
        <v>0</v>
      </c>
      <c r="J11" s="1">
        <f t="shared" si="9"/>
        <v>0</v>
      </c>
      <c r="K11" s="1">
        <f t="shared" si="10"/>
        <v>0</v>
      </c>
      <c r="L11" s="1">
        <f t="shared" si="11"/>
        <v>1</v>
      </c>
      <c r="M11" s="1">
        <f t="shared" si="2"/>
        <v>0</v>
      </c>
      <c r="N11" s="1">
        <f t="shared" si="12"/>
        <v>1</v>
      </c>
      <c r="O11" s="1" t="str">
        <f t="shared" si="3"/>
        <v>主动补库存</v>
      </c>
      <c r="P11" s="1" t="str">
        <f t="shared" si="4"/>
        <v>产能周期下行</v>
      </c>
      <c r="Q11" s="2" t="str">
        <f t="shared" si="5"/>
        <v>产能周期下行,主动补库存</v>
      </c>
      <c r="S11" s="12">
        <v>38595</v>
      </c>
      <c r="T11" s="13">
        <v>52.6</v>
      </c>
      <c r="V11" s="12">
        <v>45808</v>
      </c>
      <c r="W11" s="13">
        <v>3.5</v>
      </c>
      <c r="Y11" s="12">
        <v>34424</v>
      </c>
      <c r="Z11" s="13">
        <v>35.35</v>
      </c>
    </row>
    <row r="12" spans="1:26" x14ac:dyDescent="0.35">
      <c r="A12" s="8">
        <f t="shared" si="6"/>
        <v>45777</v>
      </c>
      <c r="B12" s="9">
        <f t="shared" si="0"/>
        <v>49</v>
      </c>
      <c r="C12" s="9">
        <f t="shared" si="7"/>
        <v>3.9</v>
      </c>
      <c r="D12" s="9">
        <f t="shared" si="1"/>
        <v>39</v>
      </c>
      <c r="E12" s="1">
        <v>1</v>
      </c>
      <c r="F12" s="1">
        <v>0</v>
      </c>
      <c r="G12" s="7">
        <v>1</v>
      </c>
      <c r="H12" s="7">
        <v>0</v>
      </c>
      <c r="I12" s="1">
        <f t="shared" si="8"/>
        <v>0</v>
      </c>
      <c r="J12" s="1">
        <f t="shared" si="9"/>
        <v>0</v>
      </c>
      <c r="K12" s="1">
        <f t="shared" si="10"/>
        <v>0</v>
      </c>
      <c r="L12" s="1">
        <f t="shared" si="11"/>
        <v>1</v>
      </c>
      <c r="M12" s="1">
        <f t="shared" si="2"/>
        <v>0</v>
      </c>
      <c r="N12" s="1">
        <f t="shared" si="12"/>
        <v>1</v>
      </c>
      <c r="O12" s="1" t="str">
        <f t="shared" si="3"/>
        <v>主动补库存</v>
      </c>
      <c r="P12" s="1" t="str">
        <f t="shared" si="4"/>
        <v>产能周期下行</v>
      </c>
      <c r="Q12" s="2" t="str">
        <f t="shared" si="5"/>
        <v>产能周期下行,主动补库存</v>
      </c>
      <c r="S12" s="12">
        <v>38625</v>
      </c>
      <c r="T12" s="13">
        <v>55.1</v>
      </c>
      <c r="V12" s="12">
        <v>45777</v>
      </c>
      <c r="W12" s="13">
        <v>3.9</v>
      </c>
      <c r="Y12" s="12">
        <v>34515</v>
      </c>
      <c r="Z12" s="13">
        <v>35.9</v>
      </c>
    </row>
    <row r="13" spans="1:26" x14ac:dyDescent="0.35">
      <c r="A13" s="8">
        <f t="shared" si="6"/>
        <v>45747</v>
      </c>
      <c r="B13" s="9">
        <f t="shared" si="0"/>
        <v>50.5</v>
      </c>
      <c r="C13" s="9">
        <f t="shared" si="7"/>
        <v>4.2</v>
      </c>
      <c r="D13" s="9">
        <f t="shared" si="1"/>
        <v>39</v>
      </c>
      <c r="E13" s="1">
        <v>1</v>
      </c>
      <c r="F13" s="1">
        <v>0</v>
      </c>
      <c r="G13" s="7">
        <v>1</v>
      </c>
      <c r="H13" s="7">
        <v>0</v>
      </c>
      <c r="I13" s="1">
        <f t="shared" si="8"/>
        <v>0</v>
      </c>
      <c r="J13" s="1">
        <f t="shared" si="9"/>
        <v>0</v>
      </c>
      <c r="K13" s="1">
        <f t="shared" si="10"/>
        <v>0</v>
      </c>
      <c r="L13" s="1">
        <f t="shared" si="11"/>
        <v>1</v>
      </c>
      <c r="M13" s="1">
        <f t="shared" si="2"/>
        <v>0</v>
      </c>
      <c r="N13" s="1">
        <f t="shared" si="12"/>
        <v>1</v>
      </c>
      <c r="O13" s="1" t="str">
        <f t="shared" si="3"/>
        <v>主动补库存</v>
      </c>
      <c r="P13" s="1" t="str">
        <f t="shared" si="4"/>
        <v>产能周期下行</v>
      </c>
      <c r="Q13" s="2" t="str">
        <f t="shared" si="5"/>
        <v>产能周期下行,主动补库存</v>
      </c>
      <c r="S13" s="12">
        <v>38656</v>
      </c>
      <c r="T13" s="13">
        <v>54.1</v>
      </c>
      <c r="V13" s="12">
        <v>45747</v>
      </c>
      <c r="W13" s="13">
        <v>4.2</v>
      </c>
      <c r="Y13" s="12">
        <v>34607</v>
      </c>
      <c r="Z13" s="13">
        <v>35.950000000000003</v>
      </c>
    </row>
    <row r="14" spans="1:26" x14ac:dyDescent="0.35">
      <c r="A14" s="8">
        <f t="shared" si="6"/>
        <v>45716</v>
      </c>
      <c r="B14" s="9">
        <f t="shared" si="0"/>
        <v>50.2</v>
      </c>
      <c r="C14" s="9">
        <f t="shared" si="7"/>
        <v>4.2</v>
      </c>
      <c r="D14" s="9">
        <f t="shared" si="1"/>
        <v>39</v>
      </c>
      <c r="E14" s="1">
        <v>1</v>
      </c>
      <c r="F14" s="1">
        <v>0</v>
      </c>
      <c r="G14" s="7">
        <v>1</v>
      </c>
      <c r="H14" s="7">
        <v>0</v>
      </c>
      <c r="I14" s="1">
        <f t="shared" si="8"/>
        <v>0</v>
      </c>
      <c r="J14" s="1">
        <f t="shared" si="9"/>
        <v>0</v>
      </c>
      <c r="K14" s="1">
        <f t="shared" si="10"/>
        <v>0</v>
      </c>
      <c r="L14" s="1">
        <f t="shared" si="11"/>
        <v>1</v>
      </c>
      <c r="M14" s="1">
        <f t="shared" si="2"/>
        <v>0</v>
      </c>
      <c r="N14" s="1">
        <f t="shared" si="12"/>
        <v>1</v>
      </c>
      <c r="O14" s="1" t="str">
        <f t="shared" si="3"/>
        <v>主动补库存</v>
      </c>
      <c r="P14" s="1" t="str">
        <f t="shared" si="4"/>
        <v>产能周期下行</v>
      </c>
      <c r="Q14" s="2" t="str">
        <f t="shared" si="5"/>
        <v>产能周期下行,主动补库存</v>
      </c>
      <c r="S14" s="12">
        <v>38686</v>
      </c>
      <c r="T14" s="13">
        <v>54.1</v>
      </c>
      <c r="V14" s="12">
        <v>45716</v>
      </c>
      <c r="W14" s="13">
        <v>4.2</v>
      </c>
      <c r="Y14" s="12">
        <v>34699</v>
      </c>
      <c r="Z14" s="13">
        <v>35.450000000000003</v>
      </c>
    </row>
    <row r="15" spans="1:26" x14ac:dyDescent="0.35">
      <c r="A15" s="8">
        <f t="shared" si="6"/>
        <v>45688</v>
      </c>
      <c r="B15" s="9">
        <f t="shared" si="0"/>
        <v>49.1</v>
      </c>
      <c r="C15" s="9" t="e">
        <f t="shared" si="7"/>
        <v>#N/A</v>
      </c>
      <c r="D15" s="9">
        <f t="shared" si="1"/>
        <v>39</v>
      </c>
      <c r="E15" s="1">
        <v>1</v>
      </c>
      <c r="F15" s="1">
        <v>0</v>
      </c>
      <c r="G15" s="7">
        <v>1</v>
      </c>
      <c r="H15" s="7">
        <v>0</v>
      </c>
      <c r="I15" s="1">
        <f t="shared" si="8"/>
        <v>0</v>
      </c>
      <c r="J15" s="1">
        <f t="shared" si="9"/>
        <v>0</v>
      </c>
      <c r="K15" s="1">
        <f t="shared" si="10"/>
        <v>0</v>
      </c>
      <c r="L15" s="1">
        <f t="shared" si="11"/>
        <v>1</v>
      </c>
      <c r="M15" s="1">
        <f t="shared" si="2"/>
        <v>0</v>
      </c>
      <c r="N15" s="1">
        <f t="shared" si="12"/>
        <v>1</v>
      </c>
      <c r="O15" s="1" t="str">
        <f t="shared" si="3"/>
        <v>主动补库存</v>
      </c>
      <c r="P15" s="1" t="str">
        <f t="shared" si="4"/>
        <v>产能周期下行</v>
      </c>
      <c r="Q15" s="2" t="str">
        <f t="shared" si="5"/>
        <v>产能周期下行,主动补库存</v>
      </c>
      <c r="S15" s="12">
        <v>38717</v>
      </c>
      <c r="T15" s="13">
        <v>54.3</v>
      </c>
      <c r="V15" s="12">
        <v>45657</v>
      </c>
      <c r="W15" s="13">
        <v>3.3</v>
      </c>
      <c r="Y15" s="12">
        <v>34789</v>
      </c>
      <c r="Z15" s="13">
        <v>35.1</v>
      </c>
    </row>
    <row r="16" spans="1:26" x14ac:dyDescent="0.35">
      <c r="A16" s="8">
        <f t="shared" si="6"/>
        <v>45657</v>
      </c>
      <c r="B16" s="10">
        <f t="shared" si="0"/>
        <v>50.1</v>
      </c>
      <c r="C16" s="9">
        <f t="shared" si="7"/>
        <v>3.3</v>
      </c>
      <c r="D16" s="9">
        <f t="shared" si="1"/>
        <v>39</v>
      </c>
      <c r="E16" s="1">
        <v>0</v>
      </c>
      <c r="F16" s="1">
        <v>1</v>
      </c>
      <c r="G16" s="7">
        <v>1</v>
      </c>
      <c r="H16" s="7">
        <v>0</v>
      </c>
      <c r="I16" s="1">
        <f t="shared" si="8"/>
        <v>0</v>
      </c>
      <c r="J16" s="1">
        <f t="shared" si="9"/>
        <v>0</v>
      </c>
      <c r="K16" s="1">
        <f t="shared" si="10"/>
        <v>1</v>
      </c>
      <c r="L16" s="1">
        <f t="shared" si="11"/>
        <v>0</v>
      </c>
      <c r="M16" s="1">
        <f t="shared" si="2"/>
        <v>0</v>
      </c>
      <c r="N16" s="1">
        <f t="shared" si="12"/>
        <v>1</v>
      </c>
      <c r="O16" s="1" t="str">
        <f t="shared" si="3"/>
        <v>被动去库存</v>
      </c>
      <c r="P16" s="1" t="str">
        <f t="shared" si="4"/>
        <v>产能周期下行</v>
      </c>
      <c r="Q16" s="2" t="str">
        <f t="shared" si="5"/>
        <v>产能周期下行,被动去库存</v>
      </c>
      <c r="S16" s="12">
        <v>38748</v>
      </c>
      <c r="T16" s="13">
        <v>52.1</v>
      </c>
      <c r="V16" s="12">
        <v>45626</v>
      </c>
      <c r="W16" s="13">
        <v>3.3</v>
      </c>
      <c r="Y16" s="12">
        <v>34880</v>
      </c>
      <c r="Z16" s="13">
        <v>35.6</v>
      </c>
    </row>
    <row r="17" spans="1:26" x14ac:dyDescent="0.35">
      <c r="A17" s="8">
        <f t="shared" si="6"/>
        <v>45626</v>
      </c>
      <c r="B17" s="9">
        <f t="shared" si="0"/>
        <v>50.3</v>
      </c>
      <c r="C17" s="9">
        <f t="shared" si="7"/>
        <v>3.3</v>
      </c>
      <c r="D17" s="9">
        <f t="shared" si="1"/>
        <v>39</v>
      </c>
      <c r="E17" s="1">
        <v>0</v>
      </c>
      <c r="F17" s="1">
        <v>1</v>
      </c>
      <c r="G17" s="7">
        <v>1</v>
      </c>
      <c r="H17" s="7">
        <v>0</v>
      </c>
      <c r="I17" s="1">
        <f t="shared" si="8"/>
        <v>0</v>
      </c>
      <c r="J17" s="1">
        <f t="shared" si="9"/>
        <v>0</v>
      </c>
      <c r="K17" s="1">
        <f t="shared" si="10"/>
        <v>1</v>
      </c>
      <c r="L17" s="1">
        <f t="shared" si="11"/>
        <v>0</v>
      </c>
      <c r="M17" s="1">
        <f t="shared" si="2"/>
        <v>0</v>
      </c>
      <c r="N17" s="1">
        <f t="shared" si="12"/>
        <v>1</v>
      </c>
      <c r="O17" s="1" t="str">
        <f t="shared" si="3"/>
        <v>被动去库存</v>
      </c>
      <c r="P17" s="1" t="str">
        <f t="shared" si="4"/>
        <v>产能周期下行</v>
      </c>
      <c r="Q17" s="2" t="str">
        <f t="shared" si="5"/>
        <v>产能周期下行,被动去库存</v>
      </c>
      <c r="S17" s="12">
        <v>38776</v>
      </c>
      <c r="T17" s="13">
        <v>52.1</v>
      </c>
      <c r="V17" s="12">
        <v>45596</v>
      </c>
      <c r="W17" s="13">
        <v>3.9</v>
      </c>
      <c r="Y17" s="12">
        <v>34972</v>
      </c>
      <c r="Z17" s="13">
        <v>34.65</v>
      </c>
    </row>
    <row r="18" spans="1:26" x14ac:dyDescent="0.35">
      <c r="A18" s="8">
        <f t="shared" si="6"/>
        <v>45596</v>
      </c>
      <c r="B18" s="9">
        <f t="shared" si="0"/>
        <v>50.1</v>
      </c>
      <c r="C18" s="9">
        <f t="shared" si="7"/>
        <v>3.9</v>
      </c>
      <c r="D18" s="9">
        <f t="shared" si="1"/>
        <v>39</v>
      </c>
      <c r="E18" s="1">
        <v>0</v>
      </c>
      <c r="F18" s="1">
        <v>1</v>
      </c>
      <c r="G18" s="7">
        <v>1</v>
      </c>
      <c r="H18" s="7">
        <v>0</v>
      </c>
      <c r="I18" s="1">
        <f t="shared" si="8"/>
        <v>0</v>
      </c>
      <c r="J18" s="1">
        <f t="shared" si="9"/>
        <v>0</v>
      </c>
      <c r="K18" s="1">
        <f t="shared" si="10"/>
        <v>1</v>
      </c>
      <c r="L18" s="1">
        <f t="shared" si="11"/>
        <v>0</v>
      </c>
      <c r="M18" s="1">
        <f t="shared" si="2"/>
        <v>0</v>
      </c>
      <c r="N18" s="1">
        <f t="shared" si="12"/>
        <v>1</v>
      </c>
      <c r="O18" s="1" t="str">
        <f t="shared" si="3"/>
        <v>被动去库存</v>
      </c>
      <c r="P18" s="1" t="str">
        <f t="shared" si="4"/>
        <v>产能周期下行</v>
      </c>
      <c r="Q18" s="2" t="str">
        <f t="shared" si="5"/>
        <v>产能周期下行,被动去库存</v>
      </c>
      <c r="S18" s="12">
        <v>38807</v>
      </c>
      <c r="T18" s="13">
        <v>55.3</v>
      </c>
      <c r="V18" s="12">
        <v>45565</v>
      </c>
      <c r="W18" s="13">
        <v>4.5999999999999996</v>
      </c>
      <c r="Y18" s="12">
        <v>35064</v>
      </c>
      <c r="Z18" s="13">
        <v>34.700000000000003</v>
      </c>
    </row>
    <row r="19" spans="1:26" x14ac:dyDescent="0.35">
      <c r="A19" s="8">
        <f t="shared" si="6"/>
        <v>45565</v>
      </c>
      <c r="B19" s="9">
        <f t="shared" si="0"/>
        <v>49.8</v>
      </c>
      <c r="C19" s="9">
        <f t="shared" si="7"/>
        <v>4.5999999999999996</v>
      </c>
      <c r="D19" s="9">
        <f t="shared" si="1"/>
        <v>39</v>
      </c>
      <c r="E19" s="1">
        <v>0</v>
      </c>
      <c r="F19" s="1">
        <v>1</v>
      </c>
      <c r="G19" s="7">
        <v>1</v>
      </c>
      <c r="H19" s="7">
        <v>0</v>
      </c>
      <c r="I19" s="1">
        <f t="shared" si="8"/>
        <v>0</v>
      </c>
      <c r="J19" s="1">
        <f t="shared" si="9"/>
        <v>0</v>
      </c>
      <c r="K19" s="1">
        <f t="shared" si="10"/>
        <v>1</v>
      </c>
      <c r="L19" s="1">
        <f t="shared" si="11"/>
        <v>0</v>
      </c>
      <c r="M19" s="1">
        <f t="shared" si="2"/>
        <v>0</v>
      </c>
      <c r="N19" s="1">
        <f t="shared" si="12"/>
        <v>1</v>
      </c>
      <c r="O19" s="1" t="str">
        <f t="shared" si="3"/>
        <v>被动去库存</v>
      </c>
      <c r="P19" s="1" t="str">
        <f t="shared" si="4"/>
        <v>产能周期下行</v>
      </c>
      <c r="Q19" s="2" t="str">
        <f t="shared" si="5"/>
        <v>产能周期下行,被动去库存</v>
      </c>
      <c r="S19" s="12">
        <v>38837</v>
      </c>
      <c r="T19" s="13">
        <v>58.1</v>
      </c>
      <c r="V19" s="12">
        <v>45535</v>
      </c>
      <c r="W19" s="13">
        <v>5.0999999999999996</v>
      </c>
      <c r="Y19" s="12">
        <v>35155</v>
      </c>
      <c r="Z19" s="13">
        <v>32.9</v>
      </c>
    </row>
    <row r="20" spans="1:26" x14ac:dyDescent="0.35">
      <c r="A20" s="8">
        <f t="shared" si="6"/>
        <v>45535</v>
      </c>
      <c r="B20" s="9">
        <f t="shared" si="0"/>
        <v>49.1</v>
      </c>
      <c r="C20" s="9">
        <f t="shared" si="7"/>
        <v>5.0999999999999996</v>
      </c>
      <c r="D20" s="9">
        <f t="shared" si="1"/>
        <v>40</v>
      </c>
      <c r="E20" s="1">
        <v>0</v>
      </c>
      <c r="F20" s="1">
        <v>1</v>
      </c>
      <c r="G20" s="7">
        <v>1</v>
      </c>
      <c r="H20" s="7">
        <v>0</v>
      </c>
      <c r="I20" s="1">
        <f t="shared" si="8"/>
        <v>0</v>
      </c>
      <c r="J20" s="1">
        <f t="shared" si="9"/>
        <v>0</v>
      </c>
      <c r="K20" s="1">
        <f t="shared" si="10"/>
        <v>1</v>
      </c>
      <c r="L20" s="1">
        <f t="shared" si="11"/>
        <v>0</v>
      </c>
      <c r="M20" s="1">
        <f t="shared" si="2"/>
        <v>1</v>
      </c>
      <c r="N20" s="1">
        <f t="shared" si="12"/>
        <v>0</v>
      </c>
      <c r="O20" s="1" t="str">
        <f t="shared" si="3"/>
        <v>被动去库存</v>
      </c>
      <c r="P20" s="1" t="str">
        <f t="shared" si="4"/>
        <v>产能周期上行</v>
      </c>
      <c r="Q20" s="2" t="str">
        <f t="shared" si="5"/>
        <v>产能周期上行,被动去库存</v>
      </c>
      <c r="S20" s="12">
        <v>38868</v>
      </c>
      <c r="T20" s="13">
        <v>54.8</v>
      </c>
      <c r="V20" s="12">
        <v>45504</v>
      </c>
      <c r="W20" s="13">
        <v>5.2</v>
      </c>
      <c r="Y20" s="12">
        <v>35246</v>
      </c>
      <c r="Z20" s="13">
        <v>32</v>
      </c>
    </row>
    <row r="21" spans="1:26" x14ac:dyDescent="0.35">
      <c r="A21" s="8">
        <f t="shared" si="6"/>
        <v>45504</v>
      </c>
      <c r="B21" s="9">
        <f t="shared" si="0"/>
        <v>49.4</v>
      </c>
      <c r="C21" s="9">
        <f t="shared" si="7"/>
        <v>5.2</v>
      </c>
      <c r="D21" s="9">
        <f t="shared" si="1"/>
        <v>40</v>
      </c>
      <c r="E21" s="1">
        <v>0</v>
      </c>
      <c r="F21" s="1">
        <v>1</v>
      </c>
      <c r="G21" s="7">
        <v>1</v>
      </c>
      <c r="H21" s="7">
        <v>0</v>
      </c>
      <c r="I21" s="1">
        <f t="shared" si="8"/>
        <v>0</v>
      </c>
      <c r="J21" s="1">
        <f t="shared" si="9"/>
        <v>0</v>
      </c>
      <c r="K21" s="1">
        <f t="shared" si="10"/>
        <v>1</v>
      </c>
      <c r="L21" s="1">
        <f t="shared" si="11"/>
        <v>0</v>
      </c>
      <c r="M21" s="1">
        <f t="shared" si="2"/>
        <v>1</v>
      </c>
      <c r="N21" s="1">
        <f t="shared" si="12"/>
        <v>0</v>
      </c>
      <c r="O21" s="1" t="str">
        <f t="shared" si="3"/>
        <v>被动去库存</v>
      </c>
      <c r="P21" s="1" t="str">
        <f t="shared" si="4"/>
        <v>产能周期上行</v>
      </c>
      <c r="Q21" s="2" t="str">
        <f t="shared" si="5"/>
        <v>产能周期上行,被动去库存</v>
      </c>
      <c r="S21" s="12">
        <v>38898</v>
      </c>
      <c r="T21" s="13">
        <v>54.1</v>
      </c>
      <c r="V21" s="12">
        <v>45473</v>
      </c>
      <c r="W21" s="13">
        <v>4.7</v>
      </c>
      <c r="Y21" s="12">
        <v>35338</v>
      </c>
      <c r="Z21" s="13">
        <v>32.9</v>
      </c>
    </row>
    <row r="22" spans="1:26" x14ac:dyDescent="0.35">
      <c r="A22" s="8">
        <f t="shared" si="6"/>
        <v>45473</v>
      </c>
      <c r="B22" s="9">
        <f t="shared" si="0"/>
        <v>49.5</v>
      </c>
      <c r="C22" s="9">
        <f t="shared" si="7"/>
        <v>4.7</v>
      </c>
      <c r="D22" s="9">
        <f t="shared" si="1"/>
        <v>40</v>
      </c>
      <c r="E22" s="1">
        <v>0</v>
      </c>
      <c r="F22" s="1">
        <v>1</v>
      </c>
      <c r="G22" s="7">
        <v>1</v>
      </c>
      <c r="H22" s="7">
        <v>0</v>
      </c>
      <c r="I22" s="1">
        <f t="shared" si="8"/>
        <v>0</v>
      </c>
      <c r="J22" s="1">
        <f t="shared" si="9"/>
        <v>0</v>
      </c>
      <c r="K22" s="1">
        <f t="shared" si="10"/>
        <v>1</v>
      </c>
      <c r="L22" s="1">
        <f t="shared" si="11"/>
        <v>0</v>
      </c>
      <c r="M22" s="1">
        <f t="shared" si="2"/>
        <v>1</v>
      </c>
      <c r="N22" s="1">
        <f t="shared" si="12"/>
        <v>0</v>
      </c>
      <c r="O22" s="1" t="str">
        <f t="shared" si="3"/>
        <v>被动去库存</v>
      </c>
      <c r="P22" s="1" t="str">
        <f t="shared" si="4"/>
        <v>产能周期上行</v>
      </c>
      <c r="Q22" s="2" t="str">
        <f t="shared" si="5"/>
        <v>产能周期上行,被动去库存</v>
      </c>
      <c r="S22" s="12">
        <v>38929</v>
      </c>
      <c r="T22" s="13">
        <v>52.4</v>
      </c>
      <c r="V22" s="12">
        <v>45443</v>
      </c>
      <c r="W22" s="13">
        <v>3.6</v>
      </c>
      <c r="Y22" s="12">
        <v>35430</v>
      </c>
      <c r="Z22" s="13">
        <v>32.950000000000003</v>
      </c>
    </row>
    <row r="23" spans="1:26" x14ac:dyDescent="0.35">
      <c r="A23" s="8">
        <f t="shared" si="6"/>
        <v>45443</v>
      </c>
      <c r="B23" s="9">
        <f t="shared" si="0"/>
        <v>49.5</v>
      </c>
      <c r="C23" s="9">
        <f t="shared" si="7"/>
        <v>3.6</v>
      </c>
      <c r="D23" s="9">
        <f t="shared" si="1"/>
        <v>38</v>
      </c>
      <c r="E23" s="1">
        <v>0</v>
      </c>
      <c r="F23" s="1">
        <v>1</v>
      </c>
      <c r="G23" s="7">
        <v>0</v>
      </c>
      <c r="H23" s="7">
        <v>1</v>
      </c>
      <c r="I23" s="1">
        <f t="shared" si="8"/>
        <v>1</v>
      </c>
      <c r="J23" s="1">
        <f t="shared" si="9"/>
        <v>0</v>
      </c>
      <c r="K23" s="1">
        <f t="shared" si="10"/>
        <v>0</v>
      </c>
      <c r="L23" s="1">
        <f t="shared" si="11"/>
        <v>0</v>
      </c>
      <c r="M23" s="1">
        <f t="shared" si="2"/>
        <v>0</v>
      </c>
      <c r="N23" s="1">
        <f t="shared" si="12"/>
        <v>1</v>
      </c>
      <c r="O23" s="1" t="str">
        <f t="shared" si="3"/>
        <v>主动去库存</v>
      </c>
      <c r="P23" s="1" t="str">
        <f t="shared" si="4"/>
        <v>产能周期下行</v>
      </c>
      <c r="Q23" s="2" t="str">
        <f t="shared" si="5"/>
        <v>产能周期下行,主动去库存</v>
      </c>
      <c r="S23" s="12">
        <v>38960</v>
      </c>
      <c r="T23" s="13">
        <v>53.1</v>
      </c>
      <c r="V23" s="12">
        <v>45412</v>
      </c>
      <c r="W23" s="13">
        <v>3.1</v>
      </c>
      <c r="Y23" s="12">
        <v>35520</v>
      </c>
      <c r="Z23" s="13">
        <v>31.3</v>
      </c>
    </row>
    <row r="24" spans="1:26" x14ac:dyDescent="0.35">
      <c r="A24" s="8">
        <f t="shared" si="6"/>
        <v>45412</v>
      </c>
      <c r="B24" s="9">
        <f t="shared" si="0"/>
        <v>50.4</v>
      </c>
      <c r="C24" s="9">
        <f t="shared" si="7"/>
        <v>3.1</v>
      </c>
      <c r="D24" s="9">
        <f t="shared" si="1"/>
        <v>38</v>
      </c>
      <c r="E24" s="1">
        <v>0</v>
      </c>
      <c r="F24" s="1">
        <v>1</v>
      </c>
      <c r="G24" s="7">
        <v>0</v>
      </c>
      <c r="H24" s="7">
        <v>1</v>
      </c>
      <c r="I24" s="1">
        <f t="shared" si="8"/>
        <v>1</v>
      </c>
      <c r="J24" s="1">
        <f t="shared" si="9"/>
        <v>0</v>
      </c>
      <c r="K24" s="1">
        <f t="shared" si="10"/>
        <v>0</v>
      </c>
      <c r="L24" s="1">
        <f t="shared" si="11"/>
        <v>0</v>
      </c>
      <c r="M24" s="1">
        <f t="shared" si="2"/>
        <v>0</v>
      </c>
      <c r="N24" s="1">
        <f t="shared" si="12"/>
        <v>1</v>
      </c>
      <c r="O24" s="1" t="str">
        <f t="shared" si="3"/>
        <v>主动去库存</v>
      </c>
      <c r="P24" s="1" t="str">
        <f t="shared" si="4"/>
        <v>产能周期下行</v>
      </c>
      <c r="Q24" s="2" t="str">
        <f t="shared" si="5"/>
        <v>产能周期下行,主动去库存</v>
      </c>
      <c r="S24" s="12">
        <v>38990</v>
      </c>
      <c r="T24" s="13">
        <v>57</v>
      </c>
      <c r="V24" s="12">
        <v>45382</v>
      </c>
      <c r="W24" s="13">
        <v>2.5</v>
      </c>
      <c r="Y24" s="12">
        <v>35611</v>
      </c>
      <c r="Z24" s="13">
        <v>32.75</v>
      </c>
    </row>
    <row r="25" spans="1:26" x14ac:dyDescent="0.35">
      <c r="A25" s="8">
        <f t="shared" si="6"/>
        <v>45382</v>
      </c>
      <c r="B25" s="9">
        <f t="shared" si="0"/>
        <v>50.8</v>
      </c>
      <c r="C25" s="9">
        <f t="shared" si="7"/>
        <v>2.5</v>
      </c>
      <c r="D25" s="9">
        <f t="shared" si="1"/>
        <v>38</v>
      </c>
      <c r="E25" s="1">
        <v>0</v>
      </c>
      <c r="F25" s="1">
        <v>1</v>
      </c>
      <c r="G25" s="7">
        <v>0</v>
      </c>
      <c r="H25" s="7">
        <v>1</v>
      </c>
      <c r="I25" s="1">
        <f t="shared" si="8"/>
        <v>1</v>
      </c>
      <c r="J25" s="1">
        <f t="shared" si="9"/>
        <v>0</v>
      </c>
      <c r="K25" s="1">
        <f t="shared" si="10"/>
        <v>0</v>
      </c>
      <c r="L25" s="1">
        <f t="shared" si="11"/>
        <v>0</v>
      </c>
      <c r="M25" s="1">
        <f t="shared" si="2"/>
        <v>0</v>
      </c>
      <c r="N25" s="1">
        <f t="shared" si="12"/>
        <v>1</v>
      </c>
      <c r="O25" s="1" t="str">
        <f t="shared" si="3"/>
        <v>主动去库存</v>
      </c>
      <c r="P25" s="1" t="str">
        <f t="shared" si="4"/>
        <v>产能周期下行</v>
      </c>
      <c r="Q25" s="2" t="str">
        <f t="shared" si="5"/>
        <v>产能周期下行,主动去库存</v>
      </c>
      <c r="S25" s="12">
        <v>39021</v>
      </c>
      <c r="T25" s="13">
        <v>54.7</v>
      </c>
      <c r="V25" s="12">
        <v>45351</v>
      </c>
      <c r="W25" s="13">
        <v>2.4</v>
      </c>
      <c r="Y25" s="12">
        <v>35703</v>
      </c>
      <c r="Z25" s="13">
        <v>32.75</v>
      </c>
    </row>
    <row r="26" spans="1:26" x14ac:dyDescent="0.35">
      <c r="A26" s="8">
        <f t="shared" si="6"/>
        <v>45351</v>
      </c>
      <c r="B26" s="9">
        <f t="shared" si="0"/>
        <v>49.1</v>
      </c>
      <c r="C26" s="9">
        <f t="shared" si="7"/>
        <v>2.4</v>
      </c>
      <c r="D26" s="9">
        <f t="shared" si="1"/>
        <v>40.1</v>
      </c>
      <c r="E26" s="1">
        <v>0</v>
      </c>
      <c r="F26" s="1">
        <v>1</v>
      </c>
      <c r="G26" s="7">
        <v>0</v>
      </c>
      <c r="H26" s="7">
        <v>1</v>
      </c>
      <c r="I26" s="1">
        <f t="shared" si="8"/>
        <v>1</v>
      </c>
      <c r="J26" s="1">
        <f t="shared" si="9"/>
        <v>0</v>
      </c>
      <c r="K26" s="1">
        <f t="shared" si="10"/>
        <v>0</v>
      </c>
      <c r="L26" s="1">
        <f t="shared" si="11"/>
        <v>0</v>
      </c>
      <c r="M26" s="1">
        <f t="shared" si="2"/>
        <v>1</v>
      </c>
      <c r="N26" s="1">
        <f t="shared" si="12"/>
        <v>0</v>
      </c>
      <c r="O26" s="1" t="str">
        <f t="shared" si="3"/>
        <v>主动去库存</v>
      </c>
      <c r="P26" s="1" t="str">
        <f t="shared" si="4"/>
        <v>产能周期上行</v>
      </c>
      <c r="Q26" s="2" t="str">
        <f t="shared" si="5"/>
        <v>产能周期上行,主动去库存</v>
      </c>
      <c r="S26" s="12">
        <v>39051</v>
      </c>
      <c r="T26" s="13">
        <v>55.3</v>
      </c>
      <c r="V26" s="12">
        <v>45291</v>
      </c>
      <c r="W26" s="13">
        <v>2.1</v>
      </c>
      <c r="Y26" s="12">
        <v>35795</v>
      </c>
      <c r="Z26" s="13">
        <v>31.6</v>
      </c>
    </row>
    <row r="27" spans="1:26" x14ac:dyDescent="0.35">
      <c r="A27" s="8">
        <f t="shared" si="6"/>
        <v>45322</v>
      </c>
      <c r="B27" s="9">
        <f t="shared" si="0"/>
        <v>49.2</v>
      </c>
      <c r="C27" s="9" t="e">
        <f t="shared" si="7"/>
        <v>#N/A</v>
      </c>
      <c r="D27" s="9">
        <f t="shared" si="1"/>
        <v>40.1</v>
      </c>
      <c r="E27" s="1">
        <v>0</v>
      </c>
      <c r="F27" s="1">
        <v>1</v>
      </c>
      <c r="G27" s="7">
        <v>0</v>
      </c>
      <c r="H27" s="7">
        <v>1</v>
      </c>
      <c r="I27" s="1">
        <f t="shared" si="8"/>
        <v>1</v>
      </c>
      <c r="J27" s="1">
        <f t="shared" si="9"/>
        <v>0</v>
      </c>
      <c r="K27" s="1">
        <f t="shared" si="10"/>
        <v>0</v>
      </c>
      <c r="L27" s="1">
        <f t="shared" si="11"/>
        <v>0</v>
      </c>
      <c r="M27" s="1">
        <f t="shared" si="2"/>
        <v>1</v>
      </c>
      <c r="N27" s="1">
        <f t="shared" si="12"/>
        <v>0</v>
      </c>
      <c r="O27" s="1" t="str">
        <f t="shared" si="3"/>
        <v>主动去库存</v>
      </c>
      <c r="P27" s="1" t="str">
        <f t="shared" si="4"/>
        <v>产能周期上行</v>
      </c>
      <c r="Q27" s="2" t="str">
        <f t="shared" si="5"/>
        <v>产能周期上行,主动去库存</v>
      </c>
      <c r="S27" s="12">
        <v>39082</v>
      </c>
      <c r="T27" s="13">
        <v>54.8</v>
      </c>
      <c r="V27" s="12">
        <v>45260</v>
      </c>
      <c r="W27" s="13">
        <v>1.7</v>
      </c>
      <c r="Y27" s="12">
        <v>35885</v>
      </c>
      <c r="Z27" s="13">
        <v>30.55</v>
      </c>
    </row>
    <row r="28" spans="1:26" x14ac:dyDescent="0.35">
      <c r="A28" s="8">
        <f t="shared" si="6"/>
        <v>45291</v>
      </c>
      <c r="B28" s="9">
        <f t="shared" si="0"/>
        <v>49</v>
      </c>
      <c r="C28" s="9">
        <f t="shared" si="7"/>
        <v>2.1</v>
      </c>
      <c r="D28" s="9">
        <f t="shared" si="1"/>
        <v>40.1</v>
      </c>
      <c r="E28" s="1">
        <v>0</v>
      </c>
      <c r="F28" s="1">
        <v>1</v>
      </c>
      <c r="G28" s="7">
        <v>0</v>
      </c>
      <c r="H28" s="7">
        <v>1</v>
      </c>
      <c r="I28" s="1">
        <f t="shared" si="8"/>
        <v>1</v>
      </c>
      <c r="J28" s="1">
        <f t="shared" si="9"/>
        <v>0</v>
      </c>
      <c r="K28" s="1">
        <f t="shared" si="10"/>
        <v>0</v>
      </c>
      <c r="L28" s="1">
        <f t="shared" si="11"/>
        <v>0</v>
      </c>
      <c r="M28" s="1">
        <f t="shared" si="2"/>
        <v>1</v>
      </c>
      <c r="N28" s="1">
        <f t="shared" si="12"/>
        <v>0</v>
      </c>
      <c r="O28" s="1" t="str">
        <f t="shared" si="3"/>
        <v>主动去库存</v>
      </c>
      <c r="P28" s="1" t="str">
        <f t="shared" si="4"/>
        <v>产能周期上行</v>
      </c>
      <c r="Q28" s="2" t="str">
        <f t="shared" si="5"/>
        <v>产能周期上行,主动去库存</v>
      </c>
      <c r="S28" s="12">
        <v>39113</v>
      </c>
      <c r="T28" s="13">
        <v>55.1</v>
      </c>
      <c r="V28" s="12">
        <v>45230</v>
      </c>
      <c r="W28" s="13">
        <v>2</v>
      </c>
      <c r="Y28" s="12">
        <v>35976</v>
      </c>
      <c r="Z28" s="13">
        <v>31.2</v>
      </c>
    </row>
    <row r="29" spans="1:26" x14ac:dyDescent="0.35">
      <c r="A29" s="8">
        <f t="shared" si="6"/>
        <v>45260</v>
      </c>
      <c r="B29" s="9">
        <f t="shared" si="0"/>
        <v>49.4</v>
      </c>
      <c r="C29" s="9">
        <f t="shared" si="7"/>
        <v>1.7</v>
      </c>
      <c r="D29" s="9">
        <f t="shared" si="1"/>
        <v>38.799999999999997</v>
      </c>
      <c r="E29" s="1">
        <v>0</v>
      </c>
      <c r="F29" s="1">
        <v>1</v>
      </c>
      <c r="G29" s="7">
        <v>0</v>
      </c>
      <c r="H29" s="7">
        <v>1</v>
      </c>
      <c r="I29" s="1">
        <f t="shared" si="8"/>
        <v>1</v>
      </c>
      <c r="J29" s="1">
        <f t="shared" si="9"/>
        <v>0</v>
      </c>
      <c r="K29" s="1">
        <f t="shared" si="10"/>
        <v>0</v>
      </c>
      <c r="L29" s="1">
        <f t="shared" si="11"/>
        <v>0</v>
      </c>
      <c r="M29" s="1">
        <f t="shared" si="2"/>
        <v>0</v>
      </c>
      <c r="N29" s="1">
        <f t="shared" si="12"/>
        <v>1</v>
      </c>
      <c r="O29" s="1" t="str">
        <f t="shared" si="3"/>
        <v>主动去库存</v>
      </c>
      <c r="P29" s="1" t="str">
        <f t="shared" si="4"/>
        <v>产能周期下行</v>
      </c>
      <c r="Q29" s="2" t="str">
        <f t="shared" si="5"/>
        <v>产能周期下行,主动去库存</v>
      </c>
      <c r="S29" s="12">
        <v>39141</v>
      </c>
      <c r="T29" s="13">
        <v>53.1</v>
      </c>
      <c r="V29" s="12">
        <v>45199</v>
      </c>
      <c r="W29" s="13">
        <v>3.1</v>
      </c>
      <c r="Y29" s="12">
        <v>36068</v>
      </c>
      <c r="Z29" s="13">
        <v>31.3</v>
      </c>
    </row>
    <row r="30" spans="1:26" x14ac:dyDescent="0.35">
      <c r="A30" s="8">
        <f t="shared" si="6"/>
        <v>45230</v>
      </c>
      <c r="B30" s="9">
        <f t="shared" si="0"/>
        <v>49.5</v>
      </c>
      <c r="C30" s="9">
        <f t="shared" si="7"/>
        <v>2</v>
      </c>
      <c r="D30" s="9">
        <f t="shared" si="1"/>
        <v>38.799999999999997</v>
      </c>
      <c r="E30" s="1">
        <v>0</v>
      </c>
      <c r="F30" s="1">
        <v>1</v>
      </c>
      <c r="G30" s="7">
        <v>0</v>
      </c>
      <c r="H30" s="7">
        <v>1</v>
      </c>
      <c r="I30" s="1">
        <f t="shared" si="8"/>
        <v>1</v>
      </c>
      <c r="J30" s="1">
        <f t="shared" si="9"/>
        <v>0</v>
      </c>
      <c r="K30" s="1">
        <f t="shared" si="10"/>
        <v>0</v>
      </c>
      <c r="L30" s="1">
        <f t="shared" si="11"/>
        <v>0</v>
      </c>
      <c r="M30" s="1">
        <f t="shared" si="2"/>
        <v>0</v>
      </c>
      <c r="N30" s="1">
        <f t="shared" si="12"/>
        <v>1</v>
      </c>
      <c r="O30" s="1" t="str">
        <f t="shared" si="3"/>
        <v>主动去库存</v>
      </c>
      <c r="P30" s="1" t="str">
        <f t="shared" si="4"/>
        <v>产能周期下行</v>
      </c>
      <c r="Q30" s="2" t="str">
        <f t="shared" si="5"/>
        <v>产能周期下行,主动去库存</v>
      </c>
      <c r="S30" s="12">
        <v>39172</v>
      </c>
      <c r="T30" s="13">
        <v>56.1</v>
      </c>
      <c r="V30" s="12">
        <v>45169</v>
      </c>
      <c r="W30" s="13">
        <v>2.4</v>
      </c>
      <c r="Y30" s="12">
        <v>36160</v>
      </c>
      <c r="Z30" s="13">
        <v>32.5</v>
      </c>
    </row>
    <row r="31" spans="1:26" x14ac:dyDescent="0.35">
      <c r="A31" s="8">
        <f t="shared" si="6"/>
        <v>45199</v>
      </c>
      <c r="B31" s="9">
        <f t="shared" si="0"/>
        <v>50.2</v>
      </c>
      <c r="C31" s="9">
        <f t="shared" si="7"/>
        <v>3.1</v>
      </c>
      <c r="D31" s="9">
        <f t="shared" si="1"/>
        <v>38.799999999999997</v>
      </c>
      <c r="E31" s="1">
        <v>1</v>
      </c>
      <c r="F31" s="1">
        <v>0</v>
      </c>
      <c r="G31" s="7">
        <v>0</v>
      </c>
      <c r="H31" s="7">
        <v>1</v>
      </c>
      <c r="I31" s="1">
        <f t="shared" si="8"/>
        <v>0</v>
      </c>
      <c r="J31" s="1">
        <f t="shared" si="9"/>
        <v>1</v>
      </c>
      <c r="K31" s="1">
        <f t="shared" si="10"/>
        <v>0</v>
      </c>
      <c r="L31" s="1">
        <f t="shared" si="11"/>
        <v>0</v>
      </c>
      <c r="M31" s="1">
        <f t="shared" si="2"/>
        <v>0</v>
      </c>
      <c r="N31" s="1">
        <f t="shared" si="12"/>
        <v>1</v>
      </c>
      <c r="O31" s="1" t="str">
        <f t="shared" si="3"/>
        <v>被动补库存</v>
      </c>
      <c r="P31" s="1" t="str">
        <f t="shared" si="4"/>
        <v>产能周期下行</v>
      </c>
      <c r="Q31" s="2" t="str">
        <f t="shared" si="5"/>
        <v>产能周期下行,被动补库存</v>
      </c>
      <c r="S31" s="12">
        <v>39202</v>
      </c>
      <c r="T31" s="13">
        <v>58.6</v>
      </c>
      <c r="V31" s="12">
        <v>45138</v>
      </c>
      <c r="W31" s="13">
        <v>1.6</v>
      </c>
      <c r="Y31" s="12">
        <v>36250</v>
      </c>
      <c r="Z31" s="13">
        <v>32.6</v>
      </c>
    </row>
    <row r="32" spans="1:26" x14ac:dyDescent="0.35">
      <c r="A32" s="8">
        <f t="shared" si="6"/>
        <v>45169</v>
      </c>
      <c r="B32" s="9">
        <f t="shared" si="0"/>
        <v>49.7</v>
      </c>
      <c r="C32" s="9">
        <f t="shared" si="7"/>
        <v>2.4</v>
      </c>
      <c r="D32" s="9">
        <f t="shared" si="1"/>
        <v>38.9</v>
      </c>
      <c r="E32" s="1">
        <v>1</v>
      </c>
      <c r="F32" s="1">
        <v>0</v>
      </c>
      <c r="G32" s="7">
        <v>0</v>
      </c>
      <c r="H32" s="7">
        <v>1</v>
      </c>
      <c r="I32" s="1">
        <f t="shared" si="8"/>
        <v>0</v>
      </c>
      <c r="J32" s="1">
        <f t="shared" si="9"/>
        <v>1</v>
      </c>
      <c r="K32" s="1">
        <f t="shared" si="10"/>
        <v>0</v>
      </c>
      <c r="L32" s="1">
        <f t="shared" si="11"/>
        <v>0</v>
      </c>
      <c r="M32" s="1">
        <f t="shared" si="2"/>
        <v>1</v>
      </c>
      <c r="N32" s="1">
        <f t="shared" si="12"/>
        <v>0</v>
      </c>
      <c r="O32" s="1" t="str">
        <f t="shared" si="3"/>
        <v>被动补库存</v>
      </c>
      <c r="P32" s="1" t="str">
        <f t="shared" si="4"/>
        <v>产能周期上行</v>
      </c>
      <c r="Q32" s="2" t="str">
        <f t="shared" si="5"/>
        <v>产能周期上行,被动补库存</v>
      </c>
      <c r="S32" s="12">
        <v>39233</v>
      </c>
      <c r="T32" s="13">
        <v>55.7</v>
      </c>
      <c r="V32" s="12">
        <v>45107</v>
      </c>
      <c r="W32" s="13">
        <v>2.2000000000000002</v>
      </c>
      <c r="Y32" s="12">
        <v>36341</v>
      </c>
      <c r="Z32" s="13">
        <v>33.700000000000003</v>
      </c>
    </row>
    <row r="33" spans="1:26" x14ac:dyDescent="0.35">
      <c r="A33" s="8">
        <f t="shared" si="6"/>
        <v>45138</v>
      </c>
      <c r="B33" s="9">
        <f t="shared" si="0"/>
        <v>49.3</v>
      </c>
      <c r="C33" s="9">
        <f t="shared" si="7"/>
        <v>1.6</v>
      </c>
      <c r="D33" s="9">
        <f t="shared" si="1"/>
        <v>38.9</v>
      </c>
      <c r="E33" s="1">
        <v>1</v>
      </c>
      <c r="F33" s="1">
        <v>0</v>
      </c>
      <c r="G33" s="7">
        <v>0</v>
      </c>
      <c r="H33" s="7">
        <v>1</v>
      </c>
      <c r="I33" s="1">
        <f t="shared" si="8"/>
        <v>0</v>
      </c>
      <c r="J33" s="1">
        <f t="shared" si="9"/>
        <v>1</v>
      </c>
      <c r="K33" s="1">
        <f t="shared" si="10"/>
        <v>0</v>
      </c>
      <c r="L33" s="1">
        <f t="shared" si="11"/>
        <v>0</v>
      </c>
      <c r="M33" s="1">
        <f t="shared" si="2"/>
        <v>1</v>
      </c>
      <c r="N33" s="1">
        <f t="shared" si="12"/>
        <v>0</v>
      </c>
      <c r="O33" s="1" t="str">
        <f t="shared" si="3"/>
        <v>被动补库存</v>
      </c>
      <c r="P33" s="1" t="str">
        <f t="shared" si="4"/>
        <v>产能周期上行</v>
      </c>
      <c r="Q33" s="2" t="str">
        <f t="shared" si="5"/>
        <v>产能周期上行,被动补库存</v>
      </c>
      <c r="S33" s="12">
        <v>39263</v>
      </c>
      <c r="T33" s="13">
        <v>54.5</v>
      </c>
      <c r="V33" s="12">
        <v>45077</v>
      </c>
      <c r="W33" s="13">
        <v>3.2</v>
      </c>
      <c r="Y33" s="12">
        <v>36433</v>
      </c>
      <c r="Z33" s="13">
        <v>32.75</v>
      </c>
    </row>
    <row r="34" spans="1:26" x14ac:dyDescent="0.35">
      <c r="A34" s="8">
        <f t="shared" si="6"/>
        <v>45107</v>
      </c>
      <c r="B34" s="9">
        <f t="shared" si="0"/>
        <v>49</v>
      </c>
      <c r="C34" s="9">
        <f t="shared" si="7"/>
        <v>2.2000000000000002</v>
      </c>
      <c r="D34" s="9">
        <f t="shared" si="1"/>
        <v>38.9</v>
      </c>
      <c r="E34" s="1">
        <v>1</v>
      </c>
      <c r="F34" s="1">
        <v>0</v>
      </c>
      <c r="G34" s="7">
        <v>0</v>
      </c>
      <c r="H34" s="7">
        <v>1</v>
      </c>
      <c r="I34" s="1">
        <f t="shared" si="8"/>
        <v>0</v>
      </c>
      <c r="J34" s="1">
        <f t="shared" si="9"/>
        <v>1</v>
      </c>
      <c r="K34" s="1">
        <f t="shared" si="10"/>
        <v>0</v>
      </c>
      <c r="L34" s="1">
        <f t="shared" si="11"/>
        <v>0</v>
      </c>
      <c r="M34" s="1">
        <f t="shared" si="2"/>
        <v>1</v>
      </c>
      <c r="N34" s="1">
        <f t="shared" si="12"/>
        <v>0</v>
      </c>
      <c r="O34" s="1" t="str">
        <f t="shared" si="3"/>
        <v>被动补库存</v>
      </c>
      <c r="P34" s="1" t="str">
        <f t="shared" si="4"/>
        <v>产能周期上行</v>
      </c>
      <c r="Q34" s="2" t="str">
        <f t="shared" si="5"/>
        <v>产能周期上行,被动补库存</v>
      </c>
      <c r="S34" s="12">
        <v>39294</v>
      </c>
      <c r="T34" s="13">
        <v>53.3</v>
      </c>
      <c r="V34" s="12">
        <v>45046</v>
      </c>
      <c r="W34" s="13">
        <v>5.9</v>
      </c>
      <c r="Y34" s="12">
        <v>36525</v>
      </c>
      <c r="Z34" s="13">
        <v>33.9</v>
      </c>
    </row>
    <row r="35" spans="1:26" x14ac:dyDescent="0.35">
      <c r="A35" s="8">
        <f t="shared" si="6"/>
        <v>45077</v>
      </c>
      <c r="B35" s="9">
        <f t="shared" si="0"/>
        <v>48.8</v>
      </c>
      <c r="C35" s="9">
        <f t="shared" si="7"/>
        <v>3.2</v>
      </c>
      <c r="D35" s="9">
        <f t="shared" si="1"/>
        <v>37.700000000000003</v>
      </c>
      <c r="E35" s="1">
        <v>1</v>
      </c>
      <c r="F35" s="1">
        <v>0</v>
      </c>
      <c r="G35" s="7">
        <v>0</v>
      </c>
      <c r="H35" s="7">
        <v>1</v>
      </c>
      <c r="I35" s="1">
        <f t="shared" si="8"/>
        <v>0</v>
      </c>
      <c r="J35" s="1">
        <f t="shared" si="9"/>
        <v>1</v>
      </c>
      <c r="K35" s="1">
        <f t="shared" si="10"/>
        <v>0</v>
      </c>
      <c r="L35" s="1">
        <f t="shared" si="11"/>
        <v>0</v>
      </c>
      <c r="M35" s="1">
        <f t="shared" si="2"/>
        <v>1</v>
      </c>
      <c r="N35" s="1">
        <f t="shared" si="12"/>
        <v>0</v>
      </c>
      <c r="O35" s="1" t="str">
        <f t="shared" si="3"/>
        <v>被动补库存</v>
      </c>
      <c r="P35" s="1" t="str">
        <f t="shared" si="4"/>
        <v>产能周期上行</v>
      </c>
      <c r="Q35" s="2" t="str">
        <f t="shared" si="5"/>
        <v>产能周期上行,被动补库存</v>
      </c>
      <c r="S35" s="12">
        <v>39325</v>
      </c>
      <c r="T35" s="13">
        <v>54</v>
      </c>
      <c r="V35" s="12">
        <v>45016</v>
      </c>
      <c r="W35" s="13">
        <v>9.1</v>
      </c>
      <c r="Y35" s="12">
        <v>36616</v>
      </c>
      <c r="Z35" s="13">
        <v>32.65</v>
      </c>
    </row>
    <row r="36" spans="1:26" x14ac:dyDescent="0.35">
      <c r="A36" s="8">
        <f t="shared" si="6"/>
        <v>45046</v>
      </c>
      <c r="B36" s="10">
        <f t="shared" si="0"/>
        <v>49.2</v>
      </c>
      <c r="C36" s="9">
        <f t="shared" si="7"/>
        <v>5.9</v>
      </c>
      <c r="D36" s="9">
        <f t="shared" si="1"/>
        <v>37.700000000000003</v>
      </c>
      <c r="E36" s="1">
        <v>1</v>
      </c>
      <c r="F36" s="1">
        <v>0</v>
      </c>
      <c r="G36" s="7">
        <v>0</v>
      </c>
      <c r="H36" s="7">
        <v>1</v>
      </c>
      <c r="I36" s="1">
        <f t="shared" si="8"/>
        <v>0</v>
      </c>
      <c r="J36" s="1">
        <f t="shared" si="9"/>
        <v>1</v>
      </c>
      <c r="K36" s="1">
        <f t="shared" si="10"/>
        <v>0</v>
      </c>
      <c r="L36" s="1">
        <f t="shared" si="11"/>
        <v>0</v>
      </c>
      <c r="M36" s="1">
        <f t="shared" si="2"/>
        <v>1</v>
      </c>
      <c r="N36" s="1">
        <f t="shared" si="12"/>
        <v>0</v>
      </c>
      <c r="O36" s="1" t="str">
        <f t="shared" si="3"/>
        <v>被动补库存</v>
      </c>
      <c r="P36" s="1" t="str">
        <f t="shared" si="4"/>
        <v>产能周期上行</v>
      </c>
      <c r="Q36" s="2" t="str">
        <f t="shared" si="5"/>
        <v>产能周期上行,被动补库存</v>
      </c>
      <c r="S36" s="12">
        <v>39355</v>
      </c>
      <c r="T36" s="13">
        <v>56.1</v>
      </c>
      <c r="V36" s="12">
        <v>44985</v>
      </c>
      <c r="W36" s="13">
        <v>10.7</v>
      </c>
      <c r="Y36" s="12">
        <v>36707</v>
      </c>
      <c r="Z36" s="13">
        <v>34.6</v>
      </c>
    </row>
    <row r="37" spans="1:26" x14ac:dyDescent="0.35">
      <c r="A37" s="8">
        <f t="shared" si="6"/>
        <v>45016</v>
      </c>
      <c r="B37" s="9">
        <f t="shared" si="0"/>
        <v>51.9</v>
      </c>
      <c r="C37" s="9">
        <f t="shared" si="7"/>
        <v>9.1</v>
      </c>
      <c r="D37" s="9">
        <f t="shared" si="1"/>
        <v>37.700000000000003</v>
      </c>
      <c r="E37" s="1">
        <v>1</v>
      </c>
      <c r="F37" s="1">
        <v>0</v>
      </c>
      <c r="G37" s="7">
        <v>0</v>
      </c>
      <c r="H37" s="7">
        <v>1</v>
      </c>
      <c r="I37" s="1">
        <f t="shared" si="8"/>
        <v>0</v>
      </c>
      <c r="J37" s="1">
        <f t="shared" si="9"/>
        <v>1</v>
      </c>
      <c r="K37" s="1">
        <f t="shared" si="10"/>
        <v>0</v>
      </c>
      <c r="L37" s="1">
        <f t="shared" si="11"/>
        <v>0</v>
      </c>
      <c r="M37" s="1">
        <f t="shared" si="2"/>
        <v>1</v>
      </c>
      <c r="N37" s="1">
        <f t="shared" si="12"/>
        <v>0</v>
      </c>
      <c r="O37" s="1" t="str">
        <f t="shared" si="3"/>
        <v>被动补库存</v>
      </c>
      <c r="P37" s="1" t="str">
        <f t="shared" si="4"/>
        <v>产能周期上行</v>
      </c>
      <c r="Q37" s="2" t="str">
        <f t="shared" si="5"/>
        <v>产能周期上行,被动补库存</v>
      </c>
      <c r="S37" s="12">
        <v>39386</v>
      </c>
      <c r="T37" s="13">
        <v>53.2</v>
      </c>
      <c r="V37" s="12">
        <v>44926</v>
      </c>
      <c r="W37" s="13">
        <v>9.9</v>
      </c>
      <c r="Y37" s="12">
        <v>36799</v>
      </c>
      <c r="Z37" s="13">
        <v>35.549999999999997</v>
      </c>
    </row>
    <row r="38" spans="1:26" x14ac:dyDescent="0.35">
      <c r="A38" s="8">
        <f t="shared" si="6"/>
        <v>44985</v>
      </c>
      <c r="B38" s="9">
        <f t="shared" si="0"/>
        <v>52.6</v>
      </c>
      <c r="C38" s="9">
        <f t="shared" si="7"/>
        <v>10.7</v>
      </c>
      <c r="D38" s="9">
        <f t="shared" si="1"/>
        <v>36.4</v>
      </c>
      <c r="E38" s="1">
        <v>1</v>
      </c>
      <c r="F38" s="1">
        <v>0</v>
      </c>
      <c r="G38" s="7">
        <v>0</v>
      </c>
      <c r="H38" s="7">
        <v>1</v>
      </c>
      <c r="I38" s="1">
        <f t="shared" si="8"/>
        <v>0</v>
      </c>
      <c r="J38" s="1">
        <f t="shared" si="9"/>
        <v>1</v>
      </c>
      <c r="K38" s="1">
        <f t="shared" si="10"/>
        <v>0</v>
      </c>
      <c r="L38" s="1">
        <f t="shared" si="11"/>
        <v>0</v>
      </c>
      <c r="M38" s="1">
        <f t="shared" si="2"/>
        <v>0</v>
      </c>
      <c r="N38" s="1">
        <f t="shared" si="12"/>
        <v>1</v>
      </c>
      <c r="O38" s="1" t="str">
        <f t="shared" si="3"/>
        <v>被动补库存</v>
      </c>
      <c r="P38" s="1" t="str">
        <f t="shared" si="4"/>
        <v>产能周期下行</v>
      </c>
      <c r="Q38" s="2" t="str">
        <f t="shared" si="5"/>
        <v>产能周期下行,被动补库存</v>
      </c>
      <c r="S38" s="12">
        <v>39416</v>
      </c>
      <c r="T38" s="13">
        <v>55.4</v>
      </c>
      <c r="V38" s="12">
        <v>44895</v>
      </c>
      <c r="W38" s="13">
        <v>11.4</v>
      </c>
      <c r="Y38" s="12">
        <v>36891</v>
      </c>
      <c r="Z38" s="13">
        <v>36.15</v>
      </c>
    </row>
    <row r="39" spans="1:26" x14ac:dyDescent="0.35">
      <c r="A39" s="8">
        <f t="shared" si="6"/>
        <v>44957</v>
      </c>
      <c r="B39" s="9">
        <f t="shared" si="0"/>
        <v>50.1</v>
      </c>
      <c r="C39" s="9" t="e">
        <f t="shared" si="7"/>
        <v>#N/A</v>
      </c>
      <c r="D39" s="9">
        <f t="shared" si="1"/>
        <v>36.4</v>
      </c>
      <c r="E39" s="1">
        <v>1</v>
      </c>
      <c r="F39" s="1">
        <v>0</v>
      </c>
      <c r="G39" s="7">
        <v>0</v>
      </c>
      <c r="H39" s="7">
        <v>1</v>
      </c>
      <c r="I39" s="1">
        <f t="shared" si="8"/>
        <v>0</v>
      </c>
      <c r="J39" s="1">
        <f t="shared" si="9"/>
        <v>1</v>
      </c>
      <c r="K39" s="1">
        <f t="shared" si="10"/>
        <v>0</v>
      </c>
      <c r="L39" s="1">
        <f t="shared" si="11"/>
        <v>0</v>
      </c>
      <c r="M39" s="1">
        <f t="shared" si="2"/>
        <v>0</v>
      </c>
      <c r="N39" s="1">
        <f t="shared" si="12"/>
        <v>1</v>
      </c>
      <c r="O39" s="1" t="str">
        <f t="shared" si="3"/>
        <v>被动补库存</v>
      </c>
      <c r="P39" s="1" t="str">
        <f t="shared" si="4"/>
        <v>产能周期下行</v>
      </c>
      <c r="Q39" s="2" t="str">
        <f t="shared" si="5"/>
        <v>产能周期下行,被动补库存</v>
      </c>
      <c r="S39" s="12">
        <v>39447</v>
      </c>
      <c r="T39" s="13">
        <v>55.3</v>
      </c>
      <c r="V39" s="12">
        <v>44865</v>
      </c>
      <c r="W39" s="13">
        <v>12.6</v>
      </c>
      <c r="Y39" s="12">
        <v>36981</v>
      </c>
      <c r="Z39" s="13">
        <v>36.15</v>
      </c>
    </row>
    <row r="40" spans="1:26" x14ac:dyDescent="0.35">
      <c r="A40" s="8">
        <f t="shared" si="6"/>
        <v>44926</v>
      </c>
      <c r="B40" s="9">
        <f t="shared" si="0"/>
        <v>47</v>
      </c>
      <c r="C40" s="9">
        <f t="shared" si="7"/>
        <v>9.9</v>
      </c>
      <c r="D40" s="9">
        <f t="shared" si="1"/>
        <v>36.4</v>
      </c>
      <c r="E40" s="1">
        <v>1</v>
      </c>
      <c r="F40" s="1">
        <v>0</v>
      </c>
      <c r="G40" s="7">
        <v>0</v>
      </c>
      <c r="H40" s="7">
        <v>1</v>
      </c>
      <c r="I40" s="1">
        <f t="shared" si="8"/>
        <v>0</v>
      </c>
      <c r="J40" s="1">
        <f t="shared" si="9"/>
        <v>1</v>
      </c>
      <c r="K40" s="1">
        <f t="shared" si="10"/>
        <v>0</v>
      </c>
      <c r="L40" s="1">
        <f t="shared" si="11"/>
        <v>0</v>
      </c>
      <c r="M40" s="1">
        <f t="shared" si="2"/>
        <v>0</v>
      </c>
      <c r="N40" s="1">
        <f t="shared" si="12"/>
        <v>1</v>
      </c>
      <c r="O40" s="1" t="str">
        <f t="shared" si="3"/>
        <v>被动补库存</v>
      </c>
      <c r="P40" s="1" t="str">
        <f t="shared" si="4"/>
        <v>产能周期下行</v>
      </c>
      <c r="Q40" s="2" t="str">
        <f t="shared" si="5"/>
        <v>产能周期下行,被动补库存</v>
      </c>
      <c r="S40" s="12">
        <v>39478</v>
      </c>
      <c r="T40" s="13">
        <v>53</v>
      </c>
      <c r="V40" s="12">
        <v>44834</v>
      </c>
      <c r="W40" s="13">
        <v>13.8</v>
      </c>
      <c r="Y40" s="12">
        <v>37072</v>
      </c>
      <c r="Z40" s="13">
        <v>37.15</v>
      </c>
    </row>
    <row r="41" spans="1:26" x14ac:dyDescent="0.35">
      <c r="A41" s="8">
        <f t="shared" si="6"/>
        <v>44895</v>
      </c>
      <c r="B41" s="9">
        <f t="shared" si="0"/>
        <v>48</v>
      </c>
      <c r="C41" s="9">
        <f t="shared" si="7"/>
        <v>11.4</v>
      </c>
      <c r="D41" s="9">
        <f t="shared" si="1"/>
        <v>37.200000000000003</v>
      </c>
      <c r="E41" s="1">
        <v>1</v>
      </c>
      <c r="F41" s="1">
        <v>0</v>
      </c>
      <c r="G41" s="7">
        <v>0</v>
      </c>
      <c r="H41" s="7">
        <v>1</v>
      </c>
      <c r="I41" s="1">
        <f t="shared" si="8"/>
        <v>0</v>
      </c>
      <c r="J41" s="1">
        <f t="shared" si="9"/>
        <v>1</v>
      </c>
      <c r="K41" s="1">
        <f t="shared" si="10"/>
        <v>0</v>
      </c>
      <c r="L41" s="1">
        <f t="shared" si="11"/>
        <v>0</v>
      </c>
      <c r="M41" s="1">
        <f t="shared" si="2"/>
        <v>0</v>
      </c>
      <c r="N41" s="1">
        <f t="shared" si="12"/>
        <v>1</v>
      </c>
      <c r="O41" s="1" t="str">
        <f t="shared" si="3"/>
        <v>被动补库存</v>
      </c>
      <c r="P41" s="1" t="str">
        <f t="shared" si="4"/>
        <v>产能周期下行</v>
      </c>
      <c r="Q41" s="2" t="str">
        <f t="shared" si="5"/>
        <v>产能周期下行,被动补库存</v>
      </c>
      <c r="S41" s="12">
        <v>39507</v>
      </c>
      <c r="T41" s="13">
        <v>53.4</v>
      </c>
      <c r="V41" s="12">
        <v>44804</v>
      </c>
      <c r="W41" s="13">
        <v>14.1</v>
      </c>
      <c r="Y41" s="12">
        <v>37164</v>
      </c>
      <c r="Z41" s="13">
        <v>36.4</v>
      </c>
    </row>
    <row r="42" spans="1:26" x14ac:dyDescent="0.35">
      <c r="A42" s="8">
        <f t="shared" si="6"/>
        <v>44865</v>
      </c>
      <c r="B42" s="9">
        <f t="shared" si="0"/>
        <v>49.2</v>
      </c>
      <c r="C42" s="9">
        <f t="shared" si="7"/>
        <v>12.6</v>
      </c>
      <c r="D42" s="9">
        <f t="shared" si="1"/>
        <v>37.200000000000003</v>
      </c>
      <c r="E42" s="1">
        <v>1</v>
      </c>
      <c r="F42" s="1">
        <v>0</v>
      </c>
      <c r="G42" s="7">
        <v>0</v>
      </c>
      <c r="H42" s="7">
        <v>1</v>
      </c>
      <c r="I42" s="1">
        <f t="shared" si="8"/>
        <v>0</v>
      </c>
      <c r="J42" s="1">
        <f t="shared" si="9"/>
        <v>1</v>
      </c>
      <c r="K42" s="1">
        <f t="shared" si="10"/>
        <v>0</v>
      </c>
      <c r="L42" s="1">
        <f t="shared" si="11"/>
        <v>0</v>
      </c>
      <c r="M42" s="1">
        <f t="shared" si="2"/>
        <v>0</v>
      </c>
      <c r="N42" s="1">
        <f t="shared" si="12"/>
        <v>1</v>
      </c>
      <c r="O42" s="1" t="str">
        <f t="shared" si="3"/>
        <v>被动补库存</v>
      </c>
      <c r="P42" s="1" t="str">
        <f t="shared" si="4"/>
        <v>产能周期下行</v>
      </c>
      <c r="Q42" s="2" t="str">
        <f t="shared" si="5"/>
        <v>产能周期下行,被动补库存</v>
      </c>
      <c r="S42" s="12">
        <v>39538</v>
      </c>
      <c r="T42" s="13">
        <v>58.4</v>
      </c>
      <c r="V42" s="12">
        <v>44773</v>
      </c>
      <c r="W42" s="13">
        <v>16.8</v>
      </c>
      <c r="Y42" s="12">
        <v>37256</v>
      </c>
      <c r="Z42" s="13">
        <v>36.85</v>
      </c>
    </row>
    <row r="43" spans="1:26" x14ac:dyDescent="0.35">
      <c r="A43" s="8">
        <f t="shared" si="6"/>
        <v>44834</v>
      </c>
      <c r="B43" s="9">
        <f t="shared" si="0"/>
        <v>50.1</v>
      </c>
      <c r="C43" s="9">
        <f t="shared" si="7"/>
        <v>13.8</v>
      </c>
      <c r="D43" s="9">
        <f t="shared" si="1"/>
        <v>37.200000000000003</v>
      </c>
      <c r="E43" s="1">
        <v>1</v>
      </c>
      <c r="F43" s="1">
        <v>0</v>
      </c>
      <c r="G43" s="7">
        <v>0</v>
      </c>
      <c r="H43" s="7">
        <v>1</v>
      </c>
      <c r="I43" s="1">
        <f t="shared" si="8"/>
        <v>0</v>
      </c>
      <c r="J43" s="1">
        <f t="shared" si="9"/>
        <v>1</v>
      </c>
      <c r="K43" s="1">
        <f t="shared" si="10"/>
        <v>0</v>
      </c>
      <c r="L43" s="1">
        <f t="shared" si="11"/>
        <v>0</v>
      </c>
      <c r="M43" s="1">
        <f t="shared" si="2"/>
        <v>0</v>
      </c>
      <c r="N43" s="1">
        <f t="shared" si="12"/>
        <v>1</v>
      </c>
      <c r="O43" s="1" t="str">
        <f t="shared" si="3"/>
        <v>被动补库存</v>
      </c>
      <c r="P43" s="1" t="str">
        <f t="shared" si="4"/>
        <v>产能周期下行</v>
      </c>
      <c r="Q43" s="2" t="str">
        <f t="shared" si="5"/>
        <v>产能周期下行,被动补库存</v>
      </c>
      <c r="S43" s="12">
        <v>39568</v>
      </c>
      <c r="T43" s="13">
        <v>59.2</v>
      </c>
      <c r="V43" s="12">
        <v>44742</v>
      </c>
      <c r="W43" s="13">
        <v>18.899999999999999</v>
      </c>
      <c r="Y43" s="12">
        <v>37346</v>
      </c>
      <c r="Z43" s="13">
        <v>37.15</v>
      </c>
    </row>
    <row r="44" spans="1:26" x14ac:dyDescent="0.35">
      <c r="A44" s="8">
        <f t="shared" si="6"/>
        <v>44804</v>
      </c>
      <c r="B44" s="9">
        <f t="shared" si="0"/>
        <v>49.4</v>
      </c>
      <c r="C44" s="9">
        <f t="shared" si="7"/>
        <v>14.1</v>
      </c>
      <c r="D44" s="9">
        <f t="shared" si="1"/>
        <v>37.200000000000003</v>
      </c>
      <c r="E44" s="1">
        <v>1</v>
      </c>
      <c r="F44" s="1">
        <v>0</v>
      </c>
      <c r="G44" s="7">
        <v>1</v>
      </c>
      <c r="H44" s="7">
        <v>0</v>
      </c>
      <c r="I44" s="1">
        <f t="shared" si="8"/>
        <v>0</v>
      </c>
      <c r="J44" s="1">
        <f t="shared" si="9"/>
        <v>0</v>
      </c>
      <c r="K44" s="1">
        <f t="shared" si="10"/>
        <v>0</v>
      </c>
      <c r="L44" s="1">
        <f t="shared" si="11"/>
        <v>1</v>
      </c>
      <c r="M44" s="1">
        <f t="shared" si="2"/>
        <v>0</v>
      </c>
      <c r="N44" s="1">
        <f t="shared" si="12"/>
        <v>1</v>
      </c>
      <c r="O44" s="1" t="str">
        <f t="shared" si="3"/>
        <v>主动补库存</v>
      </c>
      <c r="P44" s="1" t="str">
        <f t="shared" si="4"/>
        <v>产能周期下行</v>
      </c>
      <c r="Q44" s="2" t="str">
        <f t="shared" si="5"/>
        <v>产能周期下行,主动补库存</v>
      </c>
      <c r="S44" s="12">
        <v>39599</v>
      </c>
      <c r="T44" s="13">
        <v>53.3</v>
      </c>
      <c r="V44" s="12">
        <v>44712</v>
      </c>
      <c r="W44" s="13">
        <v>19.7</v>
      </c>
      <c r="Y44" s="12">
        <v>37437</v>
      </c>
      <c r="Z44" s="13">
        <v>38.700000000000003</v>
      </c>
    </row>
    <row r="45" spans="1:26" x14ac:dyDescent="0.35">
      <c r="A45" s="8">
        <f t="shared" si="6"/>
        <v>44773</v>
      </c>
      <c r="B45" s="9">
        <f t="shared" si="0"/>
        <v>49</v>
      </c>
      <c r="C45" s="9">
        <f t="shared" si="7"/>
        <v>16.8</v>
      </c>
      <c r="D45" s="9">
        <f t="shared" si="1"/>
        <v>37.200000000000003</v>
      </c>
      <c r="E45" s="1">
        <v>1</v>
      </c>
      <c r="F45" s="1">
        <v>0</v>
      </c>
      <c r="G45" s="7">
        <v>1</v>
      </c>
      <c r="H45" s="7">
        <v>0</v>
      </c>
      <c r="I45" s="1">
        <f t="shared" si="8"/>
        <v>0</v>
      </c>
      <c r="J45" s="1">
        <f t="shared" si="9"/>
        <v>0</v>
      </c>
      <c r="K45" s="1">
        <f t="shared" si="10"/>
        <v>0</v>
      </c>
      <c r="L45" s="1">
        <f t="shared" si="11"/>
        <v>1</v>
      </c>
      <c r="M45" s="1">
        <f t="shared" si="2"/>
        <v>0</v>
      </c>
      <c r="N45" s="1">
        <f t="shared" si="12"/>
        <v>1</v>
      </c>
      <c r="O45" s="1" t="str">
        <f t="shared" si="3"/>
        <v>主动补库存</v>
      </c>
      <c r="P45" s="1" t="str">
        <f t="shared" si="4"/>
        <v>产能周期下行</v>
      </c>
      <c r="Q45" s="2" t="str">
        <f t="shared" si="5"/>
        <v>产能周期下行,主动补库存</v>
      </c>
      <c r="S45" s="12">
        <v>39629</v>
      </c>
      <c r="T45" s="13">
        <v>52</v>
      </c>
      <c r="V45" s="12">
        <v>44681</v>
      </c>
      <c r="W45" s="13">
        <v>20</v>
      </c>
      <c r="Y45" s="12">
        <v>37529</v>
      </c>
      <c r="Z45" s="13">
        <v>40.65</v>
      </c>
    </row>
    <row r="46" spans="1:26" x14ac:dyDescent="0.35">
      <c r="A46" s="8">
        <f t="shared" si="6"/>
        <v>44742</v>
      </c>
      <c r="B46" s="9">
        <f t="shared" si="0"/>
        <v>50.2</v>
      </c>
      <c r="C46" s="9">
        <f t="shared" si="7"/>
        <v>18.899999999999999</v>
      </c>
      <c r="D46" s="9">
        <f t="shared" si="1"/>
        <v>37.200000000000003</v>
      </c>
      <c r="E46" s="1">
        <v>1</v>
      </c>
      <c r="F46" s="1">
        <v>0</v>
      </c>
      <c r="G46" s="7">
        <v>1</v>
      </c>
      <c r="H46" s="7">
        <v>0</v>
      </c>
      <c r="I46" s="1">
        <f t="shared" si="8"/>
        <v>0</v>
      </c>
      <c r="J46" s="1">
        <f t="shared" si="9"/>
        <v>0</v>
      </c>
      <c r="K46" s="1">
        <f t="shared" si="10"/>
        <v>0</v>
      </c>
      <c r="L46" s="1">
        <f t="shared" si="11"/>
        <v>1</v>
      </c>
      <c r="M46" s="1">
        <f t="shared" si="2"/>
        <v>0</v>
      </c>
      <c r="N46" s="1">
        <f t="shared" si="12"/>
        <v>1</v>
      </c>
      <c r="O46" s="1" t="str">
        <f t="shared" si="3"/>
        <v>主动补库存</v>
      </c>
      <c r="P46" s="1" t="str">
        <f t="shared" si="4"/>
        <v>产能周期下行</v>
      </c>
      <c r="Q46" s="2" t="str">
        <f t="shared" si="5"/>
        <v>产能周期下行,主动补库存</v>
      </c>
      <c r="S46" s="12">
        <v>39660</v>
      </c>
      <c r="T46" s="13">
        <v>48.4</v>
      </c>
      <c r="V46" s="12">
        <v>44651</v>
      </c>
      <c r="W46" s="13">
        <v>18.100000000000001</v>
      </c>
      <c r="Y46" s="12">
        <v>37621</v>
      </c>
      <c r="Z46" s="13">
        <v>41.25</v>
      </c>
    </row>
    <row r="47" spans="1:26" x14ac:dyDescent="0.35">
      <c r="A47" s="8">
        <f t="shared" si="6"/>
        <v>44712</v>
      </c>
      <c r="B47" s="9">
        <f t="shared" si="0"/>
        <v>49.6</v>
      </c>
      <c r="C47" s="9">
        <f t="shared" si="7"/>
        <v>19.7</v>
      </c>
      <c r="D47" s="9">
        <f t="shared" si="1"/>
        <v>40.700000000000003</v>
      </c>
      <c r="E47" s="1">
        <v>1</v>
      </c>
      <c r="F47" s="1">
        <v>0</v>
      </c>
      <c r="G47" s="7">
        <v>1</v>
      </c>
      <c r="H47" s="7">
        <v>0</v>
      </c>
      <c r="I47" s="1">
        <f t="shared" si="8"/>
        <v>0</v>
      </c>
      <c r="J47" s="1">
        <f t="shared" si="9"/>
        <v>0</v>
      </c>
      <c r="K47" s="1">
        <f t="shared" si="10"/>
        <v>0</v>
      </c>
      <c r="L47" s="1">
        <f t="shared" si="11"/>
        <v>1</v>
      </c>
      <c r="M47" s="1">
        <f t="shared" si="2"/>
        <v>0</v>
      </c>
      <c r="N47" s="1">
        <f t="shared" si="12"/>
        <v>1</v>
      </c>
      <c r="O47" s="1" t="str">
        <f t="shared" si="3"/>
        <v>主动补库存</v>
      </c>
      <c r="P47" s="1" t="str">
        <f t="shared" si="4"/>
        <v>产能周期下行</v>
      </c>
      <c r="Q47" s="2" t="str">
        <f t="shared" si="5"/>
        <v>产能周期下行,主动补库存</v>
      </c>
      <c r="S47" s="12">
        <v>39691</v>
      </c>
      <c r="T47" s="13">
        <v>48.4</v>
      </c>
      <c r="V47" s="12">
        <v>44620</v>
      </c>
      <c r="W47" s="13">
        <v>16.8</v>
      </c>
      <c r="Y47" s="12">
        <v>37711</v>
      </c>
      <c r="Z47" s="13">
        <v>41.05</v>
      </c>
    </row>
    <row r="48" spans="1:26" x14ac:dyDescent="0.35">
      <c r="A48" s="8">
        <f t="shared" si="6"/>
        <v>44681</v>
      </c>
      <c r="B48" s="9">
        <f t="shared" si="0"/>
        <v>47.4</v>
      </c>
      <c r="C48" s="9">
        <f t="shared" si="7"/>
        <v>20</v>
      </c>
      <c r="D48" s="9">
        <f t="shared" si="1"/>
        <v>40.700000000000003</v>
      </c>
      <c r="E48" s="1">
        <v>1</v>
      </c>
      <c r="F48" s="1">
        <v>0</v>
      </c>
      <c r="G48" s="7">
        <v>1</v>
      </c>
      <c r="H48" s="7">
        <v>0</v>
      </c>
      <c r="I48" s="1">
        <f t="shared" si="8"/>
        <v>0</v>
      </c>
      <c r="J48" s="1">
        <f t="shared" si="9"/>
        <v>0</v>
      </c>
      <c r="K48" s="1">
        <f t="shared" si="10"/>
        <v>0</v>
      </c>
      <c r="L48" s="1">
        <f t="shared" si="11"/>
        <v>1</v>
      </c>
      <c r="M48" s="1">
        <f t="shared" si="2"/>
        <v>0</v>
      </c>
      <c r="N48" s="1">
        <f t="shared" si="12"/>
        <v>1</v>
      </c>
      <c r="O48" s="1" t="str">
        <f t="shared" si="3"/>
        <v>主动补库存</v>
      </c>
      <c r="P48" s="1" t="str">
        <f t="shared" si="4"/>
        <v>产能周期下行</v>
      </c>
      <c r="Q48" s="2" t="str">
        <f t="shared" si="5"/>
        <v>产能周期下行,主动补库存</v>
      </c>
      <c r="S48" s="12">
        <v>39721</v>
      </c>
      <c r="T48" s="13">
        <v>51.2</v>
      </c>
      <c r="V48" s="12">
        <v>44561</v>
      </c>
      <c r="W48" s="13">
        <v>17.100000000000001</v>
      </c>
      <c r="Y48" s="12">
        <v>37802</v>
      </c>
      <c r="Z48" s="13">
        <v>41.65</v>
      </c>
    </row>
    <row r="49" spans="1:26" x14ac:dyDescent="0.35">
      <c r="A49" s="8">
        <f t="shared" si="6"/>
        <v>44651</v>
      </c>
      <c r="B49" s="9">
        <f t="shared" si="0"/>
        <v>49.5</v>
      </c>
      <c r="C49" s="9">
        <f t="shared" si="7"/>
        <v>18.100000000000001</v>
      </c>
      <c r="D49" s="9">
        <f t="shared" si="1"/>
        <v>40.700000000000003</v>
      </c>
      <c r="E49" s="1">
        <v>1</v>
      </c>
      <c r="F49" s="1">
        <v>0</v>
      </c>
      <c r="G49" s="7">
        <v>1</v>
      </c>
      <c r="H49" s="7">
        <v>0</v>
      </c>
      <c r="I49" s="1">
        <f t="shared" si="8"/>
        <v>0</v>
      </c>
      <c r="J49" s="1">
        <f t="shared" si="9"/>
        <v>0</v>
      </c>
      <c r="K49" s="1">
        <f t="shared" si="10"/>
        <v>0</v>
      </c>
      <c r="L49" s="1">
        <f t="shared" si="11"/>
        <v>1</v>
      </c>
      <c r="M49" s="1">
        <f t="shared" si="2"/>
        <v>0</v>
      </c>
      <c r="N49" s="1">
        <f t="shared" si="12"/>
        <v>1</v>
      </c>
      <c r="O49" s="1" t="str">
        <f t="shared" si="3"/>
        <v>主动补库存</v>
      </c>
      <c r="P49" s="1" t="str">
        <f t="shared" si="4"/>
        <v>产能周期下行</v>
      </c>
      <c r="Q49" s="2" t="str">
        <f t="shared" si="5"/>
        <v>产能周期下行,主动补库存</v>
      </c>
      <c r="S49" s="12">
        <v>39752</v>
      </c>
      <c r="T49" s="13">
        <v>44.6</v>
      </c>
      <c r="V49" s="12">
        <v>44530</v>
      </c>
      <c r="W49" s="13">
        <v>17.899999999999999</v>
      </c>
      <c r="Y49" s="12">
        <v>37894</v>
      </c>
      <c r="Z49" s="13">
        <v>41.9</v>
      </c>
    </row>
    <row r="50" spans="1:26" x14ac:dyDescent="0.35">
      <c r="A50" s="8">
        <f t="shared" si="6"/>
        <v>44620</v>
      </c>
      <c r="B50" s="9">
        <f t="shared" si="0"/>
        <v>50.2</v>
      </c>
      <c r="C50" s="9">
        <f t="shared" si="7"/>
        <v>16.8</v>
      </c>
      <c r="D50" s="9">
        <f t="shared" si="1"/>
        <v>43.1</v>
      </c>
      <c r="E50" s="1">
        <v>1</v>
      </c>
      <c r="F50" s="1">
        <v>0</v>
      </c>
      <c r="G50" s="7">
        <v>1</v>
      </c>
      <c r="H50" s="7">
        <v>0</v>
      </c>
      <c r="I50" s="1">
        <f t="shared" si="8"/>
        <v>0</v>
      </c>
      <c r="J50" s="1">
        <f t="shared" si="9"/>
        <v>0</v>
      </c>
      <c r="K50" s="1">
        <f t="shared" si="10"/>
        <v>0</v>
      </c>
      <c r="L50" s="1">
        <f t="shared" si="11"/>
        <v>1</v>
      </c>
      <c r="M50" s="1">
        <f t="shared" si="2"/>
        <v>0</v>
      </c>
      <c r="N50" s="1">
        <f t="shared" si="12"/>
        <v>1</v>
      </c>
      <c r="O50" s="1" t="str">
        <f t="shared" si="3"/>
        <v>主动补库存</v>
      </c>
      <c r="P50" s="1" t="str">
        <f t="shared" si="4"/>
        <v>产能周期下行</v>
      </c>
      <c r="Q50" s="2" t="str">
        <f t="shared" si="5"/>
        <v>产能周期下行,主动补库存</v>
      </c>
      <c r="S50" s="12">
        <v>39782</v>
      </c>
      <c r="T50" s="13">
        <v>38.799999999999997</v>
      </c>
      <c r="V50" s="12">
        <v>44500</v>
      </c>
      <c r="W50" s="13">
        <v>16.3</v>
      </c>
      <c r="Y50" s="12">
        <v>37986</v>
      </c>
      <c r="Z50" s="13">
        <v>42.6</v>
      </c>
    </row>
    <row r="51" spans="1:26" x14ac:dyDescent="0.35">
      <c r="A51" s="8">
        <f t="shared" si="6"/>
        <v>44592</v>
      </c>
      <c r="B51" s="9">
        <f t="shared" si="0"/>
        <v>50.1</v>
      </c>
      <c r="C51" s="9" t="e">
        <f t="shared" si="7"/>
        <v>#N/A</v>
      </c>
      <c r="D51" s="9">
        <f t="shared" si="1"/>
        <v>43.1</v>
      </c>
      <c r="E51" s="1">
        <v>1</v>
      </c>
      <c r="F51" s="1">
        <v>0</v>
      </c>
      <c r="G51" s="7">
        <v>1</v>
      </c>
      <c r="H51" s="7">
        <v>0</v>
      </c>
      <c r="I51" s="1">
        <f t="shared" si="8"/>
        <v>0</v>
      </c>
      <c r="J51" s="1">
        <f t="shared" si="9"/>
        <v>0</v>
      </c>
      <c r="K51" s="1">
        <f t="shared" si="10"/>
        <v>0</v>
      </c>
      <c r="L51" s="1">
        <f t="shared" si="11"/>
        <v>1</v>
      </c>
      <c r="M51" s="1">
        <f t="shared" si="2"/>
        <v>0</v>
      </c>
      <c r="N51" s="1">
        <f t="shared" si="12"/>
        <v>1</v>
      </c>
      <c r="O51" s="1" t="str">
        <f t="shared" si="3"/>
        <v>主动补库存</v>
      </c>
      <c r="P51" s="1" t="str">
        <f t="shared" si="4"/>
        <v>产能周期下行</v>
      </c>
      <c r="Q51" s="2" t="str">
        <f t="shared" si="5"/>
        <v>产能周期下行,主动补库存</v>
      </c>
      <c r="S51" s="12">
        <v>39813</v>
      </c>
      <c r="T51" s="13">
        <v>41.2</v>
      </c>
      <c r="V51" s="12">
        <v>44469</v>
      </c>
      <c r="W51" s="13">
        <v>13.7</v>
      </c>
      <c r="Y51" s="12">
        <v>38077</v>
      </c>
      <c r="Z51" s="13">
        <v>41.5</v>
      </c>
    </row>
    <row r="52" spans="1:26" x14ac:dyDescent="0.35">
      <c r="A52" s="8">
        <f t="shared" si="6"/>
        <v>44561</v>
      </c>
      <c r="B52" s="10">
        <f t="shared" si="0"/>
        <v>50.3</v>
      </c>
      <c r="C52" s="9">
        <f t="shared" si="7"/>
        <v>17.100000000000001</v>
      </c>
      <c r="D52" s="9">
        <f t="shared" si="1"/>
        <v>43.1</v>
      </c>
      <c r="E52" s="1">
        <v>1</v>
      </c>
      <c r="F52" s="1">
        <v>0</v>
      </c>
      <c r="G52" s="7">
        <v>1</v>
      </c>
      <c r="H52" s="7">
        <v>0</v>
      </c>
      <c r="I52" s="1">
        <f t="shared" si="8"/>
        <v>0</v>
      </c>
      <c r="J52" s="1">
        <f t="shared" si="9"/>
        <v>0</v>
      </c>
      <c r="K52" s="1">
        <f t="shared" si="10"/>
        <v>0</v>
      </c>
      <c r="L52" s="1">
        <f t="shared" si="11"/>
        <v>1</v>
      </c>
      <c r="M52" s="1">
        <f t="shared" si="2"/>
        <v>0</v>
      </c>
      <c r="N52" s="1">
        <f t="shared" si="12"/>
        <v>1</v>
      </c>
      <c r="O52" s="1" t="str">
        <f t="shared" si="3"/>
        <v>主动补库存</v>
      </c>
      <c r="P52" s="1" t="str">
        <f t="shared" si="4"/>
        <v>产能周期下行</v>
      </c>
      <c r="Q52" s="2" t="str">
        <f t="shared" si="5"/>
        <v>产能周期下行,主动补库存</v>
      </c>
      <c r="S52" s="12">
        <v>39844</v>
      </c>
      <c r="T52" s="13">
        <v>45.3</v>
      </c>
      <c r="V52" s="12">
        <v>44439</v>
      </c>
      <c r="W52" s="13">
        <v>14.2</v>
      </c>
      <c r="Y52" s="12">
        <v>38168</v>
      </c>
      <c r="Z52" s="13">
        <v>42.75</v>
      </c>
    </row>
    <row r="53" spans="1:26" x14ac:dyDescent="0.35">
      <c r="A53" s="8">
        <f t="shared" si="6"/>
        <v>44530</v>
      </c>
      <c r="B53" s="10">
        <f t="shared" si="0"/>
        <v>50.1</v>
      </c>
      <c r="C53" s="9">
        <f t="shared" si="7"/>
        <v>17.899999999999999</v>
      </c>
      <c r="D53" s="9">
        <f t="shared" si="1"/>
        <v>43.4</v>
      </c>
      <c r="E53" s="1">
        <v>1</v>
      </c>
      <c r="F53" s="1">
        <v>0</v>
      </c>
      <c r="G53" s="7">
        <v>1</v>
      </c>
      <c r="H53" s="7">
        <v>0</v>
      </c>
      <c r="I53" s="1">
        <f t="shared" si="8"/>
        <v>0</v>
      </c>
      <c r="J53" s="1">
        <f t="shared" si="9"/>
        <v>0</v>
      </c>
      <c r="K53" s="1">
        <f t="shared" si="10"/>
        <v>0</v>
      </c>
      <c r="L53" s="1">
        <f t="shared" si="11"/>
        <v>1</v>
      </c>
      <c r="M53" s="1">
        <f t="shared" si="2"/>
        <v>0</v>
      </c>
      <c r="N53" s="1">
        <f t="shared" si="12"/>
        <v>1</v>
      </c>
      <c r="O53" s="1" t="str">
        <f t="shared" si="3"/>
        <v>主动补库存</v>
      </c>
      <c r="P53" s="1" t="str">
        <f t="shared" si="4"/>
        <v>产能周期下行</v>
      </c>
      <c r="Q53" s="2" t="str">
        <f t="shared" si="5"/>
        <v>产能周期下行,主动补库存</v>
      </c>
      <c r="S53" s="12">
        <v>39872</v>
      </c>
      <c r="T53" s="13">
        <v>49</v>
      </c>
      <c r="V53" s="12">
        <v>44408</v>
      </c>
      <c r="W53" s="13">
        <v>13</v>
      </c>
      <c r="Y53" s="12">
        <v>38260</v>
      </c>
      <c r="Z53" s="13">
        <v>42.4</v>
      </c>
    </row>
    <row r="54" spans="1:26" x14ac:dyDescent="0.35">
      <c r="A54" s="8">
        <f t="shared" si="6"/>
        <v>44500</v>
      </c>
      <c r="B54" s="9">
        <f t="shared" si="0"/>
        <v>49.2</v>
      </c>
      <c r="C54" s="9">
        <f t="shared" si="7"/>
        <v>16.3</v>
      </c>
      <c r="D54" s="9">
        <f t="shared" si="1"/>
        <v>43.4</v>
      </c>
      <c r="E54" s="1">
        <v>1</v>
      </c>
      <c r="F54" s="1">
        <v>0</v>
      </c>
      <c r="G54" s="7">
        <v>1</v>
      </c>
      <c r="H54" s="7">
        <v>0</v>
      </c>
      <c r="I54" s="1">
        <f t="shared" si="8"/>
        <v>0</v>
      </c>
      <c r="J54" s="1">
        <f t="shared" si="9"/>
        <v>0</v>
      </c>
      <c r="K54" s="1">
        <f t="shared" si="10"/>
        <v>0</v>
      </c>
      <c r="L54" s="1">
        <f t="shared" si="11"/>
        <v>1</v>
      </c>
      <c r="M54" s="1">
        <f t="shared" si="2"/>
        <v>0</v>
      </c>
      <c r="N54" s="1">
        <f t="shared" si="12"/>
        <v>1</v>
      </c>
      <c r="O54" s="1" t="str">
        <f t="shared" si="3"/>
        <v>主动补库存</v>
      </c>
      <c r="P54" s="1" t="str">
        <f t="shared" si="4"/>
        <v>产能周期下行</v>
      </c>
      <c r="Q54" s="2" t="str">
        <f t="shared" si="5"/>
        <v>产能周期下行,主动补库存</v>
      </c>
      <c r="S54" s="12">
        <v>39903</v>
      </c>
      <c r="T54" s="13">
        <v>52.4</v>
      </c>
      <c r="V54" s="12">
        <v>44377</v>
      </c>
      <c r="W54" s="13">
        <v>11.3</v>
      </c>
      <c r="Y54" s="12">
        <v>38352</v>
      </c>
      <c r="Z54" s="13">
        <v>43</v>
      </c>
    </row>
    <row r="55" spans="1:26" x14ac:dyDescent="0.35">
      <c r="A55" s="8">
        <f t="shared" si="6"/>
        <v>44469</v>
      </c>
      <c r="B55" s="9">
        <f t="shared" si="0"/>
        <v>49.6</v>
      </c>
      <c r="C55" s="9">
        <f t="shared" si="7"/>
        <v>13.7</v>
      </c>
      <c r="D55" s="9">
        <f t="shared" si="1"/>
        <v>43.4</v>
      </c>
      <c r="E55" s="1">
        <v>1</v>
      </c>
      <c r="F55" s="1">
        <v>0</v>
      </c>
      <c r="G55" s="7">
        <v>1</v>
      </c>
      <c r="H55" s="7">
        <v>0</v>
      </c>
      <c r="I55" s="1">
        <f t="shared" si="8"/>
        <v>0</v>
      </c>
      <c r="J55" s="1">
        <f t="shared" si="9"/>
        <v>0</v>
      </c>
      <c r="K55" s="1">
        <f t="shared" si="10"/>
        <v>0</v>
      </c>
      <c r="L55" s="1">
        <f t="shared" si="11"/>
        <v>1</v>
      </c>
      <c r="M55" s="1">
        <f t="shared" si="2"/>
        <v>0</v>
      </c>
      <c r="N55" s="1">
        <f t="shared" si="12"/>
        <v>1</v>
      </c>
      <c r="O55" s="1" t="str">
        <f t="shared" si="3"/>
        <v>主动补库存</v>
      </c>
      <c r="P55" s="1" t="str">
        <f t="shared" si="4"/>
        <v>产能周期下行</v>
      </c>
      <c r="Q55" s="2" t="str">
        <f t="shared" si="5"/>
        <v>产能周期下行,主动补库存</v>
      </c>
      <c r="S55" s="12">
        <v>39933</v>
      </c>
      <c r="T55" s="13">
        <v>53.5</v>
      </c>
      <c r="V55" s="12">
        <v>44347</v>
      </c>
      <c r="W55" s="13">
        <v>10.199999999999999</v>
      </c>
      <c r="Y55" s="12">
        <v>38442</v>
      </c>
      <c r="Z55" s="13">
        <v>42.35</v>
      </c>
    </row>
    <row r="56" spans="1:26" x14ac:dyDescent="0.35">
      <c r="A56" s="8">
        <f t="shared" si="6"/>
        <v>44439</v>
      </c>
      <c r="B56" s="9">
        <f t="shared" si="0"/>
        <v>50.1</v>
      </c>
      <c r="C56" s="9">
        <f t="shared" si="7"/>
        <v>14.2</v>
      </c>
      <c r="D56" s="9">
        <f t="shared" si="1"/>
        <v>45.8</v>
      </c>
      <c r="E56" s="1">
        <v>1</v>
      </c>
      <c r="F56" s="1">
        <v>0</v>
      </c>
      <c r="G56" s="7">
        <v>0</v>
      </c>
      <c r="H56" s="7">
        <v>1</v>
      </c>
      <c r="I56" s="1">
        <f t="shared" si="8"/>
        <v>0</v>
      </c>
      <c r="J56" s="1">
        <f t="shared" si="9"/>
        <v>1</v>
      </c>
      <c r="K56" s="1">
        <f t="shared" si="10"/>
        <v>0</v>
      </c>
      <c r="L56" s="1">
        <f t="shared" si="11"/>
        <v>0</v>
      </c>
      <c r="M56" s="1">
        <f t="shared" si="2"/>
        <v>1</v>
      </c>
      <c r="N56" s="1">
        <f t="shared" si="12"/>
        <v>0</v>
      </c>
      <c r="O56" s="1" t="str">
        <f t="shared" si="3"/>
        <v>被动补库存</v>
      </c>
      <c r="P56" s="1" t="str">
        <f t="shared" si="4"/>
        <v>产能周期上行</v>
      </c>
      <c r="Q56" s="2" t="str">
        <f t="shared" si="5"/>
        <v>产能周期上行,被动补库存</v>
      </c>
      <c r="S56" s="12">
        <v>39964</v>
      </c>
      <c r="T56" s="13">
        <v>53.1</v>
      </c>
      <c r="V56" s="12">
        <v>44316</v>
      </c>
      <c r="W56" s="13">
        <v>8.1999999999999993</v>
      </c>
      <c r="Y56" s="12">
        <v>38533</v>
      </c>
      <c r="Z56" s="13">
        <v>43.65</v>
      </c>
    </row>
    <row r="57" spans="1:26" x14ac:dyDescent="0.35">
      <c r="A57" s="8">
        <f t="shared" si="6"/>
        <v>44408</v>
      </c>
      <c r="B57" s="9">
        <f t="shared" si="0"/>
        <v>50.4</v>
      </c>
      <c r="C57" s="9">
        <f t="shared" si="7"/>
        <v>13</v>
      </c>
      <c r="D57" s="9">
        <f t="shared" si="1"/>
        <v>45.8</v>
      </c>
      <c r="E57" s="1">
        <v>1</v>
      </c>
      <c r="F57" s="1">
        <v>0</v>
      </c>
      <c r="G57" s="7">
        <v>0</v>
      </c>
      <c r="H57" s="7">
        <v>1</v>
      </c>
      <c r="I57" s="1">
        <f t="shared" si="8"/>
        <v>0</v>
      </c>
      <c r="J57" s="1">
        <f t="shared" si="9"/>
        <v>1</v>
      </c>
      <c r="K57" s="1">
        <f t="shared" si="10"/>
        <v>0</v>
      </c>
      <c r="L57" s="1">
        <f t="shared" si="11"/>
        <v>0</v>
      </c>
      <c r="M57" s="1">
        <f t="shared" si="2"/>
        <v>1</v>
      </c>
      <c r="N57" s="1">
        <f t="shared" si="12"/>
        <v>0</v>
      </c>
      <c r="O57" s="1" t="str">
        <f t="shared" si="3"/>
        <v>被动补库存</v>
      </c>
      <c r="P57" s="1" t="str">
        <f t="shared" si="4"/>
        <v>产能周期上行</v>
      </c>
      <c r="Q57" s="2" t="str">
        <f t="shared" si="5"/>
        <v>产能周期上行,被动补库存</v>
      </c>
      <c r="S57" s="12">
        <v>39994</v>
      </c>
      <c r="T57" s="13">
        <v>53.2</v>
      </c>
      <c r="V57" s="12">
        <v>44286</v>
      </c>
      <c r="W57" s="13">
        <v>8.5</v>
      </c>
      <c r="Y57" s="12">
        <v>38625</v>
      </c>
      <c r="Z57" s="13">
        <v>43.85</v>
      </c>
    </row>
    <row r="58" spans="1:26" x14ac:dyDescent="0.35">
      <c r="A58" s="8">
        <f t="shared" si="6"/>
        <v>44377</v>
      </c>
      <c r="B58" s="9">
        <f t="shared" si="0"/>
        <v>50.9</v>
      </c>
      <c r="C58" s="9">
        <f t="shared" si="7"/>
        <v>11.3</v>
      </c>
      <c r="D58" s="9">
        <f t="shared" si="1"/>
        <v>45.8</v>
      </c>
      <c r="E58" s="1">
        <v>1</v>
      </c>
      <c r="F58" s="1">
        <v>0</v>
      </c>
      <c r="G58" s="7">
        <v>0</v>
      </c>
      <c r="H58" s="7">
        <v>1</v>
      </c>
      <c r="I58" s="1">
        <f t="shared" si="8"/>
        <v>0</v>
      </c>
      <c r="J58" s="1">
        <f t="shared" si="9"/>
        <v>1</v>
      </c>
      <c r="K58" s="1">
        <f t="shared" si="10"/>
        <v>0</v>
      </c>
      <c r="L58" s="1">
        <f t="shared" si="11"/>
        <v>0</v>
      </c>
      <c r="M58" s="1">
        <f t="shared" si="2"/>
        <v>1</v>
      </c>
      <c r="N58" s="1">
        <f t="shared" si="12"/>
        <v>0</v>
      </c>
      <c r="O58" s="1" t="str">
        <f t="shared" si="3"/>
        <v>被动补库存</v>
      </c>
      <c r="P58" s="1" t="str">
        <f t="shared" si="4"/>
        <v>产能周期上行</v>
      </c>
      <c r="Q58" s="2" t="str">
        <f t="shared" si="5"/>
        <v>产能周期上行,被动补库存</v>
      </c>
      <c r="S58" s="12">
        <v>40025</v>
      </c>
      <c r="T58" s="13">
        <v>53.3</v>
      </c>
      <c r="V58" s="12">
        <v>44255</v>
      </c>
      <c r="W58" s="13">
        <v>8.6</v>
      </c>
      <c r="Y58" s="12">
        <v>38717</v>
      </c>
      <c r="Z58" s="13">
        <v>43.9</v>
      </c>
    </row>
    <row r="59" spans="1:26" x14ac:dyDescent="0.35">
      <c r="A59" s="8">
        <f t="shared" si="6"/>
        <v>44347</v>
      </c>
      <c r="B59" s="9">
        <f t="shared" si="0"/>
        <v>51</v>
      </c>
      <c r="C59" s="9">
        <f t="shared" si="7"/>
        <v>10.199999999999999</v>
      </c>
      <c r="D59" s="9">
        <f t="shared" si="1"/>
        <v>42.4</v>
      </c>
      <c r="E59" s="1">
        <v>1</v>
      </c>
      <c r="F59" s="1">
        <v>0</v>
      </c>
      <c r="G59" s="7">
        <v>0</v>
      </c>
      <c r="H59" s="7">
        <v>1</v>
      </c>
      <c r="I59" s="1">
        <f t="shared" si="8"/>
        <v>0</v>
      </c>
      <c r="J59" s="1">
        <f t="shared" si="9"/>
        <v>1</v>
      </c>
      <c r="K59" s="1">
        <f t="shared" si="10"/>
        <v>0</v>
      </c>
      <c r="L59" s="1">
        <f t="shared" si="11"/>
        <v>0</v>
      </c>
      <c r="M59" s="1">
        <f t="shared" si="2"/>
        <v>0</v>
      </c>
      <c r="N59" s="1">
        <f t="shared" si="12"/>
        <v>1</v>
      </c>
      <c r="O59" s="1" t="str">
        <f t="shared" si="3"/>
        <v>被动补库存</v>
      </c>
      <c r="P59" s="1" t="str">
        <f t="shared" si="4"/>
        <v>产能周期下行</v>
      </c>
      <c r="Q59" s="2" t="str">
        <f t="shared" si="5"/>
        <v>产能周期下行,被动补库存</v>
      </c>
      <c r="S59" s="12">
        <v>40056</v>
      </c>
      <c r="T59" s="13">
        <v>54</v>
      </c>
      <c r="V59" s="12">
        <v>44196</v>
      </c>
      <c r="W59" s="13">
        <v>7.5</v>
      </c>
      <c r="Y59" s="12">
        <v>38807</v>
      </c>
      <c r="Z59" s="13">
        <v>43.5</v>
      </c>
    </row>
    <row r="60" spans="1:26" x14ac:dyDescent="0.35">
      <c r="A60" s="8">
        <f t="shared" si="6"/>
        <v>44316</v>
      </c>
      <c r="B60" s="9">
        <f t="shared" si="0"/>
        <v>51.1</v>
      </c>
      <c r="C60" s="9">
        <f t="shared" si="7"/>
        <v>8.1999999999999993</v>
      </c>
      <c r="D60" s="9">
        <f t="shared" si="1"/>
        <v>42.4</v>
      </c>
      <c r="E60" s="1">
        <v>0</v>
      </c>
      <c r="F60" s="1">
        <v>1</v>
      </c>
      <c r="G60" s="7">
        <v>0</v>
      </c>
      <c r="H60" s="7">
        <v>1</v>
      </c>
      <c r="I60" s="1">
        <f t="shared" si="8"/>
        <v>1</v>
      </c>
      <c r="J60" s="1">
        <f t="shared" si="9"/>
        <v>0</v>
      </c>
      <c r="K60" s="1">
        <f t="shared" si="10"/>
        <v>0</v>
      </c>
      <c r="L60" s="1">
        <f t="shared" si="11"/>
        <v>0</v>
      </c>
      <c r="M60" s="1">
        <f t="shared" si="2"/>
        <v>0</v>
      </c>
      <c r="N60" s="1">
        <f t="shared" si="12"/>
        <v>1</v>
      </c>
      <c r="O60" s="1" t="str">
        <f t="shared" si="3"/>
        <v>主动去库存</v>
      </c>
      <c r="P60" s="1" t="str">
        <f t="shared" si="4"/>
        <v>产能周期下行</v>
      </c>
      <c r="Q60" s="2" t="str">
        <f t="shared" si="5"/>
        <v>产能周期下行,主动去库存</v>
      </c>
      <c r="S60" s="12">
        <v>40086</v>
      </c>
      <c r="T60" s="13">
        <v>54.3</v>
      </c>
      <c r="V60" s="12">
        <v>44165</v>
      </c>
      <c r="W60" s="13">
        <v>7.3</v>
      </c>
      <c r="Y60" s="12">
        <v>38898</v>
      </c>
      <c r="Z60" s="13">
        <v>44.8</v>
      </c>
    </row>
    <row r="61" spans="1:26" x14ac:dyDescent="0.35">
      <c r="A61" s="8">
        <f t="shared" si="6"/>
        <v>44286</v>
      </c>
      <c r="B61" s="9">
        <f t="shared" si="0"/>
        <v>51.9</v>
      </c>
      <c r="C61" s="9">
        <f t="shared" si="7"/>
        <v>8.5</v>
      </c>
      <c r="D61" s="9">
        <f t="shared" si="1"/>
        <v>42.4</v>
      </c>
      <c r="E61" s="1">
        <v>0</v>
      </c>
      <c r="F61" s="1">
        <v>1</v>
      </c>
      <c r="G61" s="7">
        <v>0</v>
      </c>
      <c r="H61" s="7">
        <v>1</v>
      </c>
      <c r="I61" s="1">
        <f t="shared" si="8"/>
        <v>1</v>
      </c>
      <c r="J61" s="1">
        <f t="shared" si="9"/>
        <v>0</v>
      </c>
      <c r="K61" s="1">
        <f t="shared" si="10"/>
        <v>0</v>
      </c>
      <c r="L61" s="1">
        <f t="shared" si="11"/>
        <v>0</v>
      </c>
      <c r="M61" s="1">
        <f t="shared" si="2"/>
        <v>0</v>
      </c>
      <c r="N61" s="1">
        <f t="shared" si="12"/>
        <v>1</v>
      </c>
      <c r="O61" s="1" t="str">
        <f t="shared" si="3"/>
        <v>主动去库存</v>
      </c>
      <c r="P61" s="1" t="str">
        <f t="shared" si="4"/>
        <v>产能周期下行</v>
      </c>
      <c r="Q61" s="2" t="str">
        <f t="shared" si="5"/>
        <v>产能周期下行,主动去库存</v>
      </c>
      <c r="S61" s="12">
        <v>40117</v>
      </c>
      <c r="T61" s="13">
        <v>55.2</v>
      </c>
      <c r="V61" s="12">
        <v>44135</v>
      </c>
      <c r="W61" s="13">
        <v>6.9</v>
      </c>
      <c r="Y61" s="12">
        <v>38990</v>
      </c>
      <c r="Z61" s="13">
        <v>44.4</v>
      </c>
    </row>
    <row r="62" spans="1:26" x14ac:dyDescent="0.35">
      <c r="A62" s="8">
        <f t="shared" si="6"/>
        <v>44255</v>
      </c>
      <c r="B62" s="9">
        <f t="shared" si="0"/>
        <v>50.6</v>
      </c>
      <c r="C62" s="9">
        <f t="shared" si="7"/>
        <v>8.6</v>
      </c>
      <c r="D62" s="9">
        <f t="shared" si="1"/>
        <v>44.4</v>
      </c>
      <c r="E62" s="1">
        <v>0</v>
      </c>
      <c r="F62" s="1">
        <v>1</v>
      </c>
      <c r="G62" s="7">
        <v>0</v>
      </c>
      <c r="H62" s="7">
        <v>1</v>
      </c>
      <c r="I62" s="1">
        <f t="shared" si="8"/>
        <v>1</v>
      </c>
      <c r="J62" s="1">
        <f t="shared" si="9"/>
        <v>0</v>
      </c>
      <c r="K62" s="1">
        <f t="shared" si="10"/>
        <v>0</v>
      </c>
      <c r="L62" s="1">
        <f t="shared" si="11"/>
        <v>0</v>
      </c>
      <c r="M62" s="1">
        <f t="shared" si="2"/>
        <v>1</v>
      </c>
      <c r="N62" s="1">
        <f t="shared" si="12"/>
        <v>0</v>
      </c>
      <c r="O62" s="1" t="str">
        <f t="shared" si="3"/>
        <v>主动去库存</v>
      </c>
      <c r="P62" s="1" t="str">
        <f t="shared" si="4"/>
        <v>产能周期上行</v>
      </c>
      <c r="Q62" s="2" t="str">
        <f t="shared" si="5"/>
        <v>产能周期上行,主动去库存</v>
      </c>
      <c r="S62" s="12">
        <v>40147</v>
      </c>
      <c r="T62" s="13">
        <v>55.2</v>
      </c>
      <c r="V62" s="12">
        <v>44104</v>
      </c>
      <c r="W62" s="13">
        <v>8.1999999999999993</v>
      </c>
      <c r="Y62" s="12">
        <v>39082</v>
      </c>
      <c r="Z62" s="13">
        <v>45.1</v>
      </c>
    </row>
    <row r="63" spans="1:26" x14ac:dyDescent="0.35">
      <c r="A63" s="8">
        <f t="shared" si="6"/>
        <v>44227</v>
      </c>
      <c r="B63" s="9">
        <f t="shared" si="0"/>
        <v>51.3</v>
      </c>
      <c r="C63" s="9" t="e">
        <f t="shared" si="7"/>
        <v>#N/A</v>
      </c>
      <c r="D63" s="9">
        <f t="shared" si="1"/>
        <v>44.4</v>
      </c>
      <c r="E63" s="1">
        <v>0</v>
      </c>
      <c r="F63" s="1">
        <v>1</v>
      </c>
      <c r="G63" s="7">
        <v>0</v>
      </c>
      <c r="H63" s="7">
        <v>1</v>
      </c>
      <c r="I63" s="1">
        <f t="shared" si="8"/>
        <v>1</v>
      </c>
      <c r="J63" s="1">
        <f t="shared" si="9"/>
        <v>0</v>
      </c>
      <c r="K63" s="1">
        <f t="shared" si="10"/>
        <v>0</v>
      </c>
      <c r="L63" s="1">
        <f t="shared" si="11"/>
        <v>0</v>
      </c>
      <c r="M63" s="1">
        <f t="shared" si="2"/>
        <v>1</v>
      </c>
      <c r="N63" s="1">
        <f t="shared" si="12"/>
        <v>0</v>
      </c>
      <c r="O63" s="1" t="str">
        <f t="shared" si="3"/>
        <v>主动去库存</v>
      </c>
      <c r="P63" s="1" t="str">
        <f t="shared" si="4"/>
        <v>产能周期上行</v>
      </c>
      <c r="Q63" s="2" t="str">
        <f t="shared" si="5"/>
        <v>产能周期上行,主动去库存</v>
      </c>
      <c r="S63" s="12">
        <v>40178</v>
      </c>
      <c r="T63" s="13">
        <v>56.6</v>
      </c>
      <c r="V63" s="12">
        <v>44074</v>
      </c>
      <c r="W63" s="13">
        <v>7.9</v>
      </c>
      <c r="Y63" s="12">
        <v>39172</v>
      </c>
      <c r="Z63" s="13">
        <v>44.1</v>
      </c>
    </row>
    <row r="64" spans="1:26" x14ac:dyDescent="0.35">
      <c r="A64" s="8">
        <f t="shared" si="6"/>
        <v>44196</v>
      </c>
      <c r="B64" s="9">
        <f t="shared" si="0"/>
        <v>51.9</v>
      </c>
      <c r="C64" s="9">
        <f t="shared" si="7"/>
        <v>7.5</v>
      </c>
      <c r="D64" s="9">
        <f t="shared" si="1"/>
        <v>44.4</v>
      </c>
      <c r="E64" s="1">
        <v>0</v>
      </c>
      <c r="F64" s="1">
        <v>1</v>
      </c>
      <c r="G64" s="7">
        <v>0</v>
      </c>
      <c r="H64" s="7">
        <v>1</v>
      </c>
      <c r="I64" s="1">
        <f t="shared" si="8"/>
        <v>1</v>
      </c>
      <c r="J64" s="1">
        <f t="shared" si="9"/>
        <v>0</v>
      </c>
      <c r="K64" s="1">
        <f t="shared" si="10"/>
        <v>0</v>
      </c>
      <c r="L64" s="1">
        <f t="shared" si="11"/>
        <v>0</v>
      </c>
      <c r="M64" s="1">
        <f t="shared" si="2"/>
        <v>1</v>
      </c>
      <c r="N64" s="1">
        <f t="shared" si="12"/>
        <v>0</v>
      </c>
      <c r="O64" s="1" t="str">
        <f t="shared" si="3"/>
        <v>主动去库存</v>
      </c>
      <c r="P64" s="1" t="str">
        <f t="shared" si="4"/>
        <v>产能周期上行</v>
      </c>
      <c r="Q64" s="2" t="str">
        <f t="shared" si="5"/>
        <v>产能周期上行,主动去库存</v>
      </c>
      <c r="S64" s="12">
        <v>40209</v>
      </c>
      <c r="T64" s="13">
        <v>55.8</v>
      </c>
      <c r="V64" s="12">
        <v>44043</v>
      </c>
      <c r="W64" s="13">
        <v>7.4</v>
      </c>
      <c r="Y64" s="12">
        <v>39263</v>
      </c>
      <c r="Z64" s="13">
        <v>45.2</v>
      </c>
    </row>
    <row r="65" spans="1:26" x14ac:dyDescent="0.35">
      <c r="A65" s="8">
        <f t="shared" si="6"/>
        <v>44165</v>
      </c>
      <c r="B65" s="9">
        <f t="shared" si="0"/>
        <v>52.1</v>
      </c>
      <c r="C65" s="9">
        <f t="shared" si="7"/>
        <v>7.3</v>
      </c>
      <c r="D65" s="9">
        <f t="shared" si="1"/>
        <v>40.299999999999997</v>
      </c>
      <c r="E65" s="1">
        <v>0</v>
      </c>
      <c r="F65" s="1">
        <v>1</v>
      </c>
      <c r="G65" s="7">
        <v>0</v>
      </c>
      <c r="H65" s="7">
        <v>1</v>
      </c>
      <c r="I65" s="1">
        <f t="shared" si="8"/>
        <v>1</v>
      </c>
      <c r="J65" s="1">
        <f t="shared" si="9"/>
        <v>0</v>
      </c>
      <c r="K65" s="1">
        <f t="shared" si="10"/>
        <v>0</v>
      </c>
      <c r="L65" s="1">
        <f t="shared" si="11"/>
        <v>0</v>
      </c>
      <c r="M65" s="1">
        <f t="shared" si="2"/>
        <v>1</v>
      </c>
      <c r="N65" s="1">
        <f t="shared" si="12"/>
        <v>0</v>
      </c>
      <c r="O65" s="1" t="str">
        <f t="shared" si="3"/>
        <v>主动去库存</v>
      </c>
      <c r="P65" s="1" t="str">
        <f t="shared" si="4"/>
        <v>产能周期上行</v>
      </c>
      <c r="Q65" s="2" t="str">
        <f t="shared" si="5"/>
        <v>产能周期上行,主动去库存</v>
      </c>
      <c r="S65" s="12">
        <v>40237</v>
      </c>
      <c r="T65" s="13">
        <v>52</v>
      </c>
      <c r="V65" s="12">
        <v>44012</v>
      </c>
      <c r="W65" s="13">
        <v>8.3000000000000007</v>
      </c>
      <c r="Y65" s="12">
        <v>39355</v>
      </c>
      <c r="Z65" s="13">
        <v>45.1</v>
      </c>
    </row>
    <row r="66" spans="1:26" x14ac:dyDescent="0.35">
      <c r="A66" s="8">
        <f t="shared" si="6"/>
        <v>44135</v>
      </c>
      <c r="B66" s="9">
        <f t="shared" si="0"/>
        <v>51.4</v>
      </c>
      <c r="C66" s="9">
        <f t="shared" si="7"/>
        <v>6.9</v>
      </c>
      <c r="D66" s="9">
        <f t="shared" si="1"/>
        <v>40.299999999999997</v>
      </c>
      <c r="E66" s="1">
        <v>0</v>
      </c>
      <c r="F66" s="1">
        <v>1</v>
      </c>
      <c r="G66" s="7">
        <v>0</v>
      </c>
      <c r="H66" s="7">
        <v>1</v>
      </c>
      <c r="I66" s="1">
        <f t="shared" si="8"/>
        <v>1</v>
      </c>
      <c r="J66" s="1">
        <f t="shared" si="9"/>
        <v>0</v>
      </c>
      <c r="K66" s="1">
        <f t="shared" si="10"/>
        <v>0</v>
      </c>
      <c r="L66" s="1">
        <f t="shared" si="11"/>
        <v>0</v>
      </c>
      <c r="M66" s="1">
        <f t="shared" si="2"/>
        <v>1</v>
      </c>
      <c r="N66" s="1">
        <f t="shared" si="12"/>
        <v>0</v>
      </c>
      <c r="O66" s="1" t="str">
        <f t="shared" si="3"/>
        <v>主动去库存</v>
      </c>
      <c r="P66" s="1" t="str">
        <f t="shared" si="4"/>
        <v>产能周期上行</v>
      </c>
      <c r="Q66" s="2" t="str">
        <f t="shared" si="5"/>
        <v>产能周期上行,主动去库存</v>
      </c>
      <c r="S66" s="12">
        <v>40268</v>
      </c>
      <c r="T66" s="13">
        <v>55.1</v>
      </c>
      <c r="V66" s="12">
        <v>43982</v>
      </c>
      <c r="W66" s="13">
        <v>9</v>
      </c>
      <c r="Y66" s="12">
        <v>39447</v>
      </c>
      <c r="Z66" s="13">
        <v>45.5</v>
      </c>
    </row>
    <row r="67" spans="1:26" x14ac:dyDescent="0.35">
      <c r="A67" s="8">
        <f t="shared" si="6"/>
        <v>44104</v>
      </c>
      <c r="B67" s="9">
        <f t="shared" si="0"/>
        <v>51.5</v>
      </c>
      <c r="C67" s="9">
        <f t="shared" si="7"/>
        <v>8.1999999999999993</v>
      </c>
      <c r="D67" s="9">
        <f t="shared" si="1"/>
        <v>40.299999999999997</v>
      </c>
      <c r="E67" s="1">
        <v>0</v>
      </c>
      <c r="F67" s="1">
        <v>1</v>
      </c>
      <c r="G67" s="7">
        <v>0</v>
      </c>
      <c r="H67" s="7">
        <v>1</v>
      </c>
      <c r="I67" s="1">
        <f t="shared" si="8"/>
        <v>1</v>
      </c>
      <c r="J67" s="1">
        <f t="shared" si="9"/>
        <v>0</v>
      </c>
      <c r="K67" s="1">
        <f t="shared" si="10"/>
        <v>0</v>
      </c>
      <c r="L67" s="1">
        <f t="shared" si="11"/>
        <v>0</v>
      </c>
      <c r="M67" s="1">
        <f t="shared" si="2"/>
        <v>1</v>
      </c>
      <c r="N67" s="1">
        <f t="shared" si="12"/>
        <v>0</v>
      </c>
      <c r="O67" s="1" t="str">
        <f t="shared" si="3"/>
        <v>主动去库存</v>
      </c>
      <c r="P67" s="1" t="str">
        <f t="shared" si="4"/>
        <v>产能周期上行</v>
      </c>
      <c r="Q67" s="2" t="str">
        <f t="shared" si="5"/>
        <v>产能周期上行,主动去库存</v>
      </c>
      <c r="S67" s="12">
        <v>40298</v>
      </c>
      <c r="T67" s="13">
        <v>55.7</v>
      </c>
      <c r="V67" s="12">
        <v>43951</v>
      </c>
      <c r="W67" s="13">
        <v>10.6</v>
      </c>
      <c r="Y67" s="12">
        <v>39538</v>
      </c>
      <c r="Z67" s="13">
        <v>43.36</v>
      </c>
    </row>
    <row r="68" spans="1:26" x14ac:dyDescent="0.35">
      <c r="A68" s="8">
        <f t="shared" si="6"/>
        <v>44074</v>
      </c>
      <c r="B68" s="9">
        <f t="shared" ref="B68:B131" si="13">VLOOKUP(A68,S:T,2,0)</f>
        <v>51</v>
      </c>
      <c r="C68" s="9">
        <f t="shared" si="7"/>
        <v>7.9</v>
      </c>
      <c r="D68" s="9">
        <f t="shared" si="1"/>
        <v>38.1</v>
      </c>
      <c r="E68" s="1">
        <v>0</v>
      </c>
      <c r="F68" s="1">
        <v>1</v>
      </c>
      <c r="G68" s="7">
        <v>0</v>
      </c>
      <c r="H68" s="7">
        <v>1</v>
      </c>
      <c r="I68" s="1">
        <f t="shared" si="8"/>
        <v>1</v>
      </c>
      <c r="J68" s="1">
        <f t="shared" si="9"/>
        <v>0</v>
      </c>
      <c r="K68" s="1">
        <f t="shared" si="10"/>
        <v>0</v>
      </c>
      <c r="L68" s="1">
        <f t="shared" si="11"/>
        <v>0</v>
      </c>
      <c r="M68" s="1">
        <f t="shared" si="2"/>
        <v>1</v>
      </c>
      <c r="N68" s="1">
        <f t="shared" si="12"/>
        <v>0</v>
      </c>
      <c r="O68" s="1" t="str">
        <f t="shared" si="3"/>
        <v>主动去库存</v>
      </c>
      <c r="P68" s="1" t="str">
        <f t="shared" si="4"/>
        <v>产能周期上行</v>
      </c>
      <c r="Q68" s="2" t="str">
        <f t="shared" si="5"/>
        <v>产能周期上行,主动去库存</v>
      </c>
      <c r="S68" s="12">
        <v>40329</v>
      </c>
      <c r="T68" s="13">
        <v>53.9</v>
      </c>
      <c r="V68" s="12">
        <v>43921</v>
      </c>
      <c r="W68" s="13">
        <v>14.9</v>
      </c>
      <c r="Y68" s="12">
        <v>39629</v>
      </c>
      <c r="Z68" s="13">
        <v>44.42</v>
      </c>
    </row>
    <row r="69" spans="1:26" x14ac:dyDescent="0.35">
      <c r="A69" s="8">
        <f t="shared" si="6"/>
        <v>44043</v>
      </c>
      <c r="B69" s="9">
        <f t="shared" si="13"/>
        <v>51.1</v>
      </c>
      <c r="C69" s="9">
        <f t="shared" si="7"/>
        <v>7.4</v>
      </c>
      <c r="D69" s="9">
        <f t="shared" ref="D69:D132" si="14">IFERROR(VLOOKUP(A69,Y:Z,2,FALSE),D70)</f>
        <v>38.1</v>
      </c>
      <c r="E69" s="1">
        <v>0</v>
      </c>
      <c r="F69" s="1">
        <v>1</v>
      </c>
      <c r="G69" s="7">
        <v>0</v>
      </c>
      <c r="H69" s="7">
        <v>1</v>
      </c>
      <c r="I69" s="1">
        <f t="shared" si="8"/>
        <v>1</v>
      </c>
      <c r="J69" s="1">
        <f t="shared" si="9"/>
        <v>0</v>
      </c>
      <c r="K69" s="1">
        <f t="shared" si="10"/>
        <v>0</v>
      </c>
      <c r="L69" s="1">
        <f t="shared" si="11"/>
        <v>0</v>
      </c>
      <c r="M69" s="1">
        <f t="shared" ref="M69:M132" si="15">IF(D69 = D70, M70, IF(D69 &gt; D70, 1, 0))</f>
        <v>1</v>
      </c>
      <c r="N69" s="1">
        <f t="shared" si="12"/>
        <v>0</v>
      </c>
      <c r="O69" s="1" t="str">
        <f t="shared" ref="O69:O132" si="16">INDEX($I$3:$L$3,1,MATCH(1,I69:L69,0))</f>
        <v>主动去库存</v>
      </c>
      <c r="P69" s="1" t="str">
        <f t="shared" ref="P69:P132" si="17">INDEX($M$3:$N$3,1,MATCH(1,M69:N69,0))</f>
        <v>产能周期上行</v>
      </c>
      <c r="Q69" s="2" t="str">
        <f t="shared" ref="Q69:Q132" si="18">TEXT(P69,"")&amp;","&amp;TEXT(O69,"")</f>
        <v>产能周期上行,主动去库存</v>
      </c>
      <c r="S69" s="12">
        <v>40359</v>
      </c>
      <c r="T69" s="13">
        <v>52.1</v>
      </c>
      <c r="V69" s="12">
        <v>43890</v>
      </c>
      <c r="W69" s="13">
        <v>8.6999999999999993</v>
      </c>
      <c r="Y69" s="12">
        <v>39721</v>
      </c>
      <c r="Z69" s="13">
        <v>43.1</v>
      </c>
    </row>
    <row r="70" spans="1:26" x14ac:dyDescent="0.35">
      <c r="A70" s="8">
        <f t="shared" ref="A70:A133" si="19">EOMONTH(A69,-1)</f>
        <v>44012</v>
      </c>
      <c r="B70" s="9">
        <f t="shared" si="13"/>
        <v>50.9</v>
      </c>
      <c r="C70" s="9">
        <f t="shared" ref="C70:C133" si="20">VLOOKUP(A70,V:W,2,0)</f>
        <v>8.3000000000000007</v>
      </c>
      <c r="D70" s="9">
        <f t="shared" si="14"/>
        <v>38.1</v>
      </c>
      <c r="E70" s="1">
        <v>0</v>
      </c>
      <c r="F70" s="1">
        <v>1</v>
      </c>
      <c r="G70" s="7">
        <v>0</v>
      </c>
      <c r="H70" s="7">
        <v>1</v>
      </c>
      <c r="I70" s="1">
        <f t="shared" ref="I70:I133" si="21">INT(AND(H70=1,F70=1))</f>
        <v>1</v>
      </c>
      <c r="J70" s="1">
        <f t="shared" ref="J70:J133" si="22">INT(AND(H70=1,E70=1))</f>
        <v>0</v>
      </c>
      <c r="K70" s="1">
        <f t="shared" ref="K70:K133" si="23">INT(AND(G70=1,F70=1))</f>
        <v>0</v>
      </c>
      <c r="L70" s="1">
        <f t="shared" ref="L70:L133" si="24">INT(AND(G70=1,E70=1))</f>
        <v>0</v>
      </c>
      <c r="M70" s="1">
        <f t="shared" si="15"/>
        <v>1</v>
      </c>
      <c r="N70" s="1">
        <f t="shared" ref="N70:N133" si="25">1-M70</f>
        <v>0</v>
      </c>
      <c r="O70" s="1" t="str">
        <f t="shared" si="16"/>
        <v>主动去库存</v>
      </c>
      <c r="P70" s="1" t="str">
        <f t="shared" si="17"/>
        <v>产能周期上行</v>
      </c>
      <c r="Q70" s="2" t="str">
        <f t="shared" si="18"/>
        <v>产能周期上行,主动去库存</v>
      </c>
      <c r="S70" s="12">
        <v>40390</v>
      </c>
      <c r="T70" s="13">
        <v>51.2</v>
      </c>
      <c r="V70" s="12">
        <v>43830</v>
      </c>
      <c r="W70" s="13">
        <v>2</v>
      </c>
      <c r="Y70" s="12">
        <v>39813</v>
      </c>
      <c r="Z70" s="13">
        <v>38.520000000000003</v>
      </c>
    </row>
    <row r="71" spans="1:26" x14ac:dyDescent="0.35">
      <c r="A71" s="8">
        <f t="shared" si="19"/>
        <v>43982</v>
      </c>
      <c r="B71" s="9">
        <f t="shared" si="13"/>
        <v>50.6</v>
      </c>
      <c r="C71" s="9">
        <f t="shared" si="20"/>
        <v>9</v>
      </c>
      <c r="D71" s="9">
        <f t="shared" si="14"/>
        <v>21.6</v>
      </c>
      <c r="E71" s="1">
        <v>0</v>
      </c>
      <c r="F71" s="1">
        <v>1</v>
      </c>
      <c r="G71" s="7">
        <v>0</v>
      </c>
      <c r="H71" s="7">
        <v>1</v>
      </c>
      <c r="I71" s="1">
        <f t="shared" si="21"/>
        <v>1</v>
      </c>
      <c r="J71" s="1">
        <f t="shared" si="22"/>
        <v>0</v>
      </c>
      <c r="K71" s="1">
        <f t="shared" si="23"/>
        <v>0</v>
      </c>
      <c r="L71" s="1">
        <f t="shared" si="24"/>
        <v>0</v>
      </c>
      <c r="M71" s="1">
        <f t="shared" si="15"/>
        <v>0</v>
      </c>
      <c r="N71" s="1">
        <f t="shared" si="25"/>
        <v>1</v>
      </c>
      <c r="O71" s="1" t="str">
        <f t="shared" si="16"/>
        <v>主动去库存</v>
      </c>
      <c r="P71" s="1" t="str">
        <f t="shared" si="17"/>
        <v>产能周期下行</v>
      </c>
      <c r="Q71" s="2" t="str">
        <f t="shared" si="18"/>
        <v>产能周期下行,主动去库存</v>
      </c>
      <c r="S71" s="12">
        <v>40421</v>
      </c>
      <c r="T71" s="13">
        <v>51.7</v>
      </c>
      <c r="V71" s="12">
        <v>43799</v>
      </c>
      <c r="W71" s="13">
        <v>0.3</v>
      </c>
      <c r="Y71" s="12">
        <v>39903</v>
      </c>
      <c r="Z71" s="13">
        <v>36.28</v>
      </c>
    </row>
    <row r="72" spans="1:26" x14ac:dyDescent="0.35">
      <c r="A72" s="8">
        <f t="shared" si="19"/>
        <v>43951</v>
      </c>
      <c r="B72" s="9">
        <f t="shared" si="13"/>
        <v>50.8</v>
      </c>
      <c r="C72" s="9">
        <f t="shared" si="20"/>
        <v>10.6</v>
      </c>
      <c r="D72" s="9">
        <f t="shared" si="14"/>
        <v>21.6</v>
      </c>
      <c r="E72" s="1">
        <v>0</v>
      </c>
      <c r="F72" s="1">
        <v>1</v>
      </c>
      <c r="G72" s="7">
        <v>0</v>
      </c>
      <c r="H72" s="7">
        <v>1</v>
      </c>
      <c r="I72" s="1">
        <f t="shared" si="21"/>
        <v>1</v>
      </c>
      <c r="J72" s="1">
        <f t="shared" si="22"/>
        <v>0</v>
      </c>
      <c r="K72" s="1">
        <f t="shared" si="23"/>
        <v>0</v>
      </c>
      <c r="L72" s="1">
        <f t="shared" si="24"/>
        <v>0</v>
      </c>
      <c r="M72" s="1">
        <f t="shared" si="15"/>
        <v>0</v>
      </c>
      <c r="N72" s="1">
        <f t="shared" si="25"/>
        <v>1</v>
      </c>
      <c r="O72" s="1" t="str">
        <f t="shared" si="16"/>
        <v>主动去库存</v>
      </c>
      <c r="P72" s="1" t="str">
        <f t="shared" si="17"/>
        <v>产能周期下行</v>
      </c>
      <c r="Q72" s="2" t="str">
        <f t="shared" si="18"/>
        <v>产能周期下行,主动去库存</v>
      </c>
      <c r="S72" s="12">
        <v>40451</v>
      </c>
      <c r="T72" s="13">
        <v>53.8</v>
      </c>
      <c r="V72" s="12">
        <v>43769</v>
      </c>
      <c r="W72" s="13">
        <v>0.4</v>
      </c>
      <c r="Y72" s="12">
        <v>39994</v>
      </c>
      <c r="Z72" s="13">
        <v>37.79</v>
      </c>
    </row>
    <row r="73" spans="1:26" x14ac:dyDescent="0.35">
      <c r="A73" s="8">
        <f t="shared" si="19"/>
        <v>43921</v>
      </c>
      <c r="B73" s="9">
        <f t="shared" si="13"/>
        <v>52</v>
      </c>
      <c r="C73" s="9">
        <f t="shared" si="20"/>
        <v>14.9</v>
      </c>
      <c r="D73" s="9">
        <f t="shared" si="14"/>
        <v>21.6</v>
      </c>
      <c r="E73" s="1">
        <v>0</v>
      </c>
      <c r="F73" s="1">
        <v>1</v>
      </c>
      <c r="G73" s="7">
        <v>0</v>
      </c>
      <c r="H73" s="7">
        <v>1</v>
      </c>
      <c r="I73" s="1">
        <f t="shared" si="21"/>
        <v>1</v>
      </c>
      <c r="J73" s="1">
        <f t="shared" si="22"/>
        <v>0</v>
      </c>
      <c r="K73" s="1">
        <f t="shared" si="23"/>
        <v>0</v>
      </c>
      <c r="L73" s="1">
        <f t="shared" si="24"/>
        <v>0</v>
      </c>
      <c r="M73" s="1">
        <f t="shared" si="15"/>
        <v>0</v>
      </c>
      <c r="N73" s="1">
        <f t="shared" si="25"/>
        <v>1</v>
      </c>
      <c r="O73" s="1" t="str">
        <f t="shared" si="16"/>
        <v>主动去库存</v>
      </c>
      <c r="P73" s="1" t="str">
        <f t="shared" si="17"/>
        <v>产能周期下行</v>
      </c>
      <c r="Q73" s="2" t="str">
        <f t="shared" si="18"/>
        <v>产能周期下行,主动去库存</v>
      </c>
      <c r="S73" s="12">
        <v>40482</v>
      </c>
      <c r="T73" s="13">
        <v>54.7</v>
      </c>
      <c r="V73" s="12">
        <v>43738</v>
      </c>
      <c r="W73" s="13">
        <v>1</v>
      </c>
      <c r="Y73" s="12">
        <v>40086</v>
      </c>
      <c r="Z73" s="13">
        <v>39.1</v>
      </c>
    </row>
    <row r="74" spans="1:26" x14ac:dyDescent="0.35">
      <c r="A74" s="8">
        <f t="shared" si="19"/>
        <v>43890</v>
      </c>
      <c r="B74" s="9">
        <f t="shared" si="13"/>
        <v>35.700000000000003</v>
      </c>
      <c r="C74" s="9">
        <f t="shared" si="20"/>
        <v>8.6999999999999993</v>
      </c>
      <c r="D74" s="9">
        <f t="shared" si="14"/>
        <v>42.7</v>
      </c>
      <c r="E74" s="1">
        <v>0</v>
      </c>
      <c r="F74" s="1">
        <v>1</v>
      </c>
      <c r="G74" s="7">
        <v>0</v>
      </c>
      <c r="H74" s="7">
        <v>1</v>
      </c>
      <c r="I74" s="1">
        <f t="shared" si="21"/>
        <v>1</v>
      </c>
      <c r="J74" s="1">
        <f t="shared" si="22"/>
        <v>0</v>
      </c>
      <c r="K74" s="1">
        <f t="shared" si="23"/>
        <v>0</v>
      </c>
      <c r="L74" s="1">
        <f t="shared" si="24"/>
        <v>0</v>
      </c>
      <c r="M74" s="1">
        <f t="shared" si="15"/>
        <v>1</v>
      </c>
      <c r="N74" s="1">
        <f t="shared" si="25"/>
        <v>0</v>
      </c>
      <c r="O74" s="1" t="str">
        <f t="shared" si="16"/>
        <v>主动去库存</v>
      </c>
      <c r="P74" s="1" t="str">
        <f t="shared" si="17"/>
        <v>产能周期上行</v>
      </c>
      <c r="Q74" s="2" t="str">
        <f t="shared" si="18"/>
        <v>产能周期上行,主动去库存</v>
      </c>
      <c r="S74" s="12">
        <v>40512</v>
      </c>
      <c r="T74" s="13">
        <v>55.2</v>
      </c>
      <c r="V74" s="12">
        <v>43708</v>
      </c>
      <c r="W74" s="13">
        <v>2.2000000000000002</v>
      </c>
      <c r="Y74" s="12">
        <v>40178</v>
      </c>
      <c r="Z74" s="13">
        <v>41.54</v>
      </c>
    </row>
    <row r="75" spans="1:26" x14ac:dyDescent="0.35">
      <c r="A75" s="8">
        <f t="shared" si="19"/>
        <v>43861</v>
      </c>
      <c r="B75" s="9">
        <f t="shared" si="13"/>
        <v>50</v>
      </c>
      <c r="C75" s="9" t="e">
        <f t="shared" si="20"/>
        <v>#N/A</v>
      </c>
      <c r="D75" s="9">
        <f t="shared" si="14"/>
        <v>42.7</v>
      </c>
      <c r="E75" s="1">
        <v>0</v>
      </c>
      <c r="F75" s="1">
        <v>1</v>
      </c>
      <c r="G75" s="7">
        <v>0</v>
      </c>
      <c r="H75" s="7">
        <v>1</v>
      </c>
      <c r="I75" s="1">
        <f t="shared" si="21"/>
        <v>1</v>
      </c>
      <c r="J75" s="1">
        <f t="shared" si="22"/>
        <v>0</v>
      </c>
      <c r="K75" s="1">
        <f t="shared" si="23"/>
        <v>0</v>
      </c>
      <c r="L75" s="1">
        <f t="shared" si="24"/>
        <v>0</v>
      </c>
      <c r="M75" s="1">
        <f t="shared" si="15"/>
        <v>1</v>
      </c>
      <c r="N75" s="1">
        <f t="shared" si="25"/>
        <v>0</v>
      </c>
      <c r="O75" s="1" t="str">
        <f t="shared" si="16"/>
        <v>主动去库存</v>
      </c>
      <c r="P75" s="1" t="str">
        <f t="shared" si="17"/>
        <v>产能周期上行</v>
      </c>
      <c r="Q75" s="2" t="str">
        <f t="shared" si="18"/>
        <v>产能周期上行,主动去库存</v>
      </c>
      <c r="S75" s="12">
        <v>40543</v>
      </c>
      <c r="T75" s="13">
        <v>53.9</v>
      </c>
      <c r="V75" s="12">
        <v>43677</v>
      </c>
      <c r="W75" s="13">
        <v>2.2999999999999998</v>
      </c>
      <c r="Y75" s="12">
        <v>40268</v>
      </c>
      <c r="Z75" s="13">
        <v>42.01</v>
      </c>
    </row>
    <row r="76" spans="1:26" x14ac:dyDescent="0.35">
      <c r="A76" s="8">
        <f t="shared" si="19"/>
        <v>43830</v>
      </c>
      <c r="B76" s="9">
        <f t="shared" si="13"/>
        <v>50.2</v>
      </c>
      <c r="C76" s="9">
        <f t="shared" si="20"/>
        <v>2</v>
      </c>
      <c r="D76" s="9">
        <f t="shared" si="14"/>
        <v>42.7</v>
      </c>
      <c r="E76" s="1">
        <v>0</v>
      </c>
      <c r="F76" s="1">
        <v>1</v>
      </c>
      <c r="G76" s="7">
        <v>0</v>
      </c>
      <c r="H76" s="7">
        <v>1</v>
      </c>
      <c r="I76" s="1">
        <f t="shared" si="21"/>
        <v>1</v>
      </c>
      <c r="J76" s="1">
        <f t="shared" si="22"/>
        <v>0</v>
      </c>
      <c r="K76" s="1">
        <f t="shared" si="23"/>
        <v>0</v>
      </c>
      <c r="L76" s="1">
        <f t="shared" si="24"/>
        <v>0</v>
      </c>
      <c r="M76" s="1">
        <f t="shared" si="15"/>
        <v>1</v>
      </c>
      <c r="N76" s="1">
        <f t="shared" si="25"/>
        <v>0</v>
      </c>
      <c r="O76" s="1" t="str">
        <f t="shared" si="16"/>
        <v>主动去库存</v>
      </c>
      <c r="P76" s="1" t="str">
        <f t="shared" si="17"/>
        <v>产能周期上行</v>
      </c>
      <c r="Q76" s="2" t="str">
        <f t="shared" si="18"/>
        <v>产能周期上行,主动去库存</v>
      </c>
      <c r="S76" s="12">
        <v>40574</v>
      </c>
      <c r="T76" s="13">
        <v>52.9</v>
      </c>
      <c r="V76" s="12">
        <v>43646</v>
      </c>
      <c r="W76" s="13">
        <v>3.5</v>
      </c>
      <c r="Y76" s="12">
        <v>40359</v>
      </c>
      <c r="Z76" s="13">
        <v>43.64</v>
      </c>
    </row>
    <row r="77" spans="1:26" x14ac:dyDescent="0.35">
      <c r="A77" s="8">
        <f t="shared" si="19"/>
        <v>43799</v>
      </c>
      <c r="B77" s="9">
        <f t="shared" si="13"/>
        <v>50.2</v>
      </c>
      <c r="C77" s="9">
        <f t="shared" si="20"/>
        <v>0.3</v>
      </c>
      <c r="D77" s="9">
        <f t="shared" si="14"/>
        <v>41.4</v>
      </c>
      <c r="E77" s="1">
        <v>0</v>
      </c>
      <c r="F77" s="1">
        <v>1</v>
      </c>
      <c r="G77" s="7">
        <v>0</v>
      </c>
      <c r="H77" s="7">
        <v>1</v>
      </c>
      <c r="I77" s="1">
        <f t="shared" si="21"/>
        <v>1</v>
      </c>
      <c r="J77" s="1">
        <f t="shared" si="22"/>
        <v>0</v>
      </c>
      <c r="K77" s="1">
        <f t="shared" si="23"/>
        <v>0</v>
      </c>
      <c r="L77" s="1">
        <f t="shared" si="24"/>
        <v>0</v>
      </c>
      <c r="M77" s="1">
        <f t="shared" si="15"/>
        <v>0</v>
      </c>
      <c r="N77" s="1">
        <f t="shared" si="25"/>
        <v>1</v>
      </c>
      <c r="O77" s="1" t="str">
        <f t="shared" si="16"/>
        <v>主动去库存</v>
      </c>
      <c r="P77" s="1" t="str">
        <f t="shared" si="17"/>
        <v>产能周期下行</v>
      </c>
      <c r="Q77" s="2" t="str">
        <f t="shared" si="18"/>
        <v>产能周期下行,主动去库存</v>
      </c>
      <c r="S77" s="12">
        <v>40602</v>
      </c>
      <c r="T77" s="13">
        <v>52.2</v>
      </c>
      <c r="V77" s="12">
        <v>43616</v>
      </c>
      <c r="W77" s="13">
        <v>4.0999999999999996</v>
      </c>
      <c r="Y77" s="12">
        <v>40451</v>
      </c>
      <c r="Z77" s="13">
        <v>43.64</v>
      </c>
    </row>
    <row r="78" spans="1:26" x14ac:dyDescent="0.35">
      <c r="A78" s="8">
        <f t="shared" si="19"/>
        <v>43769</v>
      </c>
      <c r="B78" s="9">
        <f t="shared" si="13"/>
        <v>49.3</v>
      </c>
      <c r="C78" s="9">
        <f t="shared" si="20"/>
        <v>0.4</v>
      </c>
      <c r="D78" s="9">
        <f t="shared" si="14"/>
        <v>41.4</v>
      </c>
      <c r="E78" s="1">
        <v>0</v>
      </c>
      <c r="F78" s="1">
        <v>1</v>
      </c>
      <c r="G78" s="7">
        <v>0</v>
      </c>
      <c r="H78" s="7">
        <v>1</v>
      </c>
      <c r="I78" s="1">
        <f t="shared" si="21"/>
        <v>1</v>
      </c>
      <c r="J78" s="1">
        <f t="shared" si="22"/>
        <v>0</v>
      </c>
      <c r="K78" s="1">
        <f t="shared" si="23"/>
        <v>0</v>
      </c>
      <c r="L78" s="1">
        <f t="shared" si="24"/>
        <v>0</v>
      </c>
      <c r="M78" s="1">
        <f t="shared" si="15"/>
        <v>0</v>
      </c>
      <c r="N78" s="1">
        <f t="shared" si="25"/>
        <v>1</v>
      </c>
      <c r="O78" s="1" t="str">
        <f t="shared" si="16"/>
        <v>主动去库存</v>
      </c>
      <c r="P78" s="1" t="str">
        <f t="shared" si="17"/>
        <v>产能周期下行</v>
      </c>
      <c r="Q78" s="2" t="str">
        <f t="shared" si="18"/>
        <v>产能周期下行,主动去库存</v>
      </c>
      <c r="S78" s="12">
        <v>40633</v>
      </c>
      <c r="T78" s="13">
        <v>53.4</v>
      </c>
      <c r="V78" s="12">
        <v>43585</v>
      </c>
      <c r="W78" s="13">
        <v>4.9000000000000004</v>
      </c>
      <c r="Y78" s="12">
        <v>40543</v>
      </c>
      <c r="Z78" s="13">
        <v>43.8</v>
      </c>
    </row>
    <row r="79" spans="1:26" x14ac:dyDescent="0.35">
      <c r="A79" s="8">
        <f t="shared" si="19"/>
        <v>43738</v>
      </c>
      <c r="B79" s="9">
        <f t="shared" si="13"/>
        <v>49.8</v>
      </c>
      <c r="C79" s="9">
        <f t="shared" si="20"/>
        <v>1</v>
      </c>
      <c r="D79" s="9">
        <f t="shared" si="14"/>
        <v>41.4</v>
      </c>
      <c r="E79" s="1">
        <v>0</v>
      </c>
      <c r="F79" s="1">
        <v>1</v>
      </c>
      <c r="G79" s="7">
        <v>0</v>
      </c>
      <c r="H79" s="7">
        <v>1</v>
      </c>
      <c r="I79" s="1">
        <f t="shared" si="21"/>
        <v>1</v>
      </c>
      <c r="J79" s="1">
        <f t="shared" si="22"/>
        <v>0</v>
      </c>
      <c r="K79" s="1">
        <f t="shared" si="23"/>
        <v>0</v>
      </c>
      <c r="L79" s="1">
        <f t="shared" si="24"/>
        <v>0</v>
      </c>
      <c r="M79" s="1">
        <f t="shared" si="15"/>
        <v>0</v>
      </c>
      <c r="N79" s="1">
        <f t="shared" si="25"/>
        <v>1</v>
      </c>
      <c r="O79" s="1" t="str">
        <f t="shared" si="16"/>
        <v>主动去库存</v>
      </c>
      <c r="P79" s="1" t="str">
        <f t="shared" si="17"/>
        <v>产能周期下行</v>
      </c>
      <c r="Q79" s="2" t="str">
        <f t="shared" si="18"/>
        <v>产能周期下行,主动去库存</v>
      </c>
      <c r="S79" s="12">
        <v>40663</v>
      </c>
      <c r="T79" s="13">
        <v>52.9</v>
      </c>
      <c r="V79" s="12">
        <v>43555</v>
      </c>
      <c r="W79" s="13">
        <v>0.3</v>
      </c>
      <c r="Y79" s="12">
        <v>40633</v>
      </c>
      <c r="Z79" s="13">
        <v>43.12</v>
      </c>
    </row>
    <row r="80" spans="1:26" x14ac:dyDescent="0.35">
      <c r="A80" s="8">
        <f t="shared" si="19"/>
        <v>43708</v>
      </c>
      <c r="B80" s="9">
        <f t="shared" si="13"/>
        <v>49.5</v>
      </c>
      <c r="C80" s="9">
        <f t="shared" si="20"/>
        <v>2.2000000000000002</v>
      </c>
      <c r="D80" s="9">
        <f t="shared" si="14"/>
        <v>42.8</v>
      </c>
      <c r="E80" s="1">
        <v>0</v>
      </c>
      <c r="F80" s="1">
        <v>1</v>
      </c>
      <c r="G80" s="7">
        <v>0</v>
      </c>
      <c r="H80" s="7">
        <v>1</v>
      </c>
      <c r="I80" s="1">
        <f t="shared" si="21"/>
        <v>1</v>
      </c>
      <c r="J80" s="1">
        <f t="shared" si="22"/>
        <v>0</v>
      </c>
      <c r="K80" s="1">
        <f t="shared" si="23"/>
        <v>0</v>
      </c>
      <c r="L80" s="1">
        <f t="shared" si="24"/>
        <v>0</v>
      </c>
      <c r="M80" s="1">
        <f t="shared" si="15"/>
        <v>1</v>
      </c>
      <c r="N80" s="1">
        <f t="shared" si="25"/>
        <v>0</v>
      </c>
      <c r="O80" s="1" t="str">
        <f t="shared" si="16"/>
        <v>主动去库存</v>
      </c>
      <c r="P80" s="1" t="str">
        <f t="shared" si="17"/>
        <v>产能周期上行</v>
      </c>
      <c r="Q80" s="2" t="str">
        <f t="shared" si="18"/>
        <v>产能周期上行,主动去库存</v>
      </c>
      <c r="S80" s="12">
        <v>40694</v>
      </c>
      <c r="T80" s="13">
        <v>52</v>
      </c>
      <c r="V80" s="12">
        <v>43524</v>
      </c>
      <c r="W80" s="13">
        <v>6.2</v>
      </c>
      <c r="Y80" s="12">
        <v>40724</v>
      </c>
      <c r="Z80" s="13">
        <v>43.76</v>
      </c>
    </row>
    <row r="81" spans="1:26" x14ac:dyDescent="0.35">
      <c r="A81" s="8">
        <f t="shared" si="19"/>
        <v>43677</v>
      </c>
      <c r="B81" s="9">
        <f t="shared" si="13"/>
        <v>49.7</v>
      </c>
      <c r="C81" s="9">
        <f t="shared" si="20"/>
        <v>2.2999999999999998</v>
      </c>
      <c r="D81" s="9">
        <f t="shared" si="14"/>
        <v>42.8</v>
      </c>
      <c r="E81" s="1">
        <v>0</v>
      </c>
      <c r="F81" s="1">
        <v>1</v>
      </c>
      <c r="G81" s="7">
        <v>0</v>
      </c>
      <c r="H81" s="7">
        <v>1</v>
      </c>
      <c r="I81" s="1">
        <f t="shared" si="21"/>
        <v>1</v>
      </c>
      <c r="J81" s="1">
        <f t="shared" si="22"/>
        <v>0</v>
      </c>
      <c r="K81" s="1">
        <f t="shared" si="23"/>
        <v>0</v>
      </c>
      <c r="L81" s="1">
        <f t="shared" si="24"/>
        <v>0</v>
      </c>
      <c r="M81" s="1">
        <f t="shared" si="15"/>
        <v>1</v>
      </c>
      <c r="N81" s="1">
        <f t="shared" si="25"/>
        <v>0</v>
      </c>
      <c r="O81" s="1" t="str">
        <f t="shared" si="16"/>
        <v>主动去库存</v>
      </c>
      <c r="P81" s="1" t="str">
        <f t="shared" si="17"/>
        <v>产能周期上行</v>
      </c>
      <c r="Q81" s="2" t="str">
        <f t="shared" si="18"/>
        <v>产能周期上行,主动去库存</v>
      </c>
      <c r="S81" s="12">
        <v>40724</v>
      </c>
      <c r="T81" s="13">
        <v>50.9</v>
      </c>
      <c r="V81" s="12">
        <v>43465</v>
      </c>
      <c r="W81" s="13">
        <v>7.4</v>
      </c>
      <c r="Y81" s="12">
        <v>40816</v>
      </c>
      <c r="Z81" s="13">
        <v>42.95</v>
      </c>
    </row>
    <row r="82" spans="1:26" x14ac:dyDescent="0.35">
      <c r="A82" s="8">
        <f t="shared" si="19"/>
        <v>43646</v>
      </c>
      <c r="B82" s="9">
        <f t="shared" si="13"/>
        <v>49.4</v>
      </c>
      <c r="C82" s="9">
        <f t="shared" si="20"/>
        <v>3.5</v>
      </c>
      <c r="D82" s="9">
        <f t="shared" si="14"/>
        <v>42.8</v>
      </c>
      <c r="E82" s="1">
        <v>0</v>
      </c>
      <c r="F82" s="1">
        <v>1</v>
      </c>
      <c r="G82" s="7">
        <v>0</v>
      </c>
      <c r="H82" s="7">
        <v>1</v>
      </c>
      <c r="I82" s="1">
        <f t="shared" si="21"/>
        <v>1</v>
      </c>
      <c r="J82" s="1">
        <f t="shared" si="22"/>
        <v>0</v>
      </c>
      <c r="K82" s="1">
        <f t="shared" si="23"/>
        <v>0</v>
      </c>
      <c r="L82" s="1">
        <f t="shared" si="24"/>
        <v>0</v>
      </c>
      <c r="M82" s="1">
        <f t="shared" si="15"/>
        <v>1</v>
      </c>
      <c r="N82" s="1">
        <f t="shared" si="25"/>
        <v>0</v>
      </c>
      <c r="O82" s="1" t="str">
        <f t="shared" si="16"/>
        <v>主动去库存</v>
      </c>
      <c r="P82" s="1" t="str">
        <f t="shared" si="17"/>
        <v>产能周期上行</v>
      </c>
      <c r="Q82" s="2" t="str">
        <f t="shared" si="18"/>
        <v>产能周期上行,主动去库存</v>
      </c>
      <c r="S82" s="12">
        <v>40755</v>
      </c>
      <c r="T82" s="13">
        <v>50.7</v>
      </c>
      <c r="V82" s="12">
        <v>43434</v>
      </c>
      <c r="W82" s="13">
        <v>8.6</v>
      </c>
      <c r="Y82" s="12">
        <v>40908</v>
      </c>
      <c r="Z82" s="13">
        <v>42.39</v>
      </c>
    </row>
    <row r="83" spans="1:26" x14ac:dyDescent="0.35">
      <c r="A83" s="8">
        <f t="shared" si="19"/>
        <v>43616</v>
      </c>
      <c r="B83" s="9">
        <f t="shared" si="13"/>
        <v>49.4</v>
      </c>
      <c r="C83" s="9">
        <f t="shared" si="20"/>
        <v>4.0999999999999996</v>
      </c>
      <c r="D83" s="9">
        <f t="shared" si="14"/>
        <v>41.4</v>
      </c>
      <c r="E83" s="1">
        <v>0</v>
      </c>
      <c r="F83" s="1">
        <v>1</v>
      </c>
      <c r="G83" s="7">
        <v>0</v>
      </c>
      <c r="H83" s="7">
        <v>1</v>
      </c>
      <c r="I83" s="1">
        <f t="shared" si="21"/>
        <v>1</v>
      </c>
      <c r="J83" s="1">
        <f t="shared" si="22"/>
        <v>0</v>
      </c>
      <c r="K83" s="1">
        <f t="shared" si="23"/>
        <v>0</v>
      </c>
      <c r="L83" s="1">
        <f t="shared" si="24"/>
        <v>0</v>
      </c>
      <c r="M83" s="1">
        <f t="shared" si="15"/>
        <v>0</v>
      </c>
      <c r="N83" s="1">
        <f t="shared" si="25"/>
        <v>1</v>
      </c>
      <c r="O83" s="1" t="str">
        <f t="shared" si="16"/>
        <v>主动去库存</v>
      </c>
      <c r="P83" s="1" t="str">
        <f t="shared" si="17"/>
        <v>产能周期下行</v>
      </c>
      <c r="Q83" s="2" t="str">
        <f t="shared" si="18"/>
        <v>产能周期下行,主动去库存</v>
      </c>
      <c r="S83" s="12">
        <v>40786</v>
      </c>
      <c r="T83" s="13">
        <v>50.9</v>
      </c>
      <c r="V83" s="12">
        <v>43404</v>
      </c>
      <c r="W83" s="13">
        <v>9.5</v>
      </c>
      <c r="Y83" s="12">
        <v>40999</v>
      </c>
      <c r="Z83" s="13">
        <v>40.4</v>
      </c>
    </row>
    <row r="84" spans="1:26" x14ac:dyDescent="0.35">
      <c r="A84" s="8">
        <f t="shared" si="19"/>
        <v>43585</v>
      </c>
      <c r="B84" s="9">
        <f t="shared" si="13"/>
        <v>50.1</v>
      </c>
      <c r="C84" s="9">
        <f t="shared" si="20"/>
        <v>4.9000000000000004</v>
      </c>
      <c r="D84" s="9">
        <f t="shared" si="14"/>
        <v>41.4</v>
      </c>
      <c r="E84" s="1">
        <v>0</v>
      </c>
      <c r="F84" s="1">
        <v>1</v>
      </c>
      <c r="G84" s="7">
        <v>0</v>
      </c>
      <c r="H84" s="7">
        <v>1</v>
      </c>
      <c r="I84" s="1">
        <f t="shared" si="21"/>
        <v>1</v>
      </c>
      <c r="J84" s="1">
        <f t="shared" si="22"/>
        <v>0</v>
      </c>
      <c r="K84" s="1">
        <f t="shared" si="23"/>
        <v>0</v>
      </c>
      <c r="L84" s="1">
        <f t="shared" si="24"/>
        <v>0</v>
      </c>
      <c r="M84" s="1">
        <f t="shared" si="15"/>
        <v>0</v>
      </c>
      <c r="N84" s="1">
        <f t="shared" si="25"/>
        <v>1</v>
      </c>
      <c r="O84" s="1" t="str">
        <f t="shared" si="16"/>
        <v>主动去库存</v>
      </c>
      <c r="P84" s="1" t="str">
        <f t="shared" si="17"/>
        <v>产能周期下行</v>
      </c>
      <c r="Q84" s="2" t="str">
        <f t="shared" si="18"/>
        <v>产能周期下行,主动去库存</v>
      </c>
      <c r="S84" s="12">
        <v>40816</v>
      </c>
      <c r="T84" s="13">
        <v>51.2</v>
      </c>
      <c r="V84" s="12">
        <v>43373</v>
      </c>
      <c r="W84" s="13">
        <v>9.4</v>
      </c>
      <c r="Y84" s="12">
        <v>41090</v>
      </c>
      <c r="Z84" s="13">
        <v>40.9</v>
      </c>
    </row>
    <row r="85" spans="1:26" x14ac:dyDescent="0.35">
      <c r="A85" s="8">
        <f t="shared" si="19"/>
        <v>43555</v>
      </c>
      <c r="B85" s="10">
        <f t="shared" si="13"/>
        <v>50.5</v>
      </c>
      <c r="C85" s="9">
        <f t="shared" si="20"/>
        <v>0.3</v>
      </c>
      <c r="D85" s="9">
        <f t="shared" si="14"/>
        <v>41.4</v>
      </c>
      <c r="E85" s="1">
        <v>0</v>
      </c>
      <c r="F85" s="1">
        <v>1</v>
      </c>
      <c r="G85" s="7">
        <v>0</v>
      </c>
      <c r="H85" s="7">
        <v>1</v>
      </c>
      <c r="I85" s="1">
        <f t="shared" si="21"/>
        <v>1</v>
      </c>
      <c r="J85" s="1">
        <f t="shared" si="22"/>
        <v>0</v>
      </c>
      <c r="K85" s="1">
        <f t="shared" si="23"/>
        <v>0</v>
      </c>
      <c r="L85" s="1">
        <f t="shared" si="24"/>
        <v>0</v>
      </c>
      <c r="M85" s="1">
        <f t="shared" si="15"/>
        <v>0</v>
      </c>
      <c r="N85" s="1">
        <f t="shared" si="25"/>
        <v>1</v>
      </c>
      <c r="O85" s="1" t="str">
        <f t="shared" si="16"/>
        <v>主动去库存</v>
      </c>
      <c r="P85" s="1" t="str">
        <f t="shared" si="17"/>
        <v>产能周期下行</v>
      </c>
      <c r="Q85" s="2" t="str">
        <f t="shared" si="18"/>
        <v>产能周期下行,主动去库存</v>
      </c>
      <c r="S85" s="12">
        <v>40847</v>
      </c>
      <c r="T85" s="13">
        <v>50.4</v>
      </c>
      <c r="V85" s="12">
        <v>43343</v>
      </c>
      <c r="W85" s="13">
        <v>9.8000000000000007</v>
      </c>
      <c r="Y85" s="12">
        <v>41182</v>
      </c>
      <c r="Z85" s="13">
        <v>39.700000000000003</v>
      </c>
    </row>
    <row r="86" spans="1:26" x14ac:dyDescent="0.35">
      <c r="A86" s="8">
        <f t="shared" si="19"/>
        <v>43524</v>
      </c>
      <c r="B86" s="9">
        <f t="shared" si="13"/>
        <v>49.2</v>
      </c>
      <c r="C86" s="9">
        <f t="shared" si="20"/>
        <v>6.2</v>
      </c>
      <c r="D86" s="9">
        <f t="shared" si="14"/>
        <v>43.6</v>
      </c>
      <c r="E86" s="1">
        <v>0</v>
      </c>
      <c r="F86" s="1">
        <v>1</v>
      </c>
      <c r="G86" s="7">
        <v>1</v>
      </c>
      <c r="H86" s="7">
        <v>0</v>
      </c>
      <c r="I86" s="1">
        <f t="shared" si="21"/>
        <v>0</v>
      </c>
      <c r="J86" s="1">
        <f t="shared" si="22"/>
        <v>0</v>
      </c>
      <c r="K86" s="1">
        <f t="shared" si="23"/>
        <v>1</v>
      </c>
      <c r="L86" s="1">
        <f t="shared" si="24"/>
        <v>0</v>
      </c>
      <c r="M86" s="1">
        <f t="shared" si="15"/>
        <v>1</v>
      </c>
      <c r="N86" s="1">
        <f t="shared" si="25"/>
        <v>0</v>
      </c>
      <c r="O86" s="1" t="str">
        <f t="shared" si="16"/>
        <v>被动去库存</v>
      </c>
      <c r="P86" s="1" t="str">
        <f t="shared" si="17"/>
        <v>产能周期上行</v>
      </c>
      <c r="Q86" s="2" t="str">
        <f t="shared" si="18"/>
        <v>产能周期上行,被动去库存</v>
      </c>
      <c r="S86" s="12">
        <v>40877</v>
      </c>
      <c r="T86" s="13">
        <v>49</v>
      </c>
      <c r="V86" s="12">
        <v>43312</v>
      </c>
      <c r="W86" s="13">
        <v>9.5</v>
      </c>
      <c r="Y86" s="12">
        <v>41274</v>
      </c>
      <c r="Z86" s="13">
        <v>40</v>
      </c>
    </row>
    <row r="87" spans="1:26" x14ac:dyDescent="0.35">
      <c r="A87" s="8">
        <f t="shared" si="19"/>
        <v>43496</v>
      </c>
      <c r="B87" s="9">
        <f t="shared" si="13"/>
        <v>49.5</v>
      </c>
      <c r="C87" s="9" t="e">
        <f t="shared" si="20"/>
        <v>#N/A</v>
      </c>
      <c r="D87" s="9">
        <f t="shared" si="14"/>
        <v>43.6</v>
      </c>
      <c r="E87" s="1">
        <v>0</v>
      </c>
      <c r="F87" s="1">
        <v>1</v>
      </c>
      <c r="G87" s="7">
        <v>1</v>
      </c>
      <c r="H87" s="7">
        <v>0</v>
      </c>
      <c r="I87" s="1">
        <f t="shared" si="21"/>
        <v>0</v>
      </c>
      <c r="J87" s="1">
        <f t="shared" si="22"/>
        <v>0</v>
      </c>
      <c r="K87" s="1">
        <f t="shared" si="23"/>
        <v>1</v>
      </c>
      <c r="L87" s="1">
        <f t="shared" si="24"/>
        <v>0</v>
      </c>
      <c r="M87" s="1">
        <f t="shared" si="15"/>
        <v>1</v>
      </c>
      <c r="N87" s="1">
        <f t="shared" si="25"/>
        <v>0</v>
      </c>
      <c r="O87" s="1" t="str">
        <f t="shared" si="16"/>
        <v>被动去库存</v>
      </c>
      <c r="P87" s="1" t="str">
        <f t="shared" si="17"/>
        <v>产能周期上行</v>
      </c>
      <c r="Q87" s="2" t="str">
        <f t="shared" si="18"/>
        <v>产能周期上行,被动去库存</v>
      </c>
      <c r="S87" s="12">
        <v>40908</v>
      </c>
      <c r="T87" s="13">
        <v>50.3</v>
      </c>
      <c r="V87" s="12">
        <v>43281</v>
      </c>
      <c r="W87" s="13">
        <v>8.3000000000000007</v>
      </c>
      <c r="Y87" s="12">
        <v>41364</v>
      </c>
      <c r="Z87" s="13">
        <v>39.299999999999997</v>
      </c>
    </row>
    <row r="88" spans="1:26" x14ac:dyDescent="0.35">
      <c r="A88" s="8">
        <f t="shared" si="19"/>
        <v>43465</v>
      </c>
      <c r="B88" s="9">
        <f t="shared" si="13"/>
        <v>49.4</v>
      </c>
      <c r="C88" s="9">
        <f t="shared" si="20"/>
        <v>7.4</v>
      </c>
      <c r="D88" s="9">
        <f t="shared" si="14"/>
        <v>43.6</v>
      </c>
      <c r="E88" s="1">
        <v>0</v>
      </c>
      <c r="F88" s="1">
        <v>1</v>
      </c>
      <c r="G88" s="7">
        <v>1</v>
      </c>
      <c r="H88" s="7">
        <v>0</v>
      </c>
      <c r="I88" s="1">
        <f t="shared" si="21"/>
        <v>0</v>
      </c>
      <c r="J88" s="1">
        <f t="shared" si="22"/>
        <v>0</v>
      </c>
      <c r="K88" s="1">
        <f t="shared" si="23"/>
        <v>1</v>
      </c>
      <c r="L88" s="1">
        <f t="shared" si="24"/>
        <v>0</v>
      </c>
      <c r="M88" s="1">
        <f t="shared" si="15"/>
        <v>1</v>
      </c>
      <c r="N88" s="1">
        <f t="shared" si="25"/>
        <v>0</v>
      </c>
      <c r="O88" s="1" t="str">
        <f t="shared" si="16"/>
        <v>被动去库存</v>
      </c>
      <c r="P88" s="1" t="str">
        <f t="shared" si="17"/>
        <v>产能周期上行</v>
      </c>
      <c r="Q88" s="2" t="str">
        <f t="shared" si="18"/>
        <v>产能周期上行,被动去库存</v>
      </c>
      <c r="S88" s="12">
        <v>40939</v>
      </c>
      <c r="T88" s="13">
        <v>50.5</v>
      </c>
      <c r="V88" s="12">
        <v>43251</v>
      </c>
      <c r="W88" s="13">
        <v>7.3</v>
      </c>
      <c r="Y88" s="12">
        <v>41455</v>
      </c>
      <c r="Z88" s="13">
        <v>40.6</v>
      </c>
    </row>
    <row r="89" spans="1:26" x14ac:dyDescent="0.35">
      <c r="A89" s="8">
        <f t="shared" si="19"/>
        <v>43434</v>
      </c>
      <c r="B89" s="9">
        <f t="shared" si="13"/>
        <v>50</v>
      </c>
      <c r="C89" s="9">
        <f t="shared" si="20"/>
        <v>8.6</v>
      </c>
      <c r="D89" s="9">
        <f t="shared" si="14"/>
        <v>42.5</v>
      </c>
      <c r="E89" s="1">
        <v>0</v>
      </c>
      <c r="F89" s="1">
        <v>1</v>
      </c>
      <c r="G89" s="7">
        <v>1</v>
      </c>
      <c r="H89" s="7">
        <v>0</v>
      </c>
      <c r="I89" s="1">
        <f t="shared" si="21"/>
        <v>0</v>
      </c>
      <c r="J89" s="1">
        <f t="shared" si="22"/>
        <v>0</v>
      </c>
      <c r="K89" s="1">
        <f t="shared" si="23"/>
        <v>1</v>
      </c>
      <c r="L89" s="1">
        <f t="shared" si="24"/>
        <v>0</v>
      </c>
      <c r="M89" s="1">
        <f t="shared" si="15"/>
        <v>0</v>
      </c>
      <c r="N89" s="1">
        <f t="shared" si="25"/>
        <v>1</v>
      </c>
      <c r="O89" s="1" t="str">
        <f t="shared" si="16"/>
        <v>被动去库存</v>
      </c>
      <c r="P89" s="1" t="str">
        <f t="shared" si="17"/>
        <v>产能周期下行</v>
      </c>
      <c r="Q89" s="2" t="str">
        <f t="shared" si="18"/>
        <v>产能周期下行,被动去库存</v>
      </c>
      <c r="S89" s="12">
        <v>40968</v>
      </c>
      <c r="T89" s="13">
        <v>51</v>
      </c>
      <c r="V89" s="12">
        <v>43220</v>
      </c>
      <c r="W89" s="13">
        <v>5.5</v>
      </c>
      <c r="Y89" s="12">
        <v>41547</v>
      </c>
      <c r="Z89" s="13">
        <v>39.799999999999997</v>
      </c>
    </row>
    <row r="90" spans="1:26" x14ac:dyDescent="0.35">
      <c r="A90" s="8">
        <f t="shared" si="19"/>
        <v>43404</v>
      </c>
      <c r="B90" s="9">
        <f t="shared" si="13"/>
        <v>50.2</v>
      </c>
      <c r="C90" s="9">
        <f t="shared" si="20"/>
        <v>9.5</v>
      </c>
      <c r="D90" s="9">
        <f t="shared" si="14"/>
        <v>42.5</v>
      </c>
      <c r="E90" s="1">
        <v>1</v>
      </c>
      <c r="F90" s="1">
        <v>0</v>
      </c>
      <c r="G90" s="7">
        <v>1</v>
      </c>
      <c r="H90" s="7">
        <v>0</v>
      </c>
      <c r="I90" s="1">
        <f t="shared" si="21"/>
        <v>0</v>
      </c>
      <c r="J90" s="1">
        <f t="shared" si="22"/>
        <v>0</v>
      </c>
      <c r="K90" s="1">
        <f t="shared" si="23"/>
        <v>0</v>
      </c>
      <c r="L90" s="1">
        <f t="shared" si="24"/>
        <v>1</v>
      </c>
      <c r="M90" s="1">
        <f t="shared" si="15"/>
        <v>0</v>
      </c>
      <c r="N90" s="1">
        <f t="shared" si="25"/>
        <v>1</v>
      </c>
      <c r="O90" s="1" t="str">
        <f t="shared" si="16"/>
        <v>主动补库存</v>
      </c>
      <c r="P90" s="1" t="str">
        <f t="shared" si="17"/>
        <v>产能周期下行</v>
      </c>
      <c r="Q90" s="2" t="str">
        <f t="shared" si="18"/>
        <v>产能周期下行,主动补库存</v>
      </c>
      <c r="S90" s="12">
        <v>40999</v>
      </c>
      <c r="T90" s="13">
        <v>53.1</v>
      </c>
      <c r="V90" s="12">
        <v>43190</v>
      </c>
      <c r="W90" s="13">
        <v>8.6999999999999993</v>
      </c>
      <c r="Y90" s="12">
        <v>41639</v>
      </c>
      <c r="Z90" s="13">
        <v>41.2</v>
      </c>
    </row>
    <row r="91" spans="1:26" x14ac:dyDescent="0.35">
      <c r="A91" s="8">
        <f t="shared" si="19"/>
        <v>43373</v>
      </c>
      <c r="B91" s="9">
        <f t="shared" si="13"/>
        <v>50.8</v>
      </c>
      <c r="C91" s="9">
        <f t="shared" si="20"/>
        <v>9.4</v>
      </c>
      <c r="D91" s="9">
        <f t="shared" si="14"/>
        <v>42.5</v>
      </c>
      <c r="E91" s="1">
        <v>1</v>
      </c>
      <c r="F91" s="1">
        <v>0</v>
      </c>
      <c r="G91" s="7">
        <v>1</v>
      </c>
      <c r="H91" s="7">
        <v>0</v>
      </c>
      <c r="I91" s="1">
        <f t="shared" si="21"/>
        <v>0</v>
      </c>
      <c r="J91" s="1">
        <f t="shared" si="22"/>
        <v>0</v>
      </c>
      <c r="K91" s="1">
        <f t="shared" si="23"/>
        <v>0</v>
      </c>
      <c r="L91" s="1">
        <f t="shared" si="24"/>
        <v>1</v>
      </c>
      <c r="M91" s="1">
        <f t="shared" si="15"/>
        <v>0</v>
      </c>
      <c r="N91" s="1">
        <f t="shared" si="25"/>
        <v>1</v>
      </c>
      <c r="O91" s="1" t="str">
        <f t="shared" si="16"/>
        <v>主动补库存</v>
      </c>
      <c r="P91" s="1" t="str">
        <f t="shared" si="17"/>
        <v>产能周期下行</v>
      </c>
      <c r="Q91" s="2" t="str">
        <f t="shared" si="18"/>
        <v>产能周期下行,主动补库存</v>
      </c>
      <c r="S91" s="12">
        <v>41029</v>
      </c>
      <c r="T91" s="13">
        <v>53.3</v>
      </c>
      <c r="V91" s="12">
        <v>43159</v>
      </c>
      <c r="W91" s="13">
        <v>8.6</v>
      </c>
      <c r="Y91" s="12">
        <v>41729</v>
      </c>
      <c r="Z91" s="13">
        <v>39.200000000000003</v>
      </c>
    </row>
    <row r="92" spans="1:26" x14ac:dyDescent="0.35">
      <c r="A92" s="8">
        <f t="shared" si="19"/>
        <v>43343</v>
      </c>
      <c r="B92" s="9">
        <f t="shared" si="13"/>
        <v>51.3</v>
      </c>
      <c r="C92" s="9">
        <f t="shared" si="20"/>
        <v>9.8000000000000007</v>
      </c>
      <c r="D92" s="9">
        <f t="shared" si="14"/>
        <v>43.7</v>
      </c>
      <c r="E92" s="1">
        <v>1</v>
      </c>
      <c r="F92" s="1">
        <v>0</v>
      </c>
      <c r="G92" s="7">
        <v>1</v>
      </c>
      <c r="H92" s="7">
        <v>0</v>
      </c>
      <c r="I92" s="1">
        <f t="shared" si="21"/>
        <v>0</v>
      </c>
      <c r="J92" s="1">
        <f t="shared" si="22"/>
        <v>0</v>
      </c>
      <c r="K92" s="1">
        <f t="shared" si="23"/>
        <v>0</v>
      </c>
      <c r="L92" s="1">
        <f t="shared" si="24"/>
        <v>1</v>
      </c>
      <c r="M92" s="1">
        <f t="shared" si="15"/>
        <v>1</v>
      </c>
      <c r="N92" s="1">
        <f t="shared" si="25"/>
        <v>0</v>
      </c>
      <c r="O92" s="1" t="str">
        <f t="shared" si="16"/>
        <v>主动补库存</v>
      </c>
      <c r="P92" s="1" t="str">
        <f t="shared" si="17"/>
        <v>产能周期上行</v>
      </c>
      <c r="Q92" s="2" t="str">
        <f t="shared" si="18"/>
        <v>产能周期上行,主动补库存</v>
      </c>
      <c r="S92" s="12">
        <v>41060</v>
      </c>
      <c r="T92" s="13">
        <v>50.4</v>
      </c>
      <c r="V92" s="12">
        <v>43100</v>
      </c>
      <c r="W92" s="13">
        <v>8.5</v>
      </c>
      <c r="Y92" s="12">
        <v>41820</v>
      </c>
      <c r="Z92" s="13">
        <v>40.6</v>
      </c>
    </row>
    <row r="93" spans="1:26" x14ac:dyDescent="0.35">
      <c r="A93" s="8">
        <f t="shared" si="19"/>
        <v>43312</v>
      </c>
      <c r="B93" s="9">
        <f t="shared" si="13"/>
        <v>51.2</v>
      </c>
      <c r="C93" s="9">
        <f t="shared" si="20"/>
        <v>9.5</v>
      </c>
      <c r="D93" s="9">
        <f t="shared" si="14"/>
        <v>43.7</v>
      </c>
      <c r="E93" s="1">
        <v>1</v>
      </c>
      <c r="F93" s="1">
        <v>0</v>
      </c>
      <c r="G93" s="7">
        <v>1</v>
      </c>
      <c r="H93" s="7">
        <v>0</v>
      </c>
      <c r="I93" s="1">
        <f t="shared" si="21"/>
        <v>0</v>
      </c>
      <c r="J93" s="1">
        <f t="shared" si="22"/>
        <v>0</v>
      </c>
      <c r="K93" s="1">
        <f t="shared" si="23"/>
        <v>0</v>
      </c>
      <c r="L93" s="1">
        <f t="shared" si="24"/>
        <v>1</v>
      </c>
      <c r="M93" s="1">
        <f t="shared" si="15"/>
        <v>1</v>
      </c>
      <c r="N93" s="1">
        <f t="shared" si="25"/>
        <v>0</v>
      </c>
      <c r="O93" s="1" t="str">
        <f t="shared" si="16"/>
        <v>主动补库存</v>
      </c>
      <c r="P93" s="1" t="str">
        <f t="shared" si="17"/>
        <v>产能周期上行</v>
      </c>
      <c r="Q93" s="2" t="str">
        <f t="shared" si="18"/>
        <v>产能周期上行,主动补库存</v>
      </c>
      <c r="S93" s="12">
        <v>41090</v>
      </c>
      <c r="T93" s="13">
        <v>50.2</v>
      </c>
      <c r="V93" s="12">
        <v>43069</v>
      </c>
      <c r="W93" s="13">
        <v>9</v>
      </c>
      <c r="Y93" s="12">
        <v>41912</v>
      </c>
      <c r="Z93" s="13">
        <v>40.6</v>
      </c>
    </row>
    <row r="94" spans="1:26" x14ac:dyDescent="0.35">
      <c r="A94" s="8">
        <f t="shared" si="19"/>
        <v>43281</v>
      </c>
      <c r="B94" s="9">
        <f t="shared" si="13"/>
        <v>51.5</v>
      </c>
      <c r="C94" s="9">
        <f t="shared" si="20"/>
        <v>8.3000000000000007</v>
      </c>
      <c r="D94" s="9">
        <f t="shared" si="14"/>
        <v>43.7</v>
      </c>
      <c r="E94" s="1">
        <v>1</v>
      </c>
      <c r="F94" s="1">
        <v>0</v>
      </c>
      <c r="G94" s="7">
        <v>1</v>
      </c>
      <c r="H94" s="7">
        <v>0</v>
      </c>
      <c r="I94" s="1">
        <f t="shared" si="21"/>
        <v>0</v>
      </c>
      <c r="J94" s="1">
        <f t="shared" si="22"/>
        <v>0</v>
      </c>
      <c r="K94" s="1">
        <f t="shared" si="23"/>
        <v>0</v>
      </c>
      <c r="L94" s="1">
        <f t="shared" si="24"/>
        <v>1</v>
      </c>
      <c r="M94" s="1">
        <f t="shared" si="15"/>
        <v>1</v>
      </c>
      <c r="N94" s="1">
        <f t="shared" si="25"/>
        <v>0</v>
      </c>
      <c r="O94" s="1" t="str">
        <f t="shared" si="16"/>
        <v>主动补库存</v>
      </c>
      <c r="P94" s="1" t="str">
        <f t="shared" si="17"/>
        <v>产能周期上行</v>
      </c>
      <c r="Q94" s="2" t="str">
        <f t="shared" si="18"/>
        <v>产能周期上行,主动补库存</v>
      </c>
      <c r="S94" s="12">
        <v>41121</v>
      </c>
      <c r="T94" s="13">
        <v>50.1</v>
      </c>
      <c r="V94" s="12">
        <v>43039</v>
      </c>
      <c r="W94" s="13">
        <v>9</v>
      </c>
      <c r="Y94" s="12">
        <v>42004</v>
      </c>
      <c r="Z94" s="13">
        <v>40.4</v>
      </c>
    </row>
    <row r="95" spans="1:26" x14ac:dyDescent="0.35">
      <c r="A95" s="8">
        <f t="shared" si="19"/>
        <v>43251</v>
      </c>
      <c r="B95" s="9">
        <f t="shared" si="13"/>
        <v>51.9</v>
      </c>
      <c r="C95" s="9">
        <f t="shared" si="20"/>
        <v>7.3</v>
      </c>
      <c r="D95" s="9">
        <f t="shared" si="14"/>
        <v>41.4</v>
      </c>
      <c r="E95" s="1">
        <v>1</v>
      </c>
      <c r="F95" s="1">
        <v>0</v>
      </c>
      <c r="G95" s="7">
        <v>1</v>
      </c>
      <c r="H95" s="7">
        <v>0</v>
      </c>
      <c r="I95" s="1">
        <f t="shared" si="21"/>
        <v>0</v>
      </c>
      <c r="J95" s="1">
        <f t="shared" si="22"/>
        <v>0</v>
      </c>
      <c r="K95" s="1">
        <f t="shared" si="23"/>
        <v>0</v>
      </c>
      <c r="L95" s="1">
        <f t="shared" si="24"/>
        <v>1</v>
      </c>
      <c r="M95" s="1">
        <f t="shared" si="15"/>
        <v>0</v>
      </c>
      <c r="N95" s="1">
        <f t="shared" si="25"/>
        <v>1</v>
      </c>
      <c r="O95" s="1" t="str">
        <f t="shared" si="16"/>
        <v>主动补库存</v>
      </c>
      <c r="P95" s="1" t="str">
        <f t="shared" si="17"/>
        <v>产能周期下行</v>
      </c>
      <c r="Q95" s="2" t="str">
        <f t="shared" si="18"/>
        <v>产能周期下行,主动补库存</v>
      </c>
      <c r="S95" s="12">
        <v>41152</v>
      </c>
      <c r="T95" s="13">
        <v>49.2</v>
      </c>
      <c r="V95" s="12">
        <v>43008</v>
      </c>
      <c r="W95" s="13">
        <v>7.8</v>
      </c>
      <c r="Y95" s="12">
        <v>42094</v>
      </c>
      <c r="Z95" s="13">
        <v>39</v>
      </c>
    </row>
    <row r="96" spans="1:26" x14ac:dyDescent="0.35">
      <c r="A96" s="8">
        <f t="shared" si="19"/>
        <v>43220</v>
      </c>
      <c r="B96" s="9">
        <f t="shared" si="13"/>
        <v>51.4</v>
      </c>
      <c r="C96" s="9">
        <f t="shared" si="20"/>
        <v>5.5</v>
      </c>
      <c r="D96" s="9">
        <f t="shared" si="14"/>
        <v>41.4</v>
      </c>
      <c r="E96" s="1">
        <v>1</v>
      </c>
      <c r="F96" s="1">
        <v>0</v>
      </c>
      <c r="G96" s="7">
        <v>1</v>
      </c>
      <c r="H96" s="7">
        <v>0</v>
      </c>
      <c r="I96" s="1">
        <f t="shared" si="21"/>
        <v>0</v>
      </c>
      <c r="J96" s="1">
        <f t="shared" si="22"/>
        <v>0</v>
      </c>
      <c r="K96" s="1">
        <f t="shared" si="23"/>
        <v>0</v>
      </c>
      <c r="L96" s="1">
        <f t="shared" si="24"/>
        <v>1</v>
      </c>
      <c r="M96" s="1">
        <f t="shared" si="15"/>
        <v>0</v>
      </c>
      <c r="N96" s="1">
        <f t="shared" si="25"/>
        <v>1</v>
      </c>
      <c r="O96" s="1" t="str">
        <f t="shared" si="16"/>
        <v>主动补库存</v>
      </c>
      <c r="P96" s="1" t="str">
        <f t="shared" si="17"/>
        <v>产能周期下行</v>
      </c>
      <c r="Q96" s="2" t="str">
        <f t="shared" si="18"/>
        <v>产能周期下行,主动补库存</v>
      </c>
      <c r="S96" s="12">
        <v>41182</v>
      </c>
      <c r="T96" s="13">
        <v>49.8</v>
      </c>
      <c r="V96" s="12">
        <v>42978</v>
      </c>
      <c r="W96" s="13">
        <v>7.9</v>
      </c>
      <c r="Y96" s="12">
        <v>42185</v>
      </c>
      <c r="Z96" s="13">
        <v>39.200000000000003</v>
      </c>
    </row>
    <row r="97" spans="1:26" x14ac:dyDescent="0.35">
      <c r="A97" s="8">
        <f t="shared" si="19"/>
        <v>43190</v>
      </c>
      <c r="B97" s="9">
        <f t="shared" si="13"/>
        <v>51.5</v>
      </c>
      <c r="C97" s="9">
        <f t="shared" si="20"/>
        <v>8.6999999999999993</v>
      </c>
      <c r="D97" s="9">
        <f t="shared" si="14"/>
        <v>41.4</v>
      </c>
      <c r="E97" s="1">
        <v>1</v>
      </c>
      <c r="F97" s="1">
        <v>0</v>
      </c>
      <c r="G97" s="7">
        <v>1</v>
      </c>
      <c r="H97" s="7">
        <v>0</v>
      </c>
      <c r="I97" s="1">
        <f t="shared" si="21"/>
        <v>0</v>
      </c>
      <c r="J97" s="1">
        <f t="shared" si="22"/>
        <v>0</v>
      </c>
      <c r="K97" s="1">
        <f t="shared" si="23"/>
        <v>0</v>
      </c>
      <c r="L97" s="1">
        <f t="shared" si="24"/>
        <v>1</v>
      </c>
      <c r="M97" s="1">
        <f t="shared" si="15"/>
        <v>0</v>
      </c>
      <c r="N97" s="1">
        <f t="shared" si="25"/>
        <v>1</v>
      </c>
      <c r="O97" s="1" t="str">
        <f t="shared" si="16"/>
        <v>主动补库存</v>
      </c>
      <c r="P97" s="1" t="str">
        <f t="shared" si="17"/>
        <v>产能周期下行</v>
      </c>
      <c r="Q97" s="2" t="str">
        <f t="shared" si="18"/>
        <v>产能周期下行,主动补库存</v>
      </c>
      <c r="S97" s="12">
        <v>41213</v>
      </c>
      <c r="T97" s="13">
        <v>50.2</v>
      </c>
      <c r="V97" s="12">
        <v>42947</v>
      </c>
      <c r="W97" s="13">
        <v>8</v>
      </c>
      <c r="Y97" s="12">
        <v>42277</v>
      </c>
      <c r="Z97" s="13">
        <v>37.200000000000003</v>
      </c>
    </row>
    <row r="98" spans="1:26" x14ac:dyDescent="0.35">
      <c r="A98" s="8">
        <f t="shared" si="19"/>
        <v>43159</v>
      </c>
      <c r="B98" s="9">
        <f t="shared" si="13"/>
        <v>50.3</v>
      </c>
      <c r="C98" s="9">
        <f t="shared" si="20"/>
        <v>8.6</v>
      </c>
      <c r="D98" s="9">
        <f t="shared" si="14"/>
        <v>43.8</v>
      </c>
      <c r="E98" s="1">
        <v>1</v>
      </c>
      <c r="F98" s="1">
        <v>0</v>
      </c>
      <c r="G98" s="7">
        <v>1</v>
      </c>
      <c r="H98" s="7">
        <v>0</v>
      </c>
      <c r="I98" s="1">
        <f t="shared" si="21"/>
        <v>0</v>
      </c>
      <c r="J98" s="1">
        <f t="shared" si="22"/>
        <v>0</v>
      </c>
      <c r="K98" s="1">
        <f t="shared" si="23"/>
        <v>0</v>
      </c>
      <c r="L98" s="1">
        <f t="shared" si="24"/>
        <v>1</v>
      </c>
      <c r="M98" s="1">
        <f t="shared" si="15"/>
        <v>1</v>
      </c>
      <c r="N98" s="1">
        <f t="shared" si="25"/>
        <v>0</v>
      </c>
      <c r="O98" s="1" t="str">
        <f t="shared" si="16"/>
        <v>主动补库存</v>
      </c>
      <c r="P98" s="1" t="str">
        <f t="shared" si="17"/>
        <v>产能周期上行</v>
      </c>
      <c r="Q98" s="2" t="str">
        <f t="shared" si="18"/>
        <v>产能周期上行,主动补库存</v>
      </c>
      <c r="S98" s="12">
        <v>41243</v>
      </c>
      <c r="T98" s="13">
        <v>50.6</v>
      </c>
      <c r="V98" s="12">
        <v>42916</v>
      </c>
      <c r="W98" s="13">
        <v>8.6</v>
      </c>
      <c r="Y98" s="12">
        <v>42369</v>
      </c>
      <c r="Z98" s="13">
        <v>36.9</v>
      </c>
    </row>
    <row r="99" spans="1:26" x14ac:dyDescent="0.35">
      <c r="A99" s="8">
        <f t="shared" si="19"/>
        <v>43131</v>
      </c>
      <c r="B99" s="9">
        <f t="shared" si="13"/>
        <v>51.3</v>
      </c>
      <c r="C99" s="9" t="e">
        <f t="shared" si="20"/>
        <v>#N/A</v>
      </c>
      <c r="D99" s="9">
        <f t="shared" si="14"/>
        <v>43.8</v>
      </c>
      <c r="E99" s="1">
        <v>1</v>
      </c>
      <c r="F99" s="1">
        <v>0</v>
      </c>
      <c r="G99" s="7">
        <v>1</v>
      </c>
      <c r="H99" s="7">
        <v>0</v>
      </c>
      <c r="I99" s="1">
        <f t="shared" si="21"/>
        <v>0</v>
      </c>
      <c r="J99" s="1">
        <f t="shared" si="22"/>
        <v>0</v>
      </c>
      <c r="K99" s="1">
        <f t="shared" si="23"/>
        <v>0</v>
      </c>
      <c r="L99" s="1">
        <f t="shared" si="24"/>
        <v>1</v>
      </c>
      <c r="M99" s="1">
        <f t="shared" si="15"/>
        <v>1</v>
      </c>
      <c r="N99" s="1">
        <f t="shared" si="25"/>
        <v>0</v>
      </c>
      <c r="O99" s="1" t="str">
        <f t="shared" si="16"/>
        <v>主动补库存</v>
      </c>
      <c r="P99" s="1" t="str">
        <f t="shared" si="17"/>
        <v>产能周期上行</v>
      </c>
      <c r="Q99" s="2" t="str">
        <f t="shared" si="18"/>
        <v>产能周期上行,主动补库存</v>
      </c>
      <c r="S99" s="12">
        <v>41274</v>
      </c>
      <c r="T99" s="13">
        <v>50.6</v>
      </c>
      <c r="V99" s="12">
        <v>42886</v>
      </c>
      <c r="W99" s="13">
        <v>9.3000000000000007</v>
      </c>
      <c r="Y99" s="12">
        <v>42460</v>
      </c>
      <c r="Z99" s="13">
        <v>35.200000000000003</v>
      </c>
    </row>
    <row r="100" spans="1:26" x14ac:dyDescent="0.35">
      <c r="A100" s="8">
        <f t="shared" si="19"/>
        <v>43100</v>
      </c>
      <c r="B100" s="9">
        <f t="shared" si="13"/>
        <v>51.6</v>
      </c>
      <c r="C100" s="9">
        <f t="shared" si="20"/>
        <v>8.5</v>
      </c>
      <c r="D100" s="9">
        <f t="shared" si="14"/>
        <v>43.8</v>
      </c>
      <c r="E100" s="1">
        <v>1</v>
      </c>
      <c r="F100" s="1">
        <v>0</v>
      </c>
      <c r="G100" s="7">
        <v>1</v>
      </c>
      <c r="H100" s="7">
        <v>0</v>
      </c>
      <c r="I100" s="1">
        <f t="shared" si="21"/>
        <v>0</v>
      </c>
      <c r="J100" s="1">
        <f t="shared" si="22"/>
        <v>0</v>
      </c>
      <c r="K100" s="1">
        <f t="shared" si="23"/>
        <v>0</v>
      </c>
      <c r="L100" s="1">
        <f t="shared" si="24"/>
        <v>1</v>
      </c>
      <c r="M100" s="1">
        <f t="shared" si="15"/>
        <v>1</v>
      </c>
      <c r="N100" s="1">
        <f t="shared" si="25"/>
        <v>0</v>
      </c>
      <c r="O100" s="1" t="str">
        <f t="shared" si="16"/>
        <v>主动补库存</v>
      </c>
      <c r="P100" s="1" t="str">
        <f t="shared" si="17"/>
        <v>产能周期上行</v>
      </c>
      <c r="Q100" s="2" t="str">
        <f t="shared" si="18"/>
        <v>产能周期上行,主动补库存</v>
      </c>
      <c r="S100" s="12">
        <v>41305</v>
      </c>
      <c r="T100" s="13">
        <v>50.4</v>
      </c>
      <c r="V100" s="12">
        <v>42855</v>
      </c>
      <c r="W100" s="13">
        <v>10.4</v>
      </c>
      <c r="Y100" s="12">
        <v>42551</v>
      </c>
      <c r="Z100" s="13">
        <v>36.799999999999997</v>
      </c>
    </row>
    <row r="101" spans="1:26" x14ac:dyDescent="0.35">
      <c r="A101" s="8">
        <f t="shared" si="19"/>
        <v>43069</v>
      </c>
      <c r="B101" s="9">
        <f t="shared" si="13"/>
        <v>51.8</v>
      </c>
      <c r="C101" s="9">
        <f t="shared" si="20"/>
        <v>9</v>
      </c>
      <c r="D101" s="9">
        <f t="shared" si="14"/>
        <v>41.3</v>
      </c>
      <c r="E101" s="1">
        <v>0</v>
      </c>
      <c r="F101" s="1">
        <v>1</v>
      </c>
      <c r="G101" s="7">
        <v>1</v>
      </c>
      <c r="H101" s="7">
        <v>0</v>
      </c>
      <c r="I101" s="1">
        <f t="shared" si="21"/>
        <v>0</v>
      </c>
      <c r="J101" s="1">
        <f t="shared" si="22"/>
        <v>0</v>
      </c>
      <c r="K101" s="1">
        <f t="shared" si="23"/>
        <v>1</v>
      </c>
      <c r="L101" s="1">
        <f t="shared" si="24"/>
        <v>0</v>
      </c>
      <c r="M101" s="1">
        <f t="shared" si="15"/>
        <v>1</v>
      </c>
      <c r="N101" s="1">
        <f t="shared" si="25"/>
        <v>0</v>
      </c>
      <c r="O101" s="1" t="str">
        <f t="shared" si="16"/>
        <v>被动去库存</v>
      </c>
      <c r="P101" s="1" t="str">
        <f t="shared" si="17"/>
        <v>产能周期上行</v>
      </c>
      <c r="Q101" s="2" t="str">
        <f t="shared" si="18"/>
        <v>产能周期上行,被动去库存</v>
      </c>
      <c r="S101" s="12">
        <v>41333</v>
      </c>
      <c r="T101" s="13">
        <v>50.1</v>
      </c>
      <c r="V101" s="12">
        <v>42825</v>
      </c>
      <c r="W101" s="13">
        <v>8.1999999999999993</v>
      </c>
      <c r="Y101" s="12">
        <v>42643</v>
      </c>
      <c r="Z101" s="13">
        <v>37.700000000000003</v>
      </c>
    </row>
    <row r="102" spans="1:26" x14ac:dyDescent="0.35">
      <c r="A102" s="8">
        <f t="shared" si="19"/>
        <v>43039</v>
      </c>
      <c r="B102" s="9">
        <f t="shared" si="13"/>
        <v>51.6</v>
      </c>
      <c r="C102" s="9">
        <f t="shared" si="20"/>
        <v>9</v>
      </c>
      <c r="D102" s="9">
        <f t="shared" si="14"/>
        <v>41.3</v>
      </c>
      <c r="E102" s="1">
        <v>0</v>
      </c>
      <c r="F102" s="1">
        <v>1</v>
      </c>
      <c r="G102" s="7">
        <v>1</v>
      </c>
      <c r="H102" s="7">
        <v>0</v>
      </c>
      <c r="I102" s="1">
        <f t="shared" si="21"/>
        <v>0</v>
      </c>
      <c r="J102" s="1">
        <f t="shared" si="22"/>
        <v>0</v>
      </c>
      <c r="K102" s="1">
        <f t="shared" si="23"/>
        <v>1</v>
      </c>
      <c r="L102" s="1">
        <f t="shared" si="24"/>
        <v>0</v>
      </c>
      <c r="M102" s="1">
        <f t="shared" si="15"/>
        <v>1</v>
      </c>
      <c r="N102" s="1">
        <f t="shared" si="25"/>
        <v>0</v>
      </c>
      <c r="O102" s="1" t="str">
        <f t="shared" si="16"/>
        <v>被动去库存</v>
      </c>
      <c r="P102" s="1" t="str">
        <f t="shared" si="17"/>
        <v>产能周期上行</v>
      </c>
      <c r="Q102" s="2" t="str">
        <f t="shared" si="18"/>
        <v>产能周期上行,被动去库存</v>
      </c>
      <c r="S102" s="12">
        <v>41364</v>
      </c>
      <c r="T102" s="13">
        <v>50.9</v>
      </c>
      <c r="V102" s="12">
        <v>42794</v>
      </c>
      <c r="W102" s="13">
        <v>6.1</v>
      </c>
      <c r="Y102" s="12">
        <v>42735</v>
      </c>
      <c r="Z102" s="13">
        <v>40.1</v>
      </c>
    </row>
    <row r="103" spans="1:26" x14ac:dyDescent="0.35">
      <c r="A103" s="8">
        <f t="shared" si="19"/>
        <v>43008</v>
      </c>
      <c r="B103" s="9">
        <f t="shared" si="13"/>
        <v>52.4</v>
      </c>
      <c r="C103" s="9">
        <f t="shared" si="20"/>
        <v>7.8</v>
      </c>
      <c r="D103" s="9">
        <f t="shared" si="14"/>
        <v>41.3</v>
      </c>
      <c r="E103" s="1">
        <v>0</v>
      </c>
      <c r="F103" s="1">
        <v>1</v>
      </c>
      <c r="G103" s="7">
        <v>1</v>
      </c>
      <c r="H103" s="7">
        <v>0</v>
      </c>
      <c r="I103" s="1">
        <f t="shared" si="21"/>
        <v>0</v>
      </c>
      <c r="J103" s="1">
        <f t="shared" si="22"/>
        <v>0</v>
      </c>
      <c r="K103" s="1">
        <f t="shared" si="23"/>
        <v>1</v>
      </c>
      <c r="L103" s="1">
        <f t="shared" si="24"/>
        <v>0</v>
      </c>
      <c r="M103" s="1">
        <f t="shared" si="15"/>
        <v>1</v>
      </c>
      <c r="N103" s="1">
        <f t="shared" si="25"/>
        <v>0</v>
      </c>
      <c r="O103" s="1" t="str">
        <f t="shared" si="16"/>
        <v>被动去库存</v>
      </c>
      <c r="P103" s="1" t="str">
        <f t="shared" si="17"/>
        <v>产能周期上行</v>
      </c>
      <c r="Q103" s="2" t="str">
        <f t="shared" si="18"/>
        <v>产能周期上行,被动去库存</v>
      </c>
      <c r="S103" s="12">
        <v>41394</v>
      </c>
      <c r="T103" s="13">
        <v>50.6</v>
      </c>
      <c r="V103" s="12">
        <v>42735</v>
      </c>
      <c r="W103" s="13">
        <v>3.2</v>
      </c>
      <c r="Y103" s="12">
        <v>42825</v>
      </c>
      <c r="Z103" s="13">
        <v>38.700000000000003</v>
      </c>
    </row>
    <row r="104" spans="1:26" x14ac:dyDescent="0.35">
      <c r="A104" s="8">
        <f t="shared" si="19"/>
        <v>42978</v>
      </c>
      <c r="B104" s="9">
        <f t="shared" si="13"/>
        <v>51.7</v>
      </c>
      <c r="C104" s="9">
        <f t="shared" si="20"/>
        <v>7.9</v>
      </c>
      <c r="D104" s="9">
        <f t="shared" si="14"/>
        <v>41.1</v>
      </c>
      <c r="E104" s="1">
        <v>0</v>
      </c>
      <c r="F104" s="1">
        <v>1</v>
      </c>
      <c r="G104" s="7">
        <v>1</v>
      </c>
      <c r="H104" s="7">
        <v>0</v>
      </c>
      <c r="I104" s="1">
        <f t="shared" si="21"/>
        <v>0</v>
      </c>
      <c r="J104" s="1">
        <f t="shared" si="22"/>
        <v>0</v>
      </c>
      <c r="K104" s="1">
        <f t="shared" si="23"/>
        <v>1</v>
      </c>
      <c r="L104" s="1">
        <f t="shared" si="24"/>
        <v>0</v>
      </c>
      <c r="M104" s="1">
        <f t="shared" si="15"/>
        <v>1</v>
      </c>
      <c r="N104" s="1">
        <f t="shared" si="25"/>
        <v>0</v>
      </c>
      <c r="O104" s="1" t="str">
        <f t="shared" si="16"/>
        <v>被动去库存</v>
      </c>
      <c r="P104" s="1" t="str">
        <f t="shared" si="17"/>
        <v>产能周期上行</v>
      </c>
      <c r="Q104" s="2" t="str">
        <f t="shared" si="18"/>
        <v>产能周期上行,被动去库存</v>
      </c>
      <c r="S104" s="12">
        <v>41425</v>
      </c>
      <c r="T104" s="13">
        <v>50.8</v>
      </c>
      <c r="V104" s="12">
        <v>42704</v>
      </c>
      <c r="W104" s="13">
        <v>0.5</v>
      </c>
      <c r="Y104" s="12">
        <v>42916</v>
      </c>
      <c r="Z104" s="13">
        <v>41.1</v>
      </c>
    </row>
    <row r="105" spans="1:26" x14ac:dyDescent="0.35">
      <c r="A105" s="8">
        <f t="shared" si="19"/>
        <v>42947</v>
      </c>
      <c r="B105" s="9">
        <f t="shared" si="13"/>
        <v>51.4</v>
      </c>
      <c r="C105" s="9">
        <f t="shared" si="20"/>
        <v>8</v>
      </c>
      <c r="D105" s="9">
        <f t="shared" si="14"/>
        <v>41.1</v>
      </c>
      <c r="E105" s="1">
        <v>0</v>
      </c>
      <c r="F105" s="1">
        <v>1</v>
      </c>
      <c r="G105" s="7">
        <v>0</v>
      </c>
      <c r="H105" s="7">
        <v>1</v>
      </c>
      <c r="I105" s="1">
        <f t="shared" si="21"/>
        <v>1</v>
      </c>
      <c r="J105" s="1">
        <f t="shared" si="22"/>
        <v>0</v>
      </c>
      <c r="K105" s="1">
        <f t="shared" si="23"/>
        <v>0</v>
      </c>
      <c r="L105" s="1">
        <f t="shared" si="24"/>
        <v>0</v>
      </c>
      <c r="M105" s="1">
        <f t="shared" si="15"/>
        <v>1</v>
      </c>
      <c r="N105" s="1">
        <f t="shared" si="25"/>
        <v>0</v>
      </c>
      <c r="O105" s="1" t="str">
        <f t="shared" si="16"/>
        <v>主动去库存</v>
      </c>
      <c r="P105" s="1" t="str">
        <f t="shared" si="17"/>
        <v>产能周期上行</v>
      </c>
      <c r="Q105" s="2" t="str">
        <f t="shared" si="18"/>
        <v>产能周期上行,主动去库存</v>
      </c>
      <c r="S105" s="12">
        <v>41455</v>
      </c>
      <c r="T105" s="13">
        <v>50.1</v>
      </c>
      <c r="V105" s="12">
        <v>42674</v>
      </c>
      <c r="W105" s="13">
        <v>-0.3</v>
      </c>
      <c r="Y105" s="12">
        <v>43008</v>
      </c>
      <c r="Z105" s="13">
        <v>41.3</v>
      </c>
    </row>
    <row r="106" spans="1:26" x14ac:dyDescent="0.35">
      <c r="A106" s="8">
        <f t="shared" si="19"/>
        <v>42916</v>
      </c>
      <c r="B106" s="9">
        <f t="shared" si="13"/>
        <v>51.7</v>
      </c>
      <c r="C106" s="9">
        <f t="shared" si="20"/>
        <v>8.6</v>
      </c>
      <c r="D106" s="9">
        <f t="shared" si="14"/>
        <v>41.1</v>
      </c>
      <c r="E106" s="1">
        <v>0</v>
      </c>
      <c r="F106" s="1">
        <v>1</v>
      </c>
      <c r="G106" s="7">
        <v>0</v>
      </c>
      <c r="H106" s="7">
        <v>1</v>
      </c>
      <c r="I106" s="1">
        <f t="shared" si="21"/>
        <v>1</v>
      </c>
      <c r="J106" s="1">
        <f t="shared" si="22"/>
        <v>0</v>
      </c>
      <c r="K106" s="1">
        <f t="shared" si="23"/>
        <v>0</v>
      </c>
      <c r="L106" s="1">
        <f t="shared" si="24"/>
        <v>0</v>
      </c>
      <c r="M106" s="1">
        <f t="shared" si="15"/>
        <v>1</v>
      </c>
      <c r="N106" s="1">
        <f t="shared" si="25"/>
        <v>0</v>
      </c>
      <c r="O106" s="1" t="str">
        <f t="shared" si="16"/>
        <v>主动去库存</v>
      </c>
      <c r="P106" s="1" t="str">
        <f t="shared" si="17"/>
        <v>产能周期上行</v>
      </c>
      <c r="Q106" s="2" t="str">
        <f t="shared" si="18"/>
        <v>产能周期上行,主动去库存</v>
      </c>
      <c r="S106" s="12">
        <v>41486</v>
      </c>
      <c r="T106" s="13">
        <v>50.3</v>
      </c>
      <c r="V106" s="12">
        <v>42643</v>
      </c>
      <c r="W106" s="13">
        <v>-0.8</v>
      </c>
      <c r="Y106" s="12">
        <v>43100</v>
      </c>
      <c r="Z106" s="13">
        <v>43.8</v>
      </c>
    </row>
    <row r="107" spans="1:26" x14ac:dyDescent="0.35">
      <c r="A107" s="8">
        <f t="shared" si="19"/>
        <v>42886</v>
      </c>
      <c r="B107" s="9">
        <f t="shared" si="13"/>
        <v>51.2</v>
      </c>
      <c r="C107" s="9">
        <f t="shared" si="20"/>
        <v>9.3000000000000007</v>
      </c>
      <c r="D107" s="9">
        <f t="shared" si="14"/>
        <v>38.700000000000003</v>
      </c>
      <c r="E107" s="1">
        <v>0</v>
      </c>
      <c r="F107" s="1">
        <v>1</v>
      </c>
      <c r="G107" s="7">
        <v>0</v>
      </c>
      <c r="H107" s="7">
        <v>1</v>
      </c>
      <c r="I107" s="1">
        <f t="shared" si="21"/>
        <v>1</v>
      </c>
      <c r="J107" s="1">
        <f t="shared" si="22"/>
        <v>0</v>
      </c>
      <c r="K107" s="1">
        <f t="shared" si="23"/>
        <v>0</v>
      </c>
      <c r="L107" s="1">
        <f t="shared" si="24"/>
        <v>0</v>
      </c>
      <c r="M107" s="1">
        <f t="shared" si="15"/>
        <v>0</v>
      </c>
      <c r="N107" s="1">
        <f t="shared" si="25"/>
        <v>1</v>
      </c>
      <c r="O107" s="1" t="str">
        <f t="shared" si="16"/>
        <v>主动去库存</v>
      </c>
      <c r="P107" s="1" t="str">
        <f t="shared" si="17"/>
        <v>产能周期下行</v>
      </c>
      <c r="Q107" s="2" t="str">
        <f t="shared" si="18"/>
        <v>产能周期下行,主动去库存</v>
      </c>
      <c r="S107" s="12">
        <v>41517</v>
      </c>
      <c r="T107" s="13">
        <v>51</v>
      </c>
      <c r="V107" s="12">
        <v>42613</v>
      </c>
      <c r="W107" s="13">
        <v>-1.6</v>
      </c>
      <c r="Y107" s="12">
        <v>43190</v>
      </c>
      <c r="Z107" s="13">
        <v>41.4</v>
      </c>
    </row>
    <row r="108" spans="1:26" x14ac:dyDescent="0.35">
      <c r="A108" s="8">
        <f t="shared" si="19"/>
        <v>42855</v>
      </c>
      <c r="B108" s="9">
        <f t="shared" si="13"/>
        <v>51.2</v>
      </c>
      <c r="C108" s="9">
        <f t="shared" si="20"/>
        <v>10.4</v>
      </c>
      <c r="D108" s="9">
        <f t="shared" si="14"/>
        <v>38.700000000000003</v>
      </c>
      <c r="E108" s="1">
        <v>0</v>
      </c>
      <c r="F108" s="1">
        <v>1</v>
      </c>
      <c r="G108" s="7">
        <v>0</v>
      </c>
      <c r="H108" s="7">
        <v>1</v>
      </c>
      <c r="I108" s="1">
        <f t="shared" si="21"/>
        <v>1</v>
      </c>
      <c r="J108" s="1">
        <f t="shared" si="22"/>
        <v>0</v>
      </c>
      <c r="K108" s="1">
        <f t="shared" si="23"/>
        <v>0</v>
      </c>
      <c r="L108" s="1">
        <f t="shared" si="24"/>
        <v>0</v>
      </c>
      <c r="M108" s="1">
        <f t="shared" si="15"/>
        <v>0</v>
      </c>
      <c r="N108" s="1">
        <f t="shared" si="25"/>
        <v>1</v>
      </c>
      <c r="O108" s="1" t="str">
        <f t="shared" si="16"/>
        <v>主动去库存</v>
      </c>
      <c r="P108" s="1" t="str">
        <f t="shared" si="17"/>
        <v>产能周期下行</v>
      </c>
      <c r="Q108" s="2" t="str">
        <f t="shared" si="18"/>
        <v>产能周期下行,主动去库存</v>
      </c>
      <c r="S108" s="12">
        <v>41547</v>
      </c>
      <c r="T108" s="13">
        <v>51.1</v>
      </c>
      <c r="V108" s="12">
        <v>42582</v>
      </c>
      <c r="W108" s="13">
        <v>-1.8</v>
      </c>
      <c r="Y108" s="12">
        <v>43281</v>
      </c>
      <c r="Z108" s="13">
        <v>43.7</v>
      </c>
    </row>
    <row r="109" spans="1:26" x14ac:dyDescent="0.35">
      <c r="A109" s="8">
        <f t="shared" si="19"/>
        <v>42825</v>
      </c>
      <c r="B109" s="9">
        <f t="shared" si="13"/>
        <v>51.8</v>
      </c>
      <c r="C109" s="9">
        <f t="shared" si="20"/>
        <v>8.1999999999999993</v>
      </c>
      <c r="D109" s="9">
        <f t="shared" si="14"/>
        <v>38.700000000000003</v>
      </c>
      <c r="E109" s="1">
        <v>0</v>
      </c>
      <c r="F109" s="1">
        <v>1</v>
      </c>
      <c r="G109" s="7">
        <v>0</v>
      </c>
      <c r="H109" s="7">
        <v>1</v>
      </c>
      <c r="I109" s="1">
        <f t="shared" si="21"/>
        <v>1</v>
      </c>
      <c r="J109" s="1">
        <f t="shared" si="22"/>
        <v>0</v>
      </c>
      <c r="K109" s="1">
        <f t="shared" si="23"/>
        <v>0</v>
      </c>
      <c r="L109" s="1">
        <f t="shared" si="24"/>
        <v>0</v>
      </c>
      <c r="M109" s="1">
        <f t="shared" si="15"/>
        <v>0</v>
      </c>
      <c r="N109" s="1">
        <f t="shared" si="25"/>
        <v>1</v>
      </c>
      <c r="O109" s="1" t="str">
        <f t="shared" si="16"/>
        <v>主动去库存</v>
      </c>
      <c r="P109" s="1" t="str">
        <f t="shared" si="17"/>
        <v>产能周期下行</v>
      </c>
      <c r="Q109" s="2" t="str">
        <f t="shared" si="18"/>
        <v>产能周期下行,主动去库存</v>
      </c>
      <c r="S109" s="12">
        <v>41578</v>
      </c>
      <c r="T109" s="13">
        <v>51.4</v>
      </c>
      <c r="V109" s="12">
        <v>42551</v>
      </c>
      <c r="W109" s="13">
        <v>-1.9</v>
      </c>
      <c r="Y109" s="12">
        <v>43373</v>
      </c>
      <c r="Z109" s="13">
        <v>42.5</v>
      </c>
    </row>
    <row r="110" spans="1:26" x14ac:dyDescent="0.35">
      <c r="A110" s="8">
        <f t="shared" si="19"/>
        <v>42794</v>
      </c>
      <c r="B110" s="9">
        <f t="shared" si="13"/>
        <v>51.6</v>
      </c>
      <c r="C110" s="9">
        <f t="shared" si="20"/>
        <v>6.1</v>
      </c>
      <c r="D110" s="9">
        <f t="shared" si="14"/>
        <v>40.1</v>
      </c>
      <c r="E110" s="1">
        <v>0</v>
      </c>
      <c r="F110" s="1">
        <v>1</v>
      </c>
      <c r="G110" s="7">
        <v>0</v>
      </c>
      <c r="H110" s="7">
        <v>1</v>
      </c>
      <c r="I110" s="1">
        <f t="shared" si="21"/>
        <v>1</v>
      </c>
      <c r="J110" s="1">
        <f t="shared" si="22"/>
        <v>0</v>
      </c>
      <c r="K110" s="1">
        <f t="shared" si="23"/>
        <v>0</v>
      </c>
      <c r="L110" s="1">
        <f t="shared" si="24"/>
        <v>0</v>
      </c>
      <c r="M110" s="1">
        <f t="shared" si="15"/>
        <v>1</v>
      </c>
      <c r="N110" s="1">
        <f t="shared" si="25"/>
        <v>0</v>
      </c>
      <c r="O110" s="1" t="str">
        <f t="shared" si="16"/>
        <v>主动去库存</v>
      </c>
      <c r="P110" s="1" t="str">
        <f t="shared" si="17"/>
        <v>产能周期上行</v>
      </c>
      <c r="Q110" s="2" t="str">
        <f t="shared" si="18"/>
        <v>产能周期上行,主动去库存</v>
      </c>
      <c r="S110" s="12">
        <v>41608</v>
      </c>
      <c r="T110" s="13">
        <v>51.4</v>
      </c>
      <c r="V110" s="12">
        <v>42521</v>
      </c>
      <c r="W110" s="13">
        <v>-1.1000000000000001</v>
      </c>
      <c r="Y110" s="12">
        <v>43465</v>
      </c>
      <c r="Z110" s="13">
        <v>43.6</v>
      </c>
    </row>
    <row r="111" spans="1:26" x14ac:dyDescent="0.35">
      <c r="A111" s="8">
        <f t="shared" si="19"/>
        <v>42766</v>
      </c>
      <c r="B111" s="9">
        <f t="shared" si="13"/>
        <v>51.3</v>
      </c>
      <c r="C111" s="9" t="e">
        <f t="shared" si="20"/>
        <v>#N/A</v>
      </c>
      <c r="D111" s="9">
        <f t="shared" si="14"/>
        <v>40.1</v>
      </c>
      <c r="E111" s="1">
        <v>0</v>
      </c>
      <c r="F111" s="1">
        <v>1</v>
      </c>
      <c r="G111" s="7">
        <v>0</v>
      </c>
      <c r="H111" s="7">
        <v>1</v>
      </c>
      <c r="I111" s="1">
        <f t="shared" si="21"/>
        <v>1</v>
      </c>
      <c r="J111" s="1">
        <f t="shared" si="22"/>
        <v>0</v>
      </c>
      <c r="K111" s="1">
        <f t="shared" si="23"/>
        <v>0</v>
      </c>
      <c r="L111" s="1">
        <f t="shared" si="24"/>
        <v>0</v>
      </c>
      <c r="M111" s="1">
        <f t="shared" si="15"/>
        <v>1</v>
      </c>
      <c r="N111" s="1">
        <f t="shared" si="25"/>
        <v>0</v>
      </c>
      <c r="O111" s="1" t="str">
        <f t="shared" si="16"/>
        <v>主动去库存</v>
      </c>
      <c r="P111" s="1" t="str">
        <f t="shared" si="17"/>
        <v>产能周期上行</v>
      </c>
      <c r="Q111" s="2" t="str">
        <f t="shared" si="18"/>
        <v>产能周期上行,主动去库存</v>
      </c>
      <c r="S111" s="12">
        <v>41639</v>
      </c>
      <c r="T111" s="13">
        <v>51</v>
      </c>
      <c r="V111" s="12">
        <v>42490</v>
      </c>
      <c r="W111" s="13">
        <v>-1.2</v>
      </c>
      <c r="Y111" s="12">
        <v>43555</v>
      </c>
      <c r="Z111" s="13">
        <v>41.4</v>
      </c>
    </row>
    <row r="112" spans="1:26" x14ac:dyDescent="0.35">
      <c r="A112" s="8">
        <f t="shared" si="19"/>
        <v>42735</v>
      </c>
      <c r="B112" s="9">
        <f t="shared" si="13"/>
        <v>51.4</v>
      </c>
      <c r="C112" s="9">
        <f t="shared" si="20"/>
        <v>3.2</v>
      </c>
      <c r="D112" s="9">
        <f t="shared" si="14"/>
        <v>40.1</v>
      </c>
      <c r="E112" s="1">
        <v>0</v>
      </c>
      <c r="F112" s="1">
        <v>1</v>
      </c>
      <c r="G112" s="7">
        <v>0</v>
      </c>
      <c r="H112" s="7">
        <v>1</v>
      </c>
      <c r="I112" s="1">
        <f t="shared" si="21"/>
        <v>1</v>
      </c>
      <c r="J112" s="1">
        <f t="shared" si="22"/>
        <v>0</v>
      </c>
      <c r="K112" s="1">
        <f t="shared" si="23"/>
        <v>0</v>
      </c>
      <c r="L112" s="1">
        <f t="shared" si="24"/>
        <v>0</v>
      </c>
      <c r="M112" s="1">
        <f t="shared" si="15"/>
        <v>1</v>
      </c>
      <c r="N112" s="1">
        <f t="shared" si="25"/>
        <v>0</v>
      </c>
      <c r="O112" s="1" t="str">
        <f t="shared" si="16"/>
        <v>主动去库存</v>
      </c>
      <c r="P112" s="1" t="str">
        <f t="shared" si="17"/>
        <v>产能周期上行</v>
      </c>
      <c r="Q112" s="2" t="str">
        <f t="shared" si="18"/>
        <v>产能周期上行,主动去库存</v>
      </c>
      <c r="S112" s="12">
        <v>41670</v>
      </c>
      <c r="T112" s="13">
        <v>50.5</v>
      </c>
      <c r="V112" s="12">
        <v>42460</v>
      </c>
      <c r="W112" s="13">
        <v>0</v>
      </c>
      <c r="Y112" s="12">
        <v>43646</v>
      </c>
      <c r="Z112" s="13">
        <v>42.8</v>
      </c>
    </row>
    <row r="113" spans="1:26" x14ac:dyDescent="0.35">
      <c r="A113" s="8">
        <f t="shared" si="19"/>
        <v>42704</v>
      </c>
      <c r="B113" s="9">
        <f t="shared" si="13"/>
        <v>51.7</v>
      </c>
      <c r="C113" s="9">
        <f t="shared" si="20"/>
        <v>0.5</v>
      </c>
      <c r="D113" s="9">
        <f t="shared" si="14"/>
        <v>37.700000000000003</v>
      </c>
      <c r="E113" s="1">
        <v>0</v>
      </c>
      <c r="F113" s="1">
        <v>1</v>
      </c>
      <c r="G113" s="7">
        <v>0</v>
      </c>
      <c r="H113" s="7">
        <v>1</v>
      </c>
      <c r="I113" s="1">
        <f t="shared" si="21"/>
        <v>1</v>
      </c>
      <c r="J113" s="1">
        <f t="shared" si="22"/>
        <v>0</v>
      </c>
      <c r="K113" s="1">
        <f t="shared" si="23"/>
        <v>0</v>
      </c>
      <c r="L113" s="1">
        <f t="shared" si="24"/>
        <v>0</v>
      </c>
      <c r="M113" s="1">
        <f t="shared" si="15"/>
        <v>1</v>
      </c>
      <c r="N113" s="1">
        <f t="shared" si="25"/>
        <v>0</v>
      </c>
      <c r="O113" s="1" t="str">
        <f t="shared" si="16"/>
        <v>主动去库存</v>
      </c>
      <c r="P113" s="1" t="str">
        <f t="shared" si="17"/>
        <v>产能周期上行</v>
      </c>
      <c r="Q113" s="2" t="str">
        <f t="shared" si="18"/>
        <v>产能周期上行,主动去库存</v>
      </c>
      <c r="S113" s="12">
        <v>41698</v>
      </c>
      <c r="T113" s="13">
        <v>50.2</v>
      </c>
      <c r="V113" s="12">
        <v>42429</v>
      </c>
      <c r="W113" s="13">
        <v>0.7</v>
      </c>
      <c r="Y113" s="12">
        <v>43738</v>
      </c>
      <c r="Z113" s="13">
        <v>41.4</v>
      </c>
    </row>
    <row r="114" spans="1:26" x14ac:dyDescent="0.35">
      <c r="A114" s="8">
        <f t="shared" si="19"/>
        <v>42674</v>
      </c>
      <c r="B114" s="9">
        <f t="shared" si="13"/>
        <v>51.2</v>
      </c>
      <c r="C114" s="9">
        <f t="shared" si="20"/>
        <v>-0.3</v>
      </c>
      <c r="D114" s="9">
        <f t="shared" si="14"/>
        <v>37.700000000000003</v>
      </c>
      <c r="E114" s="1">
        <v>0</v>
      </c>
      <c r="F114" s="1">
        <v>1</v>
      </c>
      <c r="G114" s="7">
        <v>0</v>
      </c>
      <c r="H114" s="7">
        <v>1</v>
      </c>
      <c r="I114" s="1">
        <f t="shared" si="21"/>
        <v>1</v>
      </c>
      <c r="J114" s="1">
        <f t="shared" si="22"/>
        <v>0</v>
      </c>
      <c r="K114" s="1">
        <f t="shared" si="23"/>
        <v>0</v>
      </c>
      <c r="L114" s="1">
        <f t="shared" si="24"/>
        <v>0</v>
      </c>
      <c r="M114" s="1">
        <f t="shared" si="15"/>
        <v>1</v>
      </c>
      <c r="N114" s="1">
        <f t="shared" si="25"/>
        <v>0</v>
      </c>
      <c r="O114" s="1" t="str">
        <f t="shared" si="16"/>
        <v>主动去库存</v>
      </c>
      <c r="P114" s="1" t="str">
        <f t="shared" si="17"/>
        <v>产能周期上行</v>
      </c>
      <c r="Q114" s="2" t="str">
        <f t="shared" si="18"/>
        <v>产能周期上行,主动去库存</v>
      </c>
      <c r="S114" s="12">
        <v>41729</v>
      </c>
      <c r="T114" s="13">
        <v>50.3</v>
      </c>
      <c r="V114" s="12">
        <v>42369</v>
      </c>
      <c r="W114" s="13">
        <v>3.3</v>
      </c>
      <c r="Y114" s="12">
        <v>43830</v>
      </c>
      <c r="Z114" s="13">
        <v>42.7</v>
      </c>
    </row>
    <row r="115" spans="1:26" x14ac:dyDescent="0.35">
      <c r="A115" s="8">
        <f t="shared" si="19"/>
        <v>42643</v>
      </c>
      <c r="B115" s="9">
        <f t="shared" si="13"/>
        <v>50.4</v>
      </c>
      <c r="C115" s="9">
        <f t="shared" si="20"/>
        <v>-0.8</v>
      </c>
      <c r="D115" s="9">
        <f t="shared" si="14"/>
        <v>37.700000000000003</v>
      </c>
      <c r="E115" s="1">
        <v>0</v>
      </c>
      <c r="F115" s="1">
        <v>1</v>
      </c>
      <c r="G115" s="7">
        <v>0</v>
      </c>
      <c r="H115" s="7">
        <v>1</v>
      </c>
      <c r="I115" s="1">
        <f t="shared" si="21"/>
        <v>1</v>
      </c>
      <c r="J115" s="1">
        <f t="shared" si="22"/>
        <v>0</v>
      </c>
      <c r="K115" s="1">
        <f t="shared" si="23"/>
        <v>0</v>
      </c>
      <c r="L115" s="1">
        <f t="shared" si="24"/>
        <v>0</v>
      </c>
      <c r="M115" s="1">
        <f t="shared" si="15"/>
        <v>1</v>
      </c>
      <c r="N115" s="1">
        <f t="shared" si="25"/>
        <v>0</v>
      </c>
      <c r="O115" s="1" t="str">
        <f t="shared" si="16"/>
        <v>主动去库存</v>
      </c>
      <c r="P115" s="1" t="str">
        <f t="shared" si="17"/>
        <v>产能周期上行</v>
      </c>
      <c r="Q115" s="2" t="str">
        <f t="shared" si="18"/>
        <v>产能周期上行,主动去库存</v>
      </c>
      <c r="S115" s="12">
        <v>41759</v>
      </c>
      <c r="T115" s="13">
        <v>50.4</v>
      </c>
      <c r="V115" s="12">
        <v>42338</v>
      </c>
      <c r="W115" s="13">
        <v>4.5999999999999996</v>
      </c>
      <c r="Y115" s="12">
        <v>43921</v>
      </c>
      <c r="Z115" s="13">
        <v>21.6</v>
      </c>
    </row>
    <row r="116" spans="1:26" x14ac:dyDescent="0.35">
      <c r="A116" s="8">
        <f t="shared" si="19"/>
        <v>42613</v>
      </c>
      <c r="B116" s="9">
        <f t="shared" si="13"/>
        <v>50.4</v>
      </c>
      <c r="C116" s="9">
        <f t="shared" si="20"/>
        <v>-1.6</v>
      </c>
      <c r="D116" s="9">
        <f t="shared" si="14"/>
        <v>36.799999999999997</v>
      </c>
      <c r="E116" s="1">
        <v>0</v>
      </c>
      <c r="F116" s="1">
        <v>1</v>
      </c>
      <c r="G116" s="7">
        <v>0</v>
      </c>
      <c r="H116" s="7">
        <v>1</v>
      </c>
      <c r="I116" s="1">
        <f t="shared" si="21"/>
        <v>1</v>
      </c>
      <c r="J116" s="1">
        <f t="shared" si="22"/>
        <v>0</v>
      </c>
      <c r="K116" s="1">
        <f t="shared" si="23"/>
        <v>0</v>
      </c>
      <c r="L116" s="1">
        <f t="shared" si="24"/>
        <v>0</v>
      </c>
      <c r="M116" s="1">
        <f t="shared" si="15"/>
        <v>1</v>
      </c>
      <c r="N116" s="1">
        <f t="shared" si="25"/>
        <v>0</v>
      </c>
      <c r="O116" s="1" t="str">
        <f t="shared" si="16"/>
        <v>主动去库存</v>
      </c>
      <c r="P116" s="1" t="str">
        <f t="shared" si="17"/>
        <v>产能周期上行</v>
      </c>
      <c r="Q116" s="2" t="str">
        <f t="shared" si="18"/>
        <v>产能周期上行,主动去库存</v>
      </c>
      <c r="S116" s="12">
        <v>41790</v>
      </c>
      <c r="T116" s="13">
        <v>50.8</v>
      </c>
      <c r="V116" s="12">
        <v>42308</v>
      </c>
      <c r="W116" s="13">
        <v>4.5</v>
      </c>
      <c r="Y116" s="12">
        <v>44012</v>
      </c>
      <c r="Z116" s="13">
        <v>38.1</v>
      </c>
    </row>
    <row r="117" spans="1:26" x14ac:dyDescent="0.35">
      <c r="A117" s="8">
        <f t="shared" si="19"/>
        <v>42582</v>
      </c>
      <c r="B117" s="9">
        <f t="shared" si="13"/>
        <v>49.9</v>
      </c>
      <c r="C117" s="9">
        <f t="shared" si="20"/>
        <v>-1.8</v>
      </c>
      <c r="D117" s="9">
        <f t="shared" si="14"/>
        <v>36.799999999999997</v>
      </c>
      <c r="E117" s="1">
        <v>0</v>
      </c>
      <c r="F117" s="1">
        <v>1</v>
      </c>
      <c r="G117" s="7">
        <v>0</v>
      </c>
      <c r="H117" s="7">
        <v>1</v>
      </c>
      <c r="I117" s="1">
        <f t="shared" si="21"/>
        <v>1</v>
      </c>
      <c r="J117" s="1">
        <f t="shared" si="22"/>
        <v>0</v>
      </c>
      <c r="K117" s="1">
        <f t="shared" si="23"/>
        <v>0</v>
      </c>
      <c r="L117" s="1">
        <f t="shared" si="24"/>
        <v>0</v>
      </c>
      <c r="M117" s="1">
        <f t="shared" si="15"/>
        <v>1</v>
      </c>
      <c r="N117" s="1">
        <f t="shared" si="25"/>
        <v>0</v>
      </c>
      <c r="O117" s="1" t="str">
        <f t="shared" si="16"/>
        <v>主动去库存</v>
      </c>
      <c r="P117" s="1" t="str">
        <f t="shared" si="17"/>
        <v>产能周期上行</v>
      </c>
      <c r="Q117" s="2" t="str">
        <f t="shared" si="18"/>
        <v>产能周期上行,主动去库存</v>
      </c>
      <c r="S117" s="12">
        <v>41820</v>
      </c>
      <c r="T117" s="13">
        <v>51</v>
      </c>
      <c r="V117" s="12">
        <v>42277</v>
      </c>
      <c r="W117" s="13">
        <v>4.9000000000000004</v>
      </c>
      <c r="Y117" s="12">
        <v>44104</v>
      </c>
      <c r="Z117" s="13">
        <v>40.299999999999997</v>
      </c>
    </row>
    <row r="118" spans="1:26" x14ac:dyDescent="0.35">
      <c r="A118" s="8">
        <f t="shared" si="19"/>
        <v>42551</v>
      </c>
      <c r="B118" s="9">
        <f t="shared" si="13"/>
        <v>50</v>
      </c>
      <c r="C118" s="9">
        <f t="shared" si="20"/>
        <v>-1.9</v>
      </c>
      <c r="D118" s="9">
        <f t="shared" si="14"/>
        <v>36.799999999999997</v>
      </c>
      <c r="E118" s="1">
        <v>0</v>
      </c>
      <c r="F118" s="1">
        <v>1</v>
      </c>
      <c r="G118" s="7">
        <v>0</v>
      </c>
      <c r="H118" s="7">
        <v>1</v>
      </c>
      <c r="I118" s="1">
        <f t="shared" si="21"/>
        <v>1</v>
      </c>
      <c r="J118" s="1">
        <f t="shared" si="22"/>
        <v>0</v>
      </c>
      <c r="K118" s="1">
        <f t="shared" si="23"/>
        <v>0</v>
      </c>
      <c r="L118" s="1">
        <f t="shared" si="24"/>
        <v>0</v>
      </c>
      <c r="M118" s="1">
        <f t="shared" si="15"/>
        <v>1</v>
      </c>
      <c r="N118" s="1">
        <f t="shared" si="25"/>
        <v>0</v>
      </c>
      <c r="O118" s="1" t="str">
        <f t="shared" si="16"/>
        <v>主动去库存</v>
      </c>
      <c r="P118" s="1" t="str">
        <f t="shared" si="17"/>
        <v>产能周期上行</v>
      </c>
      <c r="Q118" s="2" t="str">
        <f t="shared" si="18"/>
        <v>产能周期上行,主动去库存</v>
      </c>
      <c r="S118" s="12">
        <v>41851</v>
      </c>
      <c r="T118" s="13">
        <v>51.7</v>
      </c>
      <c r="V118" s="12">
        <v>42247</v>
      </c>
      <c r="W118" s="13">
        <v>5.7</v>
      </c>
      <c r="Y118" s="12">
        <v>44196</v>
      </c>
      <c r="Z118" s="13">
        <v>44.4</v>
      </c>
    </row>
    <row r="119" spans="1:26" x14ac:dyDescent="0.35">
      <c r="A119" s="8">
        <f t="shared" si="19"/>
        <v>42521</v>
      </c>
      <c r="B119" s="9">
        <f t="shared" si="13"/>
        <v>50.1</v>
      </c>
      <c r="C119" s="9">
        <f t="shared" si="20"/>
        <v>-1.1000000000000001</v>
      </c>
      <c r="D119" s="9">
        <f t="shared" si="14"/>
        <v>35.200000000000003</v>
      </c>
      <c r="E119" s="1">
        <v>0</v>
      </c>
      <c r="F119" s="1">
        <v>1</v>
      </c>
      <c r="G119" s="7">
        <v>0</v>
      </c>
      <c r="H119" s="7">
        <v>1</v>
      </c>
      <c r="I119" s="1">
        <f t="shared" si="21"/>
        <v>1</v>
      </c>
      <c r="J119" s="1">
        <f t="shared" si="22"/>
        <v>0</v>
      </c>
      <c r="K119" s="1">
        <f t="shared" si="23"/>
        <v>0</v>
      </c>
      <c r="L119" s="1">
        <f t="shared" si="24"/>
        <v>0</v>
      </c>
      <c r="M119" s="1">
        <f t="shared" si="15"/>
        <v>0</v>
      </c>
      <c r="N119" s="1">
        <f t="shared" si="25"/>
        <v>1</v>
      </c>
      <c r="O119" s="1" t="str">
        <f t="shared" si="16"/>
        <v>主动去库存</v>
      </c>
      <c r="P119" s="1" t="str">
        <f t="shared" si="17"/>
        <v>产能周期下行</v>
      </c>
      <c r="Q119" s="2" t="str">
        <f t="shared" si="18"/>
        <v>产能周期下行,主动去库存</v>
      </c>
      <c r="S119" s="12">
        <v>41882</v>
      </c>
      <c r="T119" s="13">
        <v>51.1</v>
      </c>
      <c r="V119" s="12">
        <v>42216</v>
      </c>
      <c r="W119" s="13">
        <v>6.8</v>
      </c>
      <c r="Y119" s="12">
        <v>44286</v>
      </c>
      <c r="Z119" s="13">
        <v>42.4</v>
      </c>
    </row>
    <row r="120" spans="1:26" x14ac:dyDescent="0.35">
      <c r="A120" s="8">
        <f t="shared" si="19"/>
        <v>42490</v>
      </c>
      <c r="B120" s="9">
        <f t="shared" si="13"/>
        <v>50.1</v>
      </c>
      <c r="C120" s="9">
        <f t="shared" si="20"/>
        <v>-1.2</v>
      </c>
      <c r="D120" s="9">
        <f t="shared" si="14"/>
        <v>35.200000000000003</v>
      </c>
      <c r="E120" s="1">
        <v>0</v>
      </c>
      <c r="F120" s="1">
        <v>1</v>
      </c>
      <c r="G120" s="7">
        <v>0</v>
      </c>
      <c r="H120" s="7">
        <v>1</v>
      </c>
      <c r="I120" s="1">
        <f t="shared" si="21"/>
        <v>1</v>
      </c>
      <c r="J120" s="1">
        <f t="shared" si="22"/>
        <v>0</v>
      </c>
      <c r="K120" s="1">
        <f t="shared" si="23"/>
        <v>0</v>
      </c>
      <c r="L120" s="1">
        <f t="shared" si="24"/>
        <v>0</v>
      </c>
      <c r="M120" s="1">
        <f t="shared" si="15"/>
        <v>0</v>
      </c>
      <c r="N120" s="1">
        <f t="shared" si="25"/>
        <v>1</v>
      </c>
      <c r="O120" s="1" t="str">
        <f t="shared" si="16"/>
        <v>主动去库存</v>
      </c>
      <c r="P120" s="1" t="str">
        <f t="shared" si="17"/>
        <v>产能周期下行</v>
      </c>
      <c r="Q120" s="2" t="str">
        <f t="shared" si="18"/>
        <v>产能周期下行,主动去库存</v>
      </c>
      <c r="S120" s="12">
        <v>41912</v>
      </c>
      <c r="T120" s="13">
        <v>51.1</v>
      </c>
      <c r="V120" s="12">
        <v>42185</v>
      </c>
      <c r="W120" s="13">
        <v>7.4</v>
      </c>
      <c r="Y120" s="12">
        <v>44377</v>
      </c>
      <c r="Z120" s="13">
        <v>45.8</v>
      </c>
    </row>
    <row r="121" spans="1:26" x14ac:dyDescent="0.35">
      <c r="A121" s="8">
        <f t="shared" si="19"/>
        <v>42460</v>
      </c>
      <c r="B121" s="9">
        <f t="shared" si="13"/>
        <v>50.2</v>
      </c>
      <c r="C121" s="9">
        <f t="shared" si="20"/>
        <v>0</v>
      </c>
      <c r="D121" s="9">
        <f t="shared" si="14"/>
        <v>35.200000000000003</v>
      </c>
      <c r="E121" s="1">
        <v>0</v>
      </c>
      <c r="F121" s="1">
        <v>1</v>
      </c>
      <c r="G121" s="7">
        <v>0</v>
      </c>
      <c r="H121" s="7">
        <v>1</v>
      </c>
      <c r="I121" s="1">
        <f t="shared" si="21"/>
        <v>1</v>
      </c>
      <c r="J121" s="1">
        <f t="shared" si="22"/>
        <v>0</v>
      </c>
      <c r="K121" s="1">
        <f t="shared" si="23"/>
        <v>0</v>
      </c>
      <c r="L121" s="1">
        <f t="shared" si="24"/>
        <v>0</v>
      </c>
      <c r="M121" s="1">
        <f t="shared" si="15"/>
        <v>0</v>
      </c>
      <c r="N121" s="1">
        <f t="shared" si="25"/>
        <v>1</v>
      </c>
      <c r="O121" s="1" t="str">
        <f t="shared" si="16"/>
        <v>主动去库存</v>
      </c>
      <c r="P121" s="1" t="str">
        <f t="shared" si="17"/>
        <v>产能周期下行</v>
      </c>
      <c r="Q121" s="2" t="str">
        <f t="shared" si="18"/>
        <v>产能周期下行,主动去库存</v>
      </c>
      <c r="S121" s="12">
        <v>41943</v>
      </c>
      <c r="T121" s="13">
        <v>50.8</v>
      </c>
      <c r="V121" s="12">
        <v>42155</v>
      </c>
      <c r="W121" s="13">
        <v>7.1</v>
      </c>
      <c r="Y121" s="12">
        <v>44469</v>
      </c>
      <c r="Z121" s="13">
        <v>43.4</v>
      </c>
    </row>
    <row r="122" spans="1:26" x14ac:dyDescent="0.35">
      <c r="A122" s="8">
        <f t="shared" si="19"/>
        <v>42429</v>
      </c>
      <c r="B122" s="9">
        <f t="shared" si="13"/>
        <v>49</v>
      </c>
      <c r="C122" s="9">
        <f t="shared" si="20"/>
        <v>0.7</v>
      </c>
      <c r="D122" s="9">
        <f t="shared" si="14"/>
        <v>36.9</v>
      </c>
      <c r="E122" s="1">
        <v>0</v>
      </c>
      <c r="F122" s="1">
        <v>1</v>
      </c>
      <c r="G122" s="7">
        <v>0</v>
      </c>
      <c r="H122" s="7">
        <v>1</v>
      </c>
      <c r="I122" s="1">
        <f t="shared" si="21"/>
        <v>1</v>
      </c>
      <c r="J122" s="1">
        <f t="shared" si="22"/>
        <v>0</v>
      </c>
      <c r="K122" s="1">
        <f t="shared" si="23"/>
        <v>0</v>
      </c>
      <c r="L122" s="1">
        <f t="shared" si="24"/>
        <v>0</v>
      </c>
      <c r="M122" s="1">
        <f t="shared" si="15"/>
        <v>0</v>
      </c>
      <c r="N122" s="1">
        <f t="shared" si="25"/>
        <v>1</v>
      </c>
      <c r="O122" s="1" t="str">
        <f t="shared" si="16"/>
        <v>主动去库存</v>
      </c>
      <c r="P122" s="1" t="str">
        <f t="shared" si="17"/>
        <v>产能周期下行</v>
      </c>
      <c r="Q122" s="2" t="str">
        <f t="shared" si="18"/>
        <v>产能周期下行,主动去库存</v>
      </c>
      <c r="S122" s="12">
        <v>41973</v>
      </c>
      <c r="T122" s="13">
        <v>50.3</v>
      </c>
      <c r="V122" s="12">
        <v>42124</v>
      </c>
      <c r="W122" s="13">
        <v>7</v>
      </c>
      <c r="Y122" s="12">
        <v>44561</v>
      </c>
      <c r="Z122" s="13">
        <v>43.1</v>
      </c>
    </row>
    <row r="123" spans="1:26" x14ac:dyDescent="0.35">
      <c r="A123" s="8">
        <f t="shared" si="19"/>
        <v>42400</v>
      </c>
      <c r="B123" s="9">
        <f t="shared" si="13"/>
        <v>49.4</v>
      </c>
      <c r="C123" s="9" t="e">
        <f t="shared" si="20"/>
        <v>#N/A</v>
      </c>
      <c r="D123" s="9">
        <f t="shared" si="14"/>
        <v>36.9</v>
      </c>
      <c r="E123" s="1">
        <v>1</v>
      </c>
      <c r="F123" s="1">
        <v>0</v>
      </c>
      <c r="G123" s="7">
        <v>0</v>
      </c>
      <c r="H123" s="7">
        <v>1</v>
      </c>
      <c r="I123" s="1">
        <f t="shared" si="21"/>
        <v>0</v>
      </c>
      <c r="J123" s="1">
        <f t="shared" si="22"/>
        <v>1</v>
      </c>
      <c r="K123" s="1">
        <f t="shared" si="23"/>
        <v>0</v>
      </c>
      <c r="L123" s="1">
        <f t="shared" si="24"/>
        <v>0</v>
      </c>
      <c r="M123" s="1">
        <f t="shared" si="15"/>
        <v>0</v>
      </c>
      <c r="N123" s="1">
        <f t="shared" si="25"/>
        <v>1</v>
      </c>
      <c r="O123" s="1" t="str">
        <f t="shared" si="16"/>
        <v>被动补库存</v>
      </c>
      <c r="P123" s="1" t="str">
        <f t="shared" si="17"/>
        <v>产能周期下行</v>
      </c>
      <c r="Q123" s="2" t="str">
        <f t="shared" si="18"/>
        <v>产能周期下行,被动补库存</v>
      </c>
      <c r="S123" s="12">
        <v>42004</v>
      </c>
      <c r="T123" s="13">
        <v>50.1</v>
      </c>
      <c r="V123" s="12">
        <v>42094</v>
      </c>
      <c r="W123" s="13">
        <v>7.7</v>
      </c>
      <c r="Y123" s="12">
        <v>44651</v>
      </c>
      <c r="Z123" s="13">
        <v>40.700000000000003</v>
      </c>
    </row>
    <row r="124" spans="1:26" x14ac:dyDescent="0.35">
      <c r="A124" s="8">
        <f t="shared" si="19"/>
        <v>42369</v>
      </c>
      <c r="B124" s="9">
        <f t="shared" si="13"/>
        <v>49.7</v>
      </c>
      <c r="C124" s="9">
        <f t="shared" si="20"/>
        <v>3.3</v>
      </c>
      <c r="D124" s="9">
        <f t="shared" si="14"/>
        <v>36.9</v>
      </c>
      <c r="E124" s="1">
        <v>1</v>
      </c>
      <c r="F124" s="1">
        <v>0</v>
      </c>
      <c r="G124" s="7">
        <v>1</v>
      </c>
      <c r="H124" s="7">
        <v>0</v>
      </c>
      <c r="I124" s="1">
        <f t="shared" si="21"/>
        <v>0</v>
      </c>
      <c r="J124" s="1">
        <f t="shared" si="22"/>
        <v>0</v>
      </c>
      <c r="K124" s="1">
        <f t="shared" si="23"/>
        <v>0</v>
      </c>
      <c r="L124" s="1">
        <f t="shared" si="24"/>
        <v>1</v>
      </c>
      <c r="M124" s="1">
        <f t="shared" si="15"/>
        <v>0</v>
      </c>
      <c r="N124" s="1">
        <f t="shared" si="25"/>
        <v>1</v>
      </c>
      <c r="O124" s="1" t="str">
        <f t="shared" si="16"/>
        <v>主动补库存</v>
      </c>
      <c r="P124" s="1" t="str">
        <f t="shared" si="17"/>
        <v>产能周期下行</v>
      </c>
      <c r="Q124" s="2" t="str">
        <f t="shared" si="18"/>
        <v>产能周期下行,主动补库存</v>
      </c>
      <c r="S124" s="12">
        <v>42035</v>
      </c>
      <c r="T124" s="13">
        <v>49.8</v>
      </c>
      <c r="V124" s="12">
        <v>42063</v>
      </c>
      <c r="W124" s="13">
        <v>8.5</v>
      </c>
      <c r="Y124" s="12">
        <v>44742</v>
      </c>
      <c r="Z124" s="13">
        <v>37.200000000000003</v>
      </c>
    </row>
    <row r="125" spans="1:26" x14ac:dyDescent="0.35">
      <c r="A125" s="8">
        <f t="shared" si="19"/>
        <v>42338</v>
      </c>
      <c r="B125" s="9">
        <f t="shared" si="13"/>
        <v>49.6</v>
      </c>
      <c r="C125" s="9">
        <f t="shared" si="20"/>
        <v>4.5999999999999996</v>
      </c>
      <c r="D125" s="9">
        <f t="shared" si="14"/>
        <v>37.200000000000003</v>
      </c>
      <c r="E125" s="1">
        <v>1</v>
      </c>
      <c r="F125" s="1">
        <v>0</v>
      </c>
      <c r="G125" s="7">
        <v>1</v>
      </c>
      <c r="H125" s="7">
        <v>0</v>
      </c>
      <c r="I125" s="1">
        <f t="shared" si="21"/>
        <v>0</v>
      </c>
      <c r="J125" s="1">
        <f t="shared" si="22"/>
        <v>0</v>
      </c>
      <c r="K125" s="1">
        <f t="shared" si="23"/>
        <v>0</v>
      </c>
      <c r="L125" s="1">
        <f t="shared" si="24"/>
        <v>1</v>
      </c>
      <c r="M125" s="1">
        <f t="shared" si="15"/>
        <v>0</v>
      </c>
      <c r="N125" s="1">
        <f t="shared" si="25"/>
        <v>1</v>
      </c>
      <c r="O125" s="1" t="str">
        <f t="shared" si="16"/>
        <v>主动补库存</v>
      </c>
      <c r="P125" s="1" t="str">
        <f t="shared" si="17"/>
        <v>产能周期下行</v>
      </c>
      <c r="Q125" s="2" t="str">
        <f t="shared" si="18"/>
        <v>产能周期下行,主动补库存</v>
      </c>
      <c r="S125" s="12">
        <v>42063</v>
      </c>
      <c r="T125" s="13">
        <v>49.9</v>
      </c>
      <c r="V125" s="12">
        <v>42004</v>
      </c>
      <c r="W125" s="13">
        <v>12.6</v>
      </c>
      <c r="Y125" s="12">
        <v>44834</v>
      </c>
      <c r="Z125" s="13">
        <v>37.200000000000003</v>
      </c>
    </row>
    <row r="126" spans="1:26" x14ac:dyDescent="0.35">
      <c r="A126" s="8">
        <f t="shared" si="19"/>
        <v>42308</v>
      </c>
      <c r="B126" s="9">
        <f t="shared" si="13"/>
        <v>49.8</v>
      </c>
      <c r="C126" s="9">
        <f t="shared" si="20"/>
        <v>4.5</v>
      </c>
      <c r="D126" s="9">
        <f t="shared" si="14"/>
        <v>37.200000000000003</v>
      </c>
      <c r="E126" s="1">
        <v>1</v>
      </c>
      <c r="F126" s="1">
        <v>0</v>
      </c>
      <c r="G126" s="7">
        <v>1</v>
      </c>
      <c r="H126" s="7">
        <v>0</v>
      </c>
      <c r="I126" s="1">
        <f t="shared" si="21"/>
        <v>0</v>
      </c>
      <c r="J126" s="1">
        <f t="shared" si="22"/>
        <v>0</v>
      </c>
      <c r="K126" s="1">
        <f t="shared" si="23"/>
        <v>0</v>
      </c>
      <c r="L126" s="1">
        <f t="shared" si="24"/>
        <v>1</v>
      </c>
      <c r="M126" s="1">
        <f t="shared" si="15"/>
        <v>0</v>
      </c>
      <c r="N126" s="1">
        <f t="shared" si="25"/>
        <v>1</v>
      </c>
      <c r="O126" s="1" t="str">
        <f t="shared" si="16"/>
        <v>主动补库存</v>
      </c>
      <c r="P126" s="1" t="str">
        <f t="shared" si="17"/>
        <v>产能周期下行</v>
      </c>
      <c r="Q126" s="2" t="str">
        <f t="shared" si="18"/>
        <v>产能周期下行,主动补库存</v>
      </c>
      <c r="S126" s="12">
        <v>42094</v>
      </c>
      <c r="T126" s="13">
        <v>50.1</v>
      </c>
      <c r="V126" s="12">
        <v>41973</v>
      </c>
      <c r="W126" s="13">
        <v>13.6</v>
      </c>
      <c r="Y126" s="12">
        <v>44926</v>
      </c>
      <c r="Z126" s="13">
        <v>36.4</v>
      </c>
    </row>
    <row r="127" spans="1:26" x14ac:dyDescent="0.35">
      <c r="A127" s="8">
        <f t="shared" si="19"/>
        <v>42277</v>
      </c>
      <c r="B127" s="9">
        <f t="shared" si="13"/>
        <v>49.8</v>
      </c>
      <c r="C127" s="9">
        <f t="shared" si="20"/>
        <v>4.9000000000000004</v>
      </c>
      <c r="D127" s="9">
        <f t="shared" si="14"/>
        <v>37.200000000000003</v>
      </c>
      <c r="E127" s="1">
        <v>1</v>
      </c>
      <c r="F127" s="1">
        <v>0</v>
      </c>
      <c r="G127" s="7">
        <v>1</v>
      </c>
      <c r="H127" s="7">
        <v>0</v>
      </c>
      <c r="I127" s="1">
        <f t="shared" si="21"/>
        <v>0</v>
      </c>
      <c r="J127" s="1">
        <f t="shared" si="22"/>
        <v>0</v>
      </c>
      <c r="K127" s="1">
        <f t="shared" si="23"/>
        <v>0</v>
      </c>
      <c r="L127" s="1">
        <f t="shared" si="24"/>
        <v>1</v>
      </c>
      <c r="M127" s="1">
        <f t="shared" si="15"/>
        <v>0</v>
      </c>
      <c r="N127" s="1">
        <f t="shared" si="25"/>
        <v>1</v>
      </c>
      <c r="O127" s="1" t="str">
        <f t="shared" si="16"/>
        <v>主动补库存</v>
      </c>
      <c r="P127" s="1" t="str">
        <f t="shared" si="17"/>
        <v>产能周期下行</v>
      </c>
      <c r="Q127" s="2" t="str">
        <f t="shared" si="18"/>
        <v>产能周期下行,主动补库存</v>
      </c>
      <c r="S127" s="12">
        <v>42124</v>
      </c>
      <c r="T127" s="13">
        <v>50.1</v>
      </c>
      <c r="V127" s="12">
        <v>41943</v>
      </c>
      <c r="W127" s="13">
        <v>14.4</v>
      </c>
      <c r="Y127" s="12">
        <v>45016</v>
      </c>
      <c r="Z127" s="13">
        <v>37.700000000000003</v>
      </c>
    </row>
    <row r="128" spans="1:26" x14ac:dyDescent="0.35">
      <c r="A128" s="8">
        <f t="shared" si="19"/>
        <v>42247</v>
      </c>
      <c r="B128" s="9">
        <f t="shared" si="13"/>
        <v>49.7</v>
      </c>
      <c r="C128" s="9">
        <f t="shared" si="20"/>
        <v>5.7</v>
      </c>
      <c r="D128" s="9">
        <f t="shared" si="14"/>
        <v>39.200000000000003</v>
      </c>
      <c r="E128" s="1">
        <v>1</v>
      </c>
      <c r="F128" s="1">
        <v>0</v>
      </c>
      <c r="G128" s="7">
        <v>1</v>
      </c>
      <c r="H128" s="7">
        <v>0</v>
      </c>
      <c r="I128" s="1">
        <f t="shared" si="21"/>
        <v>0</v>
      </c>
      <c r="J128" s="1">
        <f t="shared" si="22"/>
        <v>0</v>
      </c>
      <c r="K128" s="1">
        <f t="shared" si="23"/>
        <v>0</v>
      </c>
      <c r="L128" s="1">
        <f t="shared" si="24"/>
        <v>1</v>
      </c>
      <c r="M128" s="1">
        <f t="shared" si="15"/>
        <v>1</v>
      </c>
      <c r="N128" s="1">
        <f t="shared" si="25"/>
        <v>0</v>
      </c>
      <c r="O128" s="1" t="str">
        <f t="shared" si="16"/>
        <v>主动补库存</v>
      </c>
      <c r="P128" s="1" t="str">
        <f t="shared" si="17"/>
        <v>产能周期上行</v>
      </c>
      <c r="Q128" s="2" t="str">
        <f t="shared" si="18"/>
        <v>产能周期上行,主动补库存</v>
      </c>
      <c r="S128" s="12">
        <v>42155</v>
      </c>
      <c r="T128" s="13">
        <v>50.2</v>
      </c>
      <c r="V128" s="12">
        <v>41912</v>
      </c>
      <c r="W128" s="13">
        <v>15.1</v>
      </c>
      <c r="Y128" s="12">
        <v>45107</v>
      </c>
      <c r="Z128" s="13">
        <v>38.9</v>
      </c>
    </row>
    <row r="129" spans="1:26" x14ac:dyDescent="0.35">
      <c r="A129" s="8">
        <f t="shared" si="19"/>
        <v>42216</v>
      </c>
      <c r="B129" s="9">
        <f t="shared" si="13"/>
        <v>50</v>
      </c>
      <c r="C129" s="9">
        <f t="shared" si="20"/>
        <v>6.8</v>
      </c>
      <c r="D129" s="9">
        <f t="shared" si="14"/>
        <v>39.200000000000003</v>
      </c>
      <c r="E129" s="1">
        <v>1</v>
      </c>
      <c r="F129" s="1">
        <v>0</v>
      </c>
      <c r="G129" s="7">
        <v>1</v>
      </c>
      <c r="H129" s="7">
        <v>0</v>
      </c>
      <c r="I129" s="1">
        <f t="shared" si="21"/>
        <v>0</v>
      </c>
      <c r="J129" s="1">
        <f t="shared" si="22"/>
        <v>0</v>
      </c>
      <c r="K129" s="1">
        <f t="shared" si="23"/>
        <v>0</v>
      </c>
      <c r="L129" s="1">
        <f t="shared" si="24"/>
        <v>1</v>
      </c>
      <c r="M129" s="1">
        <f t="shared" si="15"/>
        <v>1</v>
      </c>
      <c r="N129" s="1">
        <f t="shared" si="25"/>
        <v>0</v>
      </c>
      <c r="O129" s="1" t="str">
        <f t="shared" si="16"/>
        <v>主动补库存</v>
      </c>
      <c r="P129" s="1" t="str">
        <f t="shared" si="17"/>
        <v>产能周期上行</v>
      </c>
      <c r="Q129" s="2" t="str">
        <f t="shared" si="18"/>
        <v>产能周期上行,主动补库存</v>
      </c>
      <c r="S129" s="12">
        <v>42185</v>
      </c>
      <c r="T129" s="13">
        <v>50.2</v>
      </c>
      <c r="V129" s="12">
        <v>41882</v>
      </c>
      <c r="W129" s="13">
        <v>15.6</v>
      </c>
      <c r="Y129" s="12">
        <v>45199</v>
      </c>
      <c r="Z129" s="13">
        <v>38.799999999999997</v>
      </c>
    </row>
    <row r="130" spans="1:26" x14ac:dyDescent="0.35">
      <c r="A130" s="8">
        <f t="shared" si="19"/>
        <v>42185</v>
      </c>
      <c r="B130" s="9">
        <f t="shared" si="13"/>
        <v>50.2</v>
      </c>
      <c r="C130" s="9">
        <f t="shared" si="20"/>
        <v>7.4</v>
      </c>
      <c r="D130" s="9">
        <f t="shared" si="14"/>
        <v>39.200000000000003</v>
      </c>
      <c r="E130" s="1">
        <v>1</v>
      </c>
      <c r="F130" s="1">
        <v>0</v>
      </c>
      <c r="G130" s="7">
        <v>1</v>
      </c>
      <c r="H130" s="7">
        <v>0</v>
      </c>
      <c r="I130" s="1">
        <f t="shared" si="21"/>
        <v>0</v>
      </c>
      <c r="J130" s="1">
        <f t="shared" si="22"/>
        <v>0</v>
      </c>
      <c r="K130" s="1">
        <f t="shared" si="23"/>
        <v>0</v>
      </c>
      <c r="L130" s="1">
        <f t="shared" si="24"/>
        <v>1</v>
      </c>
      <c r="M130" s="1">
        <f t="shared" si="15"/>
        <v>1</v>
      </c>
      <c r="N130" s="1">
        <f t="shared" si="25"/>
        <v>0</v>
      </c>
      <c r="O130" s="1" t="str">
        <f t="shared" si="16"/>
        <v>主动补库存</v>
      </c>
      <c r="P130" s="1" t="str">
        <f t="shared" si="17"/>
        <v>产能周期上行</v>
      </c>
      <c r="Q130" s="2" t="str">
        <f t="shared" si="18"/>
        <v>产能周期上行,主动补库存</v>
      </c>
      <c r="S130" s="12">
        <v>42216</v>
      </c>
      <c r="T130" s="13">
        <v>50</v>
      </c>
      <c r="V130" s="12">
        <v>41851</v>
      </c>
      <c r="W130" s="13">
        <v>14.6</v>
      </c>
      <c r="Y130" s="12">
        <v>45291</v>
      </c>
      <c r="Z130" s="13">
        <v>40.1</v>
      </c>
    </row>
    <row r="131" spans="1:26" x14ac:dyDescent="0.35">
      <c r="A131" s="8">
        <f t="shared" si="19"/>
        <v>42155</v>
      </c>
      <c r="B131" s="9">
        <f t="shared" si="13"/>
        <v>50.2</v>
      </c>
      <c r="C131" s="9">
        <f t="shared" si="20"/>
        <v>7.1</v>
      </c>
      <c r="D131" s="9">
        <f t="shared" si="14"/>
        <v>39</v>
      </c>
      <c r="E131" s="1">
        <v>1</v>
      </c>
      <c r="F131" s="1">
        <v>0</v>
      </c>
      <c r="G131" s="7">
        <v>1</v>
      </c>
      <c r="H131" s="7">
        <v>0</v>
      </c>
      <c r="I131" s="1">
        <f t="shared" si="21"/>
        <v>0</v>
      </c>
      <c r="J131" s="1">
        <f t="shared" si="22"/>
        <v>0</v>
      </c>
      <c r="K131" s="1">
        <f t="shared" si="23"/>
        <v>0</v>
      </c>
      <c r="L131" s="1">
        <f t="shared" si="24"/>
        <v>1</v>
      </c>
      <c r="M131" s="1">
        <f t="shared" si="15"/>
        <v>0</v>
      </c>
      <c r="N131" s="1">
        <f t="shared" si="25"/>
        <v>1</v>
      </c>
      <c r="O131" s="1" t="str">
        <f t="shared" si="16"/>
        <v>主动补库存</v>
      </c>
      <c r="P131" s="1" t="str">
        <f t="shared" si="17"/>
        <v>产能周期下行</v>
      </c>
      <c r="Q131" s="2" t="str">
        <f t="shared" si="18"/>
        <v>产能周期下行,主动补库存</v>
      </c>
      <c r="S131" s="12">
        <v>42247</v>
      </c>
      <c r="T131" s="13">
        <v>49.7</v>
      </c>
      <c r="V131" s="12">
        <v>41820</v>
      </c>
      <c r="W131" s="13">
        <v>12.6</v>
      </c>
      <c r="Y131" s="12">
        <v>45382</v>
      </c>
      <c r="Z131" s="13">
        <v>38</v>
      </c>
    </row>
    <row r="132" spans="1:26" x14ac:dyDescent="0.35">
      <c r="A132" s="8">
        <f t="shared" si="19"/>
        <v>42124</v>
      </c>
      <c r="B132" s="9">
        <f t="shared" ref="B132:B195" si="26">VLOOKUP(A132,S:T,2,0)</f>
        <v>50.1</v>
      </c>
      <c r="C132" s="9">
        <f t="shared" si="20"/>
        <v>7</v>
      </c>
      <c r="D132" s="9">
        <f t="shared" si="14"/>
        <v>39</v>
      </c>
      <c r="E132" s="1">
        <v>1</v>
      </c>
      <c r="F132" s="1">
        <v>0</v>
      </c>
      <c r="G132" s="7">
        <v>1</v>
      </c>
      <c r="H132" s="7">
        <v>0</v>
      </c>
      <c r="I132" s="1">
        <f t="shared" si="21"/>
        <v>0</v>
      </c>
      <c r="J132" s="1">
        <f t="shared" si="22"/>
        <v>0</v>
      </c>
      <c r="K132" s="1">
        <f t="shared" si="23"/>
        <v>0</v>
      </c>
      <c r="L132" s="1">
        <f t="shared" si="24"/>
        <v>1</v>
      </c>
      <c r="M132" s="1">
        <f t="shared" si="15"/>
        <v>0</v>
      </c>
      <c r="N132" s="1">
        <f t="shared" si="25"/>
        <v>1</v>
      </c>
      <c r="O132" s="1" t="str">
        <f t="shared" si="16"/>
        <v>主动补库存</v>
      </c>
      <c r="P132" s="1" t="str">
        <f t="shared" si="17"/>
        <v>产能周期下行</v>
      </c>
      <c r="Q132" s="2" t="str">
        <f t="shared" si="18"/>
        <v>产能周期下行,主动补库存</v>
      </c>
      <c r="S132" s="12">
        <v>42277</v>
      </c>
      <c r="T132" s="13">
        <v>49.8</v>
      </c>
      <c r="V132" s="12">
        <v>41790</v>
      </c>
      <c r="W132" s="13">
        <v>12.5</v>
      </c>
      <c r="Y132" s="12">
        <v>45473</v>
      </c>
      <c r="Z132" s="13">
        <v>40</v>
      </c>
    </row>
    <row r="133" spans="1:26" x14ac:dyDescent="0.35">
      <c r="A133" s="8">
        <f t="shared" si="19"/>
        <v>42094</v>
      </c>
      <c r="B133" s="9">
        <f t="shared" si="26"/>
        <v>50.1</v>
      </c>
      <c r="C133" s="9">
        <f t="shared" si="20"/>
        <v>7.7</v>
      </c>
      <c r="D133" s="9">
        <f t="shared" ref="D133:D196" si="27">IFERROR(VLOOKUP(A133,Y:Z,2,FALSE),D134)</f>
        <v>39</v>
      </c>
      <c r="E133" s="1">
        <v>1</v>
      </c>
      <c r="F133" s="1">
        <v>0</v>
      </c>
      <c r="G133" s="7">
        <v>1</v>
      </c>
      <c r="H133" s="7">
        <v>0</v>
      </c>
      <c r="I133" s="1">
        <f t="shared" si="21"/>
        <v>0</v>
      </c>
      <c r="J133" s="1">
        <f t="shared" si="22"/>
        <v>0</v>
      </c>
      <c r="K133" s="1">
        <f t="shared" si="23"/>
        <v>0</v>
      </c>
      <c r="L133" s="1">
        <f t="shared" si="24"/>
        <v>1</v>
      </c>
      <c r="M133" s="1">
        <f t="shared" ref="M133:M196" si="28">IF(D133 = D134, M134, IF(D133 &gt; D134, 1, 0))</f>
        <v>0</v>
      </c>
      <c r="N133" s="1">
        <f t="shared" si="25"/>
        <v>1</v>
      </c>
      <c r="O133" s="1" t="str">
        <f t="shared" ref="O133:O196" si="29">INDEX($I$3:$L$3,1,MATCH(1,I133:L133,0))</f>
        <v>主动补库存</v>
      </c>
      <c r="P133" s="1" t="str">
        <f t="shared" ref="P133:P196" si="30">INDEX($M$3:$N$3,1,MATCH(1,M133:N133,0))</f>
        <v>产能周期下行</v>
      </c>
      <c r="Q133" s="2" t="str">
        <f t="shared" ref="Q133:Q196" si="31">TEXT(P133,"")&amp;","&amp;TEXT(O133,"")</f>
        <v>产能周期下行,主动补库存</v>
      </c>
      <c r="S133" s="12">
        <v>42308</v>
      </c>
      <c r="T133" s="13">
        <v>49.8</v>
      </c>
      <c r="V133" s="12">
        <v>41759</v>
      </c>
      <c r="W133" s="13">
        <v>12</v>
      </c>
      <c r="Y133" s="12">
        <v>45565</v>
      </c>
      <c r="Z133" s="13">
        <v>39</v>
      </c>
    </row>
    <row r="134" spans="1:26" x14ac:dyDescent="0.35">
      <c r="A134" s="8">
        <f t="shared" ref="A134:A197" si="32">EOMONTH(A133,-1)</f>
        <v>42063</v>
      </c>
      <c r="B134" s="9">
        <f t="shared" si="26"/>
        <v>49.9</v>
      </c>
      <c r="C134" s="9">
        <f t="shared" ref="C134:C197" si="33">VLOOKUP(A134,V:W,2,0)</f>
        <v>8.5</v>
      </c>
      <c r="D134" s="9">
        <f t="shared" si="27"/>
        <v>40.4</v>
      </c>
      <c r="E134" s="1">
        <v>1</v>
      </c>
      <c r="F134" s="1">
        <v>0</v>
      </c>
      <c r="G134" s="7">
        <v>1</v>
      </c>
      <c r="H134" s="7">
        <v>0</v>
      </c>
      <c r="I134" s="1">
        <f t="shared" ref="I134:I197" si="34">INT(AND(H134=1,F134=1))</f>
        <v>0</v>
      </c>
      <c r="J134" s="1">
        <f t="shared" ref="J134:J197" si="35">INT(AND(H134=1,E134=1))</f>
        <v>0</v>
      </c>
      <c r="K134" s="1">
        <f t="shared" ref="K134:K197" si="36">INT(AND(G134=1,F134=1))</f>
        <v>0</v>
      </c>
      <c r="L134" s="1">
        <f t="shared" ref="L134:L197" si="37">INT(AND(G134=1,E134=1))</f>
        <v>1</v>
      </c>
      <c r="M134" s="1">
        <f t="shared" si="28"/>
        <v>0</v>
      </c>
      <c r="N134" s="1">
        <f t="shared" ref="N134:N197" si="38">1-M134</f>
        <v>1</v>
      </c>
      <c r="O134" s="1" t="str">
        <f t="shared" si="29"/>
        <v>主动补库存</v>
      </c>
      <c r="P134" s="1" t="str">
        <f t="shared" si="30"/>
        <v>产能周期下行</v>
      </c>
      <c r="Q134" s="2" t="str">
        <f t="shared" si="31"/>
        <v>产能周期下行,主动补库存</v>
      </c>
      <c r="S134" s="12">
        <v>42338</v>
      </c>
      <c r="T134" s="13">
        <v>49.6</v>
      </c>
      <c r="V134" s="12">
        <v>41729</v>
      </c>
      <c r="W134" s="13">
        <v>10.7</v>
      </c>
    </row>
    <row r="135" spans="1:26" x14ac:dyDescent="0.35">
      <c r="A135" s="8">
        <f t="shared" si="32"/>
        <v>42035</v>
      </c>
      <c r="B135" s="9">
        <f t="shared" si="26"/>
        <v>49.8</v>
      </c>
      <c r="C135" s="9" t="e">
        <f t="shared" si="33"/>
        <v>#N/A</v>
      </c>
      <c r="D135" s="9">
        <f t="shared" si="27"/>
        <v>40.4</v>
      </c>
      <c r="E135" s="1">
        <v>0</v>
      </c>
      <c r="F135" s="1">
        <v>1</v>
      </c>
      <c r="G135" s="7">
        <v>1</v>
      </c>
      <c r="H135" s="7">
        <v>0</v>
      </c>
      <c r="I135" s="1">
        <f t="shared" si="34"/>
        <v>0</v>
      </c>
      <c r="J135" s="1">
        <f t="shared" si="35"/>
        <v>0</v>
      </c>
      <c r="K135" s="1">
        <f t="shared" si="36"/>
        <v>1</v>
      </c>
      <c r="L135" s="1">
        <f t="shared" si="37"/>
        <v>0</v>
      </c>
      <c r="M135" s="1">
        <f t="shared" si="28"/>
        <v>0</v>
      </c>
      <c r="N135" s="1">
        <f t="shared" si="38"/>
        <v>1</v>
      </c>
      <c r="O135" s="1" t="str">
        <f t="shared" si="29"/>
        <v>被动去库存</v>
      </c>
      <c r="P135" s="1" t="str">
        <f t="shared" si="30"/>
        <v>产能周期下行</v>
      </c>
      <c r="Q135" s="2" t="str">
        <f t="shared" si="31"/>
        <v>产能周期下行,被动去库存</v>
      </c>
      <c r="S135" s="12">
        <v>42369</v>
      </c>
      <c r="T135" s="13">
        <v>49.7</v>
      </c>
      <c r="V135" s="12">
        <v>41698</v>
      </c>
      <c r="W135" s="13">
        <v>10.19</v>
      </c>
    </row>
    <row r="136" spans="1:26" x14ac:dyDescent="0.35">
      <c r="A136" s="8">
        <f t="shared" si="32"/>
        <v>42004</v>
      </c>
      <c r="B136" s="9">
        <f t="shared" si="26"/>
        <v>50.1</v>
      </c>
      <c r="C136" s="9">
        <f t="shared" si="33"/>
        <v>12.6</v>
      </c>
      <c r="D136" s="9">
        <f t="shared" si="27"/>
        <v>40.4</v>
      </c>
      <c r="E136" s="1">
        <v>0</v>
      </c>
      <c r="F136" s="1">
        <v>1</v>
      </c>
      <c r="G136" s="7">
        <v>1</v>
      </c>
      <c r="H136" s="7">
        <v>0</v>
      </c>
      <c r="I136" s="1">
        <f t="shared" si="34"/>
        <v>0</v>
      </c>
      <c r="J136" s="1">
        <f t="shared" si="35"/>
        <v>0</v>
      </c>
      <c r="K136" s="1">
        <f t="shared" si="36"/>
        <v>1</v>
      </c>
      <c r="L136" s="1">
        <f t="shared" si="37"/>
        <v>0</v>
      </c>
      <c r="M136" s="1">
        <f t="shared" si="28"/>
        <v>0</v>
      </c>
      <c r="N136" s="1">
        <f t="shared" si="38"/>
        <v>1</v>
      </c>
      <c r="O136" s="1" t="str">
        <f t="shared" si="29"/>
        <v>被动去库存</v>
      </c>
      <c r="P136" s="1" t="str">
        <f t="shared" si="30"/>
        <v>产能周期下行</v>
      </c>
      <c r="Q136" s="2" t="str">
        <f t="shared" si="31"/>
        <v>产能周期下行,被动去库存</v>
      </c>
      <c r="S136" s="12">
        <v>42400</v>
      </c>
      <c r="T136" s="13">
        <v>49.4</v>
      </c>
      <c r="V136" s="12">
        <v>41639</v>
      </c>
      <c r="W136" s="13">
        <v>6.83</v>
      </c>
    </row>
    <row r="137" spans="1:26" x14ac:dyDescent="0.35">
      <c r="A137" s="8">
        <f t="shared" si="32"/>
        <v>41973</v>
      </c>
      <c r="B137" s="9">
        <f t="shared" si="26"/>
        <v>50.3</v>
      </c>
      <c r="C137" s="9">
        <f t="shared" si="33"/>
        <v>13.6</v>
      </c>
      <c r="D137" s="9">
        <f t="shared" si="27"/>
        <v>40.6</v>
      </c>
      <c r="E137" s="1">
        <v>0</v>
      </c>
      <c r="F137" s="1">
        <v>1</v>
      </c>
      <c r="G137" s="7">
        <v>1</v>
      </c>
      <c r="H137" s="7">
        <v>0</v>
      </c>
      <c r="I137" s="1">
        <f t="shared" si="34"/>
        <v>0</v>
      </c>
      <c r="J137" s="1">
        <f t="shared" si="35"/>
        <v>0</v>
      </c>
      <c r="K137" s="1">
        <f t="shared" si="36"/>
        <v>1</v>
      </c>
      <c r="L137" s="1">
        <f t="shared" si="37"/>
        <v>0</v>
      </c>
      <c r="M137" s="1">
        <f t="shared" si="28"/>
        <v>1</v>
      </c>
      <c r="N137" s="1">
        <f t="shared" si="38"/>
        <v>0</v>
      </c>
      <c r="O137" s="1" t="str">
        <f t="shared" si="29"/>
        <v>被动去库存</v>
      </c>
      <c r="P137" s="1" t="str">
        <f t="shared" si="30"/>
        <v>产能周期上行</v>
      </c>
      <c r="Q137" s="2" t="str">
        <f t="shared" si="31"/>
        <v>产能周期上行,被动去库存</v>
      </c>
      <c r="S137" s="12">
        <v>42429</v>
      </c>
      <c r="T137" s="13">
        <v>49</v>
      </c>
      <c r="V137" s="12">
        <v>41608</v>
      </c>
      <c r="W137" s="13">
        <v>6.56</v>
      </c>
    </row>
    <row r="138" spans="1:26" x14ac:dyDescent="0.35">
      <c r="A138" s="8">
        <f t="shared" si="32"/>
        <v>41943</v>
      </c>
      <c r="B138" s="9">
        <f t="shared" si="26"/>
        <v>50.8</v>
      </c>
      <c r="C138" s="9">
        <f t="shared" si="33"/>
        <v>14.4</v>
      </c>
      <c r="D138" s="9">
        <f t="shared" si="27"/>
        <v>40.6</v>
      </c>
      <c r="E138" s="1">
        <v>0</v>
      </c>
      <c r="F138" s="1">
        <v>1</v>
      </c>
      <c r="G138" s="7">
        <v>1</v>
      </c>
      <c r="H138" s="7">
        <v>0</v>
      </c>
      <c r="I138" s="1">
        <f t="shared" si="34"/>
        <v>0</v>
      </c>
      <c r="J138" s="1">
        <f t="shared" si="35"/>
        <v>0</v>
      </c>
      <c r="K138" s="1">
        <f t="shared" si="36"/>
        <v>1</v>
      </c>
      <c r="L138" s="1">
        <f t="shared" si="37"/>
        <v>0</v>
      </c>
      <c r="M138" s="1">
        <f t="shared" si="28"/>
        <v>1</v>
      </c>
      <c r="N138" s="1">
        <f t="shared" si="38"/>
        <v>0</v>
      </c>
      <c r="O138" s="1" t="str">
        <f t="shared" si="29"/>
        <v>被动去库存</v>
      </c>
      <c r="P138" s="1" t="str">
        <f t="shared" si="30"/>
        <v>产能周期上行</v>
      </c>
      <c r="Q138" s="2" t="str">
        <f t="shared" si="31"/>
        <v>产能周期上行,被动去库存</v>
      </c>
      <c r="S138" s="12">
        <v>42460</v>
      </c>
      <c r="T138" s="13">
        <v>50.2</v>
      </c>
      <c r="V138" s="12">
        <v>41578</v>
      </c>
      <c r="W138" s="13">
        <v>6.23</v>
      </c>
    </row>
    <row r="139" spans="1:26" x14ac:dyDescent="0.35">
      <c r="A139" s="8">
        <f t="shared" si="32"/>
        <v>41912</v>
      </c>
      <c r="B139" s="9">
        <f t="shared" si="26"/>
        <v>51.1</v>
      </c>
      <c r="C139" s="9">
        <f t="shared" si="33"/>
        <v>15.1</v>
      </c>
      <c r="D139" s="9">
        <f t="shared" si="27"/>
        <v>40.6</v>
      </c>
      <c r="E139" s="1">
        <v>0</v>
      </c>
      <c r="F139" s="1">
        <v>1</v>
      </c>
      <c r="G139" s="7">
        <v>1</v>
      </c>
      <c r="H139" s="7">
        <v>0</v>
      </c>
      <c r="I139" s="1">
        <f t="shared" si="34"/>
        <v>0</v>
      </c>
      <c r="J139" s="1">
        <f t="shared" si="35"/>
        <v>0</v>
      </c>
      <c r="K139" s="1">
        <f t="shared" si="36"/>
        <v>1</v>
      </c>
      <c r="L139" s="1">
        <f t="shared" si="37"/>
        <v>0</v>
      </c>
      <c r="M139" s="1">
        <f t="shared" si="28"/>
        <v>1</v>
      </c>
      <c r="N139" s="1">
        <f t="shared" si="38"/>
        <v>0</v>
      </c>
      <c r="O139" s="1" t="str">
        <f t="shared" si="29"/>
        <v>被动去库存</v>
      </c>
      <c r="P139" s="1" t="str">
        <f t="shared" si="30"/>
        <v>产能周期上行</v>
      </c>
      <c r="Q139" s="2" t="str">
        <f t="shared" si="31"/>
        <v>产能周期上行,被动去库存</v>
      </c>
      <c r="S139" s="12">
        <v>42490</v>
      </c>
      <c r="T139" s="13">
        <v>50.1</v>
      </c>
      <c r="V139" s="12">
        <v>41547</v>
      </c>
      <c r="W139" s="13">
        <v>6.03</v>
      </c>
    </row>
    <row r="140" spans="1:26" x14ac:dyDescent="0.35">
      <c r="A140" s="8">
        <f t="shared" si="32"/>
        <v>41882</v>
      </c>
      <c r="B140" s="9">
        <f t="shared" si="26"/>
        <v>51.1</v>
      </c>
      <c r="C140" s="9">
        <f t="shared" si="33"/>
        <v>15.6</v>
      </c>
      <c r="D140" s="9">
        <f t="shared" si="27"/>
        <v>40.6</v>
      </c>
      <c r="E140" s="1">
        <v>0</v>
      </c>
      <c r="F140" s="1">
        <v>1</v>
      </c>
      <c r="G140" s="7">
        <v>1</v>
      </c>
      <c r="H140" s="7">
        <v>0</v>
      </c>
      <c r="I140" s="1">
        <f t="shared" si="34"/>
        <v>0</v>
      </c>
      <c r="J140" s="1">
        <f t="shared" si="35"/>
        <v>0</v>
      </c>
      <c r="K140" s="1">
        <f t="shared" si="36"/>
        <v>1</v>
      </c>
      <c r="L140" s="1">
        <f t="shared" si="37"/>
        <v>0</v>
      </c>
      <c r="M140" s="1">
        <f t="shared" si="28"/>
        <v>1</v>
      </c>
      <c r="N140" s="1">
        <f t="shared" si="38"/>
        <v>0</v>
      </c>
      <c r="O140" s="1" t="str">
        <f t="shared" si="29"/>
        <v>被动去库存</v>
      </c>
      <c r="P140" s="1" t="str">
        <f t="shared" si="30"/>
        <v>产能周期上行</v>
      </c>
      <c r="Q140" s="2" t="str">
        <f t="shared" si="31"/>
        <v>产能周期上行,被动去库存</v>
      </c>
      <c r="S140" s="12">
        <v>42521</v>
      </c>
      <c r="T140" s="13">
        <v>50.1</v>
      </c>
      <c r="V140" s="12">
        <v>41517</v>
      </c>
      <c r="W140" s="13">
        <v>5.73</v>
      </c>
    </row>
    <row r="141" spans="1:26" x14ac:dyDescent="0.35">
      <c r="A141" s="8">
        <f t="shared" si="32"/>
        <v>41851</v>
      </c>
      <c r="B141" s="9">
        <f t="shared" si="26"/>
        <v>51.7</v>
      </c>
      <c r="C141" s="9">
        <f t="shared" si="33"/>
        <v>14.6</v>
      </c>
      <c r="D141" s="9">
        <f t="shared" si="27"/>
        <v>40.6</v>
      </c>
      <c r="E141" s="1">
        <v>0</v>
      </c>
      <c r="F141" s="1">
        <v>1</v>
      </c>
      <c r="G141" s="7">
        <v>1</v>
      </c>
      <c r="H141" s="7">
        <v>0</v>
      </c>
      <c r="I141" s="1">
        <f t="shared" si="34"/>
        <v>0</v>
      </c>
      <c r="J141" s="1">
        <f t="shared" si="35"/>
        <v>0</v>
      </c>
      <c r="K141" s="1">
        <f t="shared" si="36"/>
        <v>1</v>
      </c>
      <c r="L141" s="1">
        <f t="shared" si="37"/>
        <v>0</v>
      </c>
      <c r="M141" s="1">
        <f t="shared" si="28"/>
        <v>1</v>
      </c>
      <c r="N141" s="1">
        <f t="shared" si="38"/>
        <v>0</v>
      </c>
      <c r="O141" s="1" t="str">
        <f t="shared" si="29"/>
        <v>被动去库存</v>
      </c>
      <c r="P141" s="1" t="str">
        <f t="shared" si="30"/>
        <v>产能周期上行</v>
      </c>
      <c r="Q141" s="2" t="str">
        <f t="shared" si="31"/>
        <v>产能周期上行,被动去库存</v>
      </c>
      <c r="S141" s="12">
        <v>42551</v>
      </c>
      <c r="T141" s="13">
        <v>50</v>
      </c>
      <c r="V141" s="12">
        <v>41486</v>
      </c>
      <c r="W141" s="13">
        <v>6.1</v>
      </c>
    </row>
    <row r="142" spans="1:26" x14ac:dyDescent="0.35">
      <c r="A142" s="8">
        <f t="shared" si="32"/>
        <v>41820</v>
      </c>
      <c r="B142" s="9">
        <f t="shared" si="26"/>
        <v>51</v>
      </c>
      <c r="C142" s="9">
        <f t="shared" si="33"/>
        <v>12.6</v>
      </c>
      <c r="D142" s="9">
        <f t="shared" si="27"/>
        <v>40.6</v>
      </c>
      <c r="E142" s="1">
        <v>0</v>
      </c>
      <c r="F142" s="1">
        <v>1</v>
      </c>
      <c r="G142" s="7">
        <v>1</v>
      </c>
      <c r="H142" s="7">
        <v>0</v>
      </c>
      <c r="I142" s="1">
        <f t="shared" si="34"/>
        <v>0</v>
      </c>
      <c r="J142" s="1">
        <f t="shared" si="35"/>
        <v>0</v>
      </c>
      <c r="K142" s="1">
        <f t="shared" si="36"/>
        <v>1</v>
      </c>
      <c r="L142" s="1">
        <f t="shared" si="37"/>
        <v>0</v>
      </c>
      <c r="M142" s="1">
        <f t="shared" si="28"/>
        <v>1</v>
      </c>
      <c r="N142" s="1">
        <f t="shared" si="38"/>
        <v>0</v>
      </c>
      <c r="O142" s="1" t="str">
        <f t="shared" si="29"/>
        <v>被动去库存</v>
      </c>
      <c r="P142" s="1" t="str">
        <f t="shared" si="30"/>
        <v>产能周期上行</v>
      </c>
      <c r="Q142" s="2" t="str">
        <f t="shared" si="31"/>
        <v>产能周期上行,被动去库存</v>
      </c>
      <c r="S142" s="12">
        <v>42582</v>
      </c>
      <c r="T142" s="13">
        <v>49.9</v>
      </c>
      <c r="V142" s="12">
        <v>41455</v>
      </c>
      <c r="W142" s="13">
        <v>7.2</v>
      </c>
    </row>
    <row r="143" spans="1:26" x14ac:dyDescent="0.35">
      <c r="A143" s="8">
        <f t="shared" si="32"/>
        <v>41790</v>
      </c>
      <c r="B143" s="9">
        <f t="shared" si="26"/>
        <v>50.8</v>
      </c>
      <c r="C143" s="9">
        <f t="shared" si="33"/>
        <v>12.5</v>
      </c>
      <c r="D143" s="9">
        <f t="shared" si="27"/>
        <v>39.200000000000003</v>
      </c>
      <c r="E143" s="1">
        <v>0</v>
      </c>
      <c r="F143" s="1">
        <v>1</v>
      </c>
      <c r="G143" s="7">
        <v>1</v>
      </c>
      <c r="H143" s="7">
        <v>0</v>
      </c>
      <c r="I143" s="1">
        <f t="shared" si="34"/>
        <v>0</v>
      </c>
      <c r="J143" s="1">
        <f t="shared" si="35"/>
        <v>0</v>
      </c>
      <c r="K143" s="1">
        <f t="shared" si="36"/>
        <v>1</v>
      </c>
      <c r="L143" s="1">
        <f t="shared" si="37"/>
        <v>0</v>
      </c>
      <c r="M143" s="1">
        <f t="shared" si="28"/>
        <v>0</v>
      </c>
      <c r="N143" s="1">
        <f t="shared" si="38"/>
        <v>1</v>
      </c>
      <c r="O143" s="1" t="str">
        <f t="shared" si="29"/>
        <v>被动去库存</v>
      </c>
      <c r="P143" s="1" t="str">
        <f t="shared" si="30"/>
        <v>产能周期下行</v>
      </c>
      <c r="Q143" s="2" t="str">
        <f t="shared" si="31"/>
        <v>产能周期下行,被动去库存</v>
      </c>
      <c r="S143" s="12">
        <v>42613</v>
      </c>
      <c r="T143" s="13">
        <v>50.4</v>
      </c>
      <c r="V143" s="12">
        <v>41425</v>
      </c>
      <c r="W143" s="13">
        <v>7.1</v>
      </c>
    </row>
    <row r="144" spans="1:26" x14ac:dyDescent="0.35">
      <c r="A144" s="8">
        <f t="shared" si="32"/>
        <v>41759</v>
      </c>
      <c r="B144" s="9">
        <f t="shared" si="26"/>
        <v>50.4</v>
      </c>
      <c r="C144" s="9">
        <f t="shared" si="33"/>
        <v>12</v>
      </c>
      <c r="D144" s="9">
        <f t="shared" si="27"/>
        <v>39.200000000000003</v>
      </c>
      <c r="E144" s="1">
        <v>0</v>
      </c>
      <c r="F144" s="1">
        <v>1</v>
      </c>
      <c r="G144" s="7">
        <v>1</v>
      </c>
      <c r="H144" s="7">
        <v>0</v>
      </c>
      <c r="I144" s="1">
        <f t="shared" si="34"/>
        <v>0</v>
      </c>
      <c r="J144" s="1">
        <f t="shared" si="35"/>
        <v>0</v>
      </c>
      <c r="K144" s="1">
        <f t="shared" si="36"/>
        <v>1</v>
      </c>
      <c r="L144" s="1">
        <f t="shared" si="37"/>
        <v>0</v>
      </c>
      <c r="M144" s="1">
        <f t="shared" si="28"/>
        <v>0</v>
      </c>
      <c r="N144" s="1">
        <f t="shared" si="38"/>
        <v>1</v>
      </c>
      <c r="O144" s="1" t="str">
        <f t="shared" si="29"/>
        <v>被动去库存</v>
      </c>
      <c r="P144" s="1" t="str">
        <f t="shared" si="30"/>
        <v>产能周期下行</v>
      </c>
      <c r="Q144" s="2" t="str">
        <f t="shared" si="31"/>
        <v>产能周期下行,被动去库存</v>
      </c>
      <c r="S144" s="12">
        <v>42643</v>
      </c>
      <c r="T144" s="13">
        <v>50.4</v>
      </c>
      <c r="V144" s="12">
        <v>41394</v>
      </c>
      <c r="W144" s="13">
        <v>8</v>
      </c>
    </row>
    <row r="145" spans="1:23" x14ac:dyDescent="0.35">
      <c r="A145" s="8">
        <f t="shared" si="32"/>
        <v>41729</v>
      </c>
      <c r="B145" s="9">
        <f t="shared" si="26"/>
        <v>50.3</v>
      </c>
      <c r="C145" s="9">
        <f t="shared" si="33"/>
        <v>10.7</v>
      </c>
      <c r="D145" s="9">
        <f t="shared" si="27"/>
        <v>39.200000000000003</v>
      </c>
      <c r="E145" s="1">
        <v>0</v>
      </c>
      <c r="F145" s="1">
        <v>1</v>
      </c>
      <c r="G145" s="7">
        <v>1</v>
      </c>
      <c r="H145" s="7">
        <v>0</v>
      </c>
      <c r="I145" s="1">
        <f t="shared" si="34"/>
        <v>0</v>
      </c>
      <c r="J145" s="1">
        <f t="shared" si="35"/>
        <v>0</v>
      </c>
      <c r="K145" s="1">
        <f t="shared" si="36"/>
        <v>1</v>
      </c>
      <c r="L145" s="1">
        <f t="shared" si="37"/>
        <v>0</v>
      </c>
      <c r="M145" s="1">
        <f t="shared" si="28"/>
        <v>0</v>
      </c>
      <c r="N145" s="1">
        <f t="shared" si="38"/>
        <v>1</v>
      </c>
      <c r="O145" s="1" t="str">
        <f t="shared" si="29"/>
        <v>被动去库存</v>
      </c>
      <c r="P145" s="1" t="str">
        <f t="shared" si="30"/>
        <v>产能周期下行</v>
      </c>
      <c r="Q145" s="2" t="str">
        <f t="shared" si="31"/>
        <v>产能周期下行,被动去库存</v>
      </c>
      <c r="S145" s="12">
        <v>42674</v>
      </c>
      <c r="T145" s="13">
        <v>51.2</v>
      </c>
      <c r="V145" s="12">
        <v>41364</v>
      </c>
      <c r="W145" s="13">
        <v>8.82</v>
      </c>
    </row>
    <row r="146" spans="1:23" x14ac:dyDescent="0.35">
      <c r="A146" s="8">
        <f t="shared" si="32"/>
        <v>41698</v>
      </c>
      <c r="B146" s="9">
        <f t="shared" si="26"/>
        <v>50.2</v>
      </c>
      <c r="C146" s="9">
        <f t="shared" si="33"/>
        <v>10.19</v>
      </c>
      <c r="D146" s="9">
        <f t="shared" si="27"/>
        <v>41.2</v>
      </c>
      <c r="E146" s="1">
        <v>0</v>
      </c>
      <c r="F146" s="1">
        <v>1</v>
      </c>
      <c r="G146" s="7">
        <v>0</v>
      </c>
      <c r="H146" s="7">
        <v>1</v>
      </c>
      <c r="I146" s="1">
        <f t="shared" si="34"/>
        <v>1</v>
      </c>
      <c r="J146" s="1">
        <f t="shared" si="35"/>
        <v>0</v>
      </c>
      <c r="K146" s="1">
        <f t="shared" si="36"/>
        <v>0</v>
      </c>
      <c r="L146" s="1">
        <f t="shared" si="37"/>
        <v>0</v>
      </c>
      <c r="M146" s="1">
        <f t="shared" si="28"/>
        <v>1</v>
      </c>
      <c r="N146" s="1">
        <f t="shared" si="38"/>
        <v>0</v>
      </c>
      <c r="O146" s="1" t="str">
        <f t="shared" si="29"/>
        <v>主动去库存</v>
      </c>
      <c r="P146" s="1" t="str">
        <f t="shared" si="30"/>
        <v>产能周期上行</v>
      </c>
      <c r="Q146" s="2" t="str">
        <f t="shared" si="31"/>
        <v>产能周期上行,主动去库存</v>
      </c>
      <c r="S146" s="12">
        <v>42704</v>
      </c>
      <c r="T146" s="13">
        <v>51.7</v>
      </c>
      <c r="V146" s="12">
        <v>41333</v>
      </c>
      <c r="W146" s="13">
        <v>7.51</v>
      </c>
    </row>
    <row r="147" spans="1:23" x14ac:dyDescent="0.35">
      <c r="A147" s="8">
        <f t="shared" si="32"/>
        <v>41670</v>
      </c>
      <c r="B147" s="9">
        <f t="shared" si="26"/>
        <v>50.5</v>
      </c>
      <c r="C147" s="9" t="e">
        <f t="shared" si="33"/>
        <v>#N/A</v>
      </c>
      <c r="D147" s="9">
        <f t="shared" si="27"/>
        <v>41.2</v>
      </c>
      <c r="E147" s="1">
        <v>0</v>
      </c>
      <c r="F147" s="1">
        <v>1</v>
      </c>
      <c r="G147" s="7">
        <v>0</v>
      </c>
      <c r="H147" s="7">
        <v>1</v>
      </c>
      <c r="I147" s="1">
        <f t="shared" si="34"/>
        <v>1</v>
      </c>
      <c r="J147" s="1">
        <f t="shared" si="35"/>
        <v>0</v>
      </c>
      <c r="K147" s="1">
        <f t="shared" si="36"/>
        <v>0</v>
      </c>
      <c r="L147" s="1">
        <f t="shared" si="37"/>
        <v>0</v>
      </c>
      <c r="M147" s="1">
        <f t="shared" si="28"/>
        <v>1</v>
      </c>
      <c r="N147" s="1">
        <f t="shared" si="38"/>
        <v>0</v>
      </c>
      <c r="O147" s="1" t="str">
        <f t="shared" si="29"/>
        <v>主动去库存</v>
      </c>
      <c r="P147" s="1" t="str">
        <f t="shared" si="30"/>
        <v>产能周期上行</v>
      </c>
      <c r="Q147" s="2" t="str">
        <f t="shared" si="31"/>
        <v>产能周期上行,主动去库存</v>
      </c>
      <c r="S147" s="12">
        <v>42735</v>
      </c>
      <c r="T147" s="13">
        <v>51.4</v>
      </c>
      <c r="V147" s="12">
        <v>41274</v>
      </c>
      <c r="W147" s="13">
        <v>7.19</v>
      </c>
    </row>
    <row r="148" spans="1:23" x14ac:dyDescent="0.35">
      <c r="A148" s="8">
        <f t="shared" si="32"/>
        <v>41639</v>
      </c>
      <c r="B148" s="9">
        <f t="shared" si="26"/>
        <v>51</v>
      </c>
      <c r="C148" s="9">
        <f t="shared" si="33"/>
        <v>6.83</v>
      </c>
      <c r="D148" s="9">
        <f t="shared" si="27"/>
        <v>41.2</v>
      </c>
      <c r="E148" s="1">
        <v>0</v>
      </c>
      <c r="F148" s="1">
        <v>1</v>
      </c>
      <c r="G148" s="7">
        <v>0</v>
      </c>
      <c r="H148" s="7">
        <v>1</v>
      </c>
      <c r="I148" s="1">
        <f t="shared" si="34"/>
        <v>1</v>
      </c>
      <c r="J148" s="1">
        <f t="shared" si="35"/>
        <v>0</v>
      </c>
      <c r="K148" s="1">
        <f t="shared" si="36"/>
        <v>0</v>
      </c>
      <c r="L148" s="1">
        <f t="shared" si="37"/>
        <v>0</v>
      </c>
      <c r="M148" s="1">
        <f t="shared" si="28"/>
        <v>1</v>
      </c>
      <c r="N148" s="1">
        <f t="shared" si="38"/>
        <v>0</v>
      </c>
      <c r="O148" s="1" t="str">
        <f t="shared" si="29"/>
        <v>主动去库存</v>
      </c>
      <c r="P148" s="1" t="str">
        <f t="shared" si="30"/>
        <v>产能周期上行</v>
      </c>
      <c r="Q148" s="2" t="str">
        <f t="shared" si="31"/>
        <v>产能周期上行,主动去库存</v>
      </c>
      <c r="S148" s="12">
        <v>42766</v>
      </c>
      <c r="T148" s="13">
        <v>51.3</v>
      </c>
      <c r="V148" s="12">
        <v>41243</v>
      </c>
      <c r="W148" s="13">
        <v>7.86</v>
      </c>
    </row>
    <row r="149" spans="1:23" x14ac:dyDescent="0.35">
      <c r="A149" s="8">
        <f t="shared" si="32"/>
        <v>41608</v>
      </c>
      <c r="B149" s="9">
        <f t="shared" si="26"/>
        <v>51.4</v>
      </c>
      <c r="C149" s="9">
        <f t="shared" si="33"/>
        <v>6.56</v>
      </c>
      <c r="D149" s="9">
        <f t="shared" si="27"/>
        <v>39.799999999999997</v>
      </c>
      <c r="E149" s="1">
        <v>0</v>
      </c>
      <c r="F149" s="1">
        <v>1</v>
      </c>
      <c r="G149" s="7">
        <v>0</v>
      </c>
      <c r="H149" s="7">
        <v>1</v>
      </c>
      <c r="I149" s="1">
        <f t="shared" si="34"/>
        <v>1</v>
      </c>
      <c r="J149" s="1">
        <f t="shared" si="35"/>
        <v>0</v>
      </c>
      <c r="K149" s="1">
        <f t="shared" si="36"/>
        <v>0</v>
      </c>
      <c r="L149" s="1">
        <f t="shared" si="37"/>
        <v>0</v>
      </c>
      <c r="M149" s="1">
        <f t="shared" si="28"/>
        <v>0</v>
      </c>
      <c r="N149" s="1">
        <f t="shared" si="38"/>
        <v>1</v>
      </c>
      <c r="O149" s="1" t="str">
        <f t="shared" si="29"/>
        <v>主动去库存</v>
      </c>
      <c r="P149" s="1" t="str">
        <f t="shared" si="30"/>
        <v>产能周期下行</v>
      </c>
      <c r="Q149" s="2" t="str">
        <f t="shared" si="31"/>
        <v>产能周期下行,主动去库存</v>
      </c>
      <c r="S149" s="12">
        <v>42794</v>
      </c>
      <c r="T149" s="13">
        <v>51.6</v>
      </c>
      <c r="V149" s="12">
        <v>41213</v>
      </c>
      <c r="W149" s="13">
        <v>8.32</v>
      </c>
    </row>
    <row r="150" spans="1:23" x14ac:dyDescent="0.35">
      <c r="A150" s="8">
        <f t="shared" si="32"/>
        <v>41578</v>
      </c>
      <c r="B150" s="9">
        <f t="shared" si="26"/>
        <v>51.4</v>
      </c>
      <c r="C150" s="9">
        <f t="shared" si="33"/>
        <v>6.23</v>
      </c>
      <c r="D150" s="9">
        <f t="shared" si="27"/>
        <v>39.799999999999997</v>
      </c>
      <c r="E150" s="1">
        <v>0</v>
      </c>
      <c r="F150" s="1">
        <v>1</v>
      </c>
      <c r="G150" s="7">
        <v>0</v>
      </c>
      <c r="H150" s="7">
        <v>1</v>
      </c>
      <c r="I150" s="1">
        <f t="shared" si="34"/>
        <v>1</v>
      </c>
      <c r="J150" s="1">
        <f t="shared" si="35"/>
        <v>0</v>
      </c>
      <c r="K150" s="1">
        <f t="shared" si="36"/>
        <v>0</v>
      </c>
      <c r="L150" s="1">
        <f t="shared" si="37"/>
        <v>0</v>
      </c>
      <c r="M150" s="1">
        <f t="shared" si="28"/>
        <v>0</v>
      </c>
      <c r="N150" s="1">
        <f t="shared" si="38"/>
        <v>1</v>
      </c>
      <c r="O150" s="1" t="str">
        <f t="shared" si="29"/>
        <v>主动去库存</v>
      </c>
      <c r="P150" s="1" t="str">
        <f t="shared" si="30"/>
        <v>产能周期下行</v>
      </c>
      <c r="Q150" s="2" t="str">
        <f t="shared" si="31"/>
        <v>产能周期下行,主动去库存</v>
      </c>
      <c r="S150" s="12">
        <v>42825</v>
      </c>
      <c r="T150" s="13">
        <v>51.8</v>
      </c>
      <c r="V150" s="12">
        <v>41182</v>
      </c>
      <c r="W150" s="13">
        <v>10.050000000000001</v>
      </c>
    </row>
    <row r="151" spans="1:23" x14ac:dyDescent="0.35">
      <c r="A151" s="8">
        <f t="shared" si="32"/>
        <v>41547</v>
      </c>
      <c r="B151" s="9">
        <f t="shared" si="26"/>
        <v>51.1</v>
      </c>
      <c r="C151" s="9">
        <f t="shared" si="33"/>
        <v>6.03</v>
      </c>
      <c r="D151" s="9">
        <f t="shared" si="27"/>
        <v>39.799999999999997</v>
      </c>
      <c r="E151" s="1">
        <v>0</v>
      </c>
      <c r="F151" s="1">
        <v>1</v>
      </c>
      <c r="G151" s="7">
        <v>0</v>
      </c>
      <c r="H151" s="7">
        <v>1</v>
      </c>
      <c r="I151" s="1">
        <f t="shared" si="34"/>
        <v>1</v>
      </c>
      <c r="J151" s="1">
        <f t="shared" si="35"/>
        <v>0</v>
      </c>
      <c r="K151" s="1">
        <f t="shared" si="36"/>
        <v>0</v>
      </c>
      <c r="L151" s="1">
        <f t="shared" si="37"/>
        <v>0</v>
      </c>
      <c r="M151" s="1">
        <f t="shared" si="28"/>
        <v>0</v>
      </c>
      <c r="N151" s="1">
        <f t="shared" si="38"/>
        <v>1</v>
      </c>
      <c r="O151" s="1" t="str">
        <f t="shared" si="29"/>
        <v>主动去库存</v>
      </c>
      <c r="P151" s="1" t="str">
        <f t="shared" si="30"/>
        <v>产能周期下行</v>
      </c>
      <c r="Q151" s="2" t="str">
        <f t="shared" si="31"/>
        <v>产能周期下行,主动去库存</v>
      </c>
      <c r="S151" s="12">
        <v>42855</v>
      </c>
      <c r="T151" s="13">
        <v>51.2</v>
      </c>
      <c r="V151" s="12">
        <v>41152</v>
      </c>
      <c r="W151" s="13">
        <v>11.26</v>
      </c>
    </row>
    <row r="152" spans="1:23" x14ac:dyDescent="0.35">
      <c r="A152" s="8">
        <f t="shared" si="32"/>
        <v>41517</v>
      </c>
      <c r="B152" s="9">
        <f t="shared" si="26"/>
        <v>51</v>
      </c>
      <c r="C152" s="9">
        <f t="shared" si="33"/>
        <v>5.73</v>
      </c>
      <c r="D152" s="9">
        <f t="shared" si="27"/>
        <v>40.6</v>
      </c>
      <c r="E152" s="1">
        <v>0</v>
      </c>
      <c r="F152" s="1">
        <v>1</v>
      </c>
      <c r="G152" s="7">
        <v>0</v>
      </c>
      <c r="H152" s="7">
        <v>1</v>
      </c>
      <c r="I152" s="1">
        <f t="shared" si="34"/>
        <v>1</v>
      </c>
      <c r="J152" s="1">
        <f t="shared" si="35"/>
        <v>0</v>
      </c>
      <c r="K152" s="1">
        <f t="shared" si="36"/>
        <v>0</v>
      </c>
      <c r="L152" s="1">
        <f t="shared" si="37"/>
        <v>0</v>
      </c>
      <c r="M152" s="1">
        <f t="shared" si="28"/>
        <v>1</v>
      </c>
      <c r="N152" s="1">
        <f t="shared" si="38"/>
        <v>0</v>
      </c>
      <c r="O152" s="1" t="str">
        <f t="shared" si="29"/>
        <v>主动去库存</v>
      </c>
      <c r="P152" s="1" t="str">
        <f t="shared" si="30"/>
        <v>产能周期上行</v>
      </c>
      <c r="Q152" s="2" t="str">
        <f t="shared" si="31"/>
        <v>产能周期上行,主动去库存</v>
      </c>
      <c r="S152" s="12">
        <v>42886</v>
      </c>
      <c r="T152" s="13">
        <v>51.2</v>
      </c>
      <c r="V152" s="12">
        <v>41121</v>
      </c>
      <c r="W152" s="13">
        <v>12.5</v>
      </c>
    </row>
    <row r="153" spans="1:23" x14ac:dyDescent="0.35">
      <c r="A153" s="8">
        <f t="shared" si="32"/>
        <v>41486</v>
      </c>
      <c r="B153" s="9">
        <f t="shared" si="26"/>
        <v>50.3</v>
      </c>
      <c r="C153" s="9">
        <f t="shared" si="33"/>
        <v>6.1</v>
      </c>
      <c r="D153" s="9">
        <f t="shared" si="27"/>
        <v>40.6</v>
      </c>
      <c r="E153" s="1">
        <v>0</v>
      </c>
      <c r="F153" s="1">
        <v>1</v>
      </c>
      <c r="G153" s="7">
        <v>0</v>
      </c>
      <c r="H153" s="7">
        <v>1</v>
      </c>
      <c r="I153" s="1">
        <f t="shared" si="34"/>
        <v>1</v>
      </c>
      <c r="J153" s="1">
        <f t="shared" si="35"/>
        <v>0</v>
      </c>
      <c r="K153" s="1">
        <f t="shared" si="36"/>
        <v>0</v>
      </c>
      <c r="L153" s="1">
        <f t="shared" si="37"/>
        <v>0</v>
      </c>
      <c r="M153" s="1">
        <f t="shared" si="28"/>
        <v>1</v>
      </c>
      <c r="N153" s="1">
        <f t="shared" si="38"/>
        <v>0</v>
      </c>
      <c r="O153" s="1" t="str">
        <f t="shared" si="29"/>
        <v>主动去库存</v>
      </c>
      <c r="P153" s="1" t="str">
        <f t="shared" si="30"/>
        <v>产能周期上行</v>
      </c>
      <c r="Q153" s="2" t="str">
        <f t="shared" si="31"/>
        <v>产能周期上行,主动去库存</v>
      </c>
      <c r="S153" s="12">
        <v>42916</v>
      </c>
      <c r="T153" s="13">
        <v>51.7</v>
      </c>
      <c r="V153" s="12">
        <v>41090</v>
      </c>
      <c r="W153" s="13">
        <v>12.9</v>
      </c>
    </row>
    <row r="154" spans="1:23" x14ac:dyDescent="0.35">
      <c r="A154" s="8">
        <f t="shared" si="32"/>
        <v>41455</v>
      </c>
      <c r="B154" s="9">
        <f t="shared" si="26"/>
        <v>50.1</v>
      </c>
      <c r="C154" s="9">
        <f t="shared" si="33"/>
        <v>7.2</v>
      </c>
      <c r="D154" s="9">
        <f t="shared" si="27"/>
        <v>40.6</v>
      </c>
      <c r="E154" s="1">
        <v>0</v>
      </c>
      <c r="F154" s="1">
        <v>1</v>
      </c>
      <c r="G154" s="7">
        <v>0</v>
      </c>
      <c r="H154" s="7">
        <v>1</v>
      </c>
      <c r="I154" s="1">
        <f t="shared" si="34"/>
        <v>1</v>
      </c>
      <c r="J154" s="1">
        <f t="shared" si="35"/>
        <v>0</v>
      </c>
      <c r="K154" s="1">
        <f t="shared" si="36"/>
        <v>0</v>
      </c>
      <c r="L154" s="1">
        <f t="shared" si="37"/>
        <v>0</v>
      </c>
      <c r="M154" s="1">
        <f t="shared" si="28"/>
        <v>1</v>
      </c>
      <c r="N154" s="1">
        <f t="shared" si="38"/>
        <v>0</v>
      </c>
      <c r="O154" s="1" t="str">
        <f t="shared" si="29"/>
        <v>主动去库存</v>
      </c>
      <c r="P154" s="1" t="str">
        <f t="shared" si="30"/>
        <v>产能周期上行</v>
      </c>
      <c r="Q154" s="2" t="str">
        <f t="shared" si="31"/>
        <v>产能周期上行,主动去库存</v>
      </c>
      <c r="S154" s="12">
        <v>42947</v>
      </c>
      <c r="T154" s="13">
        <v>51.4</v>
      </c>
      <c r="V154" s="12">
        <v>41060</v>
      </c>
      <c r="W154" s="13">
        <v>14.3</v>
      </c>
    </row>
    <row r="155" spans="1:23" x14ac:dyDescent="0.35">
      <c r="A155" s="8">
        <f t="shared" si="32"/>
        <v>41425</v>
      </c>
      <c r="B155" s="9">
        <f t="shared" si="26"/>
        <v>50.8</v>
      </c>
      <c r="C155" s="9">
        <f t="shared" si="33"/>
        <v>7.1</v>
      </c>
      <c r="D155" s="9">
        <f t="shared" si="27"/>
        <v>39.299999999999997</v>
      </c>
      <c r="E155" s="1">
        <v>0</v>
      </c>
      <c r="F155" s="1">
        <v>1</v>
      </c>
      <c r="G155" s="7">
        <v>0</v>
      </c>
      <c r="H155" s="7">
        <v>1</v>
      </c>
      <c r="I155" s="1">
        <f t="shared" si="34"/>
        <v>1</v>
      </c>
      <c r="J155" s="1">
        <f t="shared" si="35"/>
        <v>0</v>
      </c>
      <c r="K155" s="1">
        <f t="shared" si="36"/>
        <v>0</v>
      </c>
      <c r="L155" s="1">
        <f t="shared" si="37"/>
        <v>0</v>
      </c>
      <c r="M155" s="1">
        <f t="shared" si="28"/>
        <v>0</v>
      </c>
      <c r="N155" s="1">
        <f t="shared" si="38"/>
        <v>1</v>
      </c>
      <c r="O155" s="1" t="str">
        <f t="shared" si="29"/>
        <v>主动去库存</v>
      </c>
      <c r="P155" s="1" t="str">
        <f t="shared" si="30"/>
        <v>产能周期下行</v>
      </c>
      <c r="Q155" s="2" t="str">
        <f t="shared" si="31"/>
        <v>产能周期下行,主动去库存</v>
      </c>
      <c r="S155" s="12">
        <v>42978</v>
      </c>
      <c r="T155" s="13">
        <v>51.7</v>
      </c>
      <c r="V155" s="12">
        <v>41029</v>
      </c>
      <c r="W155" s="13">
        <v>15.8</v>
      </c>
    </row>
    <row r="156" spans="1:23" x14ac:dyDescent="0.35">
      <c r="A156" s="8">
        <f t="shared" si="32"/>
        <v>41394</v>
      </c>
      <c r="B156" s="9">
        <f t="shared" si="26"/>
        <v>50.6</v>
      </c>
      <c r="C156" s="9">
        <f t="shared" si="33"/>
        <v>8</v>
      </c>
      <c r="D156" s="9">
        <f t="shared" si="27"/>
        <v>39.299999999999997</v>
      </c>
      <c r="E156" s="1">
        <v>0</v>
      </c>
      <c r="F156" s="1">
        <v>1</v>
      </c>
      <c r="G156" s="7">
        <v>0</v>
      </c>
      <c r="H156" s="7">
        <v>1</v>
      </c>
      <c r="I156" s="1">
        <f t="shared" si="34"/>
        <v>1</v>
      </c>
      <c r="J156" s="1">
        <f t="shared" si="35"/>
        <v>0</v>
      </c>
      <c r="K156" s="1">
        <f t="shared" si="36"/>
        <v>0</v>
      </c>
      <c r="L156" s="1">
        <f t="shared" si="37"/>
        <v>0</v>
      </c>
      <c r="M156" s="1">
        <f t="shared" si="28"/>
        <v>0</v>
      </c>
      <c r="N156" s="1">
        <f t="shared" si="38"/>
        <v>1</v>
      </c>
      <c r="O156" s="1" t="str">
        <f t="shared" si="29"/>
        <v>主动去库存</v>
      </c>
      <c r="P156" s="1" t="str">
        <f t="shared" si="30"/>
        <v>产能周期下行</v>
      </c>
      <c r="Q156" s="2" t="str">
        <f t="shared" si="31"/>
        <v>产能周期下行,主动去库存</v>
      </c>
      <c r="S156" s="12">
        <v>43008</v>
      </c>
      <c r="T156" s="13">
        <v>52.4</v>
      </c>
      <c r="V156" s="12">
        <v>40999</v>
      </c>
      <c r="W156" s="13">
        <v>16.420000000000002</v>
      </c>
    </row>
    <row r="157" spans="1:23" x14ac:dyDescent="0.35">
      <c r="A157" s="8">
        <f t="shared" si="32"/>
        <v>41364</v>
      </c>
      <c r="B157" s="9">
        <f t="shared" si="26"/>
        <v>50.9</v>
      </c>
      <c r="C157" s="9">
        <f t="shared" si="33"/>
        <v>8.82</v>
      </c>
      <c r="D157" s="9">
        <f t="shared" si="27"/>
        <v>39.299999999999997</v>
      </c>
      <c r="E157" s="1">
        <v>0</v>
      </c>
      <c r="F157" s="1">
        <v>1</v>
      </c>
      <c r="G157" s="7">
        <v>0</v>
      </c>
      <c r="H157" s="7">
        <v>1</v>
      </c>
      <c r="I157" s="1">
        <f t="shared" si="34"/>
        <v>1</v>
      </c>
      <c r="J157" s="1">
        <f t="shared" si="35"/>
        <v>0</v>
      </c>
      <c r="K157" s="1">
        <f t="shared" si="36"/>
        <v>0</v>
      </c>
      <c r="L157" s="1">
        <f t="shared" si="37"/>
        <v>0</v>
      </c>
      <c r="M157" s="1">
        <f t="shared" si="28"/>
        <v>0</v>
      </c>
      <c r="N157" s="1">
        <f t="shared" si="38"/>
        <v>1</v>
      </c>
      <c r="O157" s="1" t="str">
        <f t="shared" si="29"/>
        <v>主动去库存</v>
      </c>
      <c r="P157" s="1" t="str">
        <f t="shared" si="30"/>
        <v>产能周期下行</v>
      </c>
      <c r="Q157" s="2" t="str">
        <f t="shared" si="31"/>
        <v>产能周期下行,主动去库存</v>
      </c>
      <c r="S157" s="12">
        <v>43039</v>
      </c>
      <c r="T157" s="13">
        <v>51.6</v>
      </c>
      <c r="V157" s="12">
        <v>40968</v>
      </c>
      <c r="W157" s="13">
        <v>18.3</v>
      </c>
    </row>
    <row r="158" spans="1:23" x14ac:dyDescent="0.35">
      <c r="A158" s="8">
        <f t="shared" si="32"/>
        <v>41333</v>
      </c>
      <c r="B158" s="9">
        <f t="shared" si="26"/>
        <v>50.1</v>
      </c>
      <c r="C158" s="9">
        <f t="shared" si="33"/>
        <v>7.51</v>
      </c>
      <c r="D158" s="9">
        <f t="shared" si="27"/>
        <v>40</v>
      </c>
      <c r="E158" s="1">
        <v>1</v>
      </c>
      <c r="F158" s="1">
        <v>0</v>
      </c>
      <c r="G158" s="7">
        <v>0</v>
      </c>
      <c r="H158" s="7">
        <v>1</v>
      </c>
      <c r="I158" s="1">
        <f t="shared" si="34"/>
        <v>0</v>
      </c>
      <c r="J158" s="1">
        <f t="shared" si="35"/>
        <v>1</v>
      </c>
      <c r="K158" s="1">
        <f t="shared" si="36"/>
        <v>0</v>
      </c>
      <c r="L158" s="1">
        <f t="shared" si="37"/>
        <v>0</v>
      </c>
      <c r="M158" s="1">
        <f t="shared" si="28"/>
        <v>1</v>
      </c>
      <c r="N158" s="1">
        <f t="shared" si="38"/>
        <v>0</v>
      </c>
      <c r="O158" s="1" t="str">
        <f t="shared" si="29"/>
        <v>被动补库存</v>
      </c>
      <c r="P158" s="1" t="str">
        <f t="shared" si="30"/>
        <v>产能周期上行</v>
      </c>
      <c r="Q158" s="2" t="str">
        <f t="shared" si="31"/>
        <v>产能周期上行,被动补库存</v>
      </c>
      <c r="S158" s="12">
        <v>43069</v>
      </c>
      <c r="T158" s="13">
        <v>51.8</v>
      </c>
      <c r="V158" s="12">
        <v>40908</v>
      </c>
      <c r="W158" s="13">
        <v>20.78</v>
      </c>
    </row>
    <row r="159" spans="1:23" x14ac:dyDescent="0.35">
      <c r="A159" s="8">
        <f t="shared" si="32"/>
        <v>41305</v>
      </c>
      <c r="B159" s="9">
        <f t="shared" si="26"/>
        <v>50.4</v>
      </c>
      <c r="C159" s="9" t="e">
        <f t="shared" si="33"/>
        <v>#N/A</v>
      </c>
      <c r="D159" s="9">
        <f t="shared" si="27"/>
        <v>40</v>
      </c>
      <c r="E159" s="1">
        <v>1</v>
      </c>
      <c r="F159" s="1">
        <v>0</v>
      </c>
      <c r="G159" s="7">
        <v>0</v>
      </c>
      <c r="H159" s="7">
        <v>1</v>
      </c>
      <c r="I159" s="1">
        <f t="shared" si="34"/>
        <v>0</v>
      </c>
      <c r="J159" s="1">
        <f t="shared" si="35"/>
        <v>1</v>
      </c>
      <c r="K159" s="1">
        <f t="shared" si="36"/>
        <v>0</v>
      </c>
      <c r="L159" s="1">
        <f t="shared" si="37"/>
        <v>0</v>
      </c>
      <c r="M159" s="1">
        <f t="shared" si="28"/>
        <v>1</v>
      </c>
      <c r="N159" s="1">
        <f t="shared" si="38"/>
        <v>0</v>
      </c>
      <c r="O159" s="1" t="str">
        <f t="shared" si="29"/>
        <v>被动补库存</v>
      </c>
      <c r="P159" s="1" t="str">
        <f t="shared" si="30"/>
        <v>产能周期上行</v>
      </c>
      <c r="Q159" s="2" t="str">
        <f t="shared" si="31"/>
        <v>产能周期上行,被动补库存</v>
      </c>
      <c r="S159" s="12">
        <v>43100</v>
      </c>
      <c r="T159" s="13">
        <v>51.6</v>
      </c>
      <c r="V159" s="12">
        <v>40877</v>
      </c>
      <c r="W159" s="13">
        <v>22.79</v>
      </c>
    </row>
    <row r="160" spans="1:23" x14ac:dyDescent="0.35">
      <c r="A160" s="8">
        <f t="shared" si="32"/>
        <v>41274</v>
      </c>
      <c r="B160" s="9">
        <f t="shared" si="26"/>
        <v>50.6</v>
      </c>
      <c r="C160" s="9">
        <f t="shared" si="33"/>
        <v>7.19</v>
      </c>
      <c r="D160" s="9">
        <f t="shared" si="27"/>
        <v>40</v>
      </c>
      <c r="E160" s="1">
        <v>1</v>
      </c>
      <c r="F160" s="1">
        <v>0</v>
      </c>
      <c r="G160" s="7">
        <v>0</v>
      </c>
      <c r="H160" s="7">
        <v>1</v>
      </c>
      <c r="I160" s="1">
        <f t="shared" si="34"/>
        <v>0</v>
      </c>
      <c r="J160" s="1">
        <f t="shared" si="35"/>
        <v>1</v>
      </c>
      <c r="K160" s="1">
        <f t="shared" si="36"/>
        <v>0</v>
      </c>
      <c r="L160" s="1">
        <f t="shared" si="37"/>
        <v>0</v>
      </c>
      <c r="M160" s="1">
        <f t="shared" si="28"/>
        <v>1</v>
      </c>
      <c r="N160" s="1">
        <f t="shared" si="38"/>
        <v>0</v>
      </c>
      <c r="O160" s="1" t="str">
        <f t="shared" si="29"/>
        <v>被动补库存</v>
      </c>
      <c r="P160" s="1" t="str">
        <f t="shared" si="30"/>
        <v>产能周期上行</v>
      </c>
      <c r="Q160" s="2" t="str">
        <f t="shared" si="31"/>
        <v>产能周期上行,被动补库存</v>
      </c>
      <c r="S160" s="12">
        <v>43131</v>
      </c>
      <c r="T160" s="13">
        <v>51.3</v>
      </c>
      <c r="V160" s="12">
        <v>40847</v>
      </c>
      <c r="W160" s="13">
        <v>24.17</v>
      </c>
    </row>
    <row r="161" spans="1:23" x14ac:dyDescent="0.35">
      <c r="A161" s="8">
        <f t="shared" si="32"/>
        <v>41243</v>
      </c>
      <c r="B161" s="9">
        <f t="shared" si="26"/>
        <v>50.6</v>
      </c>
      <c r="C161" s="9">
        <f t="shared" si="33"/>
        <v>7.86</v>
      </c>
      <c r="D161" s="9">
        <f t="shared" si="27"/>
        <v>39.700000000000003</v>
      </c>
      <c r="E161" s="1">
        <v>1</v>
      </c>
      <c r="F161" s="1">
        <v>0</v>
      </c>
      <c r="G161" s="7">
        <v>0</v>
      </c>
      <c r="H161" s="7">
        <v>1</v>
      </c>
      <c r="I161" s="1">
        <f t="shared" si="34"/>
        <v>0</v>
      </c>
      <c r="J161" s="1">
        <f t="shared" si="35"/>
        <v>1</v>
      </c>
      <c r="K161" s="1">
        <f t="shared" si="36"/>
        <v>0</v>
      </c>
      <c r="L161" s="1">
        <f t="shared" si="37"/>
        <v>0</v>
      </c>
      <c r="M161" s="1">
        <f t="shared" si="28"/>
        <v>0</v>
      </c>
      <c r="N161" s="1">
        <f t="shared" si="38"/>
        <v>1</v>
      </c>
      <c r="O161" s="1" t="str">
        <f t="shared" si="29"/>
        <v>被动补库存</v>
      </c>
      <c r="P161" s="1" t="str">
        <f t="shared" si="30"/>
        <v>产能周期下行</v>
      </c>
      <c r="Q161" s="2" t="str">
        <f t="shared" si="31"/>
        <v>产能周期下行,被动补库存</v>
      </c>
      <c r="S161" s="12">
        <v>43159</v>
      </c>
      <c r="T161" s="13">
        <v>50.3</v>
      </c>
      <c r="V161" s="12">
        <v>40816</v>
      </c>
      <c r="W161" s="13">
        <v>24.15</v>
      </c>
    </row>
    <row r="162" spans="1:23" x14ac:dyDescent="0.35">
      <c r="A162" s="8">
        <f t="shared" si="32"/>
        <v>41213</v>
      </c>
      <c r="B162" s="9">
        <f t="shared" si="26"/>
        <v>50.2</v>
      </c>
      <c r="C162" s="9">
        <f t="shared" si="33"/>
        <v>8.32</v>
      </c>
      <c r="D162" s="9">
        <f t="shared" si="27"/>
        <v>39.700000000000003</v>
      </c>
      <c r="E162" s="1">
        <v>1</v>
      </c>
      <c r="F162" s="1">
        <v>0</v>
      </c>
      <c r="G162" s="7">
        <v>0</v>
      </c>
      <c r="H162" s="7">
        <v>1</v>
      </c>
      <c r="I162" s="1">
        <f t="shared" si="34"/>
        <v>0</v>
      </c>
      <c r="J162" s="1">
        <f t="shared" si="35"/>
        <v>1</v>
      </c>
      <c r="K162" s="1">
        <f t="shared" si="36"/>
        <v>0</v>
      </c>
      <c r="L162" s="1">
        <f t="shared" si="37"/>
        <v>0</v>
      </c>
      <c r="M162" s="1">
        <f t="shared" si="28"/>
        <v>0</v>
      </c>
      <c r="N162" s="1">
        <f t="shared" si="38"/>
        <v>1</v>
      </c>
      <c r="O162" s="1" t="str">
        <f t="shared" si="29"/>
        <v>被动补库存</v>
      </c>
      <c r="P162" s="1" t="str">
        <f t="shared" si="30"/>
        <v>产能周期下行</v>
      </c>
      <c r="Q162" s="2" t="str">
        <f t="shared" si="31"/>
        <v>产能周期下行,被动补库存</v>
      </c>
      <c r="S162" s="12">
        <v>43190</v>
      </c>
      <c r="T162" s="13">
        <v>51.5</v>
      </c>
      <c r="V162" s="12">
        <v>40786</v>
      </c>
      <c r="W162" s="13">
        <v>23.38</v>
      </c>
    </row>
    <row r="163" spans="1:23" x14ac:dyDescent="0.35">
      <c r="A163" s="8">
        <f t="shared" si="32"/>
        <v>41182</v>
      </c>
      <c r="B163" s="9">
        <f t="shared" si="26"/>
        <v>49.8</v>
      </c>
      <c r="C163" s="9">
        <f t="shared" si="33"/>
        <v>10.050000000000001</v>
      </c>
      <c r="D163" s="9">
        <f t="shared" si="27"/>
        <v>39.700000000000003</v>
      </c>
      <c r="E163" s="1">
        <v>1</v>
      </c>
      <c r="F163" s="1">
        <v>0</v>
      </c>
      <c r="G163" s="7">
        <v>0</v>
      </c>
      <c r="H163" s="7">
        <v>1</v>
      </c>
      <c r="I163" s="1">
        <f t="shared" si="34"/>
        <v>0</v>
      </c>
      <c r="J163" s="1">
        <f t="shared" si="35"/>
        <v>1</v>
      </c>
      <c r="K163" s="1">
        <f t="shared" si="36"/>
        <v>0</v>
      </c>
      <c r="L163" s="1">
        <f t="shared" si="37"/>
        <v>0</v>
      </c>
      <c r="M163" s="1">
        <f t="shared" si="28"/>
        <v>0</v>
      </c>
      <c r="N163" s="1">
        <f t="shared" si="38"/>
        <v>1</v>
      </c>
      <c r="O163" s="1" t="str">
        <f t="shared" si="29"/>
        <v>被动补库存</v>
      </c>
      <c r="P163" s="1" t="str">
        <f t="shared" si="30"/>
        <v>产能周期下行</v>
      </c>
      <c r="Q163" s="2" t="str">
        <f t="shared" si="31"/>
        <v>产能周期下行,被动补库存</v>
      </c>
      <c r="S163" s="12">
        <v>43220</v>
      </c>
      <c r="T163" s="13">
        <v>51.4</v>
      </c>
      <c r="V163" s="12">
        <v>40755</v>
      </c>
      <c r="W163" s="13">
        <v>22.51</v>
      </c>
    </row>
    <row r="164" spans="1:23" x14ac:dyDescent="0.35">
      <c r="A164" s="8">
        <f t="shared" si="32"/>
        <v>41152</v>
      </c>
      <c r="B164" s="9">
        <f t="shared" si="26"/>
        <v>49.2</v>
      </c>
      <c r="C164" s="9">
        <f t="shared" si="33"/>
        <v>11.26</v>
      </c>
      <c r="D164" s="9">
        <f t="shared" si="27"/>
        <v>40.9</v>
      </c>
      <c r="E164" s="1">
        <v>1</v>
      </c>
      <c r="F164" s="1">
        <v>0</v>
      </c>
      <c r="G164" s="7">
        <v>0</v>
      </c>
      <c r="H164" s="7">
        <v>1</v>
      </c>
      <c r="I164" s="1">
        <f t="shared" si="34"/>
        <v>0</v>
      </c>
      <c r="J164" s="1">
        <f t="shared" si="35"/>
        <v>1</v>
      </c>
      <c r="K164" s="1">
        <f t="shared" si="36"/>
        <v>0</v>
      </c>
      <c r="L164" s="1">
        <f t="shared" si="37"/>
        <v>0</v>
      </c>
      <c r="M164" s="1">
        <f t="shared" si="28"/>
        <v>1</v>
      </c>
      <c r="N164" s="1">
        <f t="shared" si="38"/>
        <v>0</v>
      </c>
      <c r="O164" s="1" t="str">
        <f t="shared" si="29"/>
        <v>被动补库存</v>
      </c>
      <c r="P164" s="1" t="str">
        <f t="shared" si="30"/>
        <v>产能周期上行</v>
      </c>
      <c r="Q164" s="2" t="str">
        <f t="shared" si="31"/>
        <v>产能周期上行,被动补库存</v>
      </c>
      <c r="S164" s="12">
        <v>43251</v>
      </c>
      <c r="T164" s="13">
        <v>51.9</v>
      </c>
      <c r="V164" s="12">
        <v>40724</v>
      </c>
      <c r="W164" s="13">
        <v>21.74</v>
      </c>
    </row>
    <row r="165" spans="1:23" x14ac:dyDescent="0.35">
      <c r="A165" s="8">
        <f t="shared" si="32"/>
        <v>41121</v>
      </c>
      <c r="B165" s="9">
        <f t="shared" si="26"/>
        <v>50.1</v>
      </c>
      <c r="C165" s="9">
        <f t="shared" si="33"/>
        <v>12.5</v>
      </c>
      <c r="D165" s="9">
        <f t="shared" si="27"/>
        <v>40.9</v>
      </c>
      <c r="E165" s="1">
        <v>1</v>
      </c>
      <c r="F165" s="1">
        <v>0</v>
      </c>
      <c r="G165" s="7">
        <v>0</v>
      </c>
      <c r="H165" s="7">
        <v>1</v>
      </c>
      <c r="I165" s="1">
        <f t="shared" si="34"/>
        <v>0</v>
      </c>
      <c r="J165" s="1">
        <f t="shared" si="35"/>
        <v>1</v>
      </c>
      <c r="K165" s="1">
        <f t="shared" si="36"/>
        <v>0</v>
      </c>
      <c r="L165" s="1">
        <f t="shared" si="37"/>
        <v>0</v>
      </c>
      <c r="M165" s="1">
        <f t="shared" si="28"/>
        <v>1</v>
      </c>
      <c r="N165" s="1">
        <f t="shared" si="38"/>
        <v>0</v>
      </c>
      <c r="O165" s="1" t="str">
        <f t="shared" si="29"/>
        <v>被动补库存</v>
      </c>
      <c r="P165" s="1" t="str">
        <f t="shared" si="30"/>
        <v>产能周期上行</v>
      </c>
      <c r="Q165" s="2" t="str">
        <f t="shared" si="31"/>
        <v>产能周期上行,被动补库存</v>
      </c>
      <c r="S165" s="12">
        <v>43281</v>
      </c>
      <c r="T165" s="13">
        <v>51.5</v>
      </c>
      <c r="V165" s="12">
        <v>40694</v>
      </c>
      <c r="W165" s="13">
        <v>22.62</v>
      </c>
    </row>
    <row r="166" spans="1:23" x14ac:dyDescent="0.35">
      <c r="A166" s="8">
        <f t="shared" si="32"/>
        <v>41090</v>
      </c>
      <c r="B166" s="9">
        <f t="shared" si="26"/>
        <v>50.2</v>
      </c>
      <c r="C166" s="9">
        <f t="shared" si="33"/>
        <v>12.9</v>
      </c>
      <c r="D166" s="9">
        <f t="shared" si="27"/>
        <v>40.9</v>
      </c>
      <c r="E166" s="1">
        <v>1</v>
      </c>
      <c r="F166" s="1">
        <v>0</v>
      </c>
      <c r="G166" s="7">
        <v>0</v>
      </c>
      <c r="H166" s="7">
        <v>1</v>
      </c>
      <c r="I166" s="1">
        <f t="shared" si="34"/>
        <v>0</v>
      </c>
      <c r="J166" s="1">
        <f t="shared" si="35"/>
        <v>1</v>
      </c>
      <c r="K166" s="1">
        <f t="shared" si="36"/>
        <v>0</v>
      </c>
      <c r="L166" s="1">
        <f t="shared" si="37"/>
        <v>0</v>
      </c>
      <c r="M166" s="1">
        <f t="shared" si="28"/>
        <v>1</v>
      </c>
      <c r="N166" s="1">
        <f t="shared" si="38"/>
        <v>0</v>
      </c>
      <c r="O166" s="1" t="str">
        <f t="shared" si="29"/>
        <v>被动补库存</v>
      </c>
      <c r="P166" s="1" t="str">
        <f t="shared" si="30"/>
        <v>产能周期上行</v>
      </c>
      <c r="Q166" s="2" t="str">
        <f t="shared" si="31"/>
        <v>产能周期上行,被动补库存</v>
      </c>
      <c r="S166" s="12">
        <v>43312</v>
      </c>
      <c r="T166" s="13">
        <v>51.2</v>
      </c>
      <c r="V166" s="12">
        <v>40663</v>
      </c>
      <c r="W166" s="13">
        <v>23.16</v>
      </c>
    </row>
    <row r="167" spans="1:23" x14ac:dyDescent="0.35">
      <c r="A167" s="8">
        <f t="shared" si="32"/>
        <v>41060</v>
      </c>
      <c r="B167" s="9">
        <f t="shared" si="26"/>
        <v>50.4</v>
      </c>
      <c r="C167" s="9">
        <f t="shared" si="33"/>
        <v>14.3</v>
      </c>
      <c r="D167" s="9">
        <f t="shared" si="27"/>
        <v>40.4</v>
      </c>
      <c r="E167" s="1">
        <v>1</v>
      </c>
      <c r="F167" s="1">
        <v>0</v>
      </c>
      <c r="G167" s="7">
        <v>0</v>
      </c>
      <c r="H167" s="7">
        <v>1</v>
      </c>
      <c r="I167" s="1">
        <f t="shared" si="34"/>
        <v>0</v>
      </c>
      <c r="J167" s="1">
        <f t="shared" si="35"/>
        <v>1</v>
      </c>
      <c r="K167" s="1">
        <f t="shared" si="36"/>
        <v>0</v>
      </c>
      <c r="L167" s="1">
        <f t="shared" si="37"/>
        <v>0</v>
      </c>
      <c r="M167" s="1">
        <f t="shared" si="28"/>
        <v>0</v>
      </c>
      <c r="N167" s="1">
        <f t="shared" si="38"/>
        <v>1</v>
      </c>
      <c r="O167" s="1" t="str">
        <f t="shared" si="29"/>
        <v>被动补库存</v>
      </c>
      <c r="P167" s="1" t="str">
        <f t="shared" si="30"/>
        <v>产能周期下行</v>
      </c>
      <c r="Q167" s="2" t="str">
        <f t="shared" si="31"/>
        <v>产能周期下行,被动补库存</v>
      </c>
      <c r="S167" s="12">
        <v>43343</v>
      </c>
      <c r="T167" s="13">
        <v>51.3</v>
      </c>
      <c r="V167" s="12">
        <v>40633</v>
      </c>
      <c r="W167" s="13">
        <v>23.15</v>
      </c>
    </row>
    <row r="168" spans="1:23" x14ac:dyDescent="0.35">
      <c r="A168" s="8">
        <f t="shared" si="32"/>
        <v>41029</v>
      </c>
      <c r="B168" s="9">
        <f t="shared" si="26"/>
        <v>53.3</v>
      </c>
      <c r="C168" s="9">
        <f t="shared" si="33"/>
        <v>15.8</v>
      </c>
      <c r="D168" s="9">
        <f t="shared" si="27"/>
        <v>40.4</v>
      </c>
      <c r="E168" s="1">
        <v>1</v>
      </c>
      <c r="F168" s="1">
        <v>0</v>
      </c>
      <c r="G168" s="7">
        <v>0</v>
      </c>
      <c r="H168" s="7">
        <v>1</v>
      </c>
      <c r="I168" s="1">
        <f t="shared" si="34"/>
        <v>0</v>
      </c>
      <c r="J168" s="1">
        <f t="shared" si="35"/>
        <v>1</v>
      </c>
      <c r="K168" s="1">
        <f t="shared" si="36"/>
        <v>0</v>
      </c>
      <c r="L168" s="1">
        <f t="shared" si="37"/>
        <v>0</v>
      </c>
      <c r="M168" s="1">
        <f t="shared" si="28"/>
        <v>0</v>
      </c>
      <c r="N168" s="1">
        <f t="shared" si="38"/>
        <v>1</v>
      </c>
      <c r="O168" s="1" t="str">
        <f t="shared" si="29"/>
        <v>被动补库存</v>
      </c>
      <c r="P168" s="1" t="str">
        <f t="shared" si="30"/>
        <v>产能周期下行</v>
      </c>
      <c r="Q168" s="2" t="str">
        <f t="shared" si="31"/>
        <v>产能周期下行,被动补库存</v>
      </c>
      <c r="S168" s="12">
        <v>43373</v>
      </c>
      <c r="T168" s="13">
        <v>50.8</v>
      </c>
      <c r="V168" s="12">
        <v>40602</v>
      </c>
      <c r="W168" s="13">
        <v>22.04</v>
      </c>
    </row>
    <row r="169" spans="1:23" x14ac:dyDescent="0.35">
      <c r="A169" s="8">
        <f t="shared" si="32"/>
        <v>40999</v>
      </c>
      <c r="B169" s="9">
        <f t="shared" si="26"/>
        <v>53.1</v>
      </c>
      <c r="C169" s="9">
        <f t="shared" si="33"/>
        <v>16.420000000000002</v>
      </c>
      <c r="D169" s="9">
        <f t="shared" si="27"/>
        <v>40.4</v>
      </c>
      <c r="E169" s="1">
        <v>1</v>
      </c>
      <c r="F169" s="1">
        <v>0</v>
      </c>
      <c r="G169" s="7">
        <v>0</v>
      </c>
      <c r="H169" s="7">
        <v>1</v>
      </c>
      <c r="I169" s="1">
        <f t="shared" si="34"/>
        <v>0</v>
      </c>
      <c r="J169" s="1">
        <f t="shared" si="35"/>
        <v>1</v>
      </c>
      <c r="K169" s="1">
        <f t="shared" si="36"/>
        <v>0</v>
      </c>
      <c r="L169" s="1">
        <f t="shared" si="37"/>
        <v>0</v>
      </c>
      <c r="M169" s="1">
        <f t="shared" si="28"/>
        <v>0</v>
      </c>
      <c r="N169" s="1">
        <f t="shared" si="38"/>
        <v>1</v>
      </c>
      <c r="O169" s="1" t="str">
        <f t="shared" si="29"/>
        <v>被动补库存</v>
      </c>
      <c r="P169" s="1" t="str">
        <f t="shared" si="30"/>
        <v>产能周期下行</v>
      </c>
      <c r="Q169" s="2" t="str">
        <f t="shared" si="31"/>
        <v>产能周期下行,被动补库存</v>
      </c>
      <c r="S169" s="12">
        <v>43404</v>
      </c>
      <c r="T169" s="13">
        <v>50.2</v>
      </c>
      <c r="V169" s="12">
        <v>40512</v>
      </c>
      <c r="W169" s="13">
        <v>11.22</v>
      </c>
    </row>
    <row r="170" spans="1:23" x14ac:dyDescent="0.35">
      <c r="A170" s="8">
        <f t="shared" si="32"/>
        <v>40968</v>
      </c>
      <c r="B170" s="9">
        <f t="shared" si="26"/>
        <v>51</v>
      </c>
      <c r="C170" s="9">
        <f t="shared" si="33"/>
        <v>18.3</v>
      </c>
      <c r="D170" s="9">
        <f t="shared" si="27"/>
        <v>42.39</v>
      </c>
      <c r="E170" s="1">
        <v>1</v>
      </c>
      <c r="F170" s="1">
        <v>0</v>
      </c>
      <c r="G170" s="7">
        <v>0</v>
      </c>
      <c r="H170" s="7">
        <v>1</v>
      </c>
      <c r="I170" s="1">
        <f t="shared" si="34"/>
        <v>0</v>
      </c>
      <c r="J170" s="1">
        <f t="shared" si="35"/>
        <v>1</v>
      </c>
      <c r="K170" s="1">
        <f t="shared" si="36"/>
        <v>0</v>
      </c>
      <c r="L170" s="1">
        <f t="shared" si="37"/>
        <v>0</v>
      </c>
      <c r="M170" s="1">
        <f t="shared" si="28"/>
        <v>0</v>
      </c>
      <c r="N170" s="1">
        <f t="shared" si="38"/>
        <v>1</v>
      </c>
      <c r="O170" s="1" t="str">
        <f t="shared" si="29"/>
        <v>被动补库存</v>
      </c>
      <c r="P170" s="1" t="str">
        <f t="shared" si="30"/>
        <v>产能周期下行</v>
      </c>
      <c r="Q170" s="2" t="str">
        <f t="shared" si="31"/>
        <v>产能周期下行,被动补库存</v>
      </c>
      <c r="S170" s="12">
        <v>43434</v>
      </c>
      <c r="T170" s="13">
        <v>50</v>
      </c>
      <c r="V170" s="12">
        <v>40421</v>
      </c>
      <c r="W170" s="13">
        <v>9.0299999999999994</v>
      </c>
    </row>
    <row r="171" spans="1:23" x14ac:dyDescent="0.35">
      <c r="A171" s="8">
        <f t="shared" si="32"/>
        <v>40939</v>
      </c>
      <c r="B171" s="9">
        <f t="shared" si="26"/>
        <v>50.5</v>
      </c>
      <c r="C171" s="9" t="e">
        <f t="shared" si="33"/>
        <v>#N/A</v>
      </c>
      <c r="D171" s="9">
        <f t="shared" si="27"/>
        <v>42.39</v>
      </c>
      <c r="E171" s="1">
        <v>1</v>
      </c>
      <c r="F171" s="1">
        <v>0</v>
      </c>
      <c r="G171" s="7">
        <v>0</v>
      </c>
      <c r="H171" s="7">
        <v>1</v>
      </c>
      <c r="I171" s="1">
        <f t="shared" si="34"/>
        <v>0</v>
      </c>
      <c r="J171" s="1">
        <f t="shared" si="35"/>
        <v>1</v>
      </c>
      <c r="K171" s="1">
        <f t="shared" si="36"/>
        <v>0</v>
      </c>
      <c r="L171" s="1">
        <f t="shared" si="37"/>
        <v>0</v>
      </c>
      <c r="M171" s="1">
        <f t="shared" si="28"/>
        <v>0</v>
      </c>
      <c r="N171" s="1">
        <f t="shared" si="38"/>
        <v>1</v>
      </c>
      <c r="O171" s="1" t="str">
        <f t="shared" si="29"/>
        <v>被动补库存</v>
      </c>
      <c r="P171" s="1" t="str">
        <f t="shared" si="30"/>
        <v>产能周期下行</v>
      </c>
      <c r="Q171" s="2" t="str">
        <f t="shared" si="31"/>
        <v>产能周期下行,被动补库存</v>
      </c>
      <c r="S171" s="12">
        <v>43465</v>
      </c>
      <c r="T171" s="13">
        <v>49.4</v>
      </c>
      <c r="V171" s="12">
        <v>40329</v>
      </c>
      <c r="W171" s="13">
        <v>9.49</v>
      </c>
    </row>
    <row r="172" spans="1:23" x14ac:dyDescent="0.35">
      <c r="A172" s="8">
        <f t="shared" si="32"/>
        <v>40908</v>
      </c>
      <c r="B172" s="9">
        <f t="shared" si="26"/>
        <v>50.3</v>
      </c>
      <c r="C172" s="9">
        <f t="shared" si="33"/>
        <v>20.78</v>
      </c>
      <c r="D172" s="9">
        <f t="shared" si="27"/>
        <v>42.39</v>
      </c>
      <c r="E172" s="1">
        <v>1</v>
      </c>
      <c r="F172" s="1">
        <v>0</v>
      </c>
      <c r="G172" s="7">
        <v>0</v>
      </c>
      <c r="H172" s="7">
        <v>1</v>
      </c>
      <c r="I172" s="1">
        <f t="shared" si="34"/>
        <v>0</v>
      </c>
      <c r="J172" s="1">
        <f t="shared" si="35"/>
        <v>1</v>
      </c>
      <c r="K172" s="1">
        <f t="shared" si="36"/>
        <v>0</v>
      </c>
      <c r="L172" s="1">
        <f t="shared" si="37"/>
        <v>0</v>
      </c>
      <c r="M172" s="1">
        <f t="shared" si="28"/>
        <v>0</v>
      </c>
      <c r="N172" s="1">
        <f t="shared" si="38"/>
        <v>1</v>
      </c>
      <c r="O172" s="1" t="str">
        <f t="shared" si="29"/>
        <v>被动补库存</v>
      </c>
      <c r="P172" s="1" t="str">
        <f t="shared" si="30"/>
        <v>产能周期下行</v>
      </c>
      <c r="Q172" s="2" t="str">
        <f t="shared" si="31"/>
        <v>产能周期下行,被动补库存</v>
      </c>
      <c r="S172" s="12">
        <v>43496</v>
      </c>
      <c r="T172" s="13">
        <v>49.5</v>
      </c>
      <c r="V172" s="12">
        <v>40237</v>
      </c>
      <c r="W172" s="13">
        <v>5.19</v>
      </c>
    </row>
    <row r="173" spans="1:23" x14ac:dyDescent="0.35">
      <c r="A173" s="8">
        <f t="shared" si="32"/>
        <v>40877</v>
      </c>
      <c r="B173" s="9">
        <f t="shared" si="26"/>
        <v>49</v>
      </c>
      <c r="C173" s="9">
        <f t="shared" si="33"/>
        <v>22.79</v>
      </c>
      <c r="D173" s="9">
        <f t="shared" si="27"/>
        <v>42.95</v>
      </c>
      <c r="E173" s="1">
        <v>1</v>
      </c>
      <c r="F173" s="1">
        <v>0</v>
      </c>
      <c r="G173" s="7">
        <v>0</v>
      </c>
      <c r="H173" s="7">
        <v>1</v>
      </c>
      <c r="I173" s="1">
        <f t="shared" si="34"/>
        <v>0</v>
      </c>
      <c r="J173" s="1">
        <f t="shared" si="35"/>
        <v>1</v>
      </c>
      <c r="K173" s="1">
        <f t="shared" si="36"/>
        <v>0</v>
      </c>
      <c r="L173" s="1">
        <f t="shared" si="37"/>
        <v>0</v>
      </c>
      <c r="M173" s="1">
        <f t="shared" si="28"/>
        <v>0</v>
      </c>
      <c r="N173" s="1">
        <f t="shared" si="38"/>
        <v>1</v>
      </c>
      <c r="O173" s="1" t="str">
        <f t="shared" si="29"/>
        <v>被动补库存</v>
      </c>
      <c r="P173" s="1" t="str">
        <f t="shared" si="30"/>
        <v>产能周期下行</v>
      </c>
      <c r="Q173" s="2" t="str">
        <f t="shared" si="31"/>
        <v>产能周期下行,被动补库存</v>
      </c>
      <c r="S173" s="12">
        <v>43524</v>
      </c>
      <c r="T173" s="13">
        <v>49.2</v>
      </c>
      <c r="V173" s="12">
        <v>40147</v>
      </c>
      <c r="W173" s="13">
        <v>0.24</v>
      </c>
    </row>
    <row r="174" spans="1:23" x14ac:dyDescent="0.35">
      <c r="A174" s="8">
        <f t="shared" si="32"/>
        <v>40847</v>
      </c>
      <c r="B174" s="9">
        <f t="shared" si="26"/>
        <v>50.4</v>
      </c>
      <c r="C174" s="9">
        <f t="shared" si="33"/>
        <v>24.17</v>
      </c>
      <c r="D174" s="9">
        <f t="shared" si="27"/>
        <v>42.95</v>
      </c>
      <c r="E174" s="1">
        <v>1</v>
      </c>
      <c r="F174" s="1">
        <v>0</v>
      </c>
      <c r="G174" s="7">
        <v>0</v>
      </c>
      <c r="H174" s="7">
        <v>1</v>
      </c>
      <c r="I174" s="1">
        <f t="shared" si="34"/>
        <v>0</v>
      </c>
      <c r="J174" s="1">
        <f t="shared" si="35"/>
        <v>1</v>
      </c>
      <c r="K174" s="1">
        <f t="shared" si="36"/>
        <v>0</v>
      </c>
      <c r="L174" s="1">
        <f t="shared" si="37"/>
        <v>0</v>
      </c>
      <c r="M174" s="1">
        <f t="shared" si="28"/>
        <v>0</v>
      </c>
      <c r="N174" s="1">
        <f t="shared" si="38"/>
        <v>1</v>
      </c>
      <c r="O174" s="1" t="str">
        <f t="shared" si="29"/>
        <v>被动补库存</v>
      </c>
      <c r="P174" s="1" t="str">
        <f t="shared" si="30"/>
        <v>产能周期下行</v>
      </c>
      <c r="Q174" s="2" t="str">
        <f t="shared" si="31"/>
        <v>产能周期下行,被动补库存</v>
      </c>
      <c r="S174" s="12">
        <v>43555</v>
      </c>
      <c r="T174" s="13">
        <v>50.5</v>
      </c>
      <c r="V174" s="12">
        <v>40056</v>
      </c>
      <c r="W174" s="13">
        <v>-0.76</v>
      </c>
    </row>
    <row r="175" spans="1:23" x14ac:dyDescent="0.35">
      <c r="A175" s="8">
        <f t="shared" si="32"/>
        <v>40816</v>
      </c>
      <c r="B175" s="9">
        <f t="shared" si="26"/>
        <v>51.2</v>
      </c>
      <c r="C175" s="9">
        <f t="shared" si="33"/>
        <v>24.15</v>
      </c>
      <c r="D175" s="9">
        <f t="shared" si="27"/>
        <v>42.95</v>
      </c>
      <c r="E175" s="1">
        <v>1</v>
      </c>
      <c r="F175" s="1">
        <v>0</v>
      </c>
      <c r="G175" s="7">
        <v>0</v>
      </c>
      <c r="H175" s="7">
        <v>1</v>
      </c>
      <c r="I175" s="1">
        <f t="shared" si="34"/>
        <v>0</v>
      </c>
      <c r="J175" s="1">
        <f t="shared" si="35"/>
        <v>1</v>
      </c>
      <c r="K175" s="1">
        <f t="shared" si="36"/>
        <v>0</v>
      </c>
      <c r="L175" s="1">
        <f t="shared" si="37"/>
        <v>0</v>
      </c>
      <c r="M175" s="1">
        <f t="shared" si="28"/>
        <v>0</v>
      </c>
      <c r="N175" s="1">
        <f t="shared" si="38"/>
        <v>1</v>
      </c>
      <c r="O175" s="1" t="str">
        <f t="shared" si="29"/>
        <v>被动补库存</v>
      </c>
      <c r="P175" s="1" t="str">
        <f t="shared" si="30"/>
        <v>产能周期下行</v>
      </c>
      <c r="Q175" s="2" t="str">
        <f t="shared" si="31"/>
        <v>产能周期下行,被动补库存</v>
      </c>
      <c r="S175" s="12">
        <v>43585</v>
      </c>
      <c r="T175" s="13">
        <v>50.1</v>
      </c>
      <c r="V175" s="12">
        <v>39964</v>
      </c>
      <c r="W175" s="13">
        <v>4.24</v>
      </c>
    </row>
    <row r="176" spans="1:23" x14ac:dyDescent="0.35">
      <c r="A176" s="8">
        <f t="shared" si="32"/>
        <v>40786</v>
      </c>
      <c r="B176" s="9">
        <f t="shared" si="26"/>
        <v>50.9</v>
      </c>
      <c r="C176" s="9">
        <f t="shared" si="33"/>
        <v>23.38</v>
      </c>
      <c r="D176" s="9">
        <f t="shared" si="27"/>
        <v>43.76</v>
      </c>
      <c r="E176" s="1">
        <v>1</v>
      </c>
      <c r="F176" s="1">
        <v>0</v>
      </c>
      <c r="G176" s="7">
        <v>0</v>
      </c>
      <c r="H176" s="7">
        <v>1</v>
      </c>
      <c r="I176" s="1">
        <f t="shared" si="34"/>
        <v>0</v>
      </c>
      <c r="J176" s="1">
        <f t="shared" si="35"/>
        <v>1</v>
      </c>
      <c r="K176" s="1">
        <f t="shared" si="36"/>
        <v>0</v>
      </c>
      <c r="L176" s="1">
        <f t="shared" si="37"/>
        <v>0</v>
      </c>
      <c r="M176" s="1">
        <f t="shared" si="28"/>
        <v>1</v>
      </c>
      <c r="N176" s="1">
        <f t="shared" si="38"/>
        <v>0</v>
      </c>
      <c r="O176" s="1" t="str">
        <f t="shared" si="29"/>
        <v>被动补库存</v>
      </c>
      <c r="P176" s="1" t="str">
        <f t="shared" si="30"/>
        <v>产能周期上行</v>
      </c>
      <c r="Q176" s="2" t="str">
        <f t="shared" si="31"/>
        <v>产能周期上行,被动补库存</v>
      </c>
      <c r="S176" s="12">
        <v>43616</v>
      </c>
      <c r="T176" s="13">
        <v>49.4</v>
      </c>
      <c r="V176" s="12">
        <v>39872</v>
      </c>
      <c r="W176" s="13">
        <v>11.7</v>
      </c>
    </row>
    <row r="177" spans="1:23" x14ac:dyDescent="0.35">
      <c r="A177" s="8">
        <f t="shared" si="32"/>
        <v>40755</v>
      </c>
      <c r="B177" s="9">
        <f t="shared" si="26"/>
        <v>50.7</v>
      </c>
      <c r="C177" s="9">
        <f t="shared" si="33"/>
        <v>22.51</v>
      </c>
      <c r="D177" s="9">
        <f t="shared" si="27"/>
        <v>43.76</v>
      </c>
      <c r="E177" s="1">
        <v>1</v>
      </c>
      <c r="F177" s="1">
        <v>0</v>
      </c>
      <c r="G177" s="7">
        <v>0</v>
      </c>
      <c r="H177" s="7">
        <v>1</v>
      </c>
      <c r="I177" s="1">
        <f t="shared" si="34"/>
        <v>0</v>
      </c>
      <c r="J177" s="1">
        <f t="shared" si="35"/>
        <v>1</v>
      </c>
      <c r="K177" s="1">
        <f t="shared" si="36"/>
        <v>0</v>
      </c>
      <c r="L177" s="1">
        <f t="shared" si="37"/>
        <v>0</v>
      </c>
      <c r="M177" s="1">
        <f t="shared" si="28"/>
        <v>1</v>
      </c>
      <c r="N177" s="1">
        <f t="shared" si="38"/>
        <v>0</v>
      </c>
      <c r="O177" s="1" t="str">
        <f t="shared" si="29"/>
        <v>被动补库存</v>
      </c>
      <c r="P177" s="1" t="str">
        <f t="shared" si="30"/>
        <v>产能周期上行</v>
      </c>
      <c r="Q177" s="2" t="str">
        <f t="shared" si="31"/>
        <v>产能周期上行,被动补库存</v>
      </c>
      <c r="S177" s="12">
        <v>43646</v>
      </c>
      <c r="T177" s="13">
        <v>49.4</v>
      </c>
      <c r="V177" s="12">
        <v>39782</v>
      </c>
      <c r="W177" s="13">
        <v>25.01</v>
      </c>
    </row>
    <row r="178" spans="1:23" x14ac:dyDescent="0.35">
      <c r="A178" s="8">
        <f t="shared" si="32"/>
        <v>40724</v>
      </c>
      <c r="B178" s="9">
        <f t="shared" si="26"/>
        <v>50.9</v>
      </c>
      <c r="C178" s="9">
        <f t="shared" si="33"/>
        <v>21.74</v>
      </c>
      <c r="D178" s="9">
        <f t="shared" si="27"/>
        <v>43.76</v>
      </c>
      <c r="E178" s="1">
        <v>1</v>
      </c>
      <c r="F178" s="1">
        <v>0</v>
      </c>
      <c r="G178" s="7">
        <v>0</v>
      </c>
      <c r="H178" s="7">
        <v>1</v>
      </c>
      <c r="I178" s="1">
        <f t="shared" si="34"/>
        <v>0</v>
      </c>
      <c r="J178" s="1">
        <f t="shared" si="35"/>
        <v>1</v>
      </c>
      <c r="K178" s="1">
        <f t="shared" si="36"/>
        <v>0</v>
      </c>
      <c r="L178" s="1">
        <f t="shared" si="37"/>
        <v>0</v>
      </c>
      <c r="M178" s="1">
        <f t="shared" si="28"/>
        <v>1</v>
      </c>
      <c r="N178" s="1">
        <f t="shared" si="38"/>
        <v>0</v>
      </c>
      <c r="O178" s="1" t="str">
        <f t="shared" si="29"/>
        <v>被动补库存</v>
      </c>
      <c r="P178" s="1" t="str">
        <f t="shared" si="30"/>
        <v>产能周期上行</v>
      </c>
      <c r="Q178" s="2" t="str">
        <f t="shared" si="31"/>
        <v>产能周期上行,被动补库存</v>
      </c>
      <c r="S178" s="12">
        <v>43677</v>
      </c>
      <c r="T178" s="13">
        <v>49.7</v>
      </c>
      <c r="V178" s="12">
        <v>39691</v>
      </c>
      <c r="W178" s="13">
        <v>28.54</v>
      </c>
    </row>
    <row r="179" spans="1:23" x14ac:dyDescent="0.35">
      <c r="A179" s="8">
        <f t="shared" si="32"/>
        <v>40694</v>
      </c>
      <c r="B179" s="9">
        <f t="shared" si="26"/>
        <v>52</v>
      </c>
      <c r="C179" s="9">
        <f t="shared" si="33"/>
        <v>22.62</v>
      </c>
      <c r="D179" s="9">
        <f t="shared" si="27"/>
        <v>43.12</v>
      </c>
      <c r="E179" s="1">
        <v>1</v>
      </c>
      <c r="F179" s="1">
        <v>0</v>
      </c>
      <c r="G179" s="7">
        <v>1</v>
      </c>
      <c r="H179" s="7">
        <v>0</v>
      </c>
      <c r="I179" s="1">
        <f t="shared" si="34"/>
        <v>0</v>
      </c>
      <c r="J179" s="1">
        <f t="shared" si="35"/>
        <v>0</v>
      </c>
      <c r="K179" s="1">
        <f t="shared" si="36"/>
        <v>0</v>
      </c>
      <c r="L179" s="1">
        <f t="shared" si="37"/>
        <v>1</v>
      </c>
      <c r="M179" s="1">
        <f t="shared" si="28"/>
        <v>0</v>
      </c>
      <c r="N179" s="1">
        <f t="shared" si="38"/>
        <v>1</v>
      </c>
      <c r="O179" s="1" t="str">
        <f t="shared" si="29"/>
        <v>主动补库存</v>
      </c>
      <c r="P179" s="1" t="str">
        <f t="shared" si="30"/>
        <v>产能周期下行</v>
      </c>
      <c r="Q179" s="2" t="str">
        <f t="shared" si="31"/>
        <v>产能周期下行,主动补库存</v>
      </c>
      <c r="S179" s="12">
        <v>43708</v>
      </c>
      <c r="T179" s="13">
        <v>49.5</v>
      </c>
      <c r="V179" s="12">
        <v>39599</v>
      </c>
      <c r="W179" s="13">
        <v>26.07</v>
      </c>
    </row>
    <row r="180" spans="1:23" x14ac:dyDescent="0.35">
      <c r="A180" s="8">
        <f t="shared" si="32"/>
        <v>40663</v>
      </c>
      <c r="B180" s="9">
        <f t="shared" si="26"/>
        <v>52.9</v>
      </c>
      <c r="C180" s="9">
        <f t="shared" si="33"/>
        <v>23.16</v>
      </c>
      <c r="D180" s="9">
        <f t="shared" si="27"/>
        <v>43.12</v>
      </c>
      <c r="E180" s="1">
        <v>1</v>
      </c>
      <c r="F180" s="1">
        <v>0</v>
      </c>
      <c r="G180" s="7">
        <v>1</v>
      </c>
      <c r="H180" s="7">
        <v>0</v>
      </c>
      <c r="I180" s="1">
        <f t="shared" si="34"/>
        <v>0</v>
      </c>
      <c r="J180" s="1">
        <f t="shared" si="35"/>
        <v>0</v>
      </c>
      <c r="K180" s="1">
        <f t="shared" si="36"/>
        <v>0</v>
      </c>
      <c r="L180" s="1">
        <f t="shared" si="37"/>
        <v>1</v>
      </c>
      <c r="M180" s="1">
        <f t="shared" si="28"/>
        <v>0</v>
      </c>
      <c r="N180" s="1">
        <f t="shared" si="38"/>
        <v>1</v>
      </c>
      <c r="O180" s="1" t="str">
        <f t="shared" si="29"/>
        <v>主动补库存</v>
      </c>
      <c r="P180" s="1" t="str">
        <f t="shared" si="30"/>
        <v>产能周期下行</v>
      </c>
      <c r="Q180" s="2" t="str">
        <f t="shared" si="31"/>
        <v>产能周期下行,主动补库存</v>
      </c>
      <c r="S180" s="12">
        <v>43738</v>
      </c>
      <c r="T180" s="13">
        <v>49.8</v>
      </c>
      <c r="V180" s="12">
        <v>39507</v>
      </c>
      <c r="W180" s="13">
        <v>21.18</v>
      </c>
    </row>
    <row r="181" spans="1:23" x14ac:dyDescent="0.35">
      <c r="A181" s="8">
        <f t="shared" si="32"/>
        <v>40633</v>
      </c>
      <c r="B181" s="9">
        <f t="shared" si="26"/>
        <v>53.4</v>
      </c>
      <c r="C181" s="9">
        <f t="shared" si="33"/>
        <v>23.15</v>
      </c>
      <c r="D181" s="9">
        <f t="shared" si="27"/>
        <v>43.12</v>
      </c>
      <c r="E181" s="1">
        <v>1</v>
      </c>
      <c r="F181" s="1">
        <v>0</v>
      </c>
      <c r="G181" s="7">
        <v>1</v>
      </c>
      <c r="H181" s="7">
        <v>0</v>
      </c>
      <c r="I181" s="1">
        <f t="shared" si="34"/>
        <v>0</v>
      </c>
      <c r="J181" s="1">
        <f t="shared" si="35"/>
        <v>0</v>
      </c>
      <c r="K181" s="1">
        <f t="shared" si="36"/>
        <v>0</v>
      </c>
      <c r="L181" s="1">
        <f t="shared" si="37"/>
        <v>1</v>
      </c>
      <c r="M181" s="1">
        <f t="shared" si="28"/>
        <v>0</v>
      </c>
      <c r="N181" s="1">
        <f t="shared" si="38"/>
        <v>1</v>
      </c>
      <c r="O181" s="1" t="str">
        <f t="shared" si="29"/>
        <v>主动补库存</v>
      </c>
      <c r="P181" s="1" t="str">
        <f t="shared" si="30"/>
        <v>产能周期下行</v>
      </c>
      <c r="Q181" s="2" t="str">
        <f t="shared" si="31"/>
        <v>产能周期下行,主动补库存</v>
      </c>
      <c r="S181" s="12">
        <v>43769</v>
      </c>
      <c r="T181" s="13">
        <v>49.3</v>
      </c>
      <c r="V181" s="12">
        <v>39416</v>
      </c>
      <c r="W181" s="13">
        <v>21.8</v>
      </c>
    </row>
    <row r="182" spans="1:23" x14ac:dyDescent="0.35">
      <c r="A182" s="8">
        <f t="shared" si="32"/>
        <v>40602</v>
      </c>
      <c r="B182" s="9">
        <f t="shared" si="26"/>
        <v>52.2</v>
      </c>
      <c r="C182" s="9">
        <f t="shared" si="33"/>
        <v>22.04</v>
      </c>
      <c r="D182" s="9">
        <f t="shared" si="27"/>
        <v>43.8</v>
      </c>
      <c r="E182" s="1">
        <v>1</v>
      </c>
      <c r="F182" s="1">
        <v>0</v>
      </c>
      <c r="G182" s="7">
        <v>1</v>
      </c>
      <c r="H182" s="7">
        <v>0</v>
      </c>
      <c r="I182" s="1">
        <f t="shared" si="34"/>
        <v>0</v>
      </c>
      <c r="J182" s="1">
        <f t="shared" si="35"/>
        <v>0</v>
      </c>
      <c r="K182" s="1">
        <f t="shared" si="36"/>
        <v>0</v>
      </c>
      <c r="L182" s="1">
        <f t="shared" si="37"/>
        <v>1</v>
      </c>
      <c r="M182" s="1">
        <f t="shared" si="28"/>
        <v>1</v>
      </c>
      <c r="N182" s="1">
        <f t="shared" si="38"/>
        <v>0</v>
      </c>
      <c r="O182" s="1" t="str">
        <f t="shared" si="29"/>
        <v>主动补库存</v>
      </c>
      <c r="P182" s="1" t="str">
        <f t="shared" si="30"/>
        <v>产能周期上行</v>
      </c>
      <c r="Q182" s="2" t="str">
        <f t="shared" si="31"/>
        <v>产能周期上行,主动补库存</v>
      </c>
      <c r="S182" s="12">
        <v>43799</v>
      </c>
      <c r="T182" s="13">
        <v>50.2</v>
      </c>
      <c r="V182" s="12">
        <v>39325</v>
      </c>
      <c r="W182" s="13">
        <v>20.079999999999998</v>
      </c>
    </row>
    <row r="183" spans="1:23" x14ac:dyDescent="0.35">
      <c r="A183" s="8">
        <f t="shared" si="32"/>
        <v>40574</v>
      </c>
      <c r="B183" s="9">
        <f t="shared" si="26"/>
        <v>52.9</v>
      </c>
      <c r="C183" s="9" t="e">
        <f t="shared" si="33"/>
        <v>#N/A</v>
      </c>
      <c r="D183" s="9">
        <f t="shared" si="27"/>
        <v>43.8</v>
      </c>
      <c r="E183" s="1">
        <v>0</v>
      </c>
      <c r="F183" s="1">
        <v>1</v>
      </c>
      <c r="G183" s="7">
        <v>1</v>
      </c>
      <c r="H183" s="7">
        <v>0</v>
      </c>
      <c r="I183" s="1">
        <f t="shared" si="34"/>
        <v>0</v>
      </c>
      <c r="J183" s="1">
        <f t="shared" si="35"/>
        <v>0</v>
      </c>
      <c r="K183" s="1">
        <f t="shared" si="36"/>
        <v>1</v>
      </c>
      <c r="L183" s="1">
        <f t="shared" si="37"/>
        <v>0</v>
      </c>
      <c r="M183" s="1">
        <f t="shared" si="28"/>
        <v>1</v>
      </c>
      <c r="N183" s="1">
        <f t="shared" si="38"/>
        <v>0</v>
      </c>
      <c r="O183" s="1" t="str">
        <f t="shared" si="29"/>
        <v>被动去库存</v>
      </c>
      <c r="P183" s="1" t="str">
        <f t="shared" si="30"/>
        <v>产能周期上行</v>
      </c>
      <c r="Q183" s="2" t="str">
        <f t="shared" si="31"/>
        <v>产能周期上行,被动去库存</v>
      </c>
      <c r="S183" s="12">
        <v>43830</v>
      </c>
      <c r="T183" s="13">
        <v>50.2</v>
      </c>
      <c r="V183" s="12">
        <v>39233</v>
      </c>
      <c r="W183" s="13">
        <v>20.09</v>
      </c>
    </row>
    <row r="184" spans="1:23" x14ac:dyDescent="0.35">
      <c r="A184" s="8">
        <f t="shared" si="32"/>
        <v>40543</v>
      </c>
      <c r="B184" s="9">
        <f t="shared" si="26"/>
        <v>53.9</v>
      </c>
      <c r="C184" s="9" t="e">
        <f t="shared" si="33"/>
        <v>#N/A</v>
      </c>
      <c r="D184" s="9">
        <f t="shared" si="27"/>
        <v>43.8</v>
      </c>
      <c r="E184" s="1">
        <v>0</v>
      </c>
      <c r="F184" s="1">
        <v>1</v>
      </c>
      <c r="G184" s="7">
        <v>1</v>
      </c>
      <c r="H184" s="7">
        <v>0</v>
      </c>
      <c r="I184" s="1">
        <f t="shared" si="34"/>
        <v>0</v>
      </c>
      <c r="J184" s="1">
        <f t="shared" si="35"/>
        <v>0</v>
      </c>
      <c r="K184" s="1">
        <f t="shared" si="36"/>
        <v>1</v>
      </c>
      <c r="L184" s="1">
        <f t="shared" si="37"/>
        <v>0</v>
      </c>
      <c r="M184" s="1">
        <f t="shared" si="28"/>
        <v>1</v>
      </c>
      <c r="N184" s="1">
        <f t="shared" si="38"/>
        <v>0</v>
      </c>
      <c r="O184" s="1" t="str">
        <f t="shared" si="29"/>
        <v>被动去库存</v>
      </c>
      <c r="P184" s="1" t="str">
        <f t="shared" si="30"/>
        <v>产能周期上行</v>
      </c>
      <c r="Q184" s="2" t="str">
        <f t="shared" si="31"/>
        <v>产能周期上行,被动去库存</v>
      </c>
      <c r="S184" s="12">
        <v>43861</v>
      </c>
      <c r="T184" s="13">
        <v>50</v>
      </c>
      <c r="V184" s="12">
        <v>39141</v>
      </c>
      <c r="W184" s="13">
        <v>18.440000000000001</v>
      </c>
    </row>
    <row r="185" spans="1:23" x14ac:dyDescent="0.35">
      <c r="A185" s="8">
        <f t="shared" si="32"/>
        <v>40512</v>
      </c>
      <c r="B185" s="9">
        <f t="shared" si="26"/>
        <v>55.2</v>
      </c>
      <c r="C185" s="9">
        <f t="shared" si="33"/>
        <v>11.22</v>
      </c>
      <c r="D185" s="9">
        <f t="shared" si="27"/>
        <v>43.64</v>
      </c>
      <c r="E185" s="1">
        <v>0</v>
      </c>
      <c r="F185" s="1">
        <v>1</v>
      </c>
      <c r="G185" s="7">
        <v>1</v>
      </c>
      <c r="H185" s="7">
        <v>0</v>
      </c>
      <c r="I185" s="1">
        <f t="shared" si="34"/>
        <v>0</v>
      </c>
      <c r="J185" s="1">
        <f t="shared" si="35"/>
        <v>0</v>
      </c>
      <c r="K185" s="1">
        <f t="shared" si="36"/>
        <v>1</v>
      </c>
      <c r="L185" s="1">
        <f t="shared" si="37"/>
        <v>0</v>
      </c>
      <c r="M185" s="1">
        <f t="shared" si="28"/>
        <v>1</v>
      </c>
      <c r="N185" s="1">
        <f t="shared" si="38"/>
        <v>0</v>
      </c>
      <c r="O185" s="1" t="str">
        <f t="shared" si="29"/>
        <v>被动去库存</v>
      </c>
      <c r="P185" s="1" t="str">
        <f t="shared" si="30"/>
        <v>产能周期上行</v>
      </c>
      <c r="Q185" s="2" t="str">
        <f t="shared" si="31"/>
        <v>产能周期上行,被动去库存</v>
      </c>
      <c r="S185" s="12">
        <v>43890</v>
      </c>
      <c r="T185" s="13">
        <v>35.700000000000003</v>
      </c>
      <c r="V185" s="12">
        <v>39082</v>
      </c>
      <c r="W185" s="13">
        <v>18.34</v>
      </c>
    </row>
    <row r="186" spans="1:23" x14ac:dyDescent="0.35">
      <c r="A186" s="8">
        <f t="shared" si="32"/>
        <v>40482</v>
      </c>
      <c r="B186" s="9">
        <f t="shared" si="26"/>
        <v>54.7</v>
      </c>
      <c r="C186" s="9" t="e">
        <f t="shared" si="33"/>
        <v>#N/A</v>
      </c>
      <c r="D186" s="9">
        <f t="shared" si="27"/>
        <v>43.64</v>
      </c>
      <c r="E186" s="1">
        <v>0</v>
      </c>
      <c r="F186" s="1">
        <v>1</v>
      </c>
      <c r="G186" s="7">
        <v>1</v>
      </c>
      <c r="H186" s="7">
        <v>0</v>
      </c>
      <c r="I186" s="1">
        <f t="shared" si="34"/>
        <v>0</v>
      </c>
      <c r="J186" s="1">
        <f t="shared" si="35"/>
        <v>0</v>
      </c>
      <c r="K186" s="1">
        <f t="shared" si="36"/>
        <v>1</v>
      </c>
      <c r="L186" s="1">
        <f t="shared" si="37"/>
        <v>0</v>
      </c>
      <c r="M186" s="1">
        <f t="shared" si="28"/>
        <v>1</v>
      </c>
      <c r="N186" s="1">
        <f t="shared" si="38"/>
        <v>0</v>
      </c>
      <c r="O186" s="1" t="str">
        <f t="shared" si="29"/>
        <v>被动去库存</v>
      </c>
      <c r="P186" s="1" t="str">
        <f t="shared" si="30"/>
        <v>产能周期上行</v>
      </c>
      <c r="Q186" s="2" t="str">
        <f t="shared" si="31"/>
        <v>产能周期上行,被动去库存</v>
      </c>
      <c r="S186" s="12">
        <v>43921</v>
      </c>
      <c r="T186" s="13">
        <v>52</v>
      </c>
      <c r="V186" s="12">
        <v>39051</v>
      </c>
      <c r="W186" s="13">
        <v>18.079999999999998</v>
      </c>
    </row>
    <row r="187" spans="1:23" x14ac:dyDescent="0.35">
      <c r="A187" s="8">
        <f t="shared" si="32"/>
        <v>40451</v>
      </c>
      <c r="B187" s="9">
        <f t="shared" si="26"/>
        <v>53.8</v>
      </c>
      <c r="C187" s="9" t="e">
        <f t="shared" si="33"/>
        <v>#N/A</v>
      </c>
      <c r="D187" s="9">
        <f t="shared" si="27"/>
        <v>43.64</v>
      </c>
      <c r="E187" s="1">
        <v>0</v>
      </c>
      <c r="F187" s="1">
        <v>1</v>
      </c>
      <c r="G187" s="7">
        <v>1</v>
      </c>
      <c r="H187" s="7">
        <v>0</v>
      </c>
      <c r="I187" s="1">
        <f t="shared" si="34"/>
        <v>0</v>
      </c>
      <c r="J187" s="1">
        <f t="shared" si="35"/>
        <v>0</v>
      </c>
      <c r="K187" s="1">
        <f t="shared" si="36"/>
        <v>1</v>
      </c>
      <c r="L187" s="1">
        <f t="shared" si="37"/>
        <v>0</v>
      </c>
      <c r="M187" s="1">
        <f t="shared" si="28"/>
        <v>1</v>
      </c>
      <c r="N187" s="1">
        <f t="shared" si="38"/>
        <v>0</v>
      </c>
      <c r="O187" s="1" t="str">
        <f t="shared" si="29"/>
        <v>被动去库存</v>
      </c>
      <c r="P187" s="1" t="str">
        <f t="shared" si="30"/>
        <v>产能周期上行</v>
      </c>
      <c r="Q187" s="2" t="str">
        <f t="shared" si="31"/>
        <v>产能周期上行,被动去库存</v>
      </c>
      <c r="S187" s="12">
        <v>43951</v>
      </c>
      <c r="T187" s="13">
        <v>50.8</v>
      </c>
      <c r="V187" s="12">
        <v>39021</v>
      </c>
      <c r="W187" s="13">
        <v>17.25</v>
      </c>
    </row>
    <row r="188" spans="1:23" x14ac:dyDescent="0.35">
      <c r="A188" s="8">
        <f t="shared" si="32"/>
        <v>40421</v>
      </c>
      <c r="B188" s="9">
        <f t="shared" si="26"/>
        <v>51.7</v>
      </c>
      <c r="C188" s="9">
        <f t="shared" si="33"/>
        <v>9.0299999999999994</v>
      </c>
      <c r="D188" s="9">
        <f t="shared" si="27"/>
        <v>43.64</v>
      </c>
      <c r="E188" s="1">
        <v>0</v>
      </c>
      <c r="F188" s="1">
        <v>1</v>
      </c>
      <c r="G188" s="7">
        <v>1</v>
      </c>
      <c r="H188" s="7">
        <v>0</v>
      </c>
      <c r="I188" s="1">
        <f t="shared" si="34"/>
        <v>0</v>
      </c>
      <c r="J188" s="1">
        <f t="shared" si="35"/>
        <v>0</v>
      </c>
      <c r="K188" s="1">
        <f t="shared" si="36"/>
        <v>1</v>
      </c>
      <c r="L188" s="1">
        <f t="shared" si="37"/>
        <v>0</v>
      </c>
      <c r="M188" s="1">
        <f t="shared" si="28"/>
        <v>1</v>
      </c>
      <c r="N188" s="1">
        <f t="shared" si="38"/>
        <v>0</v>
      </c>
      <c r="O188" s="1" t="str">
        <f t="shared" si="29"/>
        <v>被动去库存</v>
      </c>
      <c r="P188" s="1" t="str">
        <f t="shared" si="30"/>
        <v>产能周期上行</v>
      </c>
      <c r="Q188" s="2" t="str">
        <f t="shared" si="31"/>
        <v>产能周期上行,被动去库存</v>
      </c>
      <c r="S188" s="12">
        <v>43982</v>
      </c>
      <c r="T188" s="13">
        <v>50.6</v>
      </c>
      <c r="V188" s="12">
        <v>38990</v>
      </c>
      <c r="W188" s="13">
        <v>17.62</v>
      </c>
    </row>
    <row r="189" spans="1:23" x14ac:dyDescent="0.35">
      <c r="A189" s="8">
        <f t="shared" si="32"/>
        <v>40390</v>
      </c>
      <c r="B189" s="9">
        <f t="shared" si="26"/>
        <v>51.2</v>
      </c>
      <c r="C189" s="9" t="e">
        <f t="shared" si="33"/>
        <v>#N/A</v>
      </c>
      <c r="D189" s="9">
        <f t="shared" si="27"/>
        <v>43.64</v>
      </c>
      <c r="E189" s="1">
        <v>0</v>
      </c>
      <c r="F189" s="1">
        <v>1</v>
      </c>
      <c r="G189" s="7">
        <v>1</v>
      </c>
      <c r="H189" s="7">
        <v>0</v>
      </c>
      <c r="I189" s="1">
        <f t="shared" si="34"/>
        <v>0</v>
      </c>
      <c r="J189" s="1">
        <f t="shared" si="35"/>
        <v>0</v>
      </c>
      <c r="K189" s="1">
        <f t="shared" si="36"/>
        <v>1</v>
      </c>
      <c r="L189" s="1">
        <f t="shared" si="37"/>
        <v>0</v>
      </c>
      <c r="M189" s="1">
        <f t="shared" si="28"/>
        <v>1</v>
      </c>
      <c r="N189" s="1">
        <f t="shared" si="38"/>
        <v>0</v>
      </c>
      <c r="O189" s="1" t="str">
        <f t="shared" si="29"/>
        <v>被动去库存</v>
      </c>
      <c r="P189" s="1" t="str">
        <f t="shared" si="30"/>
        <v>产能周期上行</v>
      </c>
      <c r="Q189" s="2" t="str">
        <f t="shared" si="31"/>
        <v>产能周期上行,被动去库存</v>
      </c>
      <c r="S189" s="12">
        <v>44012</v>
      </c>
      <c r="T189" s="13">
        <v>50.9</v>
      </c>
      <c r="V189" s="12">
        <v>38960</v>
      </c>
      <c r="W189" s="13">
        <v>17.34</v>
      </c>
    </row>
    <row r="190" spans="1:23" x14ac:dyDescent="0.35">
      <c r="A190" s="8">
        <f t="shared" si="32"/>
        <v>40359</v>
      </c>
      <c r="B190" s="9">
        <f t="shared" si="26"/>
        <v>52.1</v>
      </c>
      <c r="C190" s="9" t="e">
        <f t="shared" si="33"/>
        <v>#N/A</v>
      </c>
      <c r="D190" s="9">
        <f t="shared" si="27"/>
        <v>43.64</v>
      </c>
      <c r="E190" s="1">
        <v>0</v>
      </c>
      <c r="F190" s="1">
        <v>1</v>
      </c>
      <c r="G190" s="7">
        <v>1</v>
      </c>
      <c r="H190" s="7">
        <v>0</v>
      </c>
      <c r="I190" s="1">
        <f t="shared" si="34"/>
        <v>0</v>
      </c>
      <c r="J190" s="1">
        <f t="shared" si="35"/>
        <v>0</v>
      </c>
      <c r="K190" s="1">
        <f t="shared" si="36"/>
        <v>1</v>
      </c>
      <c r="L190" s="1">
        <f t="shared" si="37"/>
        <v>0</v>
      </c>
      <c r="M190" s="1">
        <f t="shared" si="28"/>
        <v>1</v>
      </c>
      <c r="N190" s="1">
        <f t="shared" si="38"/>
        <v>0</v>
      </c>
      <c r="O190" s="1" t="str">
        <f t="shared" si="29"/>
        <v>被动去库存</v>
      </c>
      <c r="P190" s="1" t="str">
        <f t="shared" si="30"/>
        <v>产能周期上行</v>
      </c>
      <c r="Q190" s="2" t="str">
        <f t="shared" si="31"/>
        <v>产能周期上行,被动去库存</v>
      </c>
      <c r="S190" s="12">
        <v>44043</v>
      </c>
      <c r="T190" s="13">
        <v>51.1</v>
      </c>
      <c r="V190" s="12">
        <v>38929</v>
      </c>
      <c r="W190" s="13">
        <v>17</v>
      </c>
    </row>
    <row r="191" spans="1:23" x14ac:dyDescent="0.35">
      <c r="A191" s="8">
        <f t="shared" si="32"/>
        <v>40329</v>
      </c>
      <c r="B191" s="9">
        <f t="shared" si="26"/>
        <v>53.9</v>
      </c>
      <c r="C191" s="9">
        <f t="shared" si="33"/>
        <v>9.49</v>
      </c>
      <c r="D191" s="9">
        <f t="shared" si="27"/>
        <v>42.01</v>
      </c>
      <c r="E191" s="1">
        <v>0</v>
      </c>
      <c r="F191" s="1">
        <v>1</v>
      </c>
      <c r="G191" s="7">
        <v>1</v>
      </c>
      <c r="H191" s="7">
        <v>0</v>
      </c>
      <c r="I191" s="1">
        <f t="shared" si="34"/>
        <v>0</v>
      </c>
      <c r="J191" s="1">
        <f t="shared" si="35"/>
        <v>0</v>
      </c>
      <c r="K191" s="1">
        <f t="shared" si="36"/>
        <v>1</v>
      </c>
      <c r="L191" s="1">
        <f t="shared" si="37"/>
        <v>0</v>
      </c>
      <c r="M191" s="1">
        <f t="shared" si="28"/>
        <v>1</v>
      </c>
      <c r="N191" s="1">
        <f t="shared" si="38"/>
        <v>0</v>
      </c>
      <c r="O191" s="1" t="str">
        <f t="shared" si="29"/>
        <v>被动去库存</v>
      </c>
      <c r="P191" s="1" t="str">
        <f t="shared" si="30"/>
        <v>产能周期上行</v>
      </c>
      <c r="Q191" s="2" t="str">
        <f t="shared" si="31"/>
        <v>产能周期上行,被动去库存</v>
      </c>
      <c r="S191" s="12">
        <v>44074</v>
      </c>
      <c r="T191" s="13">
        <v>51</v>
      </c>
      <c r="V191" s="12">
        <v>38898</v>
      </c>
      <c r="W191" s="13">
        <v>16.02</v>
      </c>
    </row>
    <row r="192" spans="1:23" x14ac:dyDescent="0.35">
      <c r="A192" s="8">
        <f t="shared" si="32"/>
        <v>40298</v>
      </c>
      <c r="B192" s="9">
        <f t="shared" si="26"/>
        <v>55.7</v>
      </c>
      <c r="C192" s="9" t="e">
        <f t="shared" si="33"/>
        <v>#N/A</v>
      </c>
      <c r="D192" s="9">
        <f t="shared" si="27"/>
        <v>42.01</v>
      </c>
      <c r="E192" s="1">
        <v>0</v>
      </c>
      <c r="F192" s="1">
        <v>1</v>
      </c>
      <c r="G192" s="7">
        <v>0</v>
      </c>
      <c r="H192" s="7">
        <v>1</v>
      </c>
      <c r="I192" s="1">
        <f t="shared" si="34"/>
        <v>1</v>
      </c>
      <c r="J192" s="1">
        <f t="shared" si="35"/>
        <v>0</v>
      </c>
      <c r="K192" s="1">
        <f t="shared" si="36"/>
        <v>0</v>
      </c>
      <c r="L192" s="1">
        <f t="shared" si="37"/>
        <v>0</v>
      </c>
      <c r="M192" s="1">
        <f t="shared" si="28"/>
        <v>1</v>
      </c>
      <c r="N192" s="1">
        <f t="shared" si="38"/>
        <v>0</v>
      </c>
      <c r="O192" s="1" t="str">
        <f t="shared" si="29"/>
        <v>主动去库存</v>
      </c>
      <c r="P192" s="1" t="str">
        <f t="shared" si="30"/>
        <v>产能周期上行</v>
      </c>
      <c r="Q192" s="2" t="str">
        <f t="shared" si="31"/>
        <v>产能周期上行,主动去库存</v>
      </c>
      <c r="S192" s="12">
        <v>44104</v>
      </c>
      <c r="T192" s="13">
        <v>51.5</v>
      </c>
      <c r="V192" s="12">
        <v>38868</v>
      </c>
      <c r="W192" s="13">
        <v>15.64</v>
      </c>
    </row>
    <row r="193" spans="1:23" x14ac:dyDescent="0.35">
      <c r="A193" s="8">
        <f t="shared" si="32"/>
        <v>40268</v>
      </c>
      <c r="B193" s="9">
        <f t="shared" si="26"/>
        <v>55.1</v>
      </c>
      <c r="C193" s="9" t="e">
        <f t="shared" si="33"/>
        <v>#N/A</v>
      </c>
      <c r="D193" s="9">
        <f t="shared" si="27"/>
        <v>42.01</v>
      </c>
      <c r="E193" s="1">
        <v>0</v>
      </c>
      <c r="F193" s="1">
        <v>1</v>
      </c>
      <c r="G193" s="7">
        <v>0</v>
      </c>
      <c r="H193" s="7">
        <v>1</v>
      </c>
      <c r="I193" s="1">
        <f t="shared" si="34"/>
        <v>1</v>
      </c>
      <c r="J193" s="1">
        <f t="shared" si="35"/>
        <v>0</v>
      </c>
      <c r="K193" s="1">
        <f t="shared" si="36"/>
        <v>0</v>
      </c>
      <c r="L193" s="1">
        <f t="shared" si="37"/>
        <v>0</v>
      </c>
      <c r="M193" s="1">
        <f t="shared" si="28"/>
        <v>1</v>
      </c>
      <c r="N193" s="1">
        <f t="shared" si="38"/>
        <v>0</v>
      </c>
      <c r="O193" s="1" t="str">
        <f t="shared" si="29"/>
        <v>主动去库存</v>
      </c>
      <c r="P193" s="1" t="str">
        <f t="shared" si="30"/>
        <v>产能周期上行</v>
      </c>
      <c r="Q193" s="2" t="str">
        <f t="shared" si="31"/>
        <v>产能周期上行,主动去库存</v>
      </c>
      <c r="S193" s="12">
        <v>44135</v>
      </c>
      <c r="T193" s="13">
        <v>51.4</v>
      </c>
      <c r="V193" s="12">
        <v>38837</v>
      </c>
      <c r="W193" s="13">
        <v>17.170000000000002</v>
      </c>
    </row>
    <row r="194" spans="1:23" x14ac:dyDescent="0.35">
      <c r="A194" s="8">
        <f t="shared" si="32"/>
        <v>40237</v>
      </c>
      <c r="B194" s="9">
        <f t="shared" si="26"/>
        <v>52</v>
      </c>
      <c r="C194" s="9">
        <f t="shared" si="33"/>
        <v>5.19</v>
      </c>
      <c r="D194" s="9">
        <f t="shared" si="27"/>
        <v>41.54</v>
      </c>
      <c r="E194" s="1">
        <v>0</v>
      </c>
      <c r="F194" s="1">
        <v>1</v>
      </c>
      <c r="G194" s="7">
        <v>0</v>
      </c>
      <c r="H194" s="7">
        <v>1</v>
      </c>
      <c r="I194" s="1">
        <f t="shared" si="34"/>
        <v>1</v>
      </c>
      <c r="J194" s="1">
        <f t="shared" si="35"/>
        <v>0</v>
      </c>
      <c r="K194" s="1">
        <f t="shared" si="36"/>
        <v>0</v>
      </c>
      <c r="L194" s="1">
        <f t="shared" si="37"/>
        <v>0</v>
      </c>
      <c r="M194" s="1">
        <f t="shared" si="28"/>
        <v>1</v>
      </c>
      <c r="N194" s="1">
        <f t="shared" si="38"/>
        <v>0</v>
      </c>
      <c r="O194" s="1" t="str">
        <f t="shared" si="29"/>
        <v>主动去库存</v>
      </c>
      <c r="P194" s="1" t="str">
        <f t="shared" si="30"/>
        <v>产能周期上行</v>
      </c>
      <c r="Q194" s="2" t="str">
        <f t="shared" si="31"/>
        <v>产能周期上行,主动去库存</v>
      </c>
      <c r="S194" s="12">
        <v>44165</v>
      </c>
      <c r="T194" s="13">
        <v>52.1</v>
      </c>
      <c r="V194" s="12">
        <v>38807</v>
      </c>
      <c r="W194" s="13">
        <v>17.71</v>
      </c>
    </row>
    <row r="195" spans="1:23" x14ac:dyDescent="0.35">
      <c r="A195" s="8">
        <f t="shared" si="32"/>
        <v>40209</v>
      </c>
      <c r="B195" s="9">
        <f t="shared" si="26"/>
        <v>55.8</v>
      </c>
      <c r="C195" s="9" t="e">
        <f t="shared" si="33"/>
        <v>#N/A</v>
      </c>
      <c r="D195" s="9">
        <f t="shared" si="27"/>
        <v>41.54</v>
      </c>
      <c r="E195" s="1">
        <v>1</v>
      </c>
      <c r="F195" s="1">
        <v>0</v>
      </c>
      <c r="G195" s="7">
        <v>0</v>
      </c>
      <c r="H195" s="7">
        <v>1</v>
      </c>
      <c r="I195" s="1">
        <f t="shared" si="34"/>
        <v>0</v>
      </c>
      <c r="J195" s="1">
        <f t="shared" si="35"/>
        <v>1</v>
      </c>
      <c r="K195" s="1">
        <f t="shared" si="36"/>
        <v>0</v>
      </c>
      <c r="L195" s="1">
        <f t="shared" si="37"/>
        <v>0</v>
      </c>
      <c r="M195" s="1">
        <f t="shared" si="28"/>
        <v>1</v>
      </c>
      <c r="N195" s="1">
        <f t="shared" si="38"/>
        <v>0</v>
      </c>
      <c r="O195" s="1" t="str">
        <f t="shared" si="29"/>
        <v>被动补库存</v>
      </c>
      <c r="P195" s="1" t="str">
        <f t="shared" si="30"/>
        <v>产能周期上行</v>
      </c>
      <c r="Q195" s="2" t="str">
        <f t="shared" si="31"/>
        <v>产能周期上行,被动补库存</v>
      </c>
      <c r="S195" s="12">
        <v>44196</v>
      </c>
      <c r="T195" s="13">
        <v>51.9</v>
      </c>
      <c r="V195" s="12">
        <v>38776</v>
      </c>
      <c r="W195" s="13">
        <v>17.39</v>
      </c>
    </row>
    <row r="196" spans="1:23" x14ac:dyDescent="0.35">
      <c r="A196" s="8">
        <f t="shared" si="32"/>
        <v>40178</v>
      </c>
      <c r="B196" s="9">
        <f t="shared" ref="B196:B237" si="39">VLOOKUP(A196,S:T,2,0)</f>
        <v>56.6</v>
      </c>
      <c r="C196" s="9" t="e">
        <f t="shared" si="33"/>
        <v>#N/A</v>
      </c>
      <c r="D196" s="9">
        <f t="shared" si="27"/>
        <v>41.54</v>
      </c>
      <c r="E196" s="1">
        <v>1</v>
      </c>
      <c r="F196" s="1">
        <v>0</v>
      </c>
      <c r="G196" s="7">
        <v>0</v>
      </c>
      <c r="H196" s="7">
        <v>1</v>
      </c>
      <c r="I196" s="1">
        <f t="shared" si="34"/>
        <v>0</v>
      </c>
      <c r="J196" s="1">
        <f t="shared" si="35"/>
        <v>1</v>
      </c>
      <c r="K196" s="1">
        <f t="shared" si="36"/>
        <v>0</v>
      </c>
      <c r="L196" s="1">
        <f t="shared" si="37"/>
        <v>0</v>
      </c>
      <c r="M196" s="1">
        <f t="shared" si="28"/>
        <v>1</v>
      </c>
      <c r="N196" s="1">
        <f t="shared" si="38"/>
        <v>0</v>
      </c>
      <c r="O196" s="1" t="str">
        <f t="shared" si="29"/>
        <v>被动补库存</v>
      </c>
      <c r="P196" s="1" t="str">
        <f t="shared" si="30"/>
        <v>产能周期上行</v>
      </c>
      <c r="Q196" s="2" t="str">
        <f t="shared" si="31"/>
        <v>产能周期上行,被动补库存</v>
      </c>
      <c r="S196" s="12">
        <v>44227</v>
      </c>
      <c r="T196" s="13">
        <v>51.3</v>
      </c>
      <c r="V196" s="12">
        <v>38717</v>
      </c>
      <c r="W196" s="13">
        <v>17.940000000000001</v>
      </c>
    </row>
    <row r="197" spans="1:23" x14ac:dyDescent="0.35">
      <c r="A197" s="8">
        <f t="shared" si="32"/>
        <v>40147</v>
      </c>
      <c r="B197" s="9">
        <f t="shared" si="39"/>
        <v>55.2</v>
      </c>
      <c r="C197" s="9">
        <f t="shared" si="33"/>
        <v>0.24</v>
      </c>
      <c r="D197" s="9">
        <f t="shared" ref="D197:D260" si="40">IFERROR(VLOOKUP(A197,Y:Z,2,FALSE),D198)</f>
        <v>39.1</v>
      </c>
      <c r="E197" s="1">
        <v>1</v>
      </c>
      <c r="F197" s="1">
        <v>0</v>
      </c>
      <c r="G197" s="7">
        <v>0</v>
      </c>
      <c r="H197" s="7">
        <v>1</v>
      </c>
      <c r="I197" s="1">
        <f t="shared" si="34"/>
        <v>0</v>
      </c>
      <c r="J197" s="1">
        <f t="shared" si="35"/>
        <v>1</v>
      </c>
      <c r="K197" s="1">
        <f t="shared" si="36"/>
        <v>0</v>
      </c>
      <c r="L197" s="1">
        <f t="shared" si="37"/>
        <v>0</v>
      </c>
      <c r="M197" s="1">
        <f t="shared" ref="M197:M260" si="41">IF(D197 = D198, M198, IF(D197 &gt; D198, 1, 0))</f>
        <v>1</v>
      </c>
      <c r="N197" s="1">
        <f t="shared" si="38"/>
        <v>0</v>
      </c>
      <c r="O197" s="1" t="str">
        <f t="shared" ref="O197:O260" si="42">INDEX($I$3:$L$3,1,MATCH(1,I197:L197,0))</f>
        <v>被动补库存</v>
      </c>
      <c r="P197" s="1" t="str">
        <f t="shared" ref="P197:P260" si="43">INDEX($M$3:$N$3,1,MATCH(1,M197:N197,0))</f>
        <v>产能周期上行</v>
      </c>
      <c r="Q197" s="2" t="str">
        <f t="shared" ref="Q197:Q260" si="44">TEXT(P197,"")&amp;","&amp;TEXT(O197,"")</f>
        <v>产能周期上行,被动补库存</v>
      </c>
      <c r="S197" s="12">
        <v>44255</v>
      </c>
      <c r="T197" s="13">
        <v>50.6</v>
      </c>
      <c r="V197" s="12">
        <v>38686</v>
      </c>
      <c r="W197" s="13">
        <v>17.8</v>
      </c>
    </row>
    <row r="198" spans="1:23" x14ac:dyDescent="0.35">
      <c r="A198" s="8">
        <f t="shared" ref="A198:A261" si="45">EOMONTH(A197,-1)</f>
        <v>40117</v>
      </c>
      <c r="B198" s="9">
        <f t="shared" si="39"/>
        <v>55.2</v>
      </c>
      <c r="C198" s="9" t="e">
        <f t="shared" ref="C198:C261" si="46">VLOOKUP(A198,V:W,2,0)</f>
        <v>#N/A</v>
      </c>
      <c r="D198" s="9">
        <f t="shared" si="40"/>
        <v>39.1</v>
      </c>
      <c r="E198" s="1">
        <v>1</v>
      </c>
      <c r="F198" s="1">
        <v>0</v>
      </c>
      <c r="G198" s="7">
        <v>0</v>
      </c>
      <c r="H198" s="7">
        <v>1</v>
      </c>
      <c r="I198" s="1">
        <f t="shared" ref="I198:I261" si="47">INT(AND(H198=1,F198=1))</f>
        <v>0</v>
      </c>
      <c r="J198" s="1">
        <f t="shared" ref="J198:J261" si="48">INT(AND(H198=1,E198=1))</f>
        <v>1</v>
      </c>
      <c r="K198" s="1">
        <f t="shared" ref="K198:K261" si="49">INT(AND(G198=1,F198=1))</f>
        <v>0</v>
      </c>
      <c r="L198" s="1">
        <f t="shared" ref="L198:L261" si="50">INT(AND(G198=1,E198=1))</f>
        <v>0</v>
      </c>
      <c r="M198" s="1">
        <f t="shared" si="41"/>
        <v>1</v>
      </c>
      <c r="N198" s="1">
        <f t="shared" ref="N198:N261" si="51">1-M198</f>
        <v>0</v>
      </c>
      <c r="O198" s="1" t="str">
        <f t="shared" si="42"/>
        <v>被动补库存</v>
      </c>
      <c r="P198" s="1" t="str">
        <f t="shared" si="43"/>
        <v>产能周期上行</v>
      </c>
      <c r="Q198" s="2" t="str">
        <f t="shared" si="44"/>
        <v>产能周期上行,被动补库存</v>
      </c>
      <c r="S198" s="12">
        <v>44286</v>
      </c>
      <c r="T198" s="13">
        <v>51.9</v>
      </c>
      <c r="V198" s="12">
        <v>38656</v>
      </c>
      <c r="W198" s="13">
        <v>19.32</v>
      </c>
    </row>
    <row r="199" spans="1:23" x14ac:dyDescent="0.35">
      <c r="A199" s="8">
        <f t="shared" si="45"/>
        <v>40086</v>
      </c>
      <c r="B199" s="9">
        <f t="shared" si="39"/>
        <v>54.3</v>
      </c>
      <c r="C199" s="9" t="e">
        <f t="shared" si="46"/>
        <v>#N/A</v>
      </c>
      <c r="D199" s="9">
        <f t="shared" si="40"/>
        <v>39.1</v>
      </c>
      <c r="E199" s="1">
        <v>1</v>
      </c>
      <c r="F199" s="1">
        <v>0</v>
      </c>
      <c r="G199" s="7">
        <v>0</v>
      </c>
      <c r="H199" s="7">
        <v>1</v>
      </c>
      <c r="I199" s="1">
        <f t="shared" si="47"/>
        <v>0</v>
      </c>
      <c r="J199" s="1">
        <f t="shared" si="48"/>
        <v>1</v>
      </c>
      <c r="K199" s="1">
        <f t="shared" si="49"/>
        <v>0</v>
      </c>
      <c r="L199" s="1">
        <f t="shared" si="50"/>
        <v>0</v>
      </c>
      <c r="M199" s="1">
        <f t="shared" si="41"/>
        <v>1</v>
      </c>
      <c r="N199" s="1">
        <f t="shared" si="51"/>
        <v>0</v>
      </c>
      <c r="O199" s="1" t="str">
        <f t="shared" si="42"/>
        <v>被动补库存</v>
      </c>
      <c r="P199" s="1" t="str">
        <f t="shared" si="43"/>
        <v>产能周期上行</v>
      </c>
      <c r="Q199" s="2" t="str">
        <f t="shared" si="44"/>
        <v>产能周期上行,被动补库存</v>
      </c>
      <c r="S199" s="12">
        <v>44316</v>
      </c>
      <c r="T199" s="13">
        <v>51.1</v>
      </c>
      <c r="V199" s="12">
        <v>38625</v>
      </c>
      <c r="W199" s="13">
        <v>18.78</v>
      </c>
    </row>
    <row r="200" spans="1:23" x14ac:dyDescent="0.35">
      <c r="A200" s="8">
        <f t="shared" si="45"/>
        <v>40056</v>
      </c>
      <c r="B200" s="9">
        <f t="shared" si="39"/>
        <v>54</v>
      </c>
      <c r="C200" s="9">
        <f t="shared" si="46"/>
        <v>-0.76</v>
      </c>
      <c r="D200" s="9">
        <f t="shared" si="40"/>
        <v>37.79</v>
      </c>
      <c r="E200" s="1">
        <v>1</v>
      </c>
      <c r="F200" s="1">
        <v>0</v>
      </c>
      <c r="G200" s="7">
        <v>0</v>
      </c>
      <c r="H200" s="7">
        <v>1</v>
      </c>
      <c r="I200" s="1">
        <f t="shared" si="47"/>
        <v>0</v>
      </c>
      <c r="J200" s="1">
        <f t="shared" si="48"/>
        <v>1</v>
      </c>
      <c r="K200" s="1">
        <f t="shared" si="49"/>
        <v>0</v>
      </c>
      <c r="L200" s="1">
        <f t="shared" si="50"/>
        <v>0</v>
      </c>
      <c r="M200" s="1">
        <f t="shared" si="41"/>
        <v>1</v>
      </c>
      <c r="N200" s="1">
        <f t="shared" si="51"/>
        <v>0</v>
      </c>
      <c r="O200" s="1" t="str">
        <f t="shared" si="42"/>
        <v>被动补库存</v>
      </c>
      <c r="P200" s="1" t="str">
        <f t="shared" si="43"/>
        <v>产能周期上行</v>
      </c>
      <c r="Q200" s="2" t="str">
        <f t="shared" si="44"/>
        <v>产能周期上行,被动补库存</v>
      </c>
      <c r="S200" s="12">
        <v>44347</v>
      </c>
      <c r="T200" s="13">
        <v>51</v>
      </c>
      <c r="V200" s="12">
        <v>38595</v>
      </c>
      <c r="W200" s="13">
        <v>18.940000000000001</v>
      </c>
    </row>
    <row r="201" spans="1:23" x14ac:dyDescent="0.35">
      <c r="A201" s="8">
        <f t="shared" si="45"/>
        <v>40025</v>
      </c>
      <c r="B201" s="9">
        <f t="shared" si="39"/>
        <v>53.3</v>
      </c>
      <c r="C201" s="9" t="e">
        <f t="shared" si="46"/>
        <v>#N/A</v>
      </c>
      <c r="D201" s="9">
        <f t="shared" si="40"/>
        <v>37.79</v>
      </c>
      <c r="E201" s="1">
        <v>1</v>
      </c>
      <c r="F201" s="1">
        <v>0</v>
      </c>
      <c r="G201" s="7">
        <v>0</v>
      </c>
      <c r="H201" s="7">
        <v>1</v>
      </c>
      <c r="I201" s="1">
        <f t="shared" si="47"/>
        <v>0</v>
      </c>
      <c r="J201" s="1">
        <f t="shared" si="48"/>
        <v>1</v>
      </c>
      <c r="K201" s="1">
        <f t="shared" si="49"/>
        <v>0</v>
      </c>
      <c r="L201" s="1">
        <f t="shared" si="50"/>
        <v>0</v>
      </c>
      <c r="M201" s="1">
        <f t="shared" si="41"/>
        <v>1</v>
      </c>
      <c r="N201" s="1">
        <f t="shared" si="51"/>
        <v>0</v>
      </c>
      <c r="O201" s="1" t="str">
        <f t="shared" si="42"/>
        <v>被动补库存</v>
      </c>
      <c r="P201" s="1" t="str">
        <f t="shared" si="43"/>
        <v>产能周期上行</v>
      </c>
      <c r="Q201" s="2" t="str">
        <f t="shared" si="44"/>
        <v>产能周期上行,被动补库存</v>
      </c>
      <c r="S201" s="12">
        <v>44377</v>
      </c>
      <c r="T201" s="13">
        <v>50.9</v>
      </c>
      <c r="V201" s="12">
        <v>38564</v>
      </c>
      <c r="W201" s="13">
        <v>19.09</v>
      </c>
    </row>
    <row r="202" spans="1:23" x14ac:dyDescent="0.35">
      <c r="A202" s="8">
        <f t="shared" si="45"/>
        <v>39994</v>
      </c>
      <c r="B202" s="9">
        <f t="shared" si="39"/>
        <v>53.2</v>
      </c>
      <c r="C202" s="9" t="e">
        <f t="shared" si="46"/>
        <v>#N/A</v>
      </c>
      <c r="D202" s="9">
        <f t="shared" si="40"/>
        <v>37.79</v>
      </c>
      <c r="E202" s="1">
        <v>1</v>
      </c>
      <c r="F202" s="1">
        <v>0</v>
      </c>
      <c r="G202" s="7">
        <v>0</v>
      </c>
      <c r="H202" s="7">
        <v>1</v>
      </c>
      <c r="I202" s="1">
        <f t="shared" si="47"/>
        <v>0</v>
      </c>
      <c r="J202" s="1">
        <f t="shared" si="48"/>
        <v>1</v>
      </c>
      <c r="K202" s="1">
        <f t="shared" si="49"/>
        <v>0</v>
      </c>
      <c r="L202" s="1">
        <f t="shared" si="50"/>
        <v>0</v>
      </c>
      <c r="M202" s="1">
        <f t="shared" si="41"/>
        <v>1</v>
      </c>
      <c r="N202" s="1">
        <f t="shared" si="51"/>
        <v>0</v>
      </c>
      <c r="O202" s="1" t="str">
        <f t="shared" si="42"/>
        <v>被动补库存</v>
      </c>
      <c r="P202" s="1" t="str">
        <f t="shared" si="43"/>
        <v>产能周期上行</v>
      </c>
      <c r="Q202" s="2" t="str">
        <f t="shared" si="44"/>
        <v>产能周期上行,被动补库存</v>
      </c>
      <c r="S202" s="12">
        <v>44408</v>
      </c>
      <c r="T202" s="13">
        <v>50.4</v>
      </c>
      <c r="V202" s="12">
        <v>38533</v>
      </c>
      <c r="W202" s="13">
        <v>19.47</v>
      </c>
    </row>
    <row r="203" spans="1:23" x14ac:dyDescent="0.35">
      <c r="A203" s="8">
        <f t="shared" si="45"/>
        <v>39964</v>
      </c>
      <c r="B203" s="9">
        <f t="shared" si="39"/>
        <v>53.1</v>
      </c>
      <c r="C203" s="9">
        <f t="shared" si="46"/>
        <v>4.24</v>
      </c>
      <c r="D203" s="9">
        <f t="shared" si="40"/>
        <v>36.28</v>
      </c>
      <c r="E203" s="1">
        <v>1</v>
      </c>
      <c r="F203" s="1">
        <v>0</v>
      </c>
      <c r="G203" s="7">
        <v>0</v>
      </c>
      <c r="H203" s="7">
        <v>1</v>
      </c>
      <c r="I203" s="1">
        <f t="shared" si="47"/>
        <v>0</v>
      </c>
      <c r="J203" s="1">
        <f t="shared" si="48"/>
        <v>1</v>
      </c>
      <c r="K203" s="1">
        <f t="shared" si="49"/>
        <v>0</v>
      </c>
      <c r="L203" s="1">
        <f t="shared" si="50"/>
        <v>0</v>
      </c>
      <c r="M203" s="1">
        <f t="shared" si="41"/>
        <v>0</v>
      </c>
      <c r="N203" s="1">
        <f t="shared" si="51"/>
        <v>1</v>
      </c>
      <c r="O203" s="1" t="str">
        <f t="shared" si="42"/>
        <v>被动补库存</v>
      </c>
      <c r="P203" s="1" t="str">
        <f t="shared" si="43"/>
        <v>产能周期下行</v>
      </c>
      <c r="Q203" s="2" t="str">
        <f t="shared" si="44"/>
        <v>产能周期下行,被动补库存</v>
      </c>
      <c r="S203" s="12">
        <v>44439</v>
      </c>
      <c r="T203" s="13">
        <v>50.1</v>
      </c>
      <c r="V203" s="12">
        <v>38503</v>
      </c>
      <c r="W203" s="13">
        <v>19.36</v>
      </c>
    </row>
    <row r="204" spans="1:23" x14ac:dyDescent="0.35">
      <c r="A204" s="8">
        <f t="shared" si="45"/>
        <v>39933</v>
      </c>
      <c r="B204" s="9">
        <f t="shared" si="39"/>
        <v>53.5</v>
      </c>
      <c r="C204" s="9" t="e">
        <f t="shared" si="46"/>
        <v>#N/A</v>
      </c>
      <c r="D204" s="9">
        <f t="shared" si="40"/>
        <v>36.28</v>
      </c>
      <c r="E204" s="1">
        <v>1</v>
      </c>
      <c r="F204" s="1">
        <v>0</v>
      </c>
      <c r="I204" s="1">
        <f t="shared" si="47"/>
        <v>0</v>
      </c>
      <c r="J204" s="1">
        <f t="shared" si="48"/>
        <v>0</v>
      </c>
      <c r="K204" s="1">
        <f t="shared" si="49"/>
        <v>0</v>
      </c>
      <c r="L204" s="1">
        <f t="shared" si="50"/>
        <v>0</v>
      </c>
      <c r="M204" s="1">
        <f t="shared" si="41"/>
        <v>0</v>
      </c>
      <c r="N204" s="1">
        <f t="shared" si="51"/>
        <v>1</v>
      </c>
      <c r="O204" s="1" t="e">
        <f t="shared" si="42"/>
        <v>#N/A</v>
      </c>
      <c r="P204" s="1" t="str">
        <f t="shared" si="43"/>
        <v>产能周期下行</v>
      </c>
      <c r="Q204" s="2" t="e">
        <f t="shared" si="44"/>
        <v>#N/A</v>
      </c>
      <c r="S204" s="12">
        <v>44469</v>
      </c>
      <c r="T204" s="13">
        <v>49.6</v>
      </c>
      <c r="V204" s="12">
        <v>38472</v>
      </c>
      <c r="W204" s="13">
        <v>19.5</v>
      </c>
    </row>
    <row r="205" spans="1:23" x14ac:dyDescent="0.35">
      <c r="A205" s="8">
        <f t="shared" si="45"/>
        <v>39903</v>
      </c>
      <c r="B205" s="9">
        <f t="shared" si="39"/>
        <v>52.4</v>
      </c>
      <c r="C205" s="9" t="e">
        <f t="shared" si="46"/>
        <v>#N/A</v>
      </c>
      <c r="D205" s="9">
        <f t="shared" si="40"/>
        <v>36.28</v>
      </c>
      <c r="E205" s="1">
        <v>1</v>
      </c>
      <c r="F205" s="1">
        <v>0</v>
      </c>
      <c r="I205" s="1">
        <f t="shared" si="47"/>
        <v>0</v>
      </c>
      <c r="J205" s="1">
        <f t="shared" si="48"/>
        <v>0</v>
      </c>
      <c r="K205" s="1">
        <f t="shared" si="49"/>
        <v>0</v>
      </c>
      <c r="L205" s="1">
        <f t="shared" si="50"/>
        <v>0</v>
      </c>
      <c r="M205" s="1">
        <f t="shared" si="41"/>
        <v>0</v>
      </c>
      <c r="N205" s="1">
        <f t="shared" si="51"/>
        <v>1</v>
      </c>
      <c r="O205" s="1" t="e">
        <f t="shared" si="42"/>
        <v>#N/A</v>
      </c>
      <c r="P205" s="1" t="str">
        <f t="shared" si="43"/>
        <v>产能周期下行</v>
      </c>
      <c r="Q205" s="2" t="e">
        <f t="shared" si="44"/>
        <v>#N/A</v>
      </c>
      <c r="S205" s="12">
        <v>44500</v>
      </c>
      <c r="T205" s="13">
        <v>49.2</v>
      </c>
      <c r="V205" s="12">
        <v>38442</v>
      </c>
      <c r="W205" s="13">
        <v>20.34</v>
      </c>
    </row>
    <row r="206" spans="1:23" x14ac:dyDescent="0.35">
      <c r="A206" s="8">
        <f t="shared" si="45"/>
        <v>39872</v>
      </c>
      <c r="B206" s="9">
        <f t="shared" si="39"/>
        <v>49</v>
      </c>
      <c r="C206" s="9">
        <f t="shared" si="46"/>
        <v>11.7</v>
      </c>
      <c r="D206" s="9">
        <f t="shared" si="40"/>
        <v>38.520000000000003</v>
      </c>
      <c r="E206" s="1">
        <v>1</v>
      </c>
      <c r="F206" s="1">
        <v>0</v>
      </c>
      <c r="I206" s="1">
        <f t="shared" si="47"/>
        <v>0</v>
      </c>
      <c r="J206" s="1">
        <f t="shared" si="48"/>
        <v>0</v>
      </c>
      <c r="K206" s="1">
        <f t="shared" si="49"/>
        <v>0</v>
      </c>
      <c r="L206" s="1">
        <f t="shared" si="50"/>
        <v>0</v>
      </c>
      <c r="M206" s="1">
        <f t="shared" si="41"/>
        <v>0</v>
      </c>
      <c r="N206" s="1">
        <f t="shared" si="51"/>
        <v>1</v>
      </c>
      <c r="O206" s="1" t="e">
        <f t="shared" si="42"/>
        <v>#N/A</v>
      </c>
      <c r="P206" s="1" t="str">
        <f t="shared" si="43"/>
        <v>产能周期下行</v>
      </c>
      <c r="Q206" s="2" t="e">
        <f t="shared" si="44"/>
        <v>#N/A</v>
      </c>
      <c r="S206" s="12">
        <v>44530</v>
      </c>
      <c r="T206" s="13">
        <v>50.1</v>
      </c>
      <c r="V206" s="12">
        <v>38411</v>
      </c>
      <c r="W206" s="13">
        <v>22.22</v>
      </c>
    </row>
    <row r="207" spans="1:23" x14ac:dyDescent="0.35">
      <c r="A207" s="8">
        <f t="shared" si="45"/>
        <v>39844</v>
      </c>
      <c r="B207" s="9">
        <f t="shared" si="39"/>
        <v>45.3</v>
      </c>
      <c r="C207" s="9" t="e">
        <f t="shared" si="46"/>
        <v>#N/A</v>
      </c>
      <c r="D207" s="9">
        <f t="shared" si="40"/>
        <v>38.520000000000003</v>
      </c>
      <c r="E207" s="1">
        <v>1</v>
      </c>
      <c r="F207" s="1">
        <v>0</v>
      </c>
      <c r="I207" s="1">
        <f t="shared" si="47"/>
        <v>0</v>
      </c>
      <c r="J207" s="1">
        <f t="shared" si="48"/>
        <v>0</v>
      </c>
      <c r="K207" s="1">
        <f t="shared" si="49"/>
        <v>0</v>
      </c>
      <c r="L207" s="1">
        <f t="shared" si="50"/>
        <v>0</v>
      </c>
      <c r="M207" s="1">
        <f t="shared" si="41"/>
        <v>0</v>
      </c>
      <c r="N207" s="1">
        <f t="shared" si="51"/>
        <v>1</v>
      </c>
      <c r="O207" s="1" t="e">
        <f t="shared" si="42"/>
        <v>#N/A</v>
      </c>
      <c r="P207" s="1" t="str">
        <f t="shared" si="43"/>
        <v>产能周期下行</v>
      </c>
      <c r="Q207" s="2" t="e">
        <f t="shared" si="44"/>
        <v>#N/A</v>
      </c>
      <c r="S207" s="12">
        <v>44561</v>
      </c>
      <c r="T207" s="13">
        <v>50.3</v>
      </c>
      <c r="V207" s="12">
        <v>38352</v>
      </c>
      <c r="W207" s="13">
        <v>24.65</v>
      </c>
    </row>
    <row r="208" spans="1:23" x14ac:dyDescent="0.35">
      <c r="A208" s="8">
        <f t="shared" si="45"/>
        <v>39813</v>
      </c>
      <c r="B208" s="9">
        <f t="shared" si="39"/>
        <v>41.2</v>
      </c>
      <c r="C208" s="9" t="e">
        <f t="shared" si="46"/>
        <v>#N/A</v>
      </c>
      <c r="D208" s="9">
        <f t="shared" si="40"/>
        <v>38.520000000000003</v>
      </c>
      <c r="E208" s="1">
        <v>1</v>
      </c>
      <c r="F208" s="1">
        <v>0</v>
      </c>
      <c r="I208" s="1">
        <f t="shared" si="47"/>
        <v>0</v>
      </c>
      <c r="J208" s="1">
        <f t="shared" si="48"/>
        <v>0</v>
      </c>
      <c r="K208" s="1">
        <f t="shared" si="49"/>
        <v>0</v>
      </c>
      <c r="L208" s="1">
        <f t="shared" si="50"/>
        <v>0</v>
      </c>
      <c r="M208" s="1">
        <f t="shared" si="41"/>
        <v>0</v>
      </c>
      <c r="N208" s="1">
        <f t="shared" si="51"/>
        <v>1</v>
      </c>
      <c r="O208" s="1" t="e">
        <f t="shared" si="42"/>
        <v>#N/A</v>
      </c>
      <c r="P208" s="1" t="str">
        <f t="shared" si="43"/>
        <v>产能周期下行</v>
      </c>
      <c r="Q208" s="2" t="e">
        <f t="shared" si="44"/>
        <v>#N/A</v>
      </c>
      <c r="S208" s="12">
        <v>44592</v>
      </c>
      <c r="T208" s="13">
        <v>50.1</v>
      </c>
      <c r="V208" s="12">
        <v>38321</v>
      </c>
      <c r="W208" s="13">
        <v>23.03</v>
      </c>
    </row>
    <row r="209" spans="1:23" x14ac:dyDescent="0.35">
      <c r="A209" s="8">
        <f t="shared" si="45"/>
        <v>39782</v>
      </c>
      <c r="B209" s="9">
        <f t="shared" si="39"/>
        <v>38.799999999999997</v>
      </c>
      <c r="C209" s="9">
        <f t="shared" si="46"/>
        <v>25.01</v>
      </c>
      <c r="D209" s="9">
        <f t="shared" si="40"/>
        <v>43.1</v>
      </c>
      <c r="E209" s="1">
        <v>1</v>
      </c>
      <c r="F209" s="1">
        <v>0</v>
      </c>
      <c r="I209" s="1">
        <f t="shared" si="47"/>
        <v>0</v>
      </c>
      <c r="J209" s="1">
        <f t="shared" si="48"/>
        <v>0</v>
      </c>
      <c r="K209" s="1">
        <f t="shared" si="49"/>
        <v>0</v>
      </c>
      <c r="L209" s="1">
        <f t="shared" si="50"/>
        <v>0</v>
      </c>
      <c r="M209" s="1">
        <f t="shared" si="41"/>
        <v>0</v>
      </c>
      <c r="N209" s="1">
        <f t="shared" si="51"/>
        <v>1</v>
      </c>
      <c r="O209" s="1" t="e">
        <f t="shared" si="42"/>
        <v>#N/A</v>
      </c>
      <c r="P209" s="1" t="str">
        <f t="shared" si="43"/>
        <v>产能周期下行</v>
      </c>
      <c r="Q209" s="2" t="e">
        <f t="shared" si="44"/>
        <v>#N/A</v>
      </c>
      <c r="S209" s="12">
        <v>44620</v>
      </c>
      <c r="T209" s="13">
        <v>50.2</v>
      </c>
      <c r="V209" s="12">
        <v>38291</v>
      </c>
      <c r="W209" s="13">
        <v>22.22</v>
      </c>
    </row>
    <row r="210" spans="1:23" x14ac:dyDescent="0.35">
      <c r="A210" s="8">
        <f t="shared" si="45"/>
        <v>39752</v>
      </c>
      <c r="B210" s="9">
        <f t="shared" si="39"/>
        <v>44.6</v>
      </c>
      <c r="C210" s="9" t="e">
        <f t="shared" si="46"/>
        <v>#N/A</v>
      </c>
      <c r="D210" s="9">
        <f t="shared" si="40"/>
        <v>43.1</v>
      </c>
      <c r="E210" s="1">
        <v>1</v>
      </c>
      <c r="F210" s="1">
        <v>0</v>
      </c>
      <c r="I210" s="1">
        <f t="shared" si="47"/>
        <v>0</v>
      </c>
      <c r="J210" s="1">
        <f t="shared" si="48"/>
        <v>0</v>
      </c>
      <c r="K210" s="1">
        <f t="shared" si="49"/>
        <v>0</v>
      </c>
      <c r="L210" s="1">
        <f t="shared" si="50"/>
        <v>0</v>
      </c>
      <c r="M210" s="1">
        <f t="shared" si="41"/>
        <v>0</v>
      </c>
      <c r="N210" s="1">
        <f t="shared" si="51"/>
        <v>1</v>
      </c>
      <c r="O210" s="1" t="e">
        <f t="shared" si="42"/>
        <v>#N/A</v>
      </c>
      <c r="P210" s="1" t="str">
        <f t="shared" si="43"/>
        <v>产能周期下行</v>
      </c>
      <c r="Q210" s="2" t="e">
        <f t="shared" si="44"/>
        <v>#N/A</v>
      </c>
      <c r="S210" s="12">
        <v>44651</v>
      </c>
      <c r="T210" s="13">
        <v>49.5</v>
      </c>
      <c r="V210" s="12">
        <v>38260</v>
      </c>
      <c r="W210" s="13">
        <v>21.53</v>
      </c>
    </row>
    <row r="211" spans="1:23" x14ac:dyDescent="0.35">
      <c r="A211" s="8">
        <f t="shared" si="45"/>
        <v>39721</v>
      </c>
      <c r="B211" s="9">
        <f t="shared" si="39"/>
        <v>51.2</v>
      </c>
      <c r="C211" s="9" t="e">
        <f t="shared" si="46"/>
        <v>#N/A</v>
      </c>
      <c r="D211" s="9">
        <f t="shared" si="40"/>
        <v>43.1</v>
      </c>
      <c r="E211" s="1">
        <v>1</v>
      </c>
      <c r="F211" s="1">
        <v>0</v>
      </c>
      <c r="I211" s="1">
        <f t="shared" si="47"/>
        <v>0</v>
      </c>
      <c r="J211" s="1">
        <f t="shared" si="48"/>
        <v>0</v>
      </c>
      <c r="K211" s="1">
        <f t="shared" si="49"/>
        <v>0</v>
      </c>
      <c r="L211" s="1">
        <f t="shared" si="50"/>
        <v>0</v>
      </c>
      <c r="M211" s="1">
        <f t="shared" si="41"/>
        <v>0</v>
      </c>
      <c r="N211" s="1">
        <f t="shared" si="51"/>
        <v>1</v>
      </c>
      <c r="O211" s="1" t="e">
        <f t="shared" si="42"/>
        <v>#N/A</v>
      </c>
      <c r="P211" s="1" t="str">
        <f t="shared" si="43"/>
        <v>产能周期下行</v>
      </c>
      <c r="Q211" s="2" t="e">
        <f t="shared" si="44"/>
        <v>#N/A</v>
      </c>
      <c r="S211" s="12">
        <v>44681</v>
      </c>
      <c r="T211" s="13">
        <v>47.4</v>
      </c>
      <c r="V211" s="12">
        <v>38230</v>
      </c>
      <c r="W211" s="13">
        <v>20.46</v>
      </c>
    </row>
    <row r="212" spans="1:23" x14ac:dyDescent="0.35">
      <c r="A212" s="8">
        <f t="shared" si="45"/>
        <v>39691</v>
      </c>
      <c r="B212" s="9">
        <f t="shared" si="39"/>
        <v>48.4</v>
      </c>
      <c r="C212" s="9">
        <f t="shared" si="46"/>
        <v>28.54</v>
      </c>
      <c r="D212" s="9">
        <f t="shared" si="40"/>
        <v>44.42</v>
      </c>
      <c r="E212" s="1">
        <v>1</v>
      </c>
      <c r="F212" s="1">
        <v>0</v>
      </c>
      <c r="I212" s="1">
        <f t="shared" si="47"/>
        <v>0</v>
      </c>
      <c r="J212" s="1">
        <f t="shared" si="48"/>
        <v>0</v>
      </c>
      <c r="K212" s="1">
        <f t="shared" si="49"/>
        <v>0</v>
      </c>
      <c r="L212" s="1">
        <f t="shared" si="50"/>
        <v>0</v>
      </c>
      <c r="M212" s="1">
        <f t="shared" si="41"/>
        <v>1</v>
      </c>
      <c r="N212" s="1">
        <f t="shared" si="51"/>
        <v>0</v>
      </c>
      <c r="O212" s="1" t="e">
        <f t="shared" si="42"/>
        <v>#N/A</v>
      </c>
      <c r="P212" s="1" t="str">
        <f t="shared" si="43"/>
        <v>产能周期上行</v>
      </c>
      <c r="Q212" s="2" t="e">
        <f t="shared" si="44"/>
        <v>#N/A</v>
      </c>
      <c r="S212" s="12">
        <v>44712</v>
      </c>
      <c r="T212" s="13">
        <v>49.6</v>
      </c>
      <c r="V212" s="12">
        <v>38199</v>
      </c>
      <c r="W212" s="13">
        <v>19.78</v>
      </c>
    </row>
    <row r="213" spans="1:23" x14ac:dyDescent="0.35">
      <c r="A213" s="8">
        <f t="shared" si="45"/>
        <v>39660</v>
      </c>
      <c r="B213" s="9">
        <f t="shared" si="39"/>
        <v>48.4</v>
      </c>
      <c r="C213" s="9" t="e">
        <f t="shared" si="46"/>
        <v>#N/A</v>
      </c>
      <c r="D213" s="9">
        <f t="shared" si="40"/>
        <v>44.42</v>
      </c>
      <c r="E213" s="1">
        <v>1</v>
      </c>
      <c r="F213" s="1">
        <v>0</v>
      </c>
      <c r="I213" s="1">
        <f t="shared" si="47"/>
        <v>0</v>
      </c>
      <c r="J213" s="1">
        <f t="shared" si="48"/>
        <v>0</v>
      </c>
      <c r="K213" s="1">
        <f t="shared" si="49"/>
        <v>0</v>
      </c>
      <c r="L213" s="1">
        <f t="shared" si="50"/>
        <v>0</v>
      </c>
      <c r="M213" s="1">
        <f t="shared" si="41"/>
        <v>1</v>
      </c>
      <c r="N213" s="1">
        <f t="shared" si="51"/>
        <v>0</v>
      </c>
      <c r="O213" s="1" t="e">
        <f t="shared" si="42"/>
        <v>#N/A</v>
      </c>
      <c r="P213" s="1" t="str">
        <f t="shared" si="43"/>
        <v>产能周期上行</v>
      </c>
      <c r="Q213" s="2" t="e">
        <f t="shared" si="44"/>
        <v>#N/A</v>
      </c>
      <c r="S213" s="12">
        <v>44742</v>
      </c>
      <c r="T213" s="13">
        <v>50.2</v>
      </c>
      <c r="V213" s="12">
        <v>38168</v>
      </c>
      <c r="W213" s="13">
        <v>19.86</v>
      </c>
    </row>
    <row r="214" spans="1:23" x14ac:dyDescent="0.35">
      <c r="A214" s="8">
        <f t="shared" si="45"/>
        <v>39629</v>
      </c>
      <c r="B214" s="9">
        <f t="shared" si="39"/>
        <v>52</v>
      </c>
      <c r="C214" s="9" t="e">
        <f t="shared" si="46"/>
        <v>#N/A</v>
      </c>
      <c r="D214" s="9">
        <f t="shared" si="40"/>
        <v>44.42</v>
      </c>
      <c r="E214" s="1">
        <v>1</v>
      </c>
      <c r="F214" s="1">
        <v>0</v>
      </c>
      <c r="I214" s="1">
        <f t="shared" si="47"/>
        <v>0</v>
      </c>
      <c r="J214" s="1">
        <f t="shared" si="48"/>
        <v>0</v>
      </c>
      <c r="K214" s="1">
        <f t="shared" si="49"/>
        <v>0</v>
      </c>
      <c r="L214" s="1">
        <f t="shared" si="50"/>
        <v>0</v>
      </c>
      <c r="M214" s="1">
        <f t="shared" si="41"/>
        <v>1</v>
      </c>
      <c r="N214" s="1">
        <f t="shared" si="51"/>
        <v>0</v>
      </c>
      <c r="O214" s="1" t="e">
        <f t="shared" si="42"/>
        <v>#N/A</v>
      </c>
      <c r="P214" s="1" t="str">
        <f t="shared" si="43"/>
        <v>产能周期上行</v>
      </c>
      <c r="Q214" s="2" t="e">
        <f t="shared" si="44"/>
        <v>#N/A</v>
      </c>
      <c r="S214" s="12">
        <v>44773</v>
      </c>
      <c r="T214" s="13">
        <v>49</v>
      </c>
      <c r="V214" s="12">
        <v>38138</v>
      </c>
      <c r="W214" s="13">
        <v>19.77</v>
      </c>
    </row>
    <row r="215" spans="1:23" x14ac:dyDescent="0.35">
      <c r="A215" s="8">
        <f t="shared" si="45"/>
        <v>39599</v>
      </c>
      <c r="B215" s="9">
        <f t="shared" si="39"/>
        <v>53.3</v>
      </c>
      <c r="C215" s="9">
        <f t="shared" si="46"/>
        <v>26.07</v>
      </c>
      <c r="D215" s="9">
        <f t="shared" si="40"/>
        <v>43.36</v>
      </c>
      <c r="E215" s="1">
        <v>1</v>
      </c>
      <c r="F215" s="1">
        <v>0</v>
      </c>
      <c r="I215" s="1">
        <f t="shared" si="47"/>
        <v>0</v>
      </c>
      <c r="J215" s="1">
        <f t="shared" si="48"/>
        <v>0</v>
      </c>
      <c r="K215" s="1">
        <f t="shared" si="49"/>
        <v>0</v>
      </c>
      <c r="L215" s="1">
        <f t="shared" si="50"/>
        <v>0</v>
      </c>
      <c r="M215" s="1">
        <f t="shared" si="41"/>
        <v>0</v>
      </c>
      <c r="N215" s="1">
        <f t="shared" si="51"/>
        <v>1</v>
      </c>
      <c r="O215" s="1" t="e">
        <f t="shared" si="42"/>
        <v>#N/A</v>
      </c>
      <c r="P215" s="1" t="str">
        <f t="shared" si="43"/>
        <v>产能周期下行</v>
      </c>
      <c r="Q215" s="2" t="e">
        <f t="shared" si="44"/>
        <v>#N/A</v>
      </c>
      <c r="S215" s="12">
        <v>44804</v>
      </c>
      <c r="T215" s="13">
        <v>49.4</v>
      </c>
      <c r="V215" s="12">
        <v>38107</v>
      </c>
      <c r="W215" s="13">
        <v>18.87</v>
      </c>
    </row>
    <row r="216" spans="1:23" x14ac:dyDescent="0.35">
      <c r="A216" s="8">
        <f t="shared" si="45"/>
        <v>39568</v>
      </c>
      <c r="B216" s="9">
        <f t="shared" si="39"/>
        <v>59.2</v>
      </c>
      <c r="C216" s="9" t="e">
        <f t="shared" si="46"/>
        <v>#N/A</v>
      </c>
      <c r="D216" s="9">
        <f t="shared" si="40"/>
        <v>43.36</v>
      </c>
      <c r="E216" s="1">
        <v>1</v>
      </c>
      <c r="F216" s="1">
        <v>0</v>
      </c>
      <c r="I216" s="1">
        <f t="shared" si="47"/>
        <v>0</v>
      </c>
      <c r="J216" s="1">
        <f t="shared" si="48"/>
        <v>0</v>
      </c>
      <c r="K216" s="1">
        <f t="shared" si="49"/>
        <v>0</v>
      </c>
      <c r="L216" s="1">
        <f t="shared" si="50"/>
        <v>0</v>
      </c>
      <c r="M216" s="1">
        <f t="shared" si="41"/>
        <v>0</v>
      </c>
      <c r="N216" s="1">
        <f t="shared" si="51"/>
        <v>1</v>
      </c>
      <c r="O216" s="1" t="e">
        <f t="shared" si="42"/>
        <v>#N/A</v>
      </c>
      <c r="P216" s="1" t="str">
        <f t="shared" si="43"/>
        <v>产能周期下行</v>
      </c>
      <c r="Q216" s="2" t="e">
        <f t="shared" si="44"/>
        <v>#N/A</v>
      </c>
      <c r="S216" s="12">
        <v>44834</v>
      </c>
      <c r="T216" s="13">
        <v>50.1</v>
      </c>
      <c r="V216" s="12">
        <v>38077</v>
      </c>
      <c r="W216" s="13">
        <v>17.829999999999998</v>
      </c>
    </row>
    <row r="217" spans="1:23" x14ac:dyDescent="0.35">
      <c r="A217" s="8">
        <f t="shared" si="45"/>
        <v>39538</v>
      </c>
      <c r="B217" s="9">
        <f t="shared" si="39"/>
        <v>58.4</v>
      </c>
      <c r="C217" s="9" t="e">
        <f t="shared" si="46"/>
        <v>#N/A</v>
      </c>
      <c r="D217" s="9">
        <f t="shared" si="40"/>
        <v>43.36</v>
      </c>
      <c r="E217" s="1">
        <v>1</v>
      </c>
      <c r="F217" s="1">
        <v>0</v>
      </c>
      <c r="I217" s="1">
        <f t="shared" si="47"/>
        <v>0</v>
      </c>
      <c r="J217" s="1">
        <f t="shared" si="48"/>
        <v>0</v>
      </c>
      <c r="K217" s="1">
        <f t="shared" si="49"/>
        <v>0</v>
      </c>
      <c r="L217" s="1">
        <f t="shared" si="50"/>
        <v>0</v>
      </c>
      <c r="M217" s="1">
        <f t="shared" si="41"/>
        <v>0</v>
      </c>
      <c r="N217" s="1">
        <f t="shared" si="51"/>
        <v>1</v>
      </c>
      <c r="O217" s="1" t="e">
        <f t="shared" si="42"/>
        <v>#N/A</v>
      </c>
      <c r="P217" s="1" t="str">
        <f t="shared" si="43"/>
        <v>产能周期下行</v>
      </c>
      <c r="Q217" s="2" t="e">
        <f t="shared" si="44"/>
        <v>#N/A</v>
      </c>
      <c r="S217" s="12">
        <v>44865</v>
      </c>
      <c r="T217" s="13">
        <v>49.2</v>
      </c>
      <c r="V217" s="12">
        <v>38046</v>
      </c>
      <c r="W217" s="13">
        <v>15.73</v>
      </c>
    </row>
    <row r="218" spans="1:23" x14ac:dyDescent="0.35">
      <c r="A218" s="8">
        <f t="shared" si="45"/>
        <v>39507</v>
      </c>
      <c r="B218" s="9">
        <f t="shared" si="39"/>
        <v>53.4</v>
      </c>
      <c r="C218" s="9">
        <f t="shared" si="46"/>
        <v>21.18</v>
      </c>
      <c r="D218" s="9">
        <f t="shared" si="40"/>
        <v>45.5</v>
      </c>
      <c r="E218" s="1">
        <v>1</v>
      </c>
      <c r="F218" s="1">
        <v>0</v>
      </c>
      <c r="I218" s="1">
        <f t="shared" si="47"/>
        <v>0</v>
      </c>
      <c r="J218" s="1">
        <f t="shared" si="48"/>
        <v>0</v>
      </c>
      <c r="K218" s="1">
        <f t="shared" si="49"/>
        <v>0</v>
      </c>
      <c r="L218" s="1">
        <f t="shared" si="50"/>
        <v>0</v>
      </c>
      <c r="M218" s="1">
        <f t="shared" si="41"/>
        <v>1</v>
      </c>
      <c r="N218" s="1">
        <f t="shared" si="51"/>
        <v>0</v>
      </c>
      <c r="O218" s="1" t="e">
        <f t="shared" si="42"/>
        <v>#N/A</v>
      </c>
      <c r="P218" s="1" t="str">
        <f t="shared" si="43"/>
        <v>产能周期上行</v>
      </c>
      <c r="Q218" s="2" t="e">
        <f t="shared" si="44"/>
        <v>#N/A</v>
      </c>
      <c r="S218" s="12">
        <v>44895</v>
      </c>
      <c r="T218" s="13">
        <v>48</v>
      </c>
      <c r="V218" s="12">
        <v>37986</v>
      </c>
      <c r="W218" s="13">
        <v>11.74</v>
      </c>
    </row>
    <row r="219" spans="1:23" x14ac:dyDescent="0.35">
      <c r="A219" s="8">
        <f t="shared" si="45"/>
        <v>39478</v>
      </c>
      <c r="B219" s="9">
        <f t="shared" si="39"/>
        <v>53</v>
      </c>
      <c r="C219" s="9" t="e">
        <f t="shared" si="46"/>
        <v>#N/A</v>
      </c>
      <c r="D219" s="9">
        <f t="shared" si="40"/>
        <v>45.5</v>
      </c>
      <c r="E219" s="1">
        <v>1</v>
      </c>
      <c r="F219" s="1">
        <v>0</v>
      </c>
      <c r="I219" s="1">
        <f t="shared" si="47"/>
        <v>0</v>
      </c>
      <c r="J219" s="1">
        <f t="shared" si="48"/>
        <v>0</v>
      </c>
      <c r="K219" s="1">
        <f t="shared" si="49"/>
        <v>0</v>
      </c>
      <c r="L219" s="1">
        <f t="shared" si="50"/>
        <v>0</v>
      </c>
      <c r="M219" s="1">
        <f t="shared" si="41"/>
        <v>1</v>
      </c>
      <c r="N219" s="1">
        <f t="shared" si="51"/>
        <v>0</v>
      </c>
      <c r="O219" s="1" t="e">
        <f t="shared" si="42"/>
        <v>#N/A</v>
      </c>
      <c r="P219" s="1" t="str">
        <f t="shared" si="43"/>
        <v>产能周期上行</v>
      </c>
      <c r="Q219" s="2" t="e">
        <f t="shared" si="44"/>
        <v>#N/A</v>
      </c>
      <c r="S219" s="12">
        <v>44926</v>
      </c>
      <c r="T219" s="13">
        <v>47</v>
      </c>
      <c r="V219" s="12">
        <v>37955</v>
      </c>
      <c r="W219" s="13">
        <v>11.82</v>
      </c>
    </row>
    <row r="220" spans="1:23" x14ac:dyDescent="0.35">
      <c r="A220" s="8">
        <f t="shared" si="45"/>
        <v>39447</v>
      </c>
      <c r="B220" s="9">
        <f t="shared" si="39"/>
        <v>55.3</v>
      </c>
      <c r="C220" s="9" t="e">
        <f t="shared" si="46"/>
        <v>#N/A</v>
      </c>
      <c r="D220" s="9">
        <f t="shared" si="40"/>
        <v>45.5</v>
      </c>
      <c r="E220" s="1">
        <v>1</v>
      </c>
      <c r="F220" s="1">
        <v>0</v>
      </c>
      <c r="I220" s="1">
        <f t="shared" si="47"/>
        <v>0</v>
      </c>
      <c r="J220" s="1">
        <f t="shared" si="48"/>
        <v>0</v>
      </c>
      <c r="K220" s="1">
        <f t="shared" si="49"/>
        <v>0</v>
      </c>
      <c r="L220" s="1">
        <f t="shared" si="50"/>
        <v>0</v>
      </c>
      <c r="M220" s="1">
        <f t="shared" si="41"/>
        <v>1</v>
      </c>
      <c r="N220" s="1">
        <f t="shared" si="51"/>
        <v>0</v>
      </c>
      <c r="O220" s="1" t="e">
        <f t="shared" si="42"/>
        <v>#N/A</v>
      </c>
      <c r="P220" s="1" t="str">
        <f t="shared" si="43"/>
        <v>产能周期上行</v>
      </c>
      <c r="Q220" s="2" t="e">
        <f t="shared" si="44"/>
        <v>#N/A</v>
      </c>
      <c r="S220" s="12">
        <v>44957</v>
      </c>
      <c r="T220" s="13">
        <v>50.1</v>
      </c>
      <c r="V220" s="12">
        <v>37925</v>
      </c>
      <c r="W220" s="13">
        <v>11.5</v>
      </c>
    </row>
    <row r="221" spans="1:23" x14ac:dyDescent="0.35">
      <c r="A221" s="8">
        <f t="shared" si="45"/>
        <v>39416</v>
      </c>
      <c r="B221" s="9">
        <f t="shared" si="39"/>
        <v>55.4</v>
      </c>
      <c r="C221" s="9">
        <f t="shared" si="46"/>
        <v>21.8</v>
      </c>
      <c r="D221" s="9">
        <f t="shared" si="40"/>
        <v>45.1</v>
      </c>
      <c r="E221" s="1">
        <v>1</v>
      </c>
      <c r="F221" s="1">
        <v>0</v>
      </c>
      <c r="I221" s="1">
        <f t="shared" si="47"/>
        <v>0</v>
      </c>
      <c r="J221" s="1">
        <f t="shared" si="48"/>
        <v>0</v>
      </c>
      <c r="K221" s="1">
        <f t="shared" si="49"/>
        <v>0</v>
      </c>
      <c r="L221" s="1">
        <f t="shared" si="50"/>
        <v>0</v>
      </c>
      <c r="M221" s="1">
        <f t="shared" si="41"/>
        <v>0</v>
      </c>
      <c r="N221" s="1">
        <f t="shared" si="51"/>
        <v>1</v>
      </c>
      <c r="O221" s="1" t="e">
        <f t="shared" si="42"/>
        <v>#N/A</v>
      </c>
      <c r="P221" s="1" t="str">
        <f t="shared" si="43"/>
        <v>产能周期下行</v>
      </c>
      <c r="Q221" s="2" t="e">
        <f t="shared" si="44"/>
        <v>#N/A</v>
      </c>
      <c r="S221" s="12">
        <v>44985</v>
      </c>
      <c r="T221" s="13">
        <v>52.6</v>
      </c>
      <c r="V221" s="12">
        <v>37894</v>
      </c>
      <c r="W221" s="13">
        <v>11.65</v>
      </c>
    </row>
    <row r="222" spans="1:23" x14ac:dyDescent="0.35">
      <c r="A222" s="8">
        <f t="shared" si="45"/>
        <v>39386</v>
      </c>
      <c r="B222" s="9">
        <f t="shared" si="39"/>
        <v>53.2</v>
      </c>
      <c r="C222" s="9" t="e">
        <f t="shared" si="46"/>
        <v>#N/A</v>
      </c>
      <c r="D222" s="9">
        <f t="shared" si="40"/>
        <v>45.1</v>
      </c>
      <c r="E222" s="1">
        <v>0</v>
      </c>
      <c r="F222" s="1">
        <v>1</v>
      </c>
      <c r="I222" s="1">
        <f t="shared" si="47"/>
        <v>0</v>
      </c>
      <c r="J222" s="1">
        <f t="shared" si="48"/>
        <v>0</v>
      </c>
      <c r="K222" s="1">
        <f t="shared" si="49"/>
        <v>0</v>
      </c>
      <c r="L222" s="1">
        <f t="shared" si="50"/>
        <v>0</v>
      </c>
      <c r="M222" s="1">
        <f t="shared" si="41"/>
        <v>0</v>
      </c>
      <c r="N222" s="1">
        <f t="shared" si="51"/>
        <v>1</v>
      </c>
      <c r="O222" s="1" t="e">
        <f t="shared" si="42"/>
        <v>#N/A</v>
      </c>
      <c r="P222" s="1" t="str">
        <f t="shared" si="43"/>
        <v>产能周期下行</v>
      </c>
      <c r="Q222" s="2" t="e">
        <f t="shared" si="44"/>
        <v>#N/A</v>
      </c>
      <c r="S222" s="12">
        <v>45016</v>
      </c>
      <c r="T222" s="13">
        <v>51.9</v>
      </c>
      <c r="V222" s="12">
        <v>37864</v>
      </c>
      <c r="W222" s="13">
        <v>11.37</v>
      </c>
    </row>
    <row r="223" spans="1:23" x14ac:dyDescent="0.35">
      <c r="A223" s="8">
        <f t="shared" si="45"/>
        <v>39355</v>
      </c>
      <c r="B223" s="9">
        <f t="shared" si="39"/>
        <v>56.1</v>
      </c>
      <c r="C223" s="9" t="e">
        <f t="shared" si="46"/>
        <v>#N/A</v>
      </c>
      <c r="D223" s="9">
        <f t="shared" si="40"/>
        <v>45.1</v>
      </c>
      <c r="E223" s="1">
        <v>0</v>
      </c>
      <c r="F223" s="1">
        <v>1</v>
      </c>
      <c r="I223" s="1">
        <f t="shared" si="47"/>
        <v>0</v>
      </c>
      <c r="J223" s="1">
        <f t="shared" si="48"/>
        <v>0</v>
      </c>
      <c r="K223" s="1">
        <f t="shared" si="49"/>
        <v>0</v>
      </c>
      <c r="L223" s="1">
        <f t="shared" si="50"/>
        <v>0</v>
      </c>
      <c r="M223" s="1">
        <f t="shared" si="41"/>
        <v>0</v>
      </c>
      <c r="N223" s="1">
        <f t="shared" si="51"/>
        <v>1</v>
      </c>
      <c r="O223" s="1" t="e">
        <f t="shared" si="42"/>
        <v>#N/A</v>
      </c>
      <c r="P223" s="1" t="str">
        <f t="shared" si="43"/>
        <v>产能周期下行</v>
      </c>
      <c r="Q223" s="2" t="e">
        <f t="shared" si="44"/>
        <v>#N/A</v>
      </c>
      <c r="S223" s="12">
        <v>45046</v>
      </c>
      <c r="T223" s="13">
        <v>49.2</v>
      </c>
      <c r="V223" s="12">
        <v>37833</v>
      </c>
      <c r="W223" s="13">
        <v>11.18</v>
      </c>
    </row>
    <row r="224" spans="1:23" x14ac:dyDescent="0.35">
      <c r="A224" s="8">
        <f t="shared" si="45"/>
        <v>39325</v>
      </c>
      <c r="B224" s="9">
        <f t="shared" si="39"/>
        <v>54</v>
      </c>
      <c r="C224" s="9">
        <f t="shared" si="46"/>
        <v>20.079999999999998</v>
      </c>
      <c r="D224" s="9">
        <f t="shared" si="40"/>
        <v>45.2</v>
      </c>
      <c r="E224" s="1">
        <v>0</v>
      </c>
      <c r="F224" s="1">
        <v>1</v>
      </c>
      <c r="I224" s="1">
        <f t="shared" si="47"/>
        <v>0</v>
      </c>
      <c r="J224" s="1">
        <f t="shared" si="48"/>
        <v>0</v>
      </c>
      <c r="K224" s="1">
        <f t="shared" si="49"/>
        <v>0</v>
      </c>
      <c r="L224" s="1">
        <f t="shared" si="50"/>
        <v>0</v>
      </c>
      <c r="M224" s="1">
        <f t="shared" si="41"/>
        <v>1</v>
      </c>
      <c r="N224" s="1">
        <f t="shared" si="51"/>
        <v>0</v>
      </c>
      <c r="O224" s="1" t="e">
        <f t="shared" si="42"/>
        <v>#N/A</v>
      </c>
      <c r="P224" s="1" t="str">
        <f t="shared" si="43"/>
        <v>产能周期上行</v>
      </c>
      <c r="Q224" s="2" t="e">
        <f t="shared" si="44"/>
        <v>#N/A</v>
      </c>
      <c r="S224" s="12">
        <v>45077</v>
      </c>
      <c r="T224" s="13">
        <v>48.8</v>
      </c>
      <c r="V224" s="12">
        <v>37802</v>
      </c>
      <c r="W224" s="13">
        <v>10.35</v>
      </c>
    </row>
    <row r="225" spans="1:23" x14ac:dyDescent="0.35">
      <c r="A225" s="8">
        <f t="shared" si="45"/>
        <v>39294</v>
      </c>
      <c r="B225" s="9">
        <f t="shared" si="39"/>
        <v>53.3</v>
      </c>
      <c r="C225" s="9" t="e">
        <f t="shared" si="46"/>
        <v>#N/A</v>
      </c>
      <c r="D225" s="9">
        <f t="shared" si="40"/>
        <v>45.2</v>
      </c>
      <c r="E225" s="1">
        <v>0</v>
      </c>
      <c r="F225" s="1">
        <v>1</v>
      </c>
      <c r="I225" s="1">
        <f t="shared" si="47"/>
        <v>0</v>
      </c>
      <c r="J225" s="1">
        <f t="shared" si="48"/>
        <v>0</v>
      </c>
      <c r="K225" s="1">
        <f t="shared" si="49"/>
        <v>0</v>
      </c>
      <c r="L225" s="1">
        <f t="shared" si="50"/>
        <v>0</v>
      </c>
      <c r="M225" s="1">
        <f t="shared" si="41"/>
        <v>1</v>
      </c>
      <c r="N225" s="1">
        <f t="shared" si="51"/>
        <v>0</v>
      </c>
      <c r="O225" s="1" t="e">
        <f t="shared" si="42"/>
        <v>#N/A</v>
      </c>
      <c r="P225" s="1" t="str">
        <f t="shared" si="43"/>
        <v>产能周期上行</v>
      </c>
      <c r="Q225" s="2" t="e">
        <f t="shared" si="44"/>
        <v>#N/A</v>
      </c>
      <c r="S225" s="12">
        <v>45107</v>
      </c>
      <c r="T225" s="13">
        <v>49</v>
      </c>
      <c r="V225" s="12">
        <v>37772</v>
      </c>
      <c r="W225" s="13">
        <v>10.34</v>
      </c>
    </row>
    <row r="226" spans="1:23" x14ac:dyDescent="0.35">
      <c r="A226" s="8">
        <f t="shared" si="45"/>
        <v>39263</v>
      </c>
      <c r="B226" s="9">
        <f t="shared" si="39"/>
        <v>54.5</v>
      </c>
      <c r="C226" s="9" t="e">
        <f t="shared" si="46"/>
        <v>#N/A</v>
      </c>
      <c r="D226" s="9">
        <f t="shared" si="40"/>
        <v>45.2</v>
      </c>
      <c r="E226" s="1">
        <v>0</v>
      </c>
      <c r="F226" s="1">
        <v>1</v>
      </c>
      <c r="I226" s="1">
        <f t="shared" si="47"/>
        <v>0</v>
      </c>
      <c r="J226" s="1">
        <f t="shared" si="48"/>
        <v>0</v>
      </c>
      <c r="K226" s="1">
        <f t="shared" si="49"/>
        <v>0</v>
      </c>
      <c r="L226" s="1">
        <f t="shared" si="50"/>
        <v>0</v>
      </c>
      <c r="M226" s="1">
        <f t="shared" si="41"/>
        <v>1</v>
      </c>
      <c r="N226" s="1">
        <f t="shared" si="51"/>
        <v>0</v>
      </c>
      <c r="O226" s="1" t="e">
        <f t="shared" si="42"/>
        <v>#N/A</v>
      </c>
      <c r="P226" s="1" t="str">
        <f t="shared" si="43"/>
        <v>产能周期上行</v>
      </c>
      <c r="Q226" s="2" t="e">
        <f t="shared" si="44"/>
        <v>#N/A</v>
      </c>
      <c r="S226" s="12">
        <v>45138</v>
      </c>
      <c r="T226" s="13">
        <v>49.3</v>
      </c>
      <c r="V226" s="12">
        <v>37741</v>
      </c>
      <c r="W226" s="13">
        <v>9.92</v>
      </c>
    </row>
    <row r="227" spans="1:23" x14ac:dyDescent="0.35">
      <c r="A227" s="8">
        <f t="shared" si="45"/>
        <v>39233</v>
      </c>
      <c r="B227" s="9">
        <f t="shared" si="39"/>
        <v>55.7</v>
      </c>
      <c r="C227" s="9">
        <f t="shared" si="46"/>
        <v>20.09</v>
      </c>
      <c r="D227" s="9">
        <f t="shared" si="40"/>
        <v>44.1</v>
      </c>
      <c r="E227" s="1">
        <v>0</v>
      </c>
      <c r="F227" s="1">
        <v>1</v>
      </c>
      <c r="I227" s="1">
        <f t="shared" si="47"/>
        <v>0</v>
      </c>
      <c r="J227" s="1">
        <f t="shared" si="48"/>
        <v>0</v>
      </c>
      <c r="K227" s="1">
        <f t="shared" si="49"/>
        <v>0</v>
      </c>
      <c r="L227" s="1">
        <f t="shared" si="50"/>
        <v>0</v>
      </c>
      <c r="M227" s="1">
        <f t="shared" si="41"/>
        <v>0</v>
      </c>
      <c r="N227" s="1">
        <f t="shared" si="51"/>
        <v>1</v>
      </c>
      <c r="O227" s="1" t="e">
        <f t="shared" si="42"/>
        <v>#N/A</v>
      </c>
      <c r="P227" s="1" t="str">
        <f t="shared" si="43"/>
        <v>产能周期下行</v>
      </c>
      <c r="Q227" s="2" t="e">
        <f t="shared" si="44"/>
        <v>#N/A</v>
      </c>
      <c r="S227" s="12">
        <v>45169</v>
      </c>
      <c r="T227" s="13">
        <v>49.7</v>
      </c>
      <c r="V227" s="12">
        <v>37711</v>
      </c>
      <c r="W227" s="13">
        <v>8.27</v>
      </c>
    </row>
    <row r="228" spans="1:23" x14ac:dyDescent="0.35">
      <c r="A228" s="8">
        <f t="shared" si="45"/>
        <v>39202</v>
      </c>
      <c r="B228" s="9">
        <f t="shared" si="39"/>
        <v>58.6</v>
      </c>
      <c r="C228" s="9" t="e">
        <f t="shared" si="46"/>
        <v>#N/A</v>
      </c>
      <c r="D228" s="9">
        <f t="shared" si="40"/>
        <v>44.1</v>
      </c>
      <c r="E228" s="1">
        <v>0</v>
      </c>
      <c r="F228" s="1">
        <v>1</v>
      </c>
      <c r="I228" s="1">
        <f t="shared" si="47"/>
        <v>0</v>
      </c>
      <c r="J228" s="1">
        <f t="shared" si="48"/>
        <v>0</v>
      </c>
      <c r="K228" s="1">
        <f t="shared" si="49"/>
        <v>0</v>
      </c>
      <c r="L228" s="1">
        <f t="shared" si="50"/>
        <v>0</v>
      </c>
      <c r="M228" s="1">
        <f t="shared" si="41"/>
        <v>0</v>
      </c>
      <c r="N228" s="1">
        <f t="shared" si="51"/>
        <v>1</v>
      </c>
      <c r="O228" s="1" t="e">
        <f t="shared" si="42"/>
        <v>#N/A</v>
      </c>
      <c r="P228" s="1" t="str">
        <f t="shared" si="43"/>
        <v>产能周期下行</v>
      </c>
      <c r="Q228" s="2" t="e">
        <f t="shared" si="44"/>
        <v>#N/A</v>
      </c>
      <c r="S228" s="12">
        <v>45199</v>
      </c>
      <c r="T228" s="13">
        <v>50.2</v>
      </c>
      <c r="V228" s="12">
        <v>37680</v>
      </c>
      <c r="W228" s="13">
        <v>7.59</v>
      </c>
    </row>
    <row r="229" spans="1:23" x14ac:dyDescent="0.35">
      <c r="A229" s="8">
        <f t="shared" si="45"/>
        <v>39172</v>
      </c>
      <c r="B229" s="9">
        <f t="shared" si="39"/>
        <v>56.1</v>
      </c>
      <c r="C229" s="9" t="e">
        <f t="shared" si="46"/>
        <v>#N/A</v>
      </c>
      <c r="D229" s="9">
        <f t="shared" si="40"/>
        <v>44.1</v>
      </c>
      <c r="E229" s="1">
        <v>0</v>
      </c>
      <c r="F229" s="1">
        <v>1</v>
      </c>
      <c r="I229" s="1">
        <f t="shared" si="47"/>
        <v>0</v>
      </c>
      <c r="J229" s="1">
        <f t="shared" si="48"/>
        <v>0</v>
      </c>
      <c r="K229" s="1">
        <f t="shared" si="49"/>
        <v>0</v>
      </c>
      <c r="L229" s="1">
        <f t="shared" si="50"/>
        <v>0</v>
      </c>
      <c r="M229" s="1">
        <f t="shared" si="41"/>
        <v>0</v>
      </c>
      <c r="N229" s="1">
        <f t="shared" si="51"/>
        <v>1</v>
      </c>
      <c r="O229" s="1" t="e">
        <f t="shared" si="42"/>
        <v>#N/A</v>
      </c>
      <c r="P229" s="1" t="str">
        <f t="shared" si="43"/>
        <v>产能周期下行</v>
      </c>
      <c r="Q229" s="2" t="e">
        <f t="shared" si="44"/>
        <v>#N/A</v>
      </c>
      <c r="S229" s="12">
        <v>45230</v>
      </c>
      <c r="T229" s="13">
        <v>49.5</v>
      </c>
      <c r="V229" s="12">
        <v>37621</v>
      </c>
      <c r="W229" s="13">
        <v>5.24</v>
      </c>
    </row>
    <row r="230" spans="1:23" x14ac:dyDescent="0.35">
      <c r="A230" s="8">
        <f t="shared" si="45"/>
        <v>39141</v>
      </c>
      <c r="B230" s="9">
        <f t="shared" si="39"/>
        <v>53.1</v>
      </c>
      <c r="C230" s="9">
        <f t="shared" si="46"/>
        <v>18.440000000000001</v>
      </c>
      <c r="D230" s="9">
        <f t="shared" si="40"/>
        <v>45.1</v>
      </c>
      <c r="E230" s="1">
        <v>0</v>
      </c>
      <c r="F230" s="1">
        <v>1</v>
      </c>
      <c r="I230" s="1">
        <f t="shared" si="47"/>
        <v>0</v>
      </c>
      <c r="J230" s="1">
        <f t="shared" si="48"/>
        <v>0</v>
      </c>
      <c r="K230" s="1">
        <f t="shared" si="49"/>
        <v>0</v>
      </c>
      <c r="L230" s="1">
        <f t="shared" si="50"/>
        <v>0</v>
      </c>
      <c r="M230" s="1">
        <f t="shared" si="41"/>
        <v>1</v>
      </c>
      <c r="N230" s="1">
        <f t="shared" si="51"/>
        <v>0</v>
      </c>
      <c r="O230" s="1" t="e">
        <f t="shared" si="42"/>
        <v>#N/A</v>
      </c>
      <c r="P230" s="1" t="str">
        <f t="shared" si="43"/>
        <v>产能周期上行</v>
      </c>
      <c r="Q230" s="2" t="e">
        <f t="shared" si="44"/>
        <v>#N/A</v>
      </c>
      <c r="S230" s="12">
        <v>45260</v>
      </c>
      <c r="T230" s="13">
        <v>49.4</v>
      </c>
      <c r="V230" s="12">
        <v>37590</v>
      </c>
      <c r="W230" s="13">
        <v>2.82</v>
      </c>
    </row>
    <row r="231" spans="1:23" x14ac:dyDescent="0.35">
      <c r="A231" s="8">
        <f t="shared" si="45"/>
        <v>39113</v>
      </c>
      <c r="B231" s="9">
        <f t="shared" si="39"/>
        <v>55.1</v>
      </c>
      <c r="C231" s="9" t="e">
        <f t="shared" si="46"/>
        <v>#N/A</v>
      </c>
      <c r="D231" s="9">
        <f t="shared" si="40"/>
        <v>45.1</v>
      </c>
      <c r="E231" s="1">
        <v>0</v>
      </c>
      <c r="F231" s="1">
        <v>1</v>
      </c>
      <c r="I231" s="1">
        <f t="shared" si="47"/>
        <v>0</v>
      </c>
      <c r="J231" s="1">
        <f t="shared" si="48"/>
        <v>0</v>
      </c>
      <c r="K231" s="1">
        <f t="shared" si="49"/>
        <v>0</v>
      </c>
      <c r="L231" s="1">
        <f t="shared" si="50"/>
        <v>0</v>
      </c>
      <c r="M231" s="1">
        <f t="shared" si="41"/>
        <v>1</v>
      </c>
      <c r="N231" s="1">
        <f t="shared" si="51"/>
        <v>0</v>
      </c>
      <c r="O231" s="1" t="e">
        <f t="shared" si="42"/>
        <v>#N/A</v>
      </c>
      <c r="P231" s="1" t="str">
        <f t="shared" si="43"/>
        <v>产能周期上行</v>
      </c>
      <c r="Q231" s="2" t="e">
        <f t="shared" si="44"/>
        <v>#N/A</v>
      </c>
      <c r="S231" s="12">
        <v>45291</v>
      </c>
      <c r="T231" s="13">
        <v>49</v>
      </c>
      <c r="V231" s="12">
        <v>37560</v>
      </c>
      <c r="W231" s="13">
        <v>2.21</v>
      </c>
    </row>
    <row r="232" spans="1:23" x14ac:dyDescent="0.35">
      <c r="A232" s="8">
        <f t="shared" si="45"/>
        <v>39082</v>
      </c>
      <c r="B232" s="9">
        <f t="shared" si="39"/>
        <v>54.8</v>
      </c>
      <c r="C232" s="9">
        <f t="shared" si="46"/>
        <v>18.34</v>
      </c>
      <c r="D232" s="9">
        <f t="shared" si="40"/>
        <v>45.1</v>
      </c>
      <c r="E232" s="1">
        <v>0</v>
      </c>
      <c r="F232" s="1">
        <v>1</v>
      </c>
      <c r="I232" s="1">
        <f t="shared" si="47"/>
        <v>0</v>
      </c>
      <c r="J232" s="1">
        <f t="shared" si="48"/>
        <v>0</v>
      </c>
      <c r="K232" s="1">
        <f t="shared" si="49"/>
        <v>0</v>
      </c>
      <c r="L232" s="1">
        <f t="shared" si="50"/>
        <v>0</v>
      </c>
      <c r="M232" s="1">
        <f t="shared" si="41"/>
        <v>1</v>
      </c>
      <c r="N232" s="1">
        <f t="shared" si="51"/>
        <v>0</v>
      </c>
      <c r="O232" s="1" t="e">
        <f t="shared" si="42"/>
        <v>#N/A</v>
      </c>
      <c r="P232" s="1" t="str">
        <f t="shared" si="43"/>
        <v>产能周期上行</v>
      </c>
      <c r="Q232" s="2" t="e">
        <f t="shared" si="44"/>
        <v>#N/A</v>
      </c>
      <c r="S232" s="12">
        <v>45322</v>
      </c>
      <c r="T232" s="13">
        <v>49.2</v>
      </c>
      <c r="V232" s="12">
        <v>37529</v>
      </c>
      <c r="W232" s="13">
        <v>2.42</v>
      </c>
    </row>
    <row r="233" spans="1:23" x14ac:dyDescent="0.35">
      <c r="A233" s="8">
        <f t="shared" si="45"/>
        <v>39051</v>
      </c>
      <c r="B233" s="9">
        <f t="shared" si="39"/>
        <v>55.3</v>
      </c>
      <c r="C233" s="9">
        <f t="shared" si="46"/>
        <v>18.079999999999998</v>
      </c>
      <c r="D233" s="9">
        <f t="shared" si="40"/>
        <v>44.4</v>
      </c>
      <c r="E233" s="1">
        <v>0</v>
      </c>
      <c r="F233" s="1">
        <v>1</v>
      </c>
      <c r="I233" s="1">
        <f t="shared" si="47"/>
        <v>0</v>
      </c>
      <c r="J233" s="1">
        <f t="shared" si="48"/>
        <v>0</v>
      </c>
      <c r="K233" s="1">
        <f t="shared" si="49"/>
        <v>0</v>
      </c>
      <c r="L233" s="1">
        <f t="shared" si="50"/>
        <v>0</v>
      </c>
      <c r="M233" s="1">
        <f t="shared" si="41"/>
        <v>0</v>
      </c>
      <c r="N233" s="1">
        <f t="shared" si="51"/>
        <v>1</v>
      </c>
      <c r="O233" s="1" t="e">
        <f t="shared" si="42"/>
        <v>#N/A</v>
      </c>
      <c r="P233" s="1" t="str">
        <f t="shared" si="43"/>
        <v>产能周期下行</v>
      </c>
      <c r="Q233" s="2" t="e">
        <f t="shared" si="44"/>
        <v>#N/A</v>
      </c>
      <c r="S233" s="12">
        <v>45351</v>
      </c>
      <c r="T233" s="13">
        <v>49.1</v>
      </c>
      <c r="V233" s="12">
        <v>37499</v>
      </c>
      <c r="W233" s="13">
        <v>2.9</v>
      </c>
    </row>
    <row r="234" spans="1:23" x14ac:dyDescent="0.35">
      <c r="A234" s="8">
        <f t="shared" si="45"/>
        <v>39021</v>
      </c>
      <c r="B234" s="9">
        <f t="shared" si="39"/>
        <v>54.7</v>
      </c>
      <c r="C234" s="9">
        <f t="shared" si="46"/>
        <v>17.25</v>
      </c>
      <c r="D234" s="9">
        <f t="shared" si="40"/>
        <v>44.4</v>
      </c>
      <c r="E234" s="1">
        <v>0</v>
      </c>
      <c r="F234" s="1">
        <v>1</v>
      </c>
      <c r="I234" s="1">
        <f t="shared" si="47"/>
        <v>0</v>
      </c>
      <c r="J234" s="1">
        <f t="shared" si="48"/>
        <v>0</v>
      </c>
      <c r="K234" s="1">
        <f t="shared" si="49"/>
        <v>0</v>
      </c>
      <c r="L234" s="1">
        <f t="shared" si="50"/>
        <v>0</v>
      </c>
      <c r="M234" s="1">
        <f t="shared" si="41"/>
        <v>0</v>
      </c>
      <c r="N234" s="1">
        <f t="shared" si="51"/>
        <v>1</v>
      </c>
      <c r="O234" s="1" t="e">
        <f t="shared" si="42"/>
        <v>#N/A</v>
      </c>
      <c r="P234" s="1" t="str">
        <f t="shared" si="43"/>
        <v>产能周期下行</v>
      </c>
      <c r="Q234" s="2" t="e">
        <f t="shared" si="44"/>
        <v>#N/A</v>
      </c>
      <c r="S234" s="12">
        <v>45382</v>
      </c>
      <c r="T234" s="13">
        <v>50.8</v>
      </c>
      <c r="V234" s="12">
        <v>37468</v>
      </c>
      <c r="W234" s="13">
        <v>2.27</v>
      </c>
    </row>
    <row r="235" spans="1:23" x14ac:dyDescent="0.35">
      <c r="A235" s="8">
        <f t="shared" si="45"/>
        <v>38990</v>
      </c>
      <c r="B235" s="9">
        <f t="shared" si="39"/>
        <v>57</v>
      </c>
      <c r="C235" s="9">
        <f t="shared" si="46"/>
        <v>17.62</v>
      </c>
      <c r="D235" s="9">
        <f t="shared" si="40"/>
        <v>44.4</v>
      </c>
      <c r="E235" s="1">
        <v>0</v>
      </c>
      <c r="F235" s="1">
        <v>1</v>
      </c>
      <c r="I235" s="1">
        <f t="shared" si="47"/>
        <v>0</v>
      </c>
      <c r="J235" s="1">
        <f t="shared" si="48"/>
        <v>0</v>
      </c>
      <c r="K235" s="1">
        <f t="shared" si="49"/>
        <v>0</v>
      </c>
      <c r="L235" s="1">
        <f t="shared" si="50"/>
        <v>0</v>
      </c>
      <c r="M235" s="1">
        <f t="shared" si="41"/>
        <v>0</v>
      </c>
      <c r="N235" s="1">
        <f t="shared" si="51"/>
        <v>1</v>
      </c>
      <c r="O235" s="1" t="e">
        <f t="shared" si="42"/>
        <v>#N/A</v>
      </c>
      <c r="P235" s="1" t="str">
        <f t="shared" si="43"/>
        <v>产能周期下行</v>
      </c>
      <c r="Q235" s="2" t="e">
        <f t="shared" si="44"/>
        <v>#N/A</v>
      </c>
      <c r="S235" s="12">
        <v>45412</v>
      </c>
      <c r="T235" s="13">
        <v>50.4</v>
      </c>
      <c r="V235" s="12">
        <v>37437</v>
      </c>
      <c r="W235" s="13">
        <v>4.0999999999999996</v>
      </c>
    </row>
    <row r="236" spans="1:23" x14ac:dyDescent="0.35">
      <c r="A236" s="8">
        <f t="shared" si="45"/>
        <v>38960</v>
      </c>
      <c r="B236" s="9">
        <f t="shared" si="39"/>
        <v>53.1</v>
      </c>
      <c r="C236" s="9">
        <f t="shared" si="46"/>
        <v>17.34</v>
      </c>
      <c r="D236" s="9">
        <f t="shared" si="40"/>
        <v>44.8</v>
      </c>
      <c r="E236" s="1">
        <v>0</v>
      </c>
      <c r="F236" s="1">
        <v>1</v>
      </c>
      <c r="I236" s="1">
        <f t="shared" si="47"/>
        <v>0</v>
      </c>
      <c r="J236" s="1">
        <f t="shared" si="48"/>
        <v>0</v>
      </c>
      <c r="K236" s="1">
        <f t="shared" si="49"/>
        <v>0</v>
      </c>
      <c r="L236" s="1">
        <f t="shared" si="50"/>
        <v>0</v>
      </c>
      <c r="M236" s="1">
        <f t="shared" si="41"/>
        <v>1</v>
      </c>
      <c r="N236" s="1">
        <f t="shared" si="51"/>
        <v>0</v>
      </c>
      <c r="O236" s="1" t="e">
        <f t="shared" si="42"/>
        <v>#N/A</v>
      </c>
      <c r="P236" s="1" t="str">
        <f t="shared" si="43"/>
        <v>产能周期上行</v>
      </c>
      <c r="Q236" s="2" t="e">
        <f t="shared" si="44"/>
        <v>#N/A</v>
      </c>
      <c r="S236" s="12">
        <v>45443</v>
      </c>
      <c r="T236" s="13">
        <v>49.5</v>
      </c>
      <c r="V236" s="12">
        <v>37407</v>
      </c>
      <c r="W236" s="13">
        <v>4.1900000000000004</v>
      </c>
    </row>
    <row r="237" spans="1:23" x14ac:dyDescent="0.35">
      <c r="A237" s="8">
        <f t="shared" si="45"/>
        <v>38929</v>
      </c>
      <c r="B237" s="9">
        <f t="shared" si="39"/>
        <v>52.4</v>
      </c>
      <c r="C237" s="9">
        <f t="shared" si="46"/>
        <v>17</v>
      </c>
      <c r="D237" s="9">
        <f t="shared" si="40"/>
        <v>44.8</v>
      </c>
      <c r="E237" s="1">
        <v>0</v>
      </c>
      <c r="F237" s="1">
        <v>1</v>
      </c>
      <c r="I237" s="1">
        <f t="shared" si="47"/>
        <v>0</v>
      </c>
      <c r="J237" s="1">
        <f t="shared" si="48"/>
        <v>0</v>
      </c>
      <c r="K237" s="1">
        <f t="shared" si="49"/>
        <v>0</v>
      </c>
      <c r="L237" s="1">
        <f t="shared" si="50"/>
        <v>0</v>
      </c>
      <c r="M237" s="1">
        <f t="shared" si="41"/>
        <v>1</v>
      </c>
      <c r="N237" s="1">
        <f t="shared" si="51"/>
        <v>0</v>
      </c>
      <c r="O237" s="1" t="e">
        <f t="shared" si="42"/>
        <v>#N/A</v>
      </c>
      <c r="P237" s="1" t="str">
        <f t="shared" si="43"/>
        <v>产能周期上行</v>
      </c>
      <c r="Q237" s="2" t="e">
        <f t="shared" si="44"/>
        <v>#N/A</v>
      </c>
      <c r="S237" s="12">
        <v>45473</v>
      </c>
      <c r="T237" s="13">
        <v>49.5</v>
      </c>
      <c r="V237" s="12">
        <v>37376</v>
      </c>
      <c r="W237" s="13">
        <v>3.43</v>
      </c>
    </row>
    <row r="238" spans="1:23" x14ac:dyDescent="0.35">
      <c r="A238" s="8">
        <f t="shared" si="45"/>
        <v>38898</v>
      </c>
      <c r="B238" s="9" t="e">
        <f t="shared" ref="B238:B301" si="52">NA()</f>
        <v>#N/A</v>
      </c>
      <c r="C238" s="9">
        <f t="shared" si="46"/>
        <v>16.02</v>
      </c>
      <c r="D238" s="9">
        <f t="shared" si="40"/>
        <v>44.8</v>
      </c>
      <c r="E238" s="1">
        <v>0</v>
      </c>
      <c r="F238" s="1">
        <v>1</v>
      </c>
      <c r="I238" s="1">
        <f t="shared" si="47"/>
        <v>0</v>
      </c>
      <c r="J238" s="1">
        <f t="shared" si="48"/>
        <v>0</v>
      </c>
      <c r="K238" s="1">
        <f t="shared" si="49"/>
        <v>0</v>
      </c>
      <c r="L238" s="1">
        <f t="shared" si="50"/>
        <v>0</v>
      </c>
      <c r="M238" s="1">
        <f t="shared" si="41"/>
        <v>1</v>
      </c>
      <c r="N238" s="1">
        <f t="shared" si="51"/>
        <v>0</v>
      </c>
      <c r="O238" s="1" t="e">
        <f t="shared" si="42"/>
        <v>#N/A</v>
      </c>
      <c r="P238" s="1" t="str">
        <f t="shared" si="43"/>
        <v>产能周期上行</v>
      </c>
      <c r="Q238" s="2" t="e">
        <f t="shared" si="44"/>
        <v>#N/A</v>
      </c>
      <c r="S238" s="12">
        <v>45504</v>
      </c>
      <c r="T238" s="13">
        <v>49.4</v>
      </c>
      <c r="V238" s="12">
        <v>37346</v>
      </c>
      <c r="W238" s="13">
        <v>3.5</v>
      </c>
    </row>
    <row r="239" spans="1:23" x14ac:dyDescent="0.35">
      <c r="A239" s="8">
        <f t="shared" si="45"/>
        <v>38868</v>
      </c>
      <c r="B239" s="9" t="e">
        <f t="shared" si="52"/>
        <v>#N/A</v>
      </c>
      <c r="C239" s="9">
        <f t="shared" si="46"/>
        <v>15.64</v>
      </c>
      <c r="D239" s="9">
        <f t="shared" si="40"/>
        <v>43.5</v>
      </c>
      <c r="E239" s="1">
        <v>1</v>
      </c>
      <c r="F239" s="1">
        <v>0</v>
      </c>
      <c r="I239" s="1">
        <f t="shared" si="47"/>
        <v>0</v>
      </c>
      <c r="J239" s="1">
        <f t="shared" si="48"/>
        <v>0</v>
      </c>
      <c r="K239" s="1">
        <f t="shared" si="49"/>
        <v>0</v>
      </c>
      <c r="L239" s="1">
        <f t="shared" si="50"/>
        <v>0</v>
      </c>
      <c r="M239" s="1">
        <f t="shared" si="41"/>
        <v>0</v>
      </c>
      <c r="N239" s="1">
        <f t="shared" si="51"/>
        <v>1</v>
      </c>
      <c r="O239" s="1" t="e">
        <f t="shared" si="42"/>
        <v>#N/A</v>
      </c>
      <c r="P239" s="1" t="str">
        <f t="shared" si="43"/>
        <v>产能周期下行</v>
      </c>
      <c r="Q239" s="2" t="e">
        <f t="shared" si="44"/>
        <v>#N/A</v>
      </c>
      <c r="S239" s="12">
        <v>45535</v>
      </c>
      <c r="T239" s="13">
        <v>49.1</v>
      </c>
      <c r="V239" s="12">
        <v>37315</v>
      </c>
      <c r="W239" s="13">
        <v>3.7</v>
      </c>
    </row>
    <row r="240" spans="1:23" x14ac:dyDescent="0.35">
      <c r="A240" s="8">
        <f t="shared" si="45"/>
        <v>38837</v>
      </c>
      <c r="B240" s="9" t="e">
        <f t="shared" si="52"/>
        <v>#N/A</v>
      </c>
      <c r="C240" s="9">
        <f t="shared" si="46"/>
        <v>17.170000000000002</v>
      </c>
      <c r="D240" s="9">
        <f t="shared" si="40"/>
        <v>43.5</v>
      </c>
      <c r="E240" s="1">
        <v>1</v>
      </c>
      <c r="F240" s="1">
        <v>0</v>
      </c>
      <c r="I240" s="1">
        <f t="shared" si="47"/>
        <v>0</v>
      </c>
      <c r="J240" s="1">
        <f t="shared" si="48"/>
        <v>0</v>
      </c>
      <c r="K240" s="1">
        <f t="shared" si="49"/>
        <v>0</v>
      </c>
      <c r="L240" s="1">
        <f t="shared" si="50"/>
        <v>0</v>
      </c>
      <c r="M240" s="1">
        <f t="shared" si="41"/>
        <v>0</v>
      </c>
      <c r="N240" s="1">
        <f t="shared" si="51"/>
        <v>1</v>
      </c>
      <c r="O240" s="1" t="e">
        <f t="shared" si="42"/>
        <v>#N/A</v>
      </c>
      <c r="P240" s="1" t="str">
        <f t="shared" si="43"/>
        <v>产能周期下行</v>
      </c>
      <c r="Q240" s="2" t="e">
        <f t="shared" si="44"/>
        <v>#N/A</v>
      </c>
      <c r="S240" s="12">
        <v>45565</v>
      </c>
      <c r="T240" s="13">
        <v>49.8</v>
      </c>
      <c r="V240" s="12">
        <v>37256</v>
      </c>
      <c r="W240" s="13">
        <v>6.64</v>
      </c>
    </row>
    <row r="241" spans="1:23" x14ac:dyDescent="0.35">
      <c r="A241" s="8">
        <f t="shared" si="45"/>
        <v>38807</v>
      </c>
      <c r="B241" s="9" t="e">
        <f t="shared" si="52"/>
        <v>#N/A</v>
      </c>
      <c r="C241" s="9">
        <f t="shared" si="46"/>
        <v>17.71</v>
      </c>
      <c r="D241" s="9">
        <f t="shared" si="40"/>
        <v>43.5</v>
      </c>
      <c r="E241" s="1">
        <v>1</v>
      </c>
      <c r="F241" s="1">
        <v>0</v>
      </c>
      <c r="I241" s="1">
        <f t="shared" si="47"/>
        <v>0</v>
      </c>
      <c r="J241" s="1">
        <f t="shared" si="48"/>
        <v>0</v>
      </c>
      <c r="K241" s="1">
        <f t="shared" si="49"/>
        <v>0</v>
      </c>
      <c r="L241" s="1">
        <f t="shared" si="50"/>
        <v>0</v>
      </c>
      <c r="M241" s="1">
        <f t="shared" si="41"/>
        <v>0</v>
      </c>
      <c r="N241" s="1">
        <f t="shared" si="51"/>
        <v>1</v>
      </c>
      <c r="O241" s="1" t="e">
        <f t="shared" si="42"/>
        <v>#N/A</v>
      </c>
      <c r="P241" s="1" t="str">
        <f t="shared" si="43"/>
        <v>产能周期下行</v>
      </c>
      <c r="Q241" s="2" t="e">
        <f t="shared" si="44"/>
        <v>#N/A</v>
      </c>
      <c r="S241" s="12">
        <v>45596</v>
      </c>
      <c r="T241" s="13">
        <v>50.1</v>
      </c>
      <c r="V241" s="12">
        <v>37225</v>
      </c>
      <c r="W241" s="13">
        <v>5.44</v>
      </c>
    </row>
    <row r="242" spans="1:23" x14ac:dyDescent="0.35">
      <c r="A242" s="8">
        <f t="shared" si="45"/>
        <v>38776</v>
      </c>
      <c r="B242" s="9" t="e">
        <f t="shared" si="52"/>
        <v>#N/A</v>
      </c>
      <c r="C242" s="9">
        <f t="shared" si="46"/>
        <v>17.39</v>
      </c>
      <c r="D242" s="9">
        <f t="shared" si="40"/>
        <v>43.9</v>
      </c>
      <c r="E242" s="1">
        <v>1</v>
      </c>
      <c r="F242" s="1">
        <v>0</v>
      </c>
      <c r="I242" s="1">
        <f t="shared" si="47"/>
        <v>0</v>
      </c>
      <c r="J242" s="1">
        <f t="shared" si="48"/>
        <v>0</v>
      </c>
      <c r="K242" s="1">
        <f t="shared" si="49"/>
        <v>0</v>
      </c>
      <c r="L242" s="1">
        <f t="shared" si="50"/>
        <v>0</v>
      </c>
      <c r="M242" s="1">
        <f t="shared" si="41"/>
        <v>1</v>
      </c>
      <c r="N242" s="1">
        <f t="shared" si="51"/>
        <v>0</v>
      </c>
      <c r="O242" s="1" t="e">
        <f t="shared" si="42"/>
        <v>#N/A</v>
      </c>
      <c r="P242" s="1" t="str">
        <f t="shared" si="43"/>
        <v>产能周期上行</v>
      </c>
      <c r="Q242" s="2" t="e">
        <f t="shared" si="44"/>
        <v>#N/A</v>
      </c>
      <c r="S242" s="12">
        <v>45626</v>
      </c>
      <c r="T242" s="13">
        <v>50.3</v>
      </c>
      <c r="V242" s="12">
        <v>37195</v>
      </c>
      <c r="W242" s="13">
        <v>6.53</v>
      </c>
    </row>
    <row r="243" spans="1:23" x14ac:dyDescent="0.35">
      <c r="A243" s="8">
        <f t="shared" si="45"/>
        <v>38748</v>
      </c>
      <c r="B243" s="9" t="e">
        <f t="shared" si="52"/>
        <v>#N/A</v>
      </c>
      <c r="C243" s="9" t="e">
        <f t="shared" si="46"/>
        <v>#N/A</v>
      </c>
      <c r="D243" s="9">
        <f t="shared" si="40"/>
        <v>43.9</v>
      </c>
      <c r="E243" s="1">
        <v>1</v>
      </c>
      <c r="F243" s="1">
        <v>0</v>
      </c>
      <c r="I243" s="1">
        <f t="shared" si="47"/>
        <v>0</v>
      </c>
      <c r="J243" s="1">
        <f t="shared" si="48"/>
        <v>0</v>
      </c>
      <c r="K243" s="1">
        <f t="shared" si="49"/>
        <v>0</v>
      </c>
      <c r="L243" s="1">
        <f t="shared" si="50"/>
        <v>0</v>
      </c>
      <c r="M243" s="1">
        <f t="shared" si="41"/>
        <v>1</v>
      </c>
      <c r="N243" s="1">
        <f t="shared" si="51"/>
        <v>0</v>
      </c>
      <c r="O243" s="1" t="e">
        <f t="shared" si="42"/>
        <v>#N/A</v>
      </c>
      <c r="P243" s="1" t="str">
        <f t="shared" si="43"/>
        <v>产能周期上行</v>
      </c>
      <c r="Q243" s="2" t="e">
        <f t="shared" si="44"/>
        <v>#N/A</v>
      </c>
      <c r="S243" s="12">
        <v>45657</v>
      </c>
      <c r="T243" s="13">
        <v>50.1</v>
      </c>
      <c r="V243" s="12">
        <v>37164</v>
      </c>
      <c r="W243" s="13">
        <v>6.67</v>
      </c>
    </row>
    <row r="244" spans="1:23" x14ac:dyDescent="0.35">
      <c r="A244" s="8">
        <f t="shared" si="45"/>
        <v>38717</v>
      </c>
      <c r="B244" s="9" t="e">
        <f t="shared" si="52"/>
        <v>#N/A</v>
      </c>
      <c r="C244" s="9">
        <f t="shared" si="46"/>
        <v>17.940000000000001</v>
      </c>
      <c r="D244" s="9">
        <f t="shared" si="40"/>
        <v>43.9</v>
      </c>
      <c r="E244" s="1">
        <v>1</v>
      </c>
      <c r="F244" s="1">
        <v>0</v>
      </c>
      <c r="I244" s="1">
        <f t="shared" si="47"/>
        <v>0</v>
      </c>
      <c r="J244" s="1">
        <f t="shared" si="48"/>
        <v>0</v>
      </c>
      <c r="K244" s="1">
        <f t="shared" si="49"/>
        <v>0</v>
      </c>
      <c r="L244" s="1">
        <f t="shared" si="50"/>
        <v>0</v>
      </c>
      <c r="M244" s="1">
        <f t="shared" si="41"/>
        <v>1</v>
      </c>
      <c r="N244" s="1">
        <f t="shared" si="51"/>
        <v>0</v>
      </c>
      <c r="O244" s="1" t="e">
        <f t="shared" si="42"/>
        <v>#N/A</v>
      </c>
      <c r="P244" s="1" t="str">
        <f t="shared" si="43"/>
        <v>产能周期上行</v>
      </c>
      <c r="Q244" s="2" t="e">
        <f t="shared" si="44"/>
        <v>#N/A</v>
      </c>
      <c r="S244" s="12">
        <v>45688</v>
      </c>
      <c r="T244" s="13">
        <v>49.1</v>
      </c>
      <c r="V244" s="12">
        <v>37134</v>
      </c>
      <c r="W244" s="13">
        <v>7.7</v>
      </c>
    </row>
    <row r="245" spans="1:23" x14ac:dyDescent="0.35">
      <c r="A245" s="8">
        <f t="shared" si="45"/>
        <v>38686</v>
      </c>
      <c r="B245" s="9" t="e">
        <f t="shared" si="52"/>
        <v>#N/A</v>
      </c>
      <c r="C245" s="9">
        <f t="shared" si="46"/>
        <v>17.8</v>
      </c>
      <c r="D245" s="9">
        <f t="shared" si="40"/>
        <v>43.85</v>
      </c>
      <c r="E245" s="1">
        <v>1</v>
      </c>
      <c r="F245" s="1">
        <v>0</v>
      </c>
      <c r="I245" s="1">
        <f t="shared" si="47"/>
        <v>0</v>
      </c>
      <c r="J245" s="1">
        <f t="shared" si="48"/>
        <v>0</v>
      </c>
      <c r="K245" s="1">
        <f t="shared" si="49"/>
        <v>0</v>
      </c>
      <c r="L245" s="1">
        <f t="shared" si="50"/>
        <v>0</v>
      </c>
      <c r="M245" s="1">
        <f t="shared" si="41"/>
        <v>1</v>
      </c>
      <c r="N245" s="1">
        <f t="shared" si="51"/>
        <v>0</v>
      </c>
      <c r="O245" s="1" t="e">
        <f t="shared" si="42"/>
        <v>#N/A</v>
      </c>
      <c r="P245" s="1" t="str">
        <f t="shared" si="43"/>
        <v>产能周期上行</v>
      </c>
      <c r="Q245" s="2" t="e">
        <f t="shared" si="44"/>
        <v>#N/A</v>
      </c>
      <c r="S245" s="12">
        <v>45716</v>
      </c>
      <c r="T245" s="13">
        <v>50.2</v>
      </c>
      <c r="V245" s="12">
        <v>37103</v>
      </c>
      <c r="W245" s="13">
        <v>8.59</v>
      </c>
    </row>
    <row r="246" spans="1:23" x14ac:dyDescent="0.35">
      <c r="A246" s="8">
        <f t="shared" si="45"/>
        <v>38656</v>
      </c>
      <c r="B246" s="9" t="e">
        <f t="shared" si="52"/>
        <v>#N/A</v>
      </c>
      <c r="C246" s="9">
        <f t="shared" si="46"/>
        <v>19.32</v>
      </c>
      <c r="D246" s="9">
        <f t="shared" si="40"/>
        <v>43.85</v>
      </c>
      <c r="E246" s="1">
        <v>1</v>
      </c>
      <c r="F246" s="1">
        <v>0</v>
      </c>
      <c r="I246" s="1">
        <f t="shared" si="47"/>
        <v>0</v>
      </c>
      <c r="J246" s="1">
        <f t="shared" si="48"/>
        <v>0</v>
      </c>
      <c r="K246" s="1">
        <f t="shared" si="49"/>
        <v>0</v>
      </c>
      <c r="L246" s="1">
        <f t="shared" si="50"/>
        <v>0</v>
      </c>
      <c r="M246" s="1">
        <f t="shared" si="41"/>
        <v>1</v>
      </c>
      <c r="N246" s="1">
        <f t="shared" si="51"/>
        <v>0</v>
      </c>
      <c r="O246" s="1" t="e">
        <f t="shared" si="42"/>
        <v>#N/A</v>
      </c>
      <c r="P246" s="1" t="str">
        <f t="shared" si="43"/>
        <v>产能周期上行</v>
      </c>
      <c r="Q246" s="2" t="e">
        <f t="shared" si="44"/>
        <v>#N/A</v>
      </c>
      <c r="S246" s="12">
        <v>45747</v>
      </c>
      <c r="T246" s="13">
        <v>50.5</v>
      </c>
      <c r="V246" s="12">
        <v>37072</v>
      </c>
      <c r="W246" s="13">
        <v>8.7200000000000006</v>
      </c>
    </row>
    <row r="247" spans="1:23" x14ac:dyDescent="0.35">
      <c r="A247" s="8">
        <f t="shared" si="45"/>
        <v>38625</v>
      </c>
      <c r="B247" s="9" t="e">
        <f t="shared" si="52"/>
        <v>#N/A</v>
      </c>
      <c r="C247" s="9">
        <f t="shared" si="46"/>
        <v>18.78</v>
      </c>
      <c r="D247" s="9">
        <f t="shared" si="40"/>
        <v>43.85</v>
      </c>
      <c r="E247" s="1">
        <v>1</v>
      </c>
      <c r="F247" s="1">
        <v>0</v>
      </c>
      <c r="I247" s="1">
        <f t="shared" si="47"/>
        <v>0</v>
      </c>
      <c r="J247" s="1">
        <f t="shared" si="48"/>
        <v>0</v>
      </c>
      <c r="K247" s="1">
        <f t="shared" si="49"/>
        <v>0</v>
      </c>
      <c r="L247" s="1">
        <f t="shared" si="50"/>
        <v>0</v>
      </c>
      <c r="M247" s="1">
        <f t="shared" si="41"/>
        <v>1</v>
      </c>
      <c r="N247" s="1">
        <f t="shared" si="51"/>
        <v>0</v>
      </c>
      <c r="O247" s="1" t="e">
        <f t="shared" si="42"/>
        <v>#N/A</v>
      </c>
      <c r="P247" s="1" t="str">
        <f t="shared" si="43"/>
        <v>产能周期上行</v>
      </c>
      <c r="Q247" s="2" t="e">
        <f t="shared" si="44"/>
        <v>#N/A</v>
      </c>
      <c r="S247" s="12">
        <v>45777</v>
      </c>
      <c r="T247" s="13">
        <v>49</v>
      </c>
      <c r="V247" s="12">
        <v>37042</v>
      </c>
      <c r="W247" s="13">
        <v>7.6</v>
      </c>
    </row>
    <row r="248" spans="1:23" x14ac:dyDescent="0.35">
      <c r="A248" s="8">
        <f t="shared" si="45"/>
        <v>38595</v>
      </c>
      <c r="B248" s="9" t="e">
        <f t="shared" si="52"/>
        <v>#N/A</v>
      </c>
      <c r="C248" s="9">
        <f t="shared" si="46"/>
        <v>18.940000000000001</v>
      </c>
      <c r="D248" s="9">
        <f t="shared" si="40"/>
        <v>43.65</v>
      </c>
      <c r="E248" s="1">
        <v>1</v>
      </c>
      <c r="F248" s="1">
        <v>0</v>
      </c>
      <c r="I248" s="1">
        <f t="shared" si="47"/>
        <v>0</v>
      </c>
      <c r="J248" s="1">
        <f t="shared" si="48"/>
        <v>0</v>
      </c>
      <c r="K248" s="1">
        <f t="shared" si="49"/>
        <v>0</v>
      </c>
      <c r="L248" s="1">
        <f t="shared" si="50"/>
        <v>0</v>
      </c>
      <c r="M248" s="1">
        <f t="shared" si="41"/>
        <v>1</v>
      </c>
      <c r="N248" s="1">
        <f t="shared" si="51"/>
        <v>0</v>
      </c>
      <c r="O248" s="1" t="e">
        <f t="shared" si="42"/>
        <v>#N/A</v>
      </c>
      <c r="P248" s="1" t="str">
        <f t="shared" si="43"/>
        <v>产能周期上行</v>
      </c>
      <c r="Q248" s="2" t="e">
        <f t="shared" si="44"/>
        <v>#N/A</v>
      </c>
      <c r="S248" s="12">
        <v>45808</v>
      </c>
      <c r="T248" s="13">
        <v>49.5</v>
      </c>
      <c r="V248" s="12">
        <v>37011</v>
      </c>
      <c r="W248" s="13">
        <v>7.56</v>
      </c>
    </row>
    <row r="249" spans="1:23" x14ac:dyDescent="0.35">
      <c r="A249" s="8">
        <f t="shared" si="45"/>
        <v>38564</v>
      </c>
      <c r="B249" s="9" t="e">
        <f t="shared" si="52"/>
        <v>#N/A</v>
      </c>
      <c r="C249" s="9">
        <f t="shared" si="46"/>
        <v>19.09</v>
      </c>
      <c r="D249" s="9">
        <f t="shared" si="40"/>
        <v>43.65</v>
      </c>
      <c r="E249" s="1">
        <v>1</v>
      </c>
      <c r="F249" s="1">
        <v>0</v>
      </c>
      <c r="I249" s="1">
        <f t="shared" si="47"/>
        <v>0</v>
      </c>
      <c r="J249" s="1">
        <f t="shared" si="48"/>
        <v>0</v>
      </c>
      <c r="K249" s="1">
        <f t="shared" si="49"/>
        <v>0</v>
      </c>
      <c r="L249" s="1">
        <f t="shared" si="50"/>
        <v>0</v>
      </c>
      <c r="M249" s="1">
        <f t="shared" si="41"/>
        <v>1</v>
      </c>
      <c r="N249" s="1">
        <f t="shared" si="51"/>
        <v>0</v>
      </c>
      <c r="O249" s="1" t="e">
        <f t="shared" si="42"/>
        <v>#N/A</v>
      </c>
      <c r="P249" s="1" t="str">
        <f t="shared" si="43"/>
        <v>产能周期上行</v>
      </c>
      <c r="Q249" s="2" t="e">
        <f t="shared" si="44"/>
        <v>#N/A</v>
      </c>
      <c r="S249" s="12">
        <v>45838</v>
      </c>
      <c r="T249" s="13">
        <v>49.7</v>
      </c>
      <c r="V249" s="12">
        <v>36981</v>
      </c>
      <c r="W249" s="13">
        <v>7.73</v>
      </c>
    </row>
    <row r="250" spans="1:23" x14ac:dyDescent="0.35">
      <c r="A250" s="8">
        <f t="shared" si="45"/>
        <v>38533</v>
      </c>
      <c r="B250" s="9" t="e">
        <f t="shared" si="52"/>
        <v>#N/A</v>
      </c>
      <c r="C250" s="9">
        <f t="shared" si="46"/>
        <v>19.47</v>
      </c>
      <c r="D250" s="9">
        <f t="shared" si="40"/>
        <v>43.65</v>
      </c>
      <c r="E250" s="1">
        <v>1</v>
      </c>
      <c r="F250" s="1">
        <v>0</v>
      </c>
      <c r="I250" s="1">
        <f t="shared" si="47"/>
        <v>0</v>
      </c>
      <c r="J250" s="1">
        <f t="shared" si="48"/>
        <v>0</v>
      </c>
      <c r="K250" s="1">
        <f t="shared" si="49"/>
        <v>0</v>
      </c>
      <c r="L250" s="1">
        <f t="shared" si="50"/>
        <v>0</v>
      </c>
      <c r="M250" s="1">
        <f t="shared" si="41"/>
        <v>1</v>
      </c>
      <c r="N250" s="1">
        <f t="shared" si="51"/>
        <v>0</v>
      </c>
      <c r="O250" s="1" t="e">
        <f t="shared" si="42"/>
        <v>#N/A</v>
      </c>
      <c r="P250" s="1" t="str">
        <f t="shared" si="43"/>
        <v>产能周期上行</v>
      </c>
      <c r="Q250" s="2" t="e">
        <f t="shared" si="44"/>
        <v>#N/A</v>
      </c>
      <c r="S250" s="12">
        <v>45869</v>
      </c>
      <c r="T250" s="13">
        <v>49.3</v>
      </c>
      <c r="V250" s="12">
        <v>36950</v>
      </c>
      <c r="W250" s="13">
        <v>5.9</v>
      </c>
    </row>
    <row r="251" spans="1:23" x14ac:dyDescent="0.35">
      <c r="A251" s="8">
        <f t="shared" si="45"/>
        <v>38503</v>
      </c>
      <c r="B251" s="9" t="e">
        <f t="shared" si="52"/>
        <v>#N/A</v>
      </c>
      <c r="C251" s="9">
        <f t="shared" si="46"/>
        <v>19.36</v>
      </c>
      <c r="D251" s="9">
        <f t="shared" si="40"/>
        <v>42.35</v>
      </c>
      <c r="E251" s="1">
        <v>1</v>
      </c>
      <c r="F251" s="1">
        <v>0</v>
      </c>
      <c r="I251" s="1">
        <f t="shared" si="47"/>
        <v>0</v>
      </c>
      <c r="J251" s="1">
        <f t="shared" si="48"/>
        <v>0</v>
      </c>
      <c r="K251" s="1">
        <f t="shared" si="49"/>
        <v>0</v>
      </c>
      <c r="L251" s="1">
        <f t="shared" si="50"/>
        <v>0</v>
      </c>
      <c r="M251" s="1">
        <f t="shared" si="41"/>
        <v>0</v>
      </c>
      <c r="N251" s="1">
        <f t="shared" si="51"/>
        <v>1</v>
      </c>
      <c r="O251" s="1" t="e">
        <f t="shared" si="42"/>
        <v>#N/A</v>
      </c>
      <c r="P251" s="1" t="str">
        <f t="shared" si="43"/>
        <v>产能周期下行</v>
      </c>
      <c r="Q251" s="2" t="e">
        <f t="shared" si="44"/>
        <v>#N/A</v>
      </c>
      <c r="S251" s="12">
        <v>45900</v>
      </c>
      <c r="T251" s="13">
        <v>49.4</v>
      </c>
      <c r="V251" s="12">
        <v>36891</v>
      </c>
      <c r="W251" s="13">
        <v>6.85</v>
      </c>
    </row>
    <row r="252" spans="1:23" x14ac:dyDescent="0.35">
      <c r="A252" s="8">
        <f t="shared" si="45"/>
        <v>38472</v>
      </c>
      <c r="B252" s="9" t="e">
        <f t="shared" si="52"/>
        <v>#N/A</v>
      </c>
      <c r="C252" s="9">
        <f t="shared" si="46"/>
        <v>19.5</v>
      </c>
      <c r="D252" s="9">
        <f t="shared" si="40"/>
        <v>42.35</v>
      </c>
      <c r="E252" s="1">
        <v>1</v>
      </c>
      <c r="F252" s="1">
        <v>0</v>
      </c>
      <c r="I252" s="1">
        <f t="shared" si="47"/>
        <v>0</v>
      </c>
      <c r="J252" s="1">
        <f t="shared" si="48"/>
        <v>0</v>
      </c>
      <c r="K252" s="1">
        <f t="shared" si="49"/>
        <v>0</v>
      </c>
      <c r="L252" s="1">
        <f t="shared" si="50"/>
        <v>0</v>
      </c>
      <c r="M252" s="1">
        <f t="shared" si="41"/>
        <v>0</v>
      </c>
      <c r="N252" s="1">
        <f t="shared" si="51"/>
        <v>1</v>
      </c>
      <c r="O252" s="1" t="e">
        <f t="shared" si="42"/>
        <v>#N/A</v>
      </c>
      <c r="P252" s="1" t="str">
        <f t="shared" si="43"/>
        <v>产能周期下行</v>
      </c>
      <c r="Q252" s="2" t="e">
        <f t="shared" si="44"/>
        <v>#N/A</v>
      </c>
      <c r="S252" s="12">
        <v>45930</v>
      </c>
      <c r="T252" s="13">
        <v>49.8</v>
      </c>
      <c r="V252" s="12">
        <v>36860</v>
      </c>
      <c r="W252" s="13">
        <v>4.6399999999999997</v>
      </c>
    </row>
    <row r="253" spans="1:23" x14ac:dyDescent="0.35">
      <c r="A253" s="8">
        <f t="shared" si="45"/>
        <v>38442</v>
      </c>
      <c r="B253" s="9" t="e">
        <f t="shared" si="52"/>
        <v>#N/A</v>
      </c>
      <c r="C253" s="9">
        <f t="shared" si="46"/>
        <v>20.34</v>
      </c>
      <c r="D253" s="9">
        <f t="shared" si="40"/>
        <v>42.35</v>
      </c>
      <c r="E253" s="1">
        <v>1</v>
      </c>
      <c r="F253" s="1">
        <v>0</v>
      </c>
      <c r="I253" s="1">
        <f t="shared" si="47"/>
        <v>0</v>
      </c>
      <c r="J253" s="1">
        <f t="shared" si="48"/>
        <v>0</v>
      </c>
      <c r="K253" s="1">
        <f t="shared" si="49"/>
        <v>0</v>
      </c>
      <c r="L253" s="1">
        <f t="shared" si="50"/>
        <v>0</v>
      </c>
      <c r="M253" s="1">
        <f t="shared" si="41"/>
        <v>0</v>
      </c>
      <c r="N253" s="1">
        <f t="shared" si="51"/>
        <v>1</v>
      </c>
      <c r="O253" s="1" t="e">
        <f t="shared" si="42"/>
        <v>#N/A</v>
      </c>
      <c r="P253" s="1" t="str">
        <f t="shared" si="43"/>
        <v>产能周期下行</v>
      </c>
      <c r="Q253" s="2" t="e">
        <f t="shared" si="44"/>
        <v>#N/A</v>
      </c>
      <c r="S253" s="12">
        <v>45961</v>
      </c>
      <c r="T253" s="13">
        <v>49</v>
      </c>
      <c r="V253" s="12">
        <v>36830</v>
      </c>
      <c r="W253" s="13">
        <v>3.8</v>
      </c>
    </row>
    <row r="254" spans="1:23" x14ac:dyDescent="0.35">
      <c r="A254" s="8">
        <f t="shared" si="45"/>
        <v>38411</v>
      </c>
      <c r="B254" s="9" t="e">
        <f t="shared" si="52"/>
        <v>#N/A</v>
      </c>
      <c r="C254" s="9">
        <f t="shared" si="46"/>
        <v>22.22</v>
      </c>
      <c r="D254" s="9">
        <f t="shared" si="40"/>
        <v>43</v>
      </c>
      <c r="E254" s="1">
        <v>1</v>
      </c>
      <c r="F254" s="1">
        <v>0</v>
      </c>
      <c r="I254" s="1">
        <f t="shared" si="47"/>
        <v>0</v>
      </c>
      <c r="J254" s="1">
        <f t="shared" si="48"/>
        <v>0</v>
      </c>
      <c r="K254" s="1">
        <f t="shared" si="49"/>
        <v>0</v>
      </c>
      <c r="L254" s="1">
        <f t="shared" si="50"/>
        <v>0</v>
      </c>
      <c r="M254" s="1">
        <f t="shared" si="41"/>
        <v>1</v>
      </c>
      <c r="N254" s="1">
        <f t="shared" si="51"/>
        <v>0</v>
      </c>
      <c r="O254" s="1" t="e">
        <f t="shared" si="42"/>
        <v>#N/A</v>
      </c>
      <c r="P254" s="1" t="str">
        <f t="shared" si="43"/>
        <v>产能周期上行</v>
      </c>
      <c r="Q254" s="2" t="e">
        <f t="shared" si="44"/>
        <v>#N/A</v>
      </c>
      <c r="S254" s="12">
        <v>45991</v>
      </c>
      <c r="T254" s="13">
        <v>49.2</v>
      </c>
      <c r="V254" s="12">
        <v>36799</v>
      </c>
      <c r="W254" s="13">
        <v>3.64</v>
      </c>
    </row>
    <row r="255" spans="1:23" x14ac:dyDescent="0.35">
      <c r="A255" s="8">
        <f t="shared" si="45"/>
        <v>38383</v>
      </c>
      <c r="B255" s="9" t="e">
        <f t="shared" si="52"/>
        <v>#N/A</v>
      </c>
      <c r="C255" s="9" t="e">
        <f t="shared" si="46"/>
        <v>#N/A</v>
      </c>
      <c r="D255" s="9">
        <f t="shared" si="40"/>
        <v>43</v>
      </c>
      <c r="E255" s="1">
        <v>1</v>
      </c>
      <c r="F255" s="1">
        <v>0</v>
      </c>
      <c r="I255" s="1">
        <f t="shared" si="47"/>
        <v>0</v>
      </c>
      <c r="J255" s="1">
        <f t="shared" si="48"/>
        <v>0</v>
      </c>
      <c r="K255" s="1">
        <f t="shared" si="49"/>
        <v>0</v>
      </c>
      <c r="L255" s="1">
        <f t="shared" si="50"/>
        <v>0</v>
      </c>
      <c r="M255" s="1">
        <f t="shared" si="41"/>
        <v>1</v>
      </c>
      <c r="N255" s="1">
        <f t="shared" si="51"/>
        <v>0</v>
      </c>
      <c r="O255" s="1" t="e">
        <f t="shared" si="42"/>
        <v>#N/A</v>
      </c>
      <c r="P255" s="1" t="str">
        <f t="shared" si="43"/>
        <v>产能周期上行</v>
      </c>
      <c r="Q255" s="2" t="e">
        <f t="shared" si="44"/>
        <v>#N/A</v>
      </c>
      <c r="S255" s="12">
        <v>46022</v>
      </c>
      <c r="T255" s="13">
        <v>50.1</v>
      </c>
      <c r="V255" s="12">
        <v>36769</v>
      </c>
      <c r="W255" s="13">
        <v>3.34</v>
      </c>
    </row>
    <row r="256" spans="1:23" x14ac:dyDescent="0.35">
      <c r="A256" s="8">
        <f t="shared" si="45"/>
        <v>38352</v>
      </c>
      <c r="B256" s="9" t="e">
        <f t="shared" si="52"/>
        <v>#N/A</v>
      </c>
      <c r="C256" s="9">
        <f t="shared" si="46"/>
        <v>24.65</v>
      </c>
      <c r="D256" s="9">
        <f t="shared" si="40"/>
        <v>43</v>
      </c>
      <c r="E256" s="1">
        <v>1</v>
      </c>
      <c r="F256" s="1">
        <v>0</v>
      </c>
      <c r="I256" s="1">
        <f t="shared" si="47"/>
        <v>0</v>
      </c>
      <c r="J256" s="1">
        <f t="shared" si="48"/>
        <v>0</v>
      </c>
      <c r="K256" s="1">
        <f t="shared" si="49"/>
        <v>0</v>
      </c>
      <c r="L256" s="1">
        <f t="shared" si="50"/>
        <v>0</v>
      </c>
      <c r="M256" s="1">
        <f t="shared" si="41"/>
        <v>1</v>
      </c>
      <c r="N256" s="1">
        <f t="shared" si="51"/>
        <v>0</v>
      </c>
      <c r="O256" s="1" t="e">
        <f t="shared" si="42"/>
        <v>#N/A</v>
      </c>
      <c r="P256" s="1" t="str">
        <f t="shared" si="43"/>
        <v>产能周期上行</v>
      </c>
      <c r="Q256" s="2" t="e">
        <f t="shared" si="44"/>
        <v>#N/A</v>
      </c>
      <c r="S256" s="12"/>
      <c r="T256" s="13"/>
      <c r="V256" s="12">
        <v>36738</v>
      </c>
      <c r="W256" s="13">
        <v>2.42</v>
      </c>
    </row>
    <row r="257" spans="1:23" x14ac:dyDescent="0.35">
      <c r="A257" s="8">
        <f t="shared" si="45"/>
        <v>38321</v>
      </c>
      <c r="B257" s="9" t="e">
        <f t="shared" si="52"/>
        <v>#N/A</v>
      </c>
      <c r="C257" s="9">
        <f t="shared" si="46"/>
        <v>23.03</v>
      </c>
      <c r="D257" s="9">
        <f t="shared" si="40"/>
        <v>42.4</v>
      </c>
      <c r="E257" s="1">
        <v>1</v>
      </c>
      <c r="F257" s="1">
        <v>0</v>
      </c>
      <c r="I257" s="1">
        <f t="shared" si="47"/>
        <v>0</v>
      </c>
      <c r="J257" s="1">
        <f t="shared" si="48"/>
        <v>0</v>
      </c>
      <c r="K257" s="1">
        <f t="shared" si="49"/>
        <v>0</v>
      </c>
      <c r="L257" s="1">
        <f t="shared" si="50"/>
        <v>0</v>
      </c>
      <c r="M257" s="1">
        <f t="shared" si="41"/>
        <v>0</v>
      </c>
      <c r="N257" s="1">
        <f t="shared" si="51"/>
        <v>1</v>
      </c>
      <c r="O257" s="1" t="e">
        <f t="shared" si="42"/>
        <v>#N/A</v>
      </c>
      <c r="P257" s="1" t="str">
        <f t="shared" si="43"/>
        <v>产能周期下行</v>
      </c>
      <c r="Q257" s="2" t="e">
        <f t="shared" si="44"/>
        <v>#N/A</v>
      </c>
      <c r="S257" s="12"/>
      <c r="T257" s="13"/>
      <c r="V257" s="12">
        <v>36707</v>
      </c>
      <c r="W257" s="13">
        <v>2.0699999999999998</v>
      </c>
    </row>
    <row r="258" spans="1:23" x14ac:dyDescent="0.35">
      <c r="A258" s="8">
        <f t="shared" si="45"/>
        <v>38291</v>
      </c>
      <c r="B258" s="9" t="e">
        <f t="shared" si="52"/>
        <v>#N/A</v>
      </c>
      <c r="C258" s="9">
        <f t="shared" si="46"/>
        <v>22.22</v>
      </c>
      <c r="D258" s="9">
        <f t="shared" si="40"/>
        <v>42.4</v>
      </c>
      <c r="E258" s="1">
        <v>1</v>
      </c>
      <c r="F258" s="1">
        <v>0</v>
      </c>
      <c r="I258" s="1">
        <f t="shared" si="47"/>
        <v>0</v>
      </c>
      <c r="J258" s="1">
        <f t="shared" si="48"/>
        <v>0</v>
      </c>
      <c r="K258" s="1">
        <f t="shared" si="49"/>
        <v>0</v>
      </c>
      <c r="L258" s="1">
        <f t="shared" si="50"/>
        <v>0</v>
      </c>
      <c r="M258" s="1">
        <f t="shared" si="41"/>
        <v>0</v>
      </c>
      <c r="N258" s="1">
        <f t="shared" si="51"/>
        <v>1</v>
      </c>
      <c r="O258" s="1" t="e">
        <f t="shared" si="42"/>
        <v>#N/A</v>
      </c>
      <c r="P258" s="1" t="str">
        <f t="shared" si="43"/>
        <v>产能周期下行</v>
      </c>
      <c r="Q258" s="2" t="e">
        <f t="shared" si="44"/>
        <v>#N/A</v>
      </c>
      <c r="S258" s="12"/>
      <c r="T258" s="13"/>
      <c r="V258" s="12">
        <v>36677</v>
      </c>
      <c r="W258" s="13">
        <v>1.39</v>
      </c>
    </row>
    <row r="259" spans="1:23" x14ac:dyDescent="0.35">
      <c r="A259" s="8">
        <f t="shared" si="45"/>
        <v>38260</v>
      </c>
      <c r="B259" s="9" t="e">
        <f t="shared" si="52"/>
        <v>#N/A</v>
      </c>
      <c r="C259" s="9">
        <f t="shared" si="46"/>
        <v>21.53</v>
      </c>
      <c r="D259" s="9">
        <f t="shared" si="40"/>
        <v>42.4</v>
      </c>
      <c r="E259" s="1">
        <v>1</v>
      </c>
      <c r="F259" s="1">
        <v>0</v>
      </c>
      <c r="I259" s="1">
        <f t="shared" si="47"/>
        <v>0</v>
      </c>
      <c r="J259" s="1">
        <f t="shared" si="48"/>
        <v>0</v>
      </c>
      <c r="K259" s="1">
        <f t="shared" si="49"/>
        <v>0</v>
      </c>
      <c r="L259" s="1">
        <f t="shared" si="50"/>
        <v>0</v>
      </c>
      <c r="M259" s="1">
        <f t="shared" si="41"/>
        <v>0</v>
      </c>
      <c r="N259" s="1">
        <f t="shared" si="51"/>
        <v>1</v>
      </c>
      <c r="O259" s="1" t="e">
        <f t="shared" si="42"/>
        <v>#N/A</v>
      </c>
      <c r="P259" s="1" t="str">
        <f t="shared" si="43"/>
        <v>产能周期下行</v>
      </c>
      <c r="Q259" s="2" t="e">
        <f t="shared" si="44"/>
        <v>#N/A</v>
      </c>
      <c r="S259" s="12"/>
      <c r="T259" s="13"/>
      <c r="V259" s="12">
        <v>36646</v>
      </c>
      <c r="W259" s="13">
        <v>1.43</v>
      </c>
    </row>
    <row r="260" spans="1:23" x14ac:dyDescent="0.35">
      <c r="A260" s="8">
        <f t="shared" si="45"/>
        <v>38230</v>
      </c>
      <c r="B260" s="9" t="e">
        <f t="shared" si="52"/>
        <v>#N/A</v>
      </c>
      <c r="C260" s="9">
        <f t="shared" si="46"/>
        <v>20.46</v>
      </c>
      <c r="D260" s="9">
        <f t="shared" si="40"/>
        <v>42.75</v>
      </c>
      <c r="E260" s="1">
        <v>1</v>
      </c>
      <c r="F260" s="1">
        <v>0</v>
      </c>
      <c r="I260" s="1">
        <f t="shared" si="47"/>
        <v>0</v>
      </c>
      <c r="J260" s="1">
        <f t="shared" si="48"/>
        <v>0</v>
      </c>
      <c r="K260" s="1">
        <f t="shared" si="49"/>
        <v>0</v>
      </c>
      <c r="L260" s="1">
        <f t="shared" si="50"/>
        <v>0</v>
      </c>
      <c r="M260" s="1">
        <f t="shared" si="41"/>
        <v>1</v>
      </c>
      <c r="N260" s="1">
        <f t="shared" si="51"/>
        <v>0</v>
      </c>
      <c r="O260" s="1" t="e">
        <f t="shared" si="42"/>
        <v>#N/A</v>
      </c>
      <c r="P260" s="1" t="str">
        <f t="shared" si="43"/>
        <v>产能周期上行</v>
      </c>
      <c r="Q260" s="2" t="e">
        <f t="shared" si="44"/>
        <v>#N/A</v>
      </c>
      <c r="S260" s="12"/>
      <c r="T260" s="13"/>
      <c r="V260" s="12">
        <v>36616</v>
      </c>
      <c r="W260" s="13">
        <v>2.54</v>
      </c>
    </row>
    <row r="261" spans="1:23" x14ac:dyDescent="0.35">
      <c r="A261" s="8">
        <f t="shared" si="45"/>
        <v>38199</v>
      </c>
      <c r="B261" s="9" t="e">
        <f t="shared" si="52"/>
        <v>#N/A</v>
      </c>
      <c r="C261" s="9">
        <f t="shared" si="46"/>
        <v>19.78</v>
      </c>
      <c r="D261" s="9">
        <f t="shared" ref="D261:D324" si="53">IFERROR(VLOOKUP(A261,Y:Z,2,FALSE),D262)</f>
        <v>42.75</v>
      </c>
      <c r="E261" s="1">
        <v>1</v>
      </c>
      <c r="F261" s="1">
        <v>0</v>
      </c>
      <c r="I261" s="1">
        <f t="shared" si="47"/>
        <v>0</v>
      </c>
      <c r="J261" s="1">
        <f t="shared" si="48"/>
        <v>0</v>
      </c>
      <c r="K261" s="1">
        <f t="shared" si="49"/>
        <v>0</v>
      </c>
      <c r="L261" s="1">
        <f t="shared" si="50"/>
        <v>0</v>
      </c>
      <c r="M261" s="1">
        <f t="shared" ref="M261:M292" si="54">IF(D261 = D262, M262, IF(D261 &gt; D262, 1, 0))</f>
        <v>1</v>
      </c>
      <c r="N261" s="1">
        <f t="shared" si="51"/>
        <v>0</v>
      </c>
      <c r="O261" s="1" t="e">
        <f t="shared" ref="O261:O292" si="55">INDEX($I$3:$L$3,1,MATCH(1,I261:L261,0))</f>
        <v>#N/A</v>
      </c>
      <c r="P261" s="1" t="str">
        <f t="shared" ref="P261:P292" si="56">INDEX($M$3:$N$3,1,MATCH(1,M261:N261,0))</f>
        <v>产能周期上行</v>
      </c>
      <c r="Q261" s="2" t="e">
        <f t="shared" ref="Q261:Q324" si="57">TEXT(P261,"")&amp;","&amp;TEXT(O261,"")</f>
        <v>#N/A</v>
      </c>
      <c r="S261" s="12"/>
      <c r="T261" s="13"/>
      <c r="V261" s="12">
        <v>36585</v>
      </c>
      <c r="W261" s="13">
        <v>2.61</v>
      </c>
    </row>
    <row r="262" spans="1:23" x14ac:dyDescent="0.35">
      <c r="A262" s="8">
        <f t="shared" ref="A262:A325" si="58">EOMONTH(A261,-1)</f>
        <v>38168</v>
      </c>
      <c r="B262" s="9" t="e">
        <f t="shared" si="52"/>
        <v>#N/A</v>
      </c>
      <c r="C262" s="9">
        <f t="shared" ref="C262:C325" si="59">VLOOKUP(A262,V:W,2,0)</f>
        <v>19.86</v>
      </c>
      <c r="D262" s="9">
        <f t="shared" si="53"/>
        <v>42.75</v>
      </c>
      <c r="E262" s="1">
        <v>1</v>
      </c>
      <c r="F262" s="1">
        <v>0</v>
      </c>
      <c r="I262" s="1">
        <f t="shared" ref="I262:I292" si="60">INT(AND(H262=1,F262=1))</f>
        <v>0</v>
      </c>
      <c r="J262" s="1">
        <f t="shared" ref="J262:J292" si="61">INT(AND(H262=1,E262=1))</f>
        <v>0</v>
      </c>
      <c r="K262" s="1">
        <f t="shared" ref="K262:K292" si="62">INT(AND(G262=1,F262=1))</f>
        <v>0</v>
      </c>
      <c r="L262" s="1">
        <f t="shared" ref="L262:L292" si="63">INT(AND(G262=1,E262=1))</f>
        <v>0</v>
      </c>
      <c r="M262" s="1">
        <f t="shared" si="54"/>
        <v>1</v>
      </c>
      <c r="N262" s="1">
        <f t="shared" ref="N262:N292" si="64">1-M262</f>
        <v>0</v>
      </c>
      <c r="O262" s="1" t="e">
        <f t="shared" si="55"/>
        <v>#N/A</v>
      </c>
      <c r="P262" s="1" t="str">
        <f t="shared" si="56"/>
        <v>产能周期上行</v>
      </c>
      <c r="Q262" s="2" t="e">
        <f t="shared" si="57"/>
        <v>#N/A</v>
      </c>
      <c r="S262" s="12"/>
      <c r="T262" s="13"/>
      <c r="V262" s="12">
        <v>36525</v>
      </c>
      <c r="W262" s="13">
        <v>4.55</v>
      </c>
    </row>
    <row r="263" spans="1:23" x14ac:dyDescent="0.35">
      <c r="A263" s="8">
        <f t="shared" si="58"/>
        <v>38138</v>
      </c>
      <c r="B263" s="9" t="e">
        <f t="shared" si="52"/>
        <v>#N/A</v>
      </c>
      <c r="C263" s="9">
        <f t="shared" si="59"/>
        <v>19.77</v>
      </c>
      <c r="D263" s="9">
        <f t="shared" si="53"/>
        <v>41.5</v>
      </c>
      <c r="E263" s="1">
        <v>1</v>
      </c>
      <c r="F263" s="1">
        <v>0</v>
      </c>
      <c r="I263" s="1">
        <f t="shared" si="60"/>
        <v>0</v>
      </c>
      <c r="J263" s="1">
        <f t="shared" si="61"/>
        <v>0</v>
      </c>
      <c r="K263" s="1">
        <f t="shared" si="62"/>
        <v>0</v>
      </c>
      <c r="L263" s="1">
        <f t="shared" si="63"/>
        <v>0</v>
      </c>
      <c r="M263" s="1">
        <f t="shared" si="54"/>
        <v>0</v>
      </c>
      <c r="N263" s="1">
        <f t="shared" si="64"/>
        <v>1</v>
      </c>
      <c r="O263" s="1" t="e">
        <f t="shared" si="55"/>
        <v>#N/A</v>
      </c>
      <c r="P263" s="1" t="str">
        <f t="shared" si="56"/>
        <v>产能周期下行</v>
      </c>
      <c r="Q263" s="2" t="e">
        <f t="shared" si="57"/>
        <v>#N/A</v>
      </c>
      <c r="S263" s="12"/>
      <c r="T263" s="13"/>
      <c r="V263" s="12">
        <v>36494</v>
      </c>
      <c r="W263" s="13">
        <v>4.4800000000000004</v>
      </c>
    </row>
    <row r="264" spans="1:23" x14ac:dyDescent="0.35">
      <c r="A264" s="8">
        <f t="shared" si="58"/>
        <v>38107</v>
      </c>
      <c r="B264" s="9" t="e">
        <f t="shared" si="52"/>
        <v>#N/A</v>
      </c>
      <c r="C264" s="9">
        <f t="shared" si="59"/>
        <v>18.87</v>
      </c>
      <c r="D264" s="9">
        <f t="shared" si="53"/>
        <v>41.5</v>
      </c>
      <c r="E264" s="1">
        <v>1</v>
      </c>
      <c r="F264" s="1">
        <v>0</v>
      </c>
      <c r="I264" s="1">
        <f t="shared" si="60"/>
        <v>0</v>
      </c>
      <c r="J264" s="1">
        <f t="shared" si="61"/>
        <v>0</v>
      </c>
      <c r="K264" s="1">
        <f t="shared" si="62"/>
        <v>0</v>
      </c>
      <c r="L264" s="1">
        <f t="shared" si="63"/>
        <v>0</v>
      </c>
      <c r="M264" s="1">
        <f t="shared" si="54"/>
        <v>0</v>
      </c>
      <c r="N264" s="1">
        <f t="shared" si="64"/>
        <v>1</v>
      </c>
      <c r="O264" s="1" t="e">
        <f t="shared" si="55"/>
        <v>#N/A</v>
      </c>
      <c r="P264" s="1" t="str">
        <f t="shared" si="56"/>
        <v>产能周期下行</v>
      </c>
      <c r="Q264" s="2" t="e">
        <f t="shared" si="57"/>
        <v>#N/A</v>
      </c>
      <c r="S264" s="12"/>
      <c r="T264" s="13"/>
      <c r="V264" s="12">
        <v>36464</v>
      </c>
      <c r="W264" s="13">
        <v>3.58</v>
      </c>
    </row>
    <row r="265" spans="1:23" x14ac:dyDescent="0.35">
      <c r="A265" s="8">
        <f t="shared" si="58"/>
        <v>38077</v>
      </c>
      <c r="B265" s="9" t="e">
        <f t="shared" si="52"/>
        <v>#N/A</v>
      </c>
      <c r="C265" s="9">
        <f t="shared" si="59"/>
        <v>17.829999999999998</v>
      </c>
      <c r="D265" s="9">
        <f t="shared" si="53"/>
        <v>41.5</v>
      </c>
      <c r="E265" s="1">
        <v>1</v>
      </c>
      <c r="F265" s="1">
        <v>0</v>
      </c>
      <c r="I265" s="1">
        <f t="shared" si="60"/>
        <v>0</v>
      </c>
      <c r="J265" s="1">
        <f t="shared" si="61"/>
        <v>0</v>
      </c>
      <c r="K265" s="1">
        <f t="shared" si="62"/>
        <v>0</v>
      </c>
      <c r="L265" s="1">
        <f t="shared" si="63"/>
        <v>0</v>
      </c>
      <c r="M265" s="1">
        <f t="shared" si="54"/>
        <v>0</v>
      </c>
      <c r="N265" s="1">
        <f t="shared" si="64"/>
        <v>1</v>
      </c>
      <c r="O265" s="1" t="e">
        <f t="shared" si="55"/>
        <v>#N/A</v>
      </c>
      <c r="P265" s="1" t="str">
        <f t="shared" si="56"/>
        <v>产能周期下行</v>
      </c>
      <c r="Q265" s="2" t="e">
        <f t="shared" si="57"/>
        <v>#N/A</v>
      </c>
      <c r="S265" s="12"/>
      <c r="T265" s="13"/>
      <c r="V265" s="12">
        <v>36433</v>
      </c>
      <c r="W265" s="13">
        <v>3.66</v>
      </c>
    </row>
    <row r="266" spans="1:23" x14ac:dyDescent="0.35">
      <c r="A266" s="8">
        <f t="shared" si="58"/>
        <v>38046</v>
      </c>
      <c r="B266" s="9" t="e">
        <f t="shared" si="52"/>
        <v>#N/A</v>
      </c>
      <c r="C266" s="9">
        <f t="shared" si="59"/>
        <v>15.73</v>
      </c>
      <c r="D266" s="9">
        <f t="shared" si="53"/>
        <v>42.6</v>
      </c>
      <c r="E266" s="1">
        <v>1</v>
      </c>
      <c r="F266" s="1">
        <v>0</v>
      </c>
      <c r="I266" s="1">
        <f t="shared" si="60"/>
        <v>0</v>
      </c>
      <c r="J266" s="1">
        <f t="shared" si="61"/>
        <v>0</v>
      </c>
      <c r="K266" s="1">
        <f t="shared" si="62"/>
        <v>0</v>
      </c>
      <c r="L266" s="1">
        <f t="shared" si="63"/>
        <v>0</v>
      </c>
      <c r="M266" s="1">
        <f t="shared" si="54"/>
        <v>1</v>
      </c>
      <c r="N266" s="1">
        <f t="shared" si="64"/>
        <v>0</v>
      </c>
      <c r="O266" s="1" t="e">
        <f t="shared" si="55"/>
        <v>#N/A</v>
      </c>
      <c r="P266" s="1" t="str">
        <f t="shared" si="56"/>
        <v>产能周期上行</v>
      </c>
      <c r="Q266" s="2" t="e">
        <f t="shared" si="57"/>
        <v>#N/A</v>
      </c>
      <c r="S266" s="12"/>
      <c r="T266" s="13"/>
      <c r="V266" s="12">
        <v>36403</v>
      </c>
      <c r="W266" s="13">
        <v>3.71</v>
      </c>
    </row>
    <row r="267" spans="1:23" x14ac:dyDescent="0.35">
      <c r="A267" s="8">
        <f t="shared" si="58"/>
        <v>38017</v>
      </c>
      <c r="B267" s="9" t="e">
        <f t="shared" si="52"/>
        <v>#N/A</v>
      </c>
      <c r="C267" s="9" t="e">
        <f t="shared" si="59"/>
        <v>#N/A</v>
      </c>
      <c r="D267" s="9">
        <f t="shared" si="53"/>
        <v>42.6</v>
      </c>
      <c r="E267" s="1">
        <v>1</v>
      </c>
      <c r="F267" s="1">
        <v>0</v>
      </c>
      <c r="I267" s="1">
        <f t="shared" si="60"/>
        <v>0</v>
      </c>
      <c r="J267" s="1">
        <f t="shared" si="61"/>
        <v>0</v>
      </c>
      <c r="K267" s="1">
        <f t="shared" si="62"/>
        <v>0</v>
      </c>
      <c r="L267" s="1">
        <f t="shared" si="63"/>
        <v>0</v>
      </c>
      <c r="M267" s="1">
        <f t="shared" si="54"/>
        <v>1</v>
      </c>
      <c r="N267" s="1">
        <f t="shared" si="64"/>
        <v>0</v>
      </c>
      <c r="O267" s="1" t="e">
        <f t="shared" si="55"/>
        <v>#N/A</v>
      </c>
      <c r="P267" s="1" t="str">
        <f t="shared" si="56"/>
        <v>产能周期上行</v>
      </c>
      <c r="Q267" s="2" t="e">
        <f t="shared" si="57"/>
        <v>#N/A</v>
      </c>
      <c r="S267" s="12"/>
      <c r="T267" s="13"/>
      <c r="V267" s="12">
        <v>36372</v>
      </c>
      <c r="W267" s="13">
        <v>3.44</v>
      </c>
    </row>
    <row r="268" spans="1:23" x14ac:dyDescent="0.35">
      <c r="A268" s="8">
        <f t="shared" si="58"/>
        <v>37986</v>
      </c>
      <c r="B268" s="9" t="e">
        <f t="shared" si="52"/>
        <v>#N/A</v>
      </c>
      <c r="C268" s="9">
        <f t="shared" si="59"/>
        <v>11.74</v>
      </c>
      <c r="D268" s="9">
        <f t="shared" si="53"/>
        <v>42.6</v>
      </c>
      <c r="E268" s="1">
        <v>0</v>
      </c>
      <c r="F268" s="1">
        <v>1</v>
      </c>
      <c r="I268" s="1">
        <f t="shared" si="60"/>
        <v>0</v>
      </c>
      <c r="J268" s="1">
        <f t="shared" si="61"/>
        <v>0</v>
      </c>
      <c r="K268" s="1">
        <f t="shared" si="62"/>
        <v>0</v>
      </c>
      <c r="L268" s="1">
        <f t="shared" si="63"/>
        <v>0</v>
      </c>
      <c r="M268" s="1">
        <f t="shared" si="54"/>
        <v>1</v>
      </c>
      <c r="N268" s="1">
        <f t="shared" si="64"/>
        <v>0</v>
      </c>
      <c r="O268" s="1" t="e">
        <f t="shared" si="55"/>
        <v>#N/A</v>
      </c>
      <c r="P268" s="1" t="str">
        <f t="shared" si="56"/>
        <v>产能周期上行</v>
      </c>
      <c r="Q268" s="2" t="e">
        <f t="shared" si="57"/>
        <v>#N/A</v>
      </c>
      <c r="S268" s="12"/>
      <c r="T268" s="13"/>
      <c r="V268" s="12">
        <v>36341</v>
      </c>
      <c r="W268" s="13">
        <v>3.94</v>
      </c>
    </row>
    <row r="269" spans="1:23" x14ac:dyDescent="0.35">
      <c r="A269" s="8">
        <f t="shared" si="58"/>
        <v>37955</v>
      </c>
      <c r="B269" s="9" t="e">
        <f t="shared" si="52"/>
        <v>#N/A</v>
      </c>
      <c r="C269" s="9">
        <f t="shared" si="59"/>
        <v>11.82</v>
      </c>
      <c r="D269" s="9">
        <f t="shared" si="53"/>
        <v>41.9</v>
      </c>
      <c r="E269" s="1">
        <v>0</v>
      </c>
      <c r="F269" s="1">
        <v>1</v>
      </c>
      <c r="I269" s="1">
        <f t="shared" si="60"/>
        <v>0</v>
      </c>
      <c r="J269" s="1">
        <f t="shared" si="61"/>
        <v>0</v>
      </c>
      <c r="K269" s="1">
        <f t="shared" si="62"/>
        <v>0</v>
      </c>
      <c r="L269" s="1">
        <f t="shared" si="63"/>
        <v>0</v>
      </c>
      <c r="M269" s="1">
        <f t="shared" si="54"/>
        <v>1</v>
      </c>
      <c r="N269" s="1">
        <f t="shared" si="64"/>
        <v>0</v>
      </c>
      <c r="O269" s="1" t="e">
        <f t="shared" si="55"/>
        <v>#N/A</v>
      </c>
      <c r="P269" s="1" t="str">
        <f t="shared" si="56"/>
        <v>产能周期上行</v>
      </c>
      <c r="Q269" s="2" t="e">
        <f t="shared" si="57"/>
        <v>#N/A</v>
      </c>
      <c r="S269" s="12"/>
      <c r="T269" s="13"/>
      <c r="V269" s="12">
        <v>36311</v>
      </c>
      <c r="W269" s="13">
        <v>4.55</v>
      </c>
    </row>
    <row r="270" spans="1:23" x14ac:dyDescent="0.35">
      <c r="A270" s="8">
        <f t="shared" si="58"/>
        <v>37925</v>
      </c>
      <c r="B270" s="9" t="e">
        <f t="shared" si="52"/>
        <v>#N/A</v>
      </c>
      <c r="C270" s="9">
        <f t="shared" si="59"/>
        <v>11.5</v>
      </c>
      <c r="D270" s="9">
        <f t="shared" si="53"/>
        <v>41.9</v>
      </c>
      <c r="E270" s="1">
        <v>0</v>
      </c>
      <c r="F270" s="1">
        <v>1</v>
      </c>
      <c r="I270" s="1">
        <f t="shared" si="60"/>
        <v>0</v>
      </c>
      <c r="J270" s="1">
        <f t="shared" si="61"/>
        <v>0</v>
      </c>
      <c r="K270" s="1">
        <f t="shared" si="62"/>
        <v>0</v>
      </c>
      <c r="L270" s="1">
        <f t="shared" si="63"/>
        <v>0</v>
      </c>
      <c r="M270" s="1">
        <f t="shared" si="54"/>
        <v>1</v>
      </c>
      <c r="N270" s="1">
        <f t="shared" si="64"/>
        <v>0</v>
      </c>
      <c r="O270" s="1" t="e">
        <f t="shared" si="55"/>
        <v>#N/A</v>
      </c>
      <c r="P270" s="1" t="str">
        <f t="shared" si="56"/>
        <v>产能周期上行</v>
      </c>
      <c r="Q270" s="2" t="e">
        <f t="shared" si="57"/>
        <v>#N/A</v>
      </c>
      <c r="S270" s="12"/>
      <c r="T270" s="13"/>
      <c r="V270" s="12">
        <v>36280</v>
      </c>
      <c r="W270" s="13">
        <v>5.05</v>
      </c>
    </row>
    <row r="271" spans="1:23" x14ac:dyDescent="0.35">
      <c r="A271" s="8">
        <f t="shared" si="58"/>
        <v>37894</v>
      </c>
      <c r="B271" s="9" t="e">
        <f t="shared" si="52"/>
        <v>#N/A</v>
      </c>
      <c r="C271" s="9">
        <f t="shared" si="59"/>
        <v>11.65</v>
      </c>
      <c r="D271" s="9">
        <f t="shared" si="53"/>
        <v>41.9</v>
      </c>
      <c r="E271" s="1">
        <v>0</v>
      </c>
      <c r="F271" s="1">
        <v>1</v>
      </c>
      <c r="I271" s="1">
        <f t="shared" si="60"/>
        <v>0</v>
      </c>
      <c r="J271" s="1">
        <f t="shared" si="61"/>
        <v>0</v>
      </c>
      <c r="K271" s="1">
        <f t="shared" si="62"/>
        <v>0</v>
      </c>
      <c r="L271" s="1">
        <f t="shared" si="63"/>
        <v>0</v>
      </c>
      <c r="M271" s="1">
        <f t="shared" si="54"/>
        <v>1</v>
      </c>
      <c r="N271" s="1">
        <f t="shared" si="64"/>
        <v>0</v>
      </c>
      <c r="O271" s="1" t="e">
        <f t="shared" si="55"/>
        <v>#N/A</v>
      </c>
      <c r="P271" s="1" t="str">
        <f t="shared" si="56"/>
        <v>产能周期上行</v>
      </c>
      <c r="Q271" s="2" t="e">
        <f t="shared" si="57"/>
        <v>#N/A</v>
      </c>
      <c r="S271" s="12"/>
      <c r="T271" s="13"/>
      <c r="V271" s="12">
        <v>36250</v>
      </c>
      <c r="W271" s="13">
        <v>5.38</v>
      </c>
    </row>
    <row r="272" spans="1:23" x14ac:dyDescent="0.35">
      <c r="A272" s="8">
        <f t="shared" si="58"/>
        <v>37864</v>
      </c>
      <c r="B272" s="9" t="e">
        <f t="shared" si="52"/>
        <v>#N/A</v>
      </c>
      <c r="C272" s="9">
        <f t="shared" si="59"/>
        <v>11.37</v>
      </c>
      <c r="D272" s="9">
        <f t="shared" si="53"/>
        <v>41.65</v>
      </c>
      <c r="E272" s="1">
        <v>0</v>
      </c>
      <c r="F272" s="1">
        <v>1</v>
      </c>
      <c r="I272" s="1">
        <f t="shared" si="60"/>
        <v>0</v>
      </c>
      <c r="J272" s="1">
        <f t="shared" si="61"/>
        <v>0</v>
      </c>
      <c r="K272" s="1">
        <f t="shared" si="62"/>
        <v>0</v>
      </c>
      <c r="L272" s="1">
        <f t="shared" si="63"/>
        <v>0</v>
      </c>
      <c r="M272" s="1">
        <f t="shared" si="54"/>
        <v>1</v>
      </c>
      <c r="N272" s="1">
        <f t="shared" si="64"/>
        <v>0</v>
      </c>
      <c r="O272" s="1" t="e">
        <f t="shared" si="55"/>
        <v>#N/A</v>
      </c>
      <c r="P272" s="1" t="str">
        <f t="shared" si="56"/>
        <v>产能周期上行</v>
      </c>
      <c r="Q272" s="2" t="e">
        <f t="shared" si="57"/>
        <v>#N/A</v>
      </c>
      <c r="S272" s="12"/>
      <c r="T272" s="13"/>
      <c r="V272" s="12">
        <v>36219</v>
      </c>
      <c r="W272" s="13">
        <v>7.37</v>
      </c>
    </row>
    <row r="273" spans="1:23" x14ac:dyDescent="0.35">
      <c r="A273" s="8">
        <f t="shared" si="58"/>
        <v>37833</v>
      </c>
      <c r="B273" s="9" t="e">
        <f t="shared" si="52"/>
        <v>#N/A</v>
      </c>
      <c r="C273" s="9">
        <f t="shared" si="59"/>
        <v>11.18</v>
      </c>
      <c r="D273" s="9">
        <f t="shared" si="53"/>
        <v>41.65</v>
      </c>
      <c r="E273" s="1">
        <v>0</v>
      </c>
      <c r="F273" s="1">
        <v>1</v>
      </c>
      <c r="I273" s="1">
        <f t="shared" si="60"/>
        <v>0</v>
      </c>
      <c r="J273" s="1">
        <f t="shared" si="61"/>
        <v>0</v>
      </c>
      <c r="K273" s="1">
        <f t="shared" si="62"/>
        <v>0</v>
      </c>
      <c r="L273" s="1">
        <f t="shared" si="63"/>
        <v>0</v>
      </c>
      <c r="M273" s="1">
        <f t="shared" si="54"/>
        <v>1</v>
      </c>
      <c r="N273" s="1">
        <f t="shared" si="64"/>
        <v>0</v>
      </c>
      <c r="O273" s="1" t="e">
        <f t="shared" si="55"/>
        <v>#N/A</v>
      </c>
      <c r="P273" s="1" t="str">
        <f t="shared" si="56"/>
        <v>产能周期上行</v>
      </c>
      <c r="Q273" s="2" t="e">
        <f t="shared" si="57"/>
        <v>#N/A</v>
      </c>
      <c r="S273" s="12"/>
      <c r="T273" s="13"/>
      <c r="V273" s="12">
        <v>36160</v>
      </c>
      <c r="W273" s="13">
        <v>5.5</v>
      </c>
    </row>
    <row r="274" spans="1:23" x14ac:dyDescent="0.35">
      <c r="A274" s="8">
        <f t="shared" si="58"/>
        <v>37802</v>
      </c>
      <c r="B274" s="9" t="e">
        <f t="shared" si="52"/>
        <v>#N/A</v>
      </c>
      <c r="C274" s="9">
        <f t="shared" si="59"/>
        <v>10.35</v>
      </c>
      <c r="D274" s="9">
        <f t="shared" si="53"/>
        <v>41.65</v>
      </c>
      <c r="E274" s="1">
        <v>0</v>
      </c>
      <c r="F274" s="1">
        <v>1</v>
      </c>
      <c r="I274" s="1">
        <f t="shared" si="60"/>
        <v>0</v>
      </c>
      <c r="J274" s="1">
        <f t="shared" si="61"/>
        <v>0</v>
      </c>
      <c r="K274" s="1">
        <f t="shared" si="62"/>
        <v>0</v>
      </c>
      <c r="L274" s="1">
        <f t="shared" si="63"/>
        <v>0</v>
      </c>
      <c r="M274" s="1">
        <f t="shared" si="54"/>
        <v>1</v>
      </c>
      <c r="N274" s="1">
        <f t="shared" si="64"/>
        <v>0</v>
      </c>
      <c r="O274" s="1" t="e">
        <f t="shared" si="55"/>
        <v>#N/A</v>
      </c>
      <c r="P274" s="1" t="str">
        <f t="shared" si="56"/>
        <v>产能周期上行</v>
      </c>
      <c r="Q274" s="2" t="e">
        <f t="shared" si="57"/>
        <v>#N/A</v>
      </c>
      <c r="S274" s="12"/>
      <c r="T274" s="13"/>
      <c r="V274" s="12">
        <v>36129</v>
      </c>
      <c r="W274" s="13">
        <v>5.5</v>
      </c>
    </row>
    <row r="275" spans="1:23" x14ac:dyDescent="0.35">
      <c r="A275" s="8">
        <f t="shared" si="58"/>
        <v>37772</v>
      </c>
      <c r="B275" s="9" t="e">
        <f t="shared" si="52"/>
        <v>#N/A</v>
      </c>
      <c r="C275" s="9">
        <f t="shared" si="59"/>
        <v>10.34</v>
      </c>
      <c r="D275" s="9">
        <f t="shared" si="53"/>
        <v>41.05</v>
      </c>
      <c r="E275" s="1">
        <v>0</v>
      </c>
      <c r="F275" s="1">
        <v>1</v>
      </c>
      <c r="I275" s="1">
        <f t="shared" si="60"/>
        <v>0</v>
      </c>
      <c r="J275" s="1">
        <f t="shared" si="61"/>
        <v>0</v>
      </c>
      <c r="K275" s="1">
        <f t="shared" si="62"/>
        <v>0</v>
      </c>
      <c r="L275" s="1">
        <f t="shared" si="63"/>
        <v>0</v>
      </c>
      <c r="M275" s="1">
        <f t="shared" si="54"/>
        <v>0</v>
      </c>
      <c r="N275" s="1">
        <f t="shared" si="64"/>
        <v>1</v>
      </c>
      <c r="O275" s="1" t="e">
        <f t="shared" si="55"/>
        <v>#N/A</v>
      </c>
      <c r="P275" s="1" t="str">
        <f t="shared" si="56"/>
        <v>产能周期下行</v>
      </c>
      <c r="Q275" s="2" t="e">
        <f t="shared" si="57"/>
        <v>#N/A</v>
      </c>
      <c r="S275" s="12"/>
      <c r="T275" s="13"/>
      <c r="V275" s="12">
        <v>36099</v>
      </c>
      <c r="W275" s="13">
        <v>6.6</v>
      </c>
    </row>
    <row r="276" spans="1:23" x14ac:dyDescent="0.35">
      <c r="A276" s="8">
        <f t="shared" si="58"/>
        <v>37741</v>
      </c>
      <c r="B276" s="9" t="e">
        <f t="shared" si="52"/>
        <v>#N/A</v>
      </c>
      <c r="C276" s="9">
        <f t="shared" si="59"/>
        <v>9.92</v>
      </c>
      <c r="D276" s="9">
        <f t="shared" si="53"/>
        <v>41.05</v>
      </c>
      <c r="E276" s="1">
        <v>0</v>
      </c>
      <c r="F276" s="1">
        <v>1</v>
      </c>
      <c r="I276" s="1">
        <f t="shared" si="60"/>
        <v>0</v>
      </c>
      <c r="J276" s="1">
        <f t="shared" si="61"/>
        <v>0</v>
      </c>
      <c r="K276" s="1">
        <f t="shared" si="62"/>
        <v>0</v>
      </c>
      <c r="L276" s="1">
        <f t="shared" si="63"/>
        <v>0</v>
      </c>
      <c r="M276" s="1">
        <f t="shared" si="54"/>
        <v>0</v>
      </c>
      <c r="N276" s="1">
        <f t="shared" si="64"/>
        <v>1</v>
      </c>
      <c r="O276" s="1" t="e">
        <f t="shared" si="55"/>
        <v>#N/A</v>
      </c>
      <c r="P276" s="1" t="str">
        <f t="shared" si="56"/>
        <v>产能周期下行</v>
      </c>
      <c r="Q276" s="2" t="e">
        <f t="shared" si="57"/>
        <v>#N/A</v>
      </c>
      <c r="S276" s="12"/>
      <c r="T276" s="13"/>
      <c r="V276" s="12">
        <v>36068</v>
      </c>
      <c r="W276" s="13">
        <v>7.3</v>
      </c>
    </row>
    <row r="277" spans="1:23" x14ac:dyDescent="0.35">
      <c r="A277" s="8">
        <f t="shared" si="58"/>
        <v>37711</v>
      </c>
      <c r="B277" s="9" t="e">
        <f t="shared" si="52"/>
        <v>#N/A</v>
      </c>
      <c r="C277" s="9">
        <f t="shared" si="59"/>
        <v>8.27</v>
      </c>
      <c r="D277" s="9">
        <f t="shared" si="53"/>
        <v>41.05</v>
      </c>
      <c r="E277" s="1">
        <v>0</v>
      </c>
      <c r="F277" s="1">
        <v>1</v>
      </c>
      <c r="I277" s="1">
        <f t="shared" si="60"/>
        <v>0</v>
      </c>
      <c r="J277" s="1">
        <f t="shared" si="61"/>
        <v>0</v>
      </c>
      <c r="K277" s="1">
        <f t="shared" si="62"/>
        <v>0</v>
      </c>
      <c r="L277" s="1">
        <f t="shared" si="63"/>
        <v>0</v>
      </c>
      <c r="M277" s="1">
        <f t="shared" si="54"/>
        <v>0</v>
      </c>
      <c r="N277" s="1">
        <f t="shared" si="64"/>
        <v>1</v>
      </c>
      <c r="O277" s="1" t="e">
        <f t="shared" si="55"/>
        <v>#N/A</v>
      </c>
      <c r="P277" s="1" t="str">
        <f t="shared" si="56"/>
        <v>产能周期下行</v>
      </c>
      <c r="Q277" s="2" t="e">
        <f t="shared" si="57"/>
        <v>#N/A</v>
      </c>
      <c r="S277" s="12"/>
      <c r="T277" s="13"/>
      <c r="V277" s="12">
        <v>36038</v>
      </c>
      <c r="W277" s="13">
        <v>8.9</v>
      </c>
    </row>
    <row r="278" spans="1:23" x14ac:dyDescent="0.35">
      <c r="A278" s="8">
        <f t="shared" si="58"/>
        <v>37680</v>
      </c>
      <c r="B278" s="9" t="e">
        <f t="shared" si="52"/>
        <v>#N/A</v>
      </c>
      <c r="C278" s="9">
        <f t="shared" si="59"/>
        <v>7.59</v>
      </c>
      <c r="D278" s="9">
        <f t="shared" si="53"/>
        <v>41.25</v>
      </c>
      <c r="E278" s="1">
        <v>0</v>
      </c>
      <c r="F278" s="1">
        <v>1</v>
      </c>
      <c r="I278" s="1">
        <f t="shared" si="60"/>
        <v>0</v>
      </c>
      <c r="J278" s="1">
        <f t="shared" si="61"/>
        <v>0</v>
      </c>
      <c r="K278" s="1">
        <f t="shared" si="62"/>
        <v>0</v>
      </c>
      <c r="L278" s="1">
        <f t="shared" si="63"/>
        <v>0</v>
      </c>
      <c r="M278" s="1">
        <f t="shared" si="54"/>
        <v>1</v>
      </c>
      <c r="N278" s="1">
        <f t="shared" si="64"/>
        <v>0</v>
      </c>
      <c r="O278" s="1" t="e">
        <f t="shared" si="55"/>
        <v>#N/A</v>
      </c>
      <c r="P278" s="1" t="str">
        <f t="shared" si="56"/>
        <v>产能周期上行</v>
      </c>
      <c r="Q278" s="2" t="e">
        <f t="shared" si="57"/>
        <v>#N/A</v>
      </c>
      <c r="S278" s="12"/>
      <c r="T278" s="13"/>
      <c r="V278" s="12">
        <v>36007</v>
      </c>
      <c r="W278" s="13">
        <v>9.81</v>
      </c>
    </row>
    <row r="279" spans="1:23" x14ac:dyDescent="0.35">
      <c r="A279" s="8">
        <f t="shared" si="58"/>
        <v>37652</v>
      </c>
      <c r="B279" s="9" t="e">
        <f t="shared" si="52"/>
        <v>#N/A</v>
      </c>
      <c r="C279" s="9" t="e">
        <f t="shared" si="59"/>
        <v>#N/A</v>
      </c>
      <c r="D279" s="9">
        <f t="shared" si="53"/>
        <v>41.25</v>
      </c>
      <c r="E279" s="1">
        <v>0</v>
      </c>
      <c r="F279" s="1">
        <v>1</v>
      </c>
      <c r="I279" s="1">
        <f t="shared" si="60"/>
        <v>0</v>
      </c>
      <c r="J279" s="1">
        <f t="shared" si="61"/>
        <v>0</v>
      </c>
      <c r="K279" s="1">
        <f t="shared" si="62"/>
        <v>0</v>
      </c>
      <c r="L279" s="1">
        <f t="shared" si="63"/>
        <v>0</v>
      </c>
      <c r="M279" s="1">
        <f t="shared" si="54"/>
        <v>1</v>
      </c>
      <c r="N279" s="1">
        <f t="shared" si="64"/>
        <v>0</v>
      </c>
      <c r="O279" s="1" t="e">
        <f t="shared" si="55"/>
        <v>#N/A</v>
      </c>
      <c r="P279" s="1" t="str">
        <f t="shared" si="56"/>
        <v>产能周期上行</v>
      </c>
      <c r="Q279" s="2" t="e">
        <f t="shared" si="57"/>
        <v>#N/A</v>
      </c>
      <c r="S279" s="12"/>
      <c r="T279" s="13"/>
      <c r="V279" s="12">
        <v>35976</v>
      </c>
      <c r="W279" s="13">
        <v>10.1</v>
      </c>
    </row>
    <row r="280" spans="1:23" x14ac:dyDescent="0.35">
      <c r="A280" s="8">
        <f t="shared" si="58"/>
        <v>37621</v>
      </c>
      <c r="B280" s="9" t="e">
        <f t="shared" si="52"/>
        <v>#N/A</v>
      </c>
      <c r="C280" s="9">
        <f t="shared" si="59"/>
        <v>5.24</v>
      </c>
      <c r="D280" s="9">
        <f t="shared" si="53"/>
        <v>41.25</v>
      </c>
      <c r="E280" s="1">
        <v>0</v>
      </c>
      <c r="F280" s="1">
        <v>1</v>
      </c>
      <c r="I280" s="1">
        <f t="shared" si="60"/>
        <v>0</v>
      </c>
      <c r="J280" s="1">
        <f t="shared" si="61"/>
        <v>0</v>
      </c>
      <c r="K280" s="1">
        <f t="shared" si="62"/>
        <v>0</v>
      </c>
      <c r="L280" s="1">
        <f t="shared" si="63"/>
        <v>0</v>
      </c>
      <c r="M280" s="1">
        <f t="shared" si="54"/>
        <v>1</v>
      </c>
      <c r="N280" s="1">
        <f t="shared" si="64"/>
        <v>0</v>
      </c>
      <c r="O280" s="1" t="e">
        <f t="shared" si="55"/>
        <v>#N/A</v>
      </c>
      <c r="P280" s="1" t="str">
        <f t="shared" si="56"/>
        <v>产能周期上行</v>
      </c>
      <c r="Q280" s="2" t="e">
        <f t="shared" si="57"/>
        <v>#N/A</v>
      </c>
      <c r="S280" s="12"/>
      <c r="T280" s="13"/>
      <c r="V280" s="12">
        <v>35946</v>
      </c>
      <c r="W280" s="13">
        <v>12.37</v>
      </c>
    </row>
    <row r="281" spans="1:23" x14ac:dyDescent="0.35">
      <c r="A281" s="8">
        <f t="shared" si="58"/>
        <v>37590</v>
      </c>
      <c r="B281" s="9" t="e">
        <f t="shared" si="52"/>
        <v>#N/A</v>
      </c>
      <c r="C281" s="9">
        <f t="shared" si="59"/>
        <v>2.82</v>
      </c>
      <c r="D281" s="9">
        <f t="shared" si="53"/>
        <v>40.65</v>
      </c>
      <c r="E281" s="1">
        <v>1</v>
      </c>
      <c r="F281" s="1">
        <v>0</v>
      </c>
      <c r="I281" s="1">
        <f t="shared" si="60"/>
        <v>0</v>
      </c>
      <c r="J281" s="1">
        <f t="shared" si="61"/>
        <v>0</v>
      </c>
      <c r="K281" s="1">
        <f t="shared" si="62"/>
        <v>0</v>
      </c>
      <c r="L281" s="1">
        <f t="shared" si="63"/>
        <v>0</v>
      </c>
      <c r="M281" s="1">
        <f t="shared" si="54"/>
        <v>1</v>
      </c>
      <c r="N281" s="1">
        <f t="shared" si="64"/>
        <v>0</v>
      </c>
      <c r="O281" s="1" t="e">
        <f t="shared" si="55"/>
        <v>#N/A</v>
      </c>
      <c r="P281" s="1" t="str">
        <f t="shared" si="56"/>
        <v>产能周期上行</v>
      </c>
      <c r="Q281" s="2" t="e">
        <f t="shared" si="57"/>
        <v>#N/A</v>
      </c>
      <c r="S281" s="12"/>
      <c r="T281" s="13"/>
      <c r="V281" s="12">
        <v>35915</v>
      </c>
      <c r="W281" s="13">
        <v>12.82</v>
      </c>
    </row>
    <row r="282" spans="1:23" x14ac:dyDescent="0.35">
      <c r="A282" s="8">
        <f t="shared" si="58"/>
        <v>37560</v>
      </c>
      <c r="B282" s="9" t="e">
        <f t="shared" si="52"/>
        <v>#N/A</v>
      </c>
      <c r="C282" s="9">
        <f t="shared" si="59"/>
        <v>2.21</v>
      </c>
      <c r="D282" s="9">
        <f t="shared" si="53"/>
        <v>40.65</v>
      </c>
      <c r="E282" s="1">
        <v>1</v>
      </c>
      <c r="F282" s="1">
        <v>0</v>
      </c>
      <c r="I282" s="1">
        <f t="shared" si="60"/>
        <v>0</v>
      </c>
      <c r="J282" s="1">
        <f t="shared" si="61"/>
        <v>0</v>
      </c>
      <c r="K282" s="1">
        <f t="shared" si="62"/>
        <v>0</v>
      </c>
      <c r="L282" s="1">
        <f t="shared" si="63"/>
        <v>0</v>
      </c>
      <c r="M282" s="1">
        <f t="shared" si="54"/>
        <v>1</v>
      </c>
      <c r="N282" s="1">
        <f t="shared" si="64"/>
        <v>0</v>
      </c>
      <c r="O282" s="1" t="e">
        <f t="shared" si="55"/>
        <v>#N/A</v>
      </c>
      <c r="P282" s="1" t="str">
        <f t="shared" si="56"/>
        <v>产能周期上行</v>
      </c>
      <c r="Q282" s="2" t="e">
        <f t="shared" si="57"/>
        <v>#N/A</v>
      </c>
      <c r="S282" s="12"/>
      <c r="T282" s="13"/>
      <c r="V282" s="12">
        <v>35885</v>
      </c>
      <c r="W282" s="13">
        <v>14.2</v>
      </c>
    </row>
    <row r="283" spans="1:23" x14ac:dyDescent="0.35">
      <c r="A283" s="8">
        <f t="shared" si="58"/>
        <v>37529</v>
      </c>
      <c r="B283" s="9" t="e">
        <f t="shared" si="52"/>
        <v>#N/A</v>
      </c>
      <c r="C283" s="9">
        <f t="shared" si="59"/>
        <v>2.42</v>
      </c>
      <c r="D283" s="9">
        <f t="shared" si="53"/>
        <v>40.65</v>
      </c>
      <c r="E283" s="1">
        <v>1</v>
      </c>
      <c r="F283" s="1">
        <v>0</v>
      </c>
      <c r="I283" s="1">
        <f t="shared" si="60"/>
        <v>0</v>
      </c>
      <c r="J283" s="1">
        <f t="shared" si="61"/>
        <v>0</v>
      </c>
      <c r="K283" s="1">
        <f t="shared" si="62"/>
        <v>0</v>
      </c>
      <c r="L283" s="1">
        <f t="shared" si="63"/>
        <v>0</v>
      </c>
      <c r="M283" s="1">
        <f t="shared" si="54"/>
        <v>1</v>
      </c>
      <c r="N283" s="1">
        <f t="shared" si="64"/>
        <v>0</v>
      </c>
      <c r="O283" s="1" t="e">
        <f t="shared" si="55"/>
        <v>#N/A</v>
      </c>
      <c r="P283" s="1" t="str">
        <f t="shared" si="56"/>
        <v>产能周期上行</v>
      </c>
      <c r="Q283" s="2" t="e">
        <f t="shared" si="57"/>
        <v>#N/A</v>
      </c>
      <c r="S283" s="12"/>
      <c r="T283" s="13"/>
      <c r="V283" s="12">
        <v>35854</v>
      </c>
      <c r="W283" s="13">
        <v>14.2</v>
      </c>
    </row>
    <row r="284" spans="1:23" x14ac:dyDescent="0.35">
      <c r="A284" s="8">
        <f t="shared" si="58"/>
        <v>37499</v>
      </c>
      <c r="B284" s="9" t="e">
        <f t="shared" si="52"/>
        <v>#N/A</v>
      </c>
      <c r="C284" s="9">
        <f t="shared" si="59"/>
        <v>2.9</v>
      </c>
      <c r="D284" s="9">
        <f t="shared" si="53"/>
        <v>38.700000000000003</v>
      </c>
      <c r="E284" s="1">
        <v>1</v>
      </c>
      <c r="F284" s="1">
        <v>0</v>
      </c>
      <c r="I284" s="1">
        <f t="shared" si="60"/>
        <v>0</v>
      </c>
      <c r="J284" s="1">
        <f t="shared" si="61"/>
        <v>0</v>
      </c>
      <c r="K284" s="1">
        <f t="shared" si="62"/>
        <v>0</v>
      </c>
      <c r="L284" s="1">
        <f t="shared" si="63"/>
        <v>0</v>
      </c>
      <c r="M284" s="1">
        <f t="shared" si="54"/>
        <v>1</v>
      </c>
      <c r="N284" s="1">
        <f t="shared" si="64"/>
        <v>0</v>
      </c>
      <c r="O284" s="1" t="e">
        <f t="shared" si="55"/>
        <v>#N/A</v>
      </c>
      <c r="P284" s="1" t="str">
        <f t="shared" si="56"/>
        <v>产能周期上行</v>
      </c>
      <c r="Q284" s="2" t="e">
        <f t="shared" si="57"/>
        <v>#N/A</v>
      </c>
      <c r="S284" s="12"/>
      <c r="T284" s="13"/>
      <c r="V284" s="12">
        <v>35795</v>
      </c>
      <c r="W284" s="13">
        <v>11.7</v>
      </c>
    </row>
    <row r="285" spans="1:23" x14ac:dyDescent="0.35">
      <c r="A285" s="8">
        <f t="shared" si="58"/>
        <v>37468</v>
      </c>
      <c r="B285" s="9" t="e">
        <f t="shared" si="52"/>
        <v>#N/A</v>
      </c>
      <c r="C285" s="9">
        <f t="shared" si="59"/>
        <v>2.27</v>
      </c>
      <c r="D285" s="9">
        <f t="shared" si="53"/>
        <v>38.700000000000003</v>
      </c>
      <c r="E285" s="1">
        <v>1</v>
      </c>
      <c r="F285" s="1">
        <v>0</v>
      </c>
      <c r="I285" s="1">
        <f t="shared" si="60"/>
        <v>0</v>
      </c>
      <c r="J285" s="1">
        <f t="shared" si="61"/>
        <v>0</v>
      </c>
      <c r="K285" s="1">
        <f t="shared" si="62"/>
        <v>0</v>
      </c>
      <c r="L285" s="1">
        <f t="shared" si="63"/>
        <v>0</v>
      </c>
      <c r="M285" s="1">
        <f t="shared" si="54"/>
        <v>1</v>
      </c>
      <c r="N285" s="1">
        <f t="shared" si="64"/>
        <v>0</v>
      </c>
      <c r="O285" s="1" t="e">
        <f t="shared" si="55"/>
        <v>#N/A</v>
      </c>
      <c r="P285" s="1" t="str">
        <f t="shared" si="56"/>
        <v>产能周期上行</v>
      </c>
      <c r="Q285" s="2" t="e">
        <f t="shared" si="57"/>
        <v>#N/A</v>
      </c>
      <c r="S285" s="12"/>
      <c r="T285" s="13"/>
      <c r="V285" s="12">
        <v>35764</v>
      </c>
      <c r="W285" s="13">
        <v>13.1</v>
      </c>
    </row>
    <row r="286" spans="1:23" x14ac:dyDescent="0.35">
      <c r="A286" s="8">
        <f t="shared" si="58"/>
        <v>37437</v>
      </c>
      <c r="B286" s="9" t="e">
        <f t="shared" si="52"/>
        <v>#N/A</v>
      </c>
      <c r="C286" s="9">
        <f t="shared" si="59"/>
        <v>4.0999999999999996</v>
      </c>
      <c r="D286" s="9">
        <f t="shared" si="53"/>
        <v>38.700000000000003</v>
      </c>
      <c r="E286" s="1">
        <v>1</v>
      </c>
      <c r="F286" s="1">
        <v>0</v>
      </c>
      <c r="I286" s="1">
        <f t="shared" si="60"/>
        <v>0</v>
      </c>
      <c r="J286" s="1">
        <f t="shared" si="61"/>
        <v>0</v>
      </c>
      <c r="K286" s="1">
        <f t="shared" si="62"/>
        <v>0</v>
      </c>
      <c r="L286" s="1">
        <f t="shared" si="63"/>
        <v>0</v>
      </c>
      <c r="M286" s="1">
        <f t="shared" si="54"/>
        <v>1</v>
      </c>
      <c r="N286" s="1">
        <f t="shared" si="64"/>
        <v>0</v>
      </c>
      <c r="O286" s="1" t="e">
        <f t="shared" si="55"/>
        <v>#N/A</v>
      </c>
      <c r="P286" s="1" t="str">
        <f t="shared" si="56"/>
        <v>产能周期上行</v>
      </c>
      <c r="Q286" s="2" t="e">
        <f t="shared" si="57"/>
        <v>#N/A</v>
      </c>
      <c r="S286" s="12"/>
      <c r="T286" s="13"/>
      <c r="V286" s="12">
        <v>35734</v>
      </c>
      <c r="W286" s="13">
        <v>12.7</v>
      </c>
    </row>
    <row r="287" spans="1:23" x14ac:dyDescent="0.3">
      <c r="A287" s="8">
        <f t="shared" si="58"/>
        <v>37407</v>
      </c>
      <c r="B287" s="9" t="e">
        <f t="shared" si="52"/>
        <v>#N/A</v>
      </c>
      <c r="C287" s="9">
        <f t="shared" si="59"/>
        <v>4.1900000000000004</v>
      </c>
      <c r="D287" s="9">
        <f t="shared" si="53"/>
        <v>37.15</v>
      </c>
      <c r="E287" s="1">
        <v>1</v>
      </c>
      <c r="F287" s="1">
        <v>0</v>
      </c>
      <c r="I287" s="1">
        <f t="shared" si="60"/>
        <v>0</v>
      </c>
      <c r="J287" s="1">
        <f t="shared" si="61"/>
        <v>0</v>
      </c>
      <c r="K287" s="1">
        <f t="shared" si="62"/>
        <v>0</v>
      </c>
      <c r="L287" s="1">
        <f t="shared" si="63"/>
        <v>0</v>
      </c>
      <c r="M287" s="1">
        <f t="shared" si="54"/>
        <v>1</v>
      </c>
      <c r="N287" s="1">
        <f t="shared" si="64"/>
        <v>0</v>
      </c>
      <c r="O287" s="1" t="e">
        <f t="shared" si="55"/>
        <v>#N/A</v>
      </c>
      <c r="P287" s="1" t="str">
        <f t="shared" si="56"/>
        <v>产能周期上行</v>
      </c>
      <c r="Q287" s="2" t="e">
        <f t="shared" si="57"/>
        <v>#N/A</v>
      </c>
      <c r="S287" s="12"/>
      <c r="T287" s="13"/>
      <c r="V287" s="14">
        <v>35703</v>
      </c>
      <c r="W287" s="15">
        <v>12.3</v>
      </c>
    </row>
    <row r="288" spans="1:23" x14ac:dyDescent="0.3">
      <c r="A288" s="8">
        <f t="shared" si="58"/>
        <v>37376</v>
      </c>
      <c r="B288" s="9" t="e">
        <f t="shared" si="52"/>
        <v>#N/A</v>
      </c>
      <c r="C288" s="9">
        <f t="shared" si="59"/>
        <v>3.43</v>
      </c>
      <c r="D288" s="9">
        <f t="shared" si="53"/>
        <v>37.15</v>
      </c>
      <c r="E288" s="1">
        <v>1</v>
      </c>
      <c r="F288" s="1">
        <v>0</v>
      </c>
      <c r="I288" s="1">
        <f t="shared" si="60"/>
        <v>0</v>
      </c>
      <c r="J288" s="1">
        <f t="shared" si="61"/>
        <v>0</v>
      </c>
      <c r="K288" s="1">
        <f t="shared" si="62"/>
        <v>0</v>
      </c>
      <c r="L288" s="1">
        <f t="shared" si="63"/>
        <v>0</v>
      </c>
      <c r="M288" s="1">
        <f t="shared" si="54"/>
        <v>1</v>
      </c>
      <c r="N288" s="1">
        <f t="shared" si="64"/>
        <v>0</v>
      </c>
      <c r="O288" s="1" t="e">
        <f t="shared" si="55"/>
        <v>#N/A</v>
      </c>
      <c r="P288" s="1" t="str">
        <f t="shared" si="56"/>
        <v>产能周期上行</v>
      </c>
      <c r="Q288" s="2" t="e">
        <f t="shared" si="57"/>
        <v>#N/A</v>
      </c>
      <c r="S288" s="12"/>
      <c r="T288" s="13"/>
      <c r="V288" s="14">
        <v>35673</v>
      </c>
      <c r="W288" s="15">
        <v>12.3</v>
      </c>
    </row>
    <row r="289" spans="1:23" x14ac:dyDescent="0.35">
      <c r="A289" s="8">
        <f t="shared" si="58"/>
        <v>37346</v>
      </c>
      <c r="B289" s="9" t="e">
        <f t="shared" si="52"/>
        <v>#N/A</v>
      </c>
      <c r="C289" s="9">
        <f t="shared" si="59"/>
        <v>3.5</v>
      </c>
      <c r="D289" s="9">
        <f t="shared" si="53"/>
        <v>37.15</v>
      </c>
      <c r="E289" s="1">
        <v>1</v>
      </c>
      <c r="F289" s="1">
        <v>0</v>
      </c>
      <c r="I289" s="1">
        <f t="shared" si="60"/>
        <v>0</v>
      </c>
      <c r="J289" s="1">
        <f t="shared" si="61"/>
        <v>0</v>
      </c>
      <c r="K289" s="1">
        <f t="shared" si="62"/>
        <v>0</v>
      </c>
      <c r="L289" s="1">
        <f t="shared" si="63"/>
        <v>0</v>
      </c>
      <c r="M289" s="1">
        <f t="shared" si="54"/>
        <v>1</v>
      </c>
      <c r="N289" s="1">
        <f t="shared" si="64"/>
        <v>0</v>
      </c>
      <c r="O289" s="1" t="e">
        <f t="shared" si="55"/>
        <v>#N/A</v>
      </c>
      <c r="P289" s="1" t="str">
        <f t="shared" si="56"/>
        <v>产能周期上行</v>
      </c>
      <c r="Q289" s="2" t="e">
        <f t="shared" si="57"/>
        <v>#N/A</v>
      </c>
      <c r="S289" s="12"/>
      <c r="T289" s="13"/>
      <c r="V289" s="16">
        <v>35642</v>
      </c>
      <c r="W289" s="17">
        <v>12.2</v>
      </c>
    </row>
    <row r="290" spans="1:23" x14ac:dyDescent="0.35">
      <c r="A290" s="8">
        <f t="shared" si="58"/>
        <v>37315</v>
      </c>
      <c r="B290" s="9" t="e">
        <f t="shared" si="52"/>
        <v>#N/A</v>
      </c>
      <c r="C290" s="9">
        <f t="shared" si="59"/>
        <v>3.7</v>
      </c>
      <c r="D290" s="9">
        <f t="shared" si="53"/>
        <v>36.85</v>
      </c>
      <c r="E290" s="1">
        <v>1</v>
      </c>
      <c r="F290" s="1">
        <v>0</v>
      </c>
      <c r="I290" s="1">
        <f t="shared" si="60"/>
        <v>0</v>
      </c>
      <c r="J290" s="1">
        <f t="shared" si="61"/>
        <v>0</v>
      </c>
      <c r="K290" s="1">
        <f t="shared" si="62"/>
        <v>0</v>
      </c>
      <c r="L290" s="1">
        <f t="shared" si="63"/>
        <v>0</v>
      </c>
      <c r="M290" s="1">
        <f t="shared" si="54"/>
        <v>1</v>
      </c>
      <c r="N290" s="1">
        <f t="shared" si="64"/>
        <v>0</v>
      </c>
      <c r="O290" s="1" t="e">
        <f t="shared" si="55"/>
        <v>#N/A</v>
      </c>
      <c r="P290" s="1" t="str">
        <f t="shared" si="56"/>
        <v>产能周期上行</v>
      </c>
      <c r="Q290" s="2" t="e">
        <f t="shared" si="57"/>
        <v>#N/A</v>
      </c>
      <c r="S290" s="12"/>
      <c r="T290" s="13"/>
      <c r="V290" s="16">
        <v>35611</v>
      </c>
      <c r="W290" s="17">
        <v>13.1</v>
      </c>
    </row>
    <row r="291" spans="1:23" x14ac:dyDescent="0.35">
      <c r="A291" s="8">
        <f t="shared" si="58"/>
        <v>37287</v>
      </c>
      <c r="B291" s="9" t="e">
        <f t="shared" si="52"/>
        <v>#N/A</v>
      </c>
      <c r="C291" s="9" t="e">
        <f t="shared" si="59"/>
        <v>#N/A</v>
      </c>
      <c r="D291" s="9">
        <f t="shared" si="53"/>
        <v>36.85</v>
      </c>
      <c r="E291" s="1">
        <v>1</v>
      </c>
      <c r="F291" s="1">
        <v>0</v>
      </c>
      <c r="I291" s="1">
        <f t="shared" si="60"/>
        <v>0</v>
      </c>
      <c r="J291" s="1">
        <f t="shared" si="61"/>
        <v>0</v>
      </c>
      <c r="K291" s="1">
        <f t="shared" si="62"/>
        <v>0</v>
      </c>
      <c r="L291" s="1">
        <f t="shared" si="63"/>
        <v>0</v>
      </c>
      <c r="M291" s="1">
        <f t="shared" si="54"/>
        <v>1</v>
      </c>
      <c r="N291" s="1">
        <f t="shared" si="64"/>
        <v>0</v>
      </c>
      <c r="O291" s="1" t="e">
        <f t="shared" si="55"/>
        <v>#N/A</v>
      </c>
      <c r="P291" s="1" t="str">
        <f t="shared" si="56"/>
        <v>产能周期上行</v>
      </c>
      <c r="Q291" s="2" t="e">
        <f t="shared" si="57"/>
        <v>#N/A</v>
      </c>
      <c r="S291" s="12"/>
      <c r="T291" s="13"/>
      <c r="V291" s="16">
        <v>35581</v>
      </c>
      <c r="W291" s="17">
        <v>12.9</v>
      </c>
    </row>
    <row r="292" spans="1:23" x14ac:dyDescent="0.35">
      <c r="A292" s="8">
        <f t="shared" si="58"/>
        <v>37256</v>
      </c>
      <c r="B292" s="9" t="e">
        <f t="shared" si="52"/>
        <v>#N/A</v>
      </c>
      <c r="C292" s="9">
        <f t="shared" si="59"/>
        <v>6.64</v>
      </c>
      <c r="D292" s="9">
        <f t="shared" si="53"/>
        <v>36.85</v>
      </c>
      <c r="E292" s="1">
        <v>1</v>
      </c>
      <c r="F292" s="1">
        <v>0</v>
      </c>
      <c r="I292" s="1">
        <f t="shared" si="60"/>
        <v>0</v>
      </c>
      <c r="J292" s="1">
        <f t="shared" si="61"/>
        <v>0</v>
      </c>
      <c r="K292" s="1">
        <f t="shared" si="62"/>
        <v>0</v>
      </c>
      <c r="L292" s="1">
        <f t="shared" si="63"/>
        <v>0</v>
      </c>
      <c r="M292" s="1">
        <f t="shared" si="54"/>
        <v>1</v>
      </c>
      <c r="N292" s="1">
        <f t="shared" si="64"/>
        <v>0</v>
      </c>
      <c r="O292" s="1" t="e">
        <f t="shared" si="55"/>
        <v>#N/A</v>
      </c>
      <c r="P292" s="1" t="str">
        <f t="shared" si="56"/>
        <v>产能周期上行</v>
      </c>
      <c r="Q292" s="2" t="e">
        <f t="shared" si="57"/>
        <v>#N/A</v>
      </c>
      <c r="S292" s="12"/>
      <c r="T292" s="13"/>
      <c r="V292" s="16">
        <v>35550</v>
      </c>
      <c r="W292" s="17">
        <v>13</v>
      </c>
    </row>
    <row r="293" spans="1:23" x14ac:dyDescent="0.35">
      <c r="A293" s="8">
        <f t="shared" si="58"/>
        <v>37225</v>
      </c>
      <c r="B293" s="9" t="e">
        <f t="shared" si="52"/>
        <v>#N/A</v>
      </c>
      <c r="C293" s="9">
        <f t="shared" si="59"/>
        <v>5.44</v>
      </c>
      <c r="D293" s="9">
        <f t="shared" si="53"/>
        <v>36.4</v>
      </c>
      <c r="E293" s="1">
        <v>1</v>
      </c>
      <c r="F293" s="1">
        <v>0</v>
      </c>
      <c r="N293" s="1">
        <v>0</v>
      </c>
      <c r="Q293" s="2" t="str">
        <f t="shared" si="57"/>
        <v>,</v>
      </c>
      <c r="S293" s="12"/>
      <c r="T293" s="13"/>
      <c r="V293" s="16">
        <v>35520</v>
      </c>
      <c r="W293" s="17">
        <v>14.2</v>
      </c>
    </row>
    <row r="294" spans="1:23" x14ac:dyDescent="0.35">
      <c r="A294" s="8">
        <f t="shared" si="58"/>
        <v>37195</v>
      </c>
      <c r="B294" s="9" t="e">
        <f t="shared" si="52"/>
        <v>#N/A</v>
      </c>
      <c r="C294" s="9">
        <f t="shared" si="59"/>
        <v>6.53</v>
      </c>
      <c r="D294" s="9">
        <f t="shared" si="53"/>
        <v>36.4</v>
      </c>
      <c r="N294" s="1">
        <v>0</v>
      </c>
      <c r="Q294" s="2" t="str">
        <f t="shared" si="57"/>
        <v>,</v>
      </c>
      <c r="S294" s="12"/>
      <c r="T294" s="13"/>
      <c r="V294" s="16">
        <v>35489</v>
      </c>
      <c r="W294" s="17">
        <v>14.5</v>
      </c>
    </row>
    <row r="295" spans="1:23" x14ac:dyDescent="0.35">
      <c r="A295" s="8">
        <f t="shared" si="58"/>
        <v>37164</v>
      </c>
      <c r="B295" s="9" t="e">
        <f t="shared" si="52"/>
        <v>#N/A</v>
      </c>
      <c r="C295" s="9">
        <f t="shared" si="59"/>
        <v>6.67</v>
      </c>
      <c r="D295" s="9">
        <f t="shared" si="53"/>
        <v>36.4</v>
      </c>
      <c r="N295" s="1">
        <v>0</v>
      </c>
      <c r="Q295" s="2" t="str">
        <f t="shared" si="57"/>
        <v>,</v>
      </c>
      <c r="S295" s="12"/>
      <c r="T295" s="13"/>
      <c r="V295" s="16">
        <v>35430</v>
      </c>
      <c r="W295" s="17">
        <v>16.3</v>
      </c>
    </row>
    <row r="296" spans="1:23" x14ac:dyDescent="0.35">
      <c r="A296" s="8">
        <f t="shared" si="58"/>
        <v>37134</v>
      </c>
      <c r="B296" s="9" t="e">
        <f t="shared" si="52"/>
        <v>#N/A</v>
      </c>
      <c r="C296" s="9">
        <f t="shared" si="59"/>
        <v>7.7</v>
      </c>
      <c r="D296" s="9">
        <f t="shared" si="53"/>
        <v>37.15</v>
      </c>
      <c r="N296" s="1">
        <v>0</v>
      </c>
      <c r="Q296" s="2" t="str">
        <f t="shared" si="57"/>
        <v>,</v>
      </c>
      <c r="S296" s="12"/>
      <c r="T296" s="13"/>
      <c r="V296" s="16">
        <v>35399</v>
      </c>
      <c r="W296" s="17">
        <v>15.6</v>
      </c>
    </row>
    <row r="297" spans="1:23" x14ac:dyDescent="0.35">
      <c r="A297" s="8">
        <f t="shared" si="58"/>
        <v>37103</v>
      </c>
      <c r="B297" s="9" t="e">
        <f t="shared" si="52"/>
        <v>#N/A</v>
      </c>
      <c r="C297" s="9">
        <f t="shared" si="59"/>
        <v>8.59</v>
      </c>
      <c r="D297" s="9">
        <f t="shared" si="53"/>
        <v>37.15</v>
      </c>
      <c r="N297" s="1">
        <v>0</v>
      </c>
      <c r="Q297" s="2" t="str">
        <f t="shared" si="57"/>
        <v>,</v>
      </c>
      <c r="S297" s="12"/>
      <c r="T297" s="13"/>
      <c r="V297" s="16">
        <v>35369</v>
      </c>
      <c r="W297" s="17">
        <v>16.7</v>
      </c>
    </row>
    <row r="298" spans="1:23" x14ac:dyDescent="0.35">
      <c r="A298" s="8">
        <f t="shared" si="58"/>
        <v>37072</v>
      </c>
      <c r="B298" s="9" t="e">
        <f t="shared" si="52"/>
        <v>#N/A</v>
      </c>
      <c r="C298" s="9">
        <f t="shared" si="59"/>
        <v>8.7200000000000006</v>
      </c>
      <c r="D298" s="9">
        <f t="shared" si="53"/>
        <v>37.15</v>
      </c>
      <c r="N298" s="1">
        <v>0</v>
      </c>
      <c r="Q298" s="2" t="str">
        <f t="shared" si="57"/>
        <v>,</v>
      </c>
      <c r="S298" s="12"/>
      <c r="T298" s="13"/>
      <c r="V298" s="16">
        <v>35338</v>
      </c>
      <c r="W298" s="17">
        <v>18.3</v>
      </c>
    </row>
    <row r="299" spans="1:23" x14ac:dyDescent="0.35">
      <c r="A299" s="8">
        <f t="shared" si="58"/>
        <v>37042</v>
      </c>
      <c r="B299" s="9" t="e">
        <f t="shared" si="52"/>
        <v>#N/A</v>
      </c>
      <c r="C299" s="9">
        <f t="shared" si="59"/>
        <v>7.6</v>
      </c>
      <c r="D299" s="9">
        <f t="shared" si="53"/>
        <v>36.15</v>
      </c>
      <c r="N299" s="1">
        <v>0</v>
      </c>
      <c r="Q299" s="2" t="str">
        <f t="shared" si="57"/>
        <v>,</v>
      </c>
      <c r="S299" s="12"/>
      <c r="T299" s="13"/>
      <c r="V299" s="16">
        <v>35308</v>
      </c>
      <c r="W299" s="17">
        <v>19.7</v>
      </c>
    </row>
    <row r="300" spans="1:23" x14ac:dyDescent="0.35">
      <c r="A300" s="8">
        <f t="shared" si="58"/>
        <v>37011</v>
      </c>
      <c r="B300" s="9" t="e">
        <f t="shared" si="52"/>
        <v>#N/A</v>
      </c>
      <c r="C300" s="9">
        <f t="shared" si="59"/>
        <v>7.56</v>
      </c>
      <c r="D300" s="9">
        <f t="shared" si="53"/>
        <v>36.15</v>
      </c>
      <c r="N300" s="1">
        <v>0</v>
      </c>
      <c r="Q300" s="2" t="str">
        <f t="shared" si="57"/>
        <v>,</v>
      </c>
      <c r="S300" s="12"/>
      <c r="T300" s="13"/>
      <c r="V300" s="16">
        <v>35277</v>
      </c>
      <c r="W300" s="17">
        <v>20.9</v>
      </c>
    </row>
    <row r="301" spans="1:23" x14ac:dyDescent="0.35">
      <c r="A301" s="8">
        <f t="shared" si="58"/>
        <v>36981</v>
      </c>
      <c r="B301" s="9" t="e">
        <f t="shared" si="52"/>
        <v>#N/A</v>
      </c>
      <c r="C301" s="9">
        <f t="shared" si="59"/>
        <v>7.73</v>
      </c>
      <c r="D301" s="9">
        <f t="shared" si="53"/>
        <v>36.15</v>
      </c>
      <c r="N301" s="1">
        <v>0</v>
      </c>
      <c r="Q301" s="2" t="str">
        <f t="shared" si="57"/>
        <v>,</v>
      </c>
      <c r="S301" s="12"/>
      <c r="T301" s="13"/>
      <c r="V301" s="16">
        <v>35246</v>
      </c>
      <c r="W301" s="17">
        <v>22.6</v>
      </c>
    </row>
    <row r="302" spans="1:23" x14ac:dyDescent="0.35">
      <c r="A302" s="8">
        <f t="shared" si="58"/>
        <v>36950</v>
      </c>
      <c r="B302" s="9" t="e">
        <f t="shared" ref="B302:B336" si="65">NA()</f>
        <v>#N/A</v>
      </c>
      <c r="C302" s="9">
        <f t="shared" si="59"/>
        <v>5.9</v>
      </c>
      <c r="D302" s="9">
        <f t="shared" si="53"/>
        <v>36.15</v>
      </c>
      <c r="N302" s="1">
        <v>0</v>
      </c>
      <c r="Q302" s="2" t="str">
        <f t="shared" si="57"/>
        <v>,</v>
      </c>
      <c r="S302" s="12"/>
      <c r="T302" s="13"/>
      <c r="V302" s="16">
        <v>35216</v>
      </c>
      <c r="W302" s="17">
        <v>23.4</v>
      </c>
    </row>
    <row r="303" spans="1:23" x14ac:dyDescent="0.35">
      <c r="A303" s="8">
        <f t="shared" si="58"/>
        <v>36922</v>
      </c>
      <c r="B303" s="9" t="e">
        <f t="shared" si="65"/>
        <v>#N/A</v>
      </c>
      <c r="C303" s="9" t="e">
        <f t="shared" si="59"/>
        <v>#N/A</v>
      </c>
      <c r="D303" s="9">
        <f t="shared" si="53"/>
        <v>36.15</v>
      </c>
      <c r="N303" s="1">
        <v>0</v>
      </c>
      <c r="Q303" s="2" t="str">
        <f t="shared" si="57"/>
        <v>,</v>
      </c>
      <c r="S303" s="12"/>
      <c r="T303" s="13"/>
      <c r="V303" s="16">
        <v>35185</v>
      </c>
      <c r="W303" s="17">
        <v>24.5</v>
      </c>
    </row>
    <row r="304" spans="1:23" x14ac:dyDescent="0.35">
      <c r="A304" s="8">
        <f t="shared" si="58"/>
        <v>36891</v>
      </c>
      <c r="B304" s="9" t="e">
        <f t="shared" si="65"/>
        <v>#N/A</v>
      </c>
      <c r="C304" s="9">
        <f t="shared" si="59"/>
        <v>6.85</v>
      </c>
      <c r="D304" s="9">
        <f t="shared" si="53"/>
        <v>36.15</v>
      </c>
      <c r="N304" s="1">
        <v>0</v>
      </c>
      <c r="Q304" s="2" t="str">
        <f t="shared" si="57"/>
        <v>,</v>
      </c>
      <c r="S304" s="12"/>
      <c r="T304" s="13"/>
      <c r="V304" s="16">
        <v>35155</v>
      </c>
      <c r="W304" s="17">
        <v>24.6</v>
      </c>
    </row>
    <row r="305" spans="1:23" x14ac:dyDescent="0.35">
      <c r="A305" s="8">
        <f t="shared" si="58"/>
        <v>36860</v>
      </c>
      <c r="B305" s="9" t="e">
        <f t="shared" si="65"/>
        <v>#N/A</v>
      </c>
      <c r="C305" s="9">
        <f t="shared" si="59"/>
        <v>4.6399999999999997</v>
      </c>
      <c r="D305" s="9">
        <f t="shared" si="53"/>
        <v>35.549999999999997</v>
      </c>
      <c r="N305" s="1">
        <v>0</v>
      </c>
      <c r="Q305" s="2" t="str">
        <f t="shared" si="57"/>
        <v>,</v>
      </c>
      <c r="S305" s="12"/>
      <c r="T305" s="13"/>
      <c r="V305" s="16">
        <v>35124</v>
      </c>
      <c r="W305" s="17">
        <v>23.6</v>
      </c>
    </row>
    <row r="306" spans="1:23" x14ac:dyDescent="0.35">
      <c r="A306" s="8">
        <f t="shared" si="58"/>
        <v>36830</v>
      </c>
      <c r="B306" s="9" t="e">
        <f t="shared" si="65"/>
        <v>#N/A</v>
      </c>
      <c r="C306" s="9">
        <f t="shared" si="59"/>
        <v>3.8</v>
      </c>
      <c r="D306" s="9">
        <f t="shared" si="53"/>
        <v>35.549999999999997</v>
      </c>
      <c r="N306" s="1">
        <v>0</v>
      </c>
      <c r="Q306" s="2" t="str">
        <f t="shared" si="57"/>
        <v>,</v>
      </c>
      <c r="S306" s="12"/>
      <c r="T306" s="13"/>
      <c r="V306" s="18"/>
      <c r="W306" s="17"/>
    </row>
    <row r="307" spans="1:23" x14ac:dyDescent="0.35">
      <c r="A307" s="8">
        <f t="shared" si="58"/>
        <v>36799</v>
      </c>
      <c r="B307" s="9" t="e">
        <f t="shared" si="65"/>
        <v>#N/A</v>
      </c>
      <c r="C307" s="9">
        <f t="shared" si="59"/>
        <v>3.64</v>
      </c>
      <c r="D307" s="9">
        <f t="shared" si="53"/>
        <v>35.549999999999997</v>
      </c>
      <c r="N307" s="1">
        <v>0</v>
      </c>
      <c r="Q307" s="2" t="str">
        <f t="shared" si="57"/>
        <v>,</v>
      </c>
      <c r="S307" s="12"/>
      <c r="T307" s="13"/>
      <c r="V307" s="18"/>
      <c r="W307" s="17"/>
    </row>
    <row r="308" spans="1:23" x14ac:dyDescent="0.35">
      <c r="A308" s="8">
        <f t="shared" si="58"/>
        <v>36769</v>
      </c>
      <c r="B308" s="9" t="e">
        <f t="shared" si="65"/>
        <v>#N/A</v>
      </c>
      <c r="C308" s="9">
        <f t="shared" si="59"/>
        <v>3.34</v>
      </c>
      <c r="D308" s="9">
        <f t="shared" si="53"/>
        <v>34.6</v>
      </c>
      <c r="N308" s="1">
        <v>0</v>
      </c>
      <c r="Q308" s="2" t="str">
        <f t="shared" si="57"/>
        <v>,</v>
      </c>
      <c r="S308" s="12"/>
      <c r="T308" s="13"/>
      <c r="V308" s="18"/>
      <c r="W308" s="17"/>
    </row>
    <row r="309" spans="1:23" x14ac:dyDescent="0.35">
      <c r="A309" s="8">
        <f t="shared" si="58"/>
        <v>36738</v>
      </c>
      <c r="B309" s="9" t="e">
        <f t="shared" si="65"/>
        <v>#N/A</v>
      </c>
      <c r="C309" s="9">
        <f t="shared" si="59"/>
        <v>2.42</v>
      </c>
      <c r="D309" s="9">
        <f t="shared" si="53"/>
        <v>34.6</v>
      </c>
      <c r="N309" s="1">
        <v>0</v>
      </c>
      <c r="Q309" s="2" t="str">
        <f t="shared" si="57"/>
        <v>,</v>
      </c>
      <c r="S309" s="12"/>
      <c r="T309" s="13"/>
      <c r="V309" s="18"/>
      <c r="W309" s="17"/>
    </row>
    <row r="310" spans="1:23" x14ac:dyDescent="0.35">
      <c r="A310" s="8">
        <f t="shared" si="58"/>
        <v>36707</v>
      </c>
      <c r="B310" s="9" t="e">
        <f t="shared" si="65"/>
        <v>#N/A</v>
      </c>
      <c r="C310" s="9">
        <f t="shared" si="59"/>
        <v>2.0699999999999998</v>
      </c>
      <c r="D310" s="9">
        <f t="shared" si="53"/>
        <v>34.6</v>
      </c>
      <c r="N310" s="1">
        <v>0</v>
      </c>
      <c r="Q310" s="2" t="str">
        <f t="shared" si="57"/>
        <v>,</v>
      </c>
      <c r="S310" s="12"/>
      <c r="T310" s="13"/>
      <c r="V310" s="18"/>
      <c r="W310" s="17"/>
    </row>
    <row r="311" spans="1:23" x14ac:dyDescent="0.35">
      <c r="A311" s="8">
        <f t="shared" si="58"/>
        <v>36677</v>
      </c>
      <c r="B311" s="9" t="e">
        <f t="shared" si="65"/>
        <v>#N/A</v>
      </c>
      <c r="C311" s="9">
        <f t="shared" si="59"/>
        <v>1.39</v>
      </c>
      <c r="D311" s="9">
        <f t="shared" si="53"/>
        <v>32.65</v>
      </c>
      <c r="N311" s="1">
        <v>0</v>
      </c>
      <c r="Q311" s="2" t="str">
        <f t="shared" si="57"/>
        <v>,</v>
      </c>
      <c r="S311" s="12"/>
      <c r="T311" s="13"/>
      <c r="V311" s="18"/>
      <c r="W311" s="17"/>
    </row>
    <row r="312" spans="1:23" x14ac:dyDescent="0.35">
      <c r="A312" s="8">
        <f t="shared" si="58"/>
        <v>36646</v>
      </c>
      <c r="B312" s="9" t="e">
        <f t="shared" si="65"/>
        <v>#N/A</v>
      </c>
      <c r="C312" s="9">
        <f t="shared" si="59"/>
        <v>1.43</v>
      </c>
      <c r="D312" s="9">
        <f t="shared" si="53"/>
        <v>32.65</v>
      </c>
      <c r="N312" s="1">
        <v>0</v>
      </c>
      <c r="Q312" s="2" t="str">
        <f t="shared" si="57"/>
        <v>,</v>
      </c>
      <c r="S312" s="12"/>
      <c r="T312" s="13"/>
      <c r="V312" s="18"/>
      <c r="W312" s="17"/>
    </row>
    <row r="313" spans="1:23" x14ac:dyDescent="0.35">
      <c r="A313" s="8">
        <f t="shared" si="58"/>
        <v>36616</v>
      </c>
      <c r="B313" s="9" t="e">
        <f t="shared" si="65"/>
        <v>#N/A</v>
      </c>
      <c r="C313" s="9">
        <f t="shared" si="59"/>
        <v>2.54</v>
      </c>
      <c r="D313" s="9">
        <f t="shared" si="53"/>
        <v>32.65</v>
      </c>
      <c r="N313" s="1">
        <v>0</v>
      </c>
      <c r="Q313" s="2" t="str">
        <f t="shared" si="57"/>
        <v>,</v>
      </c>
      <c r="S313" s="12"/>
      <c r="T313" s="13"/>
      <c r="V313" s="18"/>
      <c r="W313" s="17"/>
    </row>
    <row r="314" spans="1:23" x14ac:dyDescent="0.35">
      <c r="A314" s="8">
        <f t="shared" si="58"/>
        <v>36585</v>
      </c>
      <c r="B314" s="9" t="e">
        <f t="shared" si="65"/>
        <v>#N/A</v>
      </c>
      <c r="C314" s="9">
        <f t="shared" si="59"/>
        <v>2.61</v>
      </c>
      <c r="D314" s="9">
        <f t="shared" si="53"/>
        <v>33.9</v>
      </c>
      <c r="N314" s="1">
        <v>0</v>
      </c>
      <c r="Q314" s="2" t="str">
        <f t="shared" si="57"/>
        <v>,</v>
      </c>
      <c r="S314" s="12"/>
      <c r="T314" s="13"/>
      <c r="V314" s="18"/>
      <c r="W314" s="17"/>
    </row>
    <row r="315" spans="1:23" x14ac:dyDescent="0.35">
      <c r="A315" s="8">
        <f t="shared" si="58"/>
        <v>36556</v>
      </c>
      <c r="B315" s="9" t="e">
        <f t="shared" si="65"/>
        <v>#N/A</v>
      </c>
      <c r="C315" s="9" t="e">
        <f t="shared" si="59"/>
        <v>#N/A</v>
      </c>
      <c r="D315" s="9">
        <f t="shared" si="53"/>
        <v>33.9</v>
      </c>
      <c r="N315" s="1">
        <v>0</v>
      </c>
      <c r="Q315" s="2" t="str">
        <f t="shared" si="57"/>
        <v>,</v>
      </c>
      <c r="S315" s="12"/>
      <c r="T315" s="13"/>
      <c r="V315" s="18"/>
      <c r="W315" s="17"/>
    </row>
    <row r="316" spans="1:23" x14ac:dyDescent="0.35">
      <c r="A316" s="8">
        <f t="shared" si="58"/>
        <v>36525</v>
      </c>
      <c r="B316" s="9" t="e">
        <f t="shared" si="65"/>
        <v>#N/A</v>
      </c>
      <c r="C316" s="9">
        <f t="shared" si="59"/>
        <v>4.55</v>
      </c>
      <c r="D316" s="9">
        <f t="shared" si="53"/>
        <v>33.9</v>
      </c>
      <c r="N316" s="1">
        <v>0</v>
      </c>
      <c r="Q316" s="2" t="str">
        <f t="shared" si="57"/>
        <v>,</v>
      </c>
      <c r="S316" s="12"/>
      <c r="T316" s="13"/>
      <c r="V316" s="18"/>
      <c r="W316" s="17"/>
    </row>
    <row r="317" spans="1:23" x14ac:dyDescent="0.35">
      <c r="A317" s="8">
        <f t="shared" si="58"/>
        <v>36494</v>
      </c>
      <c r="B317" s="9" t="e">
        <f t="shared" si="65"/>
        <v>#N/A</v>
      </c>
      <c r="C317" s="9">
        <f t="shared" si="59"/>
        <v>4.4800000000000004</v>
      </c>
      <c r="D317" s="9">
        <f t="shared" si="53"/>
        <v>32.75</v>
      </c>
      <c r="N317" s="1">
        <v>0</v>
      </c>
      <c r="Q317" s="2" t="str">
        <f t="shared" si="57"/>
        <v>,</v>
      </c>
      <c r="S317" s="12"/>
      <c r="T317" s="13"/>
      <c r="V317" s="18"/>
      <c r="W317" s="17"/>
    </row>
    <row r="318" spans="1:23" x14ac:dyDescent="0.35">
      <c r="A318" s="8">
        <f t="shared" si="58"/>
        <v>36464</v>
      </c>
      <c r="B318" s="9" t="e">
        <f t="shared" si="65"/>
        <v>#N/A</v>
      </c>
      <c r="C318" s="9">
        <f t="shared" si="59"/>
        <v>3.58</v>
      </c>
      <c r="D318" s="9">
        <f t="shared" si="53"/>
        <v>32.75</v>
      </c>
      <c r="N318" s="1">
        <v>0</v>
      </c>
      <c r="Q318" s="2" t="str">
        <f t="shared" si="57"/>
        <v>,</v>
      </c>
      <c r="S318" s="12"/>
      <c r="T318" s="13"/>
      <c r="V318" s="18"/>
      <c r="W318" s="17"/>
    </row>
    <row r="319" spans="1:23" x14ac:dyDescent="0.35">
      <c r="A319" s="8">
        <f t="shared" si="58"/>
        <v>36433</v>
      </c>
      <c r="B319" s="9" t="e">
        <f t="shared" si="65"/>
        <v>#N/A</v>
      </c>
      <c r="C319" s="9">
        <f t="shared" si="59"/>
        <v>3.66</v>
      </c>
      <c r="D319" s="9">
        <f t="shared" si="53"/>
        <v>32.75</v>
      </c>
      <c r="N319" s="1">
        <v>0</v>
      </c>
      <c r="Q319" s="2" t="str">
        <f t="shared" si="57"/>
        <v>,</v>
      </c>
      <c r="S319" s="12"/>
      <c r="T319" s="13"/>
      <c r="V319" s="18"/>
      <c r="W319" s="17"/>
    </row>
    <row r="320" spans="1:23" x14ac:dyDescent="0.35">
      <c r="A320" s="8">
        <f t="shared" si="58"/>
        <v>36403</v>
      </c>
      <c r="B320" s="9" t="e">
        <f t="shared" si="65"/>
        <v>#N/A</v>
      </c>
      <c r="C320" s="9">
        <f t="shared" si="59"/>
        <v>3.71</v>
      </c>
      <c r="D320" s="9">
        <f t="shared" si="53"/>
        <v>33.700000000000003</v>
      </c>
      <c r="N320" s="1">
        <v>0</v>
      </c>
      <c r="Q320" s="2" t="str">
        <f t="shared" si="57"/>
        <v>,</v>
      </c>
      <c r="S320" s="12"/>
      <c r="T320" s="13"/>
      <c r="V320" s="18"/>
      <c r="W320" s="17"/>
    </row>
    <row r="321" spans="1:23" x14ac:dyDescent="0.35">
      <c r="A321" s="8">
        <f t="shared" si="58"/>
        <v>36372</v>
      </c>
      <c r="B321" s="9" t="e">
        <f t="shared" si="65"/>
        <v>#N/A</v>
      </c>
      <c r="C321" s="9">
        <f t="shared" si="59"/>
        <v>3.44</v>
      </c>
      <c r="D321" s="9">
        <f t="shared" si="53"/>
        <v>33.700000000000003</v>
      </c>
      <c r="N321" s="1">
        <v>0</v>
      </c>
      <c r="Q321" s="2" t="str">
        <f t="shared" si="57"/>
        <v>,</v>
      </c>
      <c r="S321" s="12"/>
      <c r="T321" s="13"/>
      <c r="V321" s="18"/>
      <c r="W321" s="17"/>
    </row>
    <row r="322" spans="1:23" x14ac:dyDescent="0.35">
      <c r="A322" s="8">
        <f t="shared" si="58"/>
        <v>36341</v>
      </c>
      <c r="B322" s="9" t="e">
        <f t="shared" si="65"/>
        <v>#N/A</v>
      </c>
      <c r="C322" s="9">
        <f t="shared" si="59"/>
        <v>3.94</v>
      </c>
      <c r="D322" s="9">
        <f t="shared" si="53"/>
        <v>33.700000000000003</v>
      </c>
      <c r="N322" s="1">
        <v>0</v>
      </c>
      <c r="Q322" s="2" t="str">
        <f t="shared" si="57"/>
        <v>,</v>
      </c>
      <c r="S322" s="12"/>
      <c r="T322" s="13"/>
      <c r="V322" s="18"/>
      <c r="W322" s="17"/>
    </row>
    <row r="323" spans="1:23" x14ac:dyDescent="0.35">
      <c r="A323" s="8">
        <f t="shared" si="58"/>
        <v>36311</v>
      </c>
      <c r="B323" s="9" t="e">
        <f t="shared" si="65"/>
        <v>#N/A</v>
      </c>
      <c r="C323" s="9">
        <f t="shared" si="59"/>
        <v>4.55</v>
      </c>
      <c r="D323" s="9">
        <f t="shared" si="53"/>
        <v>32.6</v>
      </c>
      <c r="N323" s="1">
        <v>0</v>
      </c>
      <c r="Q323" s="2" t="str">
        <f t="shared" si="57"/>
        <v>,</v>
      </c>
      <c r="S323" s="12"/>
      <c r="T323" s="13"/>
      <c r="V323" s="18"/>
      <c r="W323" s="17"/>
    </row>
    <row r="324" spans="1:23" x14ac:dyDescent="0.35">
      <c r="A324" s="8">
        <f t="shared" si="58"/>
        <v>36280</v>
      </c>
      <c r="B324" s="9" t="e">
        <f t="shared" si="65"/>
        <v>#N/A</v>
      </c>
      <c r="C324" s="9">
        <f t="shared" si="59"/>
        <v>5.05</v>
      </c>
      <c r="D324" s="9">
        <f t="shared" si="53"/>
        <v>32.6</v>
      </c>
      <c r="N324" s="1">
        <v>0</v>
      </c>
      <c r="Q324" s="2" t="str">
        <f t="shared" si="57"/>
        <v>,</v>
      </c>
      <c r="S324" s="12"/>
      <c r="T324" s="13"/>
      <c r="V324" s="18"/>
      <c r="W324" s="17"/>
    </row>
    <row r="325" spans="1:23" x14ac:dyDescent="0.35">
      <c r="A325" s="8">
        <f t="shared" si="58"/>
        <v>36250</v>
      </c>
      <c r="B325" s="9" t="e">
        <f t="shared" si="65"/>
        <v>#N/A</v>
      </c>
      <c r="C325" s="9">
        <f t="shared" si="59"/>
        <v>5.38</v>
      </c>
      <c r="D325" s="9">
        <f t="shared" ref="D325:D345" si="66">IFERROR(VLOOKUP(A325,Y:Z,2,FALSE),D326)</f>
        <v>32.6</v>
      </c>
      <c r="N325" s="1">
        <v>0</v>
      </c>
      <c r="Q325" s="2" t="str">
        <f t="shared" ref="Q325:Q345" si="67">TEXT(P325,"")&amp;","&amp;TEXT(O325,"")</f>
        <v>,</v>
      </c>
      <c r="S325" s="12"/>
      <c r="T325" s="13"/>
      <c r="V325" s="18"/>
      <c r="W325" s="17"/>
    </row>
    <row r="326" spans="1:23" x14ac:dyDescent="0.35">
      <c r="A326" s="8">
        <f t="shared" ref="A326:A345" si="68">EOMONTH(A325,-1)</f>
        <v>36219</v>
      </c>
      <c r="B326" s="9" t="e">
        <f t="shared" si="65"/>
        <v>#N/A</v>
      </c>
      <c r="C326" s="9">
        <f t="shared" ref="C326:C345" si="69">VLOOKUP(A326,V:W,2,0)</f>
        <v>7.37</v>
      </c>
      <c r="D326" s="9">
        <f t="shared" si="66"/>
        <v>32.5</v>
      </c>
      <c r="N326" s="1">
        <v>0</v>
      </c>
      <c r="Q326" s="2" t="str">
        <f t="shared" si="67"/>
        <v>,</v>
      </c>
      <c r="S326" s="12"/>
      <c r="T326" s="13"/>
      <c r="V326" s="18"/>
      <c r="W326" s="17"/>
    </row>
    <row r="327" spans="1:23" x14ac:dyDescent="0.35">
      <c r="A327" s="8">
        <f t="shared" si="68"/>
        <v>36191</v>
      </c>
      <c r="B327" s="9" t="e">
        <f t="shared" si="65"/>
        <v>#N/A</v>
      </c>
      <c r="C327" s="9" t="e">
        <f t="shared" si="69"/>
        <v>#N/A</v>
      </c>
      <c r="D327" s="9">
        <f t="shared" si="66"/>
        <v>32.5</v>
      </c>
      <c r="N327" s="1">
        <v>0</v>
      </c>
      <c r="Q327" s="2" t="str">
        <f t="shared" si="67"/>
        <v>,</v>
      </c>
      <c r="S327" s="12"/>
      <c r="T327" s="13"/>
      <c r="V327" s="18"/>
      <c r="W327" s="17"/>
    </row>
    <row r="328" spans="1:23" x14ac:dyDescent="0.35">
      <c r="A328" s="8">
        <f t="shared" si="68"/>
        <v>36160</v>
      </c>
      <c r="B328" s="9" t="e">
        <f t="shared" si="65"/>
        <v>#N/A</v>
      </c>
      <c r="C328" s="9">
        <f t="shared" si="69"/>
        <v>5.5</v>
      </c>
      <c r="D328" s="9">
        <f t="shared" si="66"/>
        <v>32.5</v>
      </c>
      <c r="N328" s="1">
        <v>0</v>
      </c>
      <c r="Q328" s="2" t="str">
        <f t="shared" si="67"/>
        <v>,</v>
      </c>
      <c r="S328" s="12"/>
      <c r="T328" s="13"/>
      <c r="V328" s="18"/>
      <c r="W328" s="17"/>
    </row>
    <row r="329" spans="1:23" x14ac:dyDescent="0.35">
      <c r="A329" s="8">
        <f t="shared" si="68"/>
        <v>36129</v>
      </c>
      <c r="B329" s="9" t="e">
        <f t="shared" si="65"/>
        <v>#N/A</v>
      </c>
      <c r="C329" s="9">
        <f t="shared" si="69"/>
        <v>5.5</v>
      </c>
      <c r="D329" s="9">
        <f t="shared" si="66"/>
        <v>31.3</v>
      </c>
      <c r="N329" s="1">
        <v>0</v>
      </c>
      <c r="Q329" s="2" t="str">
        <f t="shared" si="67"/>
        <v>,</v>
      </c>
      <c r="S329" s="12"/>
      <c r="T329" s="13"/>
      <c r="V329" s="18"/>
      <c r="W329" s="17"/>
    </row>
    <row r="330" spans="1:23" x14ac:dyDescent="0.35">
      <c r="A330" s="8">
        <f t="shared" si="68"/>
        <v>36099</v>
      </c>
      <c r="B330" s="9" t="e">
        <f t="shared" si="65"/>
        <v>#N/A</v>
      </c>
      <c r="C330" s="9">
        <f t="shared" si="69"/>
        <v>6.6</v>
      </c>
      <c r="D330" s="9">
        <f t="shared" si="66"/>
        <v>31.3</v>
      </c>
      <c r="N330" s="1">
        <v>0</v>
      </c>
      <c r="Q330" s="2" t="str">
        <f t="shared" si="67"/>
        <v>,</v>
      </c>
      <c r="S330" s="12"/>
      <c r="T330" s="13"/>
      <c r="V330" s="18"/>
      <c r="W330" s="17"/>
    </row>
    <row r="331" spans="1:23" x14ac:dyDescent="0.35">
      <c r="A331" s="8">
        <f t="shared" si="68"/>
        <v>36068</v>
      </c>
      <c r="B331" s="9" t="e">
        <f t="shared" si="65"/>
        <v>#N/A</v>
      </c>
      <c r="C331" s="9">
        <f t="shared" si="69"/>
        <v>7.3</v>
      </c>
      <c r="D331" s="9">
        <f t="shared" si="66"/>
        <v>31.3</v>
      </c>
      <c r="N331" s="1">
        <v>0</v>
      </c>
      <c r="Q331" s="2" t="str">
        <f t="shared" si="67"/>
        <v>,</v>
      </c>
      <c r="S331" s="12"/>
      <c r="T331" s="13"/>
      <c r="V331" s="18"/>
      <c r="W331" s="17"/>
    </row>
    <row r="332" spans="1:23" x14ac:dyDescent="0.35">
      <c r="A332" s="8">
        <f t="shared" si="68"/>
        <v>36038</v>
      </c>
      <c r="B332" s="9" t="e">
        <f t="shared" si="65"/>
        <v>#N/A</v>
      </c>
      <c r="C332" s="9">
        <f t="shared" si="69"/>
        <v>8.9</v>
      </c>
      <c r="D332" s="9">
        <f t="shared" si="66"/>
        <v>31.2</v>
      </c>
      <c r="N332" s="1">
        <v>0</v>
      </c>
      <c r="Q332" s="2" t="str">
        <f t="shared" si="67"/>
        <v>,</v>
      </c>
      <c r="S332" s="12"/>
      <c r="T332" s="13"/>
      <c r="V332" s="18"/>
      <c r="W332" s="17"/>
    </row>
    <row r="333" spans="1:23" x14ac:dyDescent="0.35">
      <c r="A333" s="8">
        <f t="shared" si="68"/>
        <v>36007</v>
      </c>
      <c r="B333" s="9" t="e">
        <f t="shared" si="65"/>
        <v>#N/A</v>
      </c>
      <c r="C333" s="9">
        <f t="shared" si="69"/>
        <v>9.81</v>
      </c>
      <c r="D333" s="9">
        <f t="shared" si="66"/>
        <v>31.2</v>
      </c>
      <c r="N333" s="1">
        <v>0</v>
      </c>
      <c r="Q333" s="2" t="str">
        <f t="shared" si="67"/>
        <v>,</v>
      </c>
      <c r="S333" s="12"/>
      <c r="T333" s="13"/>
      <c r="V333" s="18"/>
      <c r="W333" s="17"/>
    </row>
    <row r="334" spans="1:23" x14ac:dyDescent="0.35">
      <c r="A334" s="8">
        <f t="shared" si="68"/>
        <v>35976</v>
      </c>
      <c r="B334" s="9" t="e">
        <f t="shared" si="65"/>
        <v>#N/A</v>
      </c>
      <c r="C334" s="9">
        <f t="shared" si="69"/>
        <v>10.1</v>
      </c>
      <c r="D334" s="9">
        <f t="shared" si="66"/>
        <v>31.2</v>
      </c>
      <c r="N334" s="1">
        <v>0</v>
      </c>
      <c r="Q334" s="2" t="str">
        <f t="shared" si="67"/>
        <v>,</v>
      </c>
      <c r="S334" s="12"/>
      <c r="T334" s="13"/>
      <c r="V334" s="18"/>
      <c r="W334" s="17"/>
    </row>
    <row r="335" spans="1:23" x14ac:dyDescent="0.35">
      <c r="A335" s="8">
        <f t="shared" si="68"/>
        <v>35946</v>
      </c>
      <c r="B335" s="9" t="e">
        <f t="shared" si="65"/>
        <v>#N/A</v>
      </c>
      <c r="C335" s="9">
        <f t="shared" si="69"/>
        <v>12.37</v>
      </c>
      <c r="D335" s="9">
        <f t="shared" si="66"/>
        <v>30.55</v>
      </c>
      <c r="N335" s="1">
        <v>0</v>
      </c>
      <c r="Q335" s="2" t="str">
        <f t="shared" si="67"/>
        <v>,</v>
      </c>
      <c r="S335" s="12"/>
      <c r="T335" s="13"/>
      <c r="V335" s="18"/>
      <c r="W335" s="17"/>
    </row>
    <row r="336" spans="1:23" x14ac:dyDescent="0.3">
      <c r="A336" s="8">
        <f t="shared" si="68"/>
        <v>35915</v>
      </c>
      <c r="B336" s="9" t="e">
        <f t="shared" si="65"/>
        <v>#N/A</v>
      </c>
      <c r="C336" s="9">
        <f t="shared" si="69"/>
        <v>12.82</v>
      </c>
      <c r="D336" s="9">
        <f t="shared" si="66"/>
        <v>30.55</v>
      </c>
      <c r="N336" s="1">
        <v>0</v>
      </c>
      <c r="Q336" s="2" t="str">
        <f t="shared" si="67"/>
        <v>,</v>
      </c>
      <c r="V336" s="18"/>
      <c r="W336" s="17"/>
    </row>
    <row r="337" spans="1:23" x14ac:dyDescent="0.3">
      <c r="A337" s="8">
        <f t="shared" si="68"/>
        <v>35885</v>
      </c>
      <c r="B337" s="9" t="e">
        <f t="shared" ref="B337:B345" si="70">VLOOKUP(A337,S:T,2,0)</f>
        <v>#N/A</v>
      </c>
      <c r="C337" s="9">
        <f t="shared" si="69"/>
        <v>14.2</v>
      </c>
      <c r="D337" s="9">
        <f t="shared" si="66"/>
        <v>30.55</v>
      </c>
      <c r="N337" s="1">
        <v>0</v>
      </c>
      <c r="Q337" s="2" t="str">
        <f t="shared" si="67"/>
        <v>,</v>
      </c>
      <c r="V337" s="18"/>
      <c r="W337" s="17"/>
    </row>
    <row r="338" spans="1:23" x14ac:dyDescent="0.3">
      <c r="A338" s="8">
        <f t="shared" si="68"/>
        <v>35854</v>
      </c>
      <c r="B338" s="9" t="e">
        <f t="shared" si="70"/>
        <v>#N/A</v>
      </c>
      <c r="C338" s="9">
        <f t="shared" si="69"/>
        <v>14.2</v>
      </c>
      <c r="D338" s="9">
        <f t="shared" si="66"/>
        <v>31.6</v>
      </c>
      <c r="N338" s="1">
        <v>0</v>
      </c>
      <c r="Q338" s="2" t="str">
        <f t="shared" si="67"/>
        <v>,</v>
      </c>
      <c r="V338" s="18"/>
      <c r="W338" s="17"/>
    </row>
    <row r="339" spans="1:23" x14ac:dyDescent="0.3">
      <c r="A339" s="8">
        <f t="shared" si="68"/>
        <v>35826</v>
      </c>
      <c r="B339" s="9" t="e">
        <f t="shared" si="70"/>
        <v>#N/A</v>
      </c>
      <c r="C339" s="9" t="e">
        <f t="shared" si="69"/>
        <v>#N/A</v>
      </c>
      <c r="D339" s="9">
        <f t="shared" si="66"/>
        <v>31.6</v>
      </c>
      <c r="N339" s="1">
        <v>0</v>
      </c>
      <c r="Q339" s="2" t="str">
        <f t="shared" si="67"/>
        <v>,</v>
      </c>
      <c r="V339" s="18"/>
      <c r="W339" s="17"/>
    </row>
    <row r="340" spans="1:23" x14ac:dyDescent="0.3">
      <c r="A340" s="8">
        <f t="shared" si="68"/>
        <v>35795</v>
      </c>
      <c r="B340" s="9" t="e">
        <f t="shared" si="70"/>
        <v>#N/A</v>
      </c>
      <c r="C340" s="9">
        <f t="shared" si="69"/>
        <v>11.7</v>
      </c>
      <c r="D340" s="9">
        <f t="shared" si="66"/>
        <v>31.6</v>
      </c>
      <c r="N340" s="1">
        <v>0</v>
      </c>
      <c r="Q340" s="2" t="str">
        <f t="shared" si="67"/>
        <v>,</v>
      </c>
      <c r="V340" s="18"/>
      <c r="W340" s="17"/>
    </row>
    <row r="341" spans="1:23" x14ac:dyDescent="0.3">
      <c r="A341" s="8">
        <f t="shared" si="68"/>
        <v>35764</v>
      </c>
      <c r="B341" s="9" t="e">
        <f t="shared" si="70"/>
        <v>#N/A</v>
      </c>
      <c r="C341" s="9">
        <f t="shared" si="69"/>
        <v>13.1</v>
      </c>
      <c r="D341" s="9">
        <f t="shared" si="66"/>
        <v>32.75</v>
      </c>
      <c r="N341" s="1">
        <v>0</v>
      </c>
      <c r="Q341" s="2" t="str">
        <f t="shared" si="67"/>
        <v>,</v>
      </c>
      <c r="V341" s="18"/>
      <c r="W341" s="17"/>
    </row>
    <row r="342" spans="1:23" x14ac:dyDescent="0.3">
      <c r="A342" s="8">
        <f t="shared" si="68"/>
        <v>35734</v>
      </c>
      <c r="B342" s="9" t="e">
        <f t="shared" si="70"/>
        <v>#N/A</v>
      </c>
      <c r="C342" s="9">
        <f t="shared" si="69"/>
        <v>12.7</v>
      </c>
      <c r="D342" s="9">
        <f t="shared" si="66"/>
        <v>32.75</v>
      </c>
      <c r="N342" s="1">
        <v>0</v>
      </c>
      <c r="Q342" s="2" t="str">
        <f t="shared" si="67"/>
        <v>,</v>
      </c>
      <c r="V342" s="18"/>
      <c r="W342" s="17"/>
    </row>
    <row r="343" spans="1:23" x14ac:dyDescent="0.3">
      <c r="A343" s="8">
        <f t="shared" si="68"/>
        <v>35703</v>
      </c>
      <c r="B343" s="9" t="e">
        <f t="shared" si="70"/>
        <v>#N/A</v>
      </c>
      <c r="C343" s="9">
        <f t="shared" si="69"/>
        <v>12.3</v>
      </c>
      <c r="D343" s="9">
        <f t="shared" si="66"/>
        <v>32.75</v>
      </c>
      <c r="N343" s="1">
        <v>0</v>
      </c>
      <c r="Q343" s="2" t="str">
        <f t="shared" si="67"/>
        <v>,</v>
      </c>
      <c r="V343" s="18"/>
      <c r="W343" s="17"/>
    </row>
    <row r="344" spans="1:23" x14ac:dyDescent="0.3">
      <c r="A344" s="8">
        <f t="shared" si="68"/>
        <v>35673</v>
      </c>
      <c r="B344" s="9" t="e">
        <f t="shared" si="70"/>
        <v>#N/A</v>
      </c>
      <c r="C344" s="9">
        <f t="shared" si="69"/>
        <v>12.3</v>
      </c>
      <c r="D344" s="9">
        <f t="shared" si="66"/>
        <v>0</v>
      </c>
      <c r="N344" s="1">
        <v>0</v>
      </c>
      <c r="Q344" s="2" t="str">
        <f t="shared" si="67"/>
        <v>,</v>
      </c>
      <c r="V344" s="18"/>
      <c r="W344" s="17"/>
    </row>
    <row r="345" spans="1:23" x14ac:dyDescent="0.3">
      <c r="A345" s="8">
        <f t="shared" si="68"/>
        <v>35642</v>
      </c>
      <c r="B345" s="9" t="e">
        <f t="shared" si="70"/>
        <v>#N/A</v>
      </c>
      <c r="C345" s="9">
        <f t="shared" si="69"/>
        <v>12.2</v>
      </c>
      <c r="D345" s="9">
        <f t="shared" si="66"/>
        <v>0</v>
      </c>
      <c r="N345" s="1">
        <v>0</v>
      </c>
      <c r="Q345" s="2" t="str">
        <f t="shared" si="67"/>
        <v>,</v>
      </c>
      <c r="V345" s="18"/>
      <c r="W345" s="17"/>
    </row>
    <row r="346" spans="1:23" x14ac:dyDescent="0.3">
      <c r="V346" s="18"/>
      <c r="W346" s="17"/>
    </row>
    <row r="347" spans="1:23" x14ac:dyDescent="0.3">
      <c r="V347" s="18"/>
      <c r="W347" s="17"/>
    </row>
    <row r="348" spans="1:23" x14ac:dyDescent="0.3">
      <c r="V348" s="18"/>
      <c r="W348" s="17"/>
    </row>
    <row r="349" spans="1:23" x14ac:dyDescent="0.3">
      <c r="V349" s="18"/>
      <c r="W349" s="17"/>
    </row>
    <row r="350" spans="1:23" x14ac:dyDescent="0.3">
      <c r="V350" s="18"/>
      <c r="W350" s="17"/>
    </row>
    <row r="351" spans="1:23" x14ac:dyDescent="0.3">
      <c r="V351" s="18"/>
      <c r="W351" s="17"/>
    </row>
    <row r="352" spans="1:23" x14ac:dyDescent="0.3">
      <c r="V352" s="18"/>
      <c r="W352" s="17"/>
    </row>
    <row r="353" spans="22:23" x14ac:dyDescent="0.3">
      <c r="V353" s="18"/>
      <c r="W353" s="17"/>
    </row>
    <row r="354" spans="22:23" x14ac:dyDescent="0.3">
      <c r="V354" s="18"/>
      <c r="W354" s="17"/>
    </row>
    <row r="355" spans="22:23" x14ac:dyDescent="0.3">
      <c r="V355" s="18"/>
      <c r="W355" s="17"/>
    </row>
    <row r="356" spans="22:23" x14ac:dyDescent="0.3">
      <c r="V356" s="18"/>
      <c r="W356" s="17"/>
    </row>
    <row r="357" spans="22:23" x14ac:dyDescent="0.3">
      <c r="V357" s="18"/>
      <c r="W357" s="17"/>
    </row>
    <row r="358" spans="22:23" x14ac:dyDescent="0.3">
      <c r="V358" s="18"/>
      <c r="W358" s="17"/>
    </row>
    <row r="359" spans="22:23" x14ac:dyDescent="0.3">
      <c r="V359" s="18"/>
      <c r="W359" s="17"/>
    </row>
    <row r="360" spans="22:23" x14ac:dyDescent="0.3">
      <c r="V360" s="18"/>
      <c r="W360" s="17"/>
    </row>
    <row r="361" spans="22:23" x14ac:dyDescent="0.3">
      <c r="V361" s="18"/>
      <c r="W361" s="17"/>
    </row>
    <row r="362" spans="22:23" x14ac:dyDescent="0.3">
      <c r="V362" s="18"/>
      <c r="W362" s="17"/>
    </row>
    <row r="363" spans="22:23" x14ac:dyDescent="0.3">
      <c r="V363" s="18"/>
      <c r="W363" s="17"/>
    </row>
    <row r="364" spans="22:23" x14ac:dyDescent="0.3">
      <c r="W364" s="17"/>
    </row>
  </sheetData>
  <mergeCells count="4">
    <mergeCell ref="A1:O1"/>
    <mergeCell ref="S1:T1"/>
    <mergeCell ref="V1:W1"/>
    <mergeCell ref="Y1:Z1"/>
  </mergeCells>
  <phoneticPr fontId="23" type="noConversion"/>
  <pageMargins left="0.7" right="0.7" top="0.75" bottom="0.75" header="0.3" footer="0.3"/>
  <pageSetup paperSize="9" orientation="portrait"/>
  <customProperties>
    <customPr name="SheetID" r:id="rId1"/>
  </customProperties>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10</vt:i4>
      </vt:variant>
    </vt:vector>
  </HeadingPairs>
  <TitlesOfParts>
    <vt:vector size="10" baseType="lpstr">
      <vt:lpstr>五大周期判断</vt:lpstr>
      <vt:lpstr>框架指示的股债胜率（综合）</vt:lpstr>
      <vt:lpstr>预测</vt:lpstr>
      <vt:lpstr>国证价值成长2</vt:lpstr>
      <vt:lpstr>股债表现与四个维度</vt:lpstr>
      <vt:lpstr>货币信用框架5-货币政策目标+信用脉冲</vt:lpstr>
      <vt:lpstr>信贷库存框架1-票据+贷款余额</vt:lpstr>
      <vt:lpstr>财政货币框架1&amp;2底稿</vt:lpstr>
      <vt:lpstr>美林时钟</vt:lpstr>
      <vt:lpstr>库存与产能周期2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郭兰滨 16708</dc:creator>
  <cp:lastModifiedBy>Meng Allen</cp:lastModifiedBy>
  <dcterms:created xsi:type="dcterms:W3CDTF">2024-06-21T06:58:00Z</dcterms:created>
  <dcterms:modified xsi:type="dcterms:W3CDTF">2026-01-30T10:06:33Z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A0579464E76D4842AB77BF70E1A62FA2_11</vt:lpwstr>
  </property>
  <property fmtid="{D5CDD505-2E9C-101B-9397-08002B2CF9AE}" pid="3" name="KSOProductBuildVer">
    <vt:lpwstr>2052-12.1.0.20305</vt:lpwstr>
  </property>
</Properties>
</file>